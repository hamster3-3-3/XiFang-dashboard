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1850" windowHeight="8535"/>
  </bookViews>
  <sheets>
    <sheet name="1130" sheetId="138" r:id="rId1"/>
    <sheet name="1130 4度C" sheetId="139" r:id="rId2"/>
    <sheet name="1129" sheetId="136" r:id="rId3"/>
    <sheet name="1129 4度C" sheetId="137" r:id="rId4"/>
    <sheet name="1128" sheetId="134" r:id="rId5"/>
    <sheet name="1128 4度C" sheetId="135" r:id="rId6"/>
    <sheet name="1127" sheetId="132" r:id="rId7"/>
    <sheet name="1127 4度C" sheetId="133" r:id="rId8"/>
    <sheet name="1126" sheetId="130" r:id="rId9"/>
    <sheet name="1126 4度C" sheetId="131" r:id="rId10"/>
    <sheet name="1125" sheetId="128" r:id="rId11"/>
    <sheet name="1125 4度C" sheetId="129" r:id="rId12"/>
    <sheet name="1124" sheetId="126" r:id="rId13"/>
    <sheet name="1124 4度C" sheetId="127" r:id="rId14"/>
    <sheet name="1123" sheetId="124" r:id="rId15"/>
    <sheet name="1123 4度C" sheetId="125" r:id="rId16"/>
    <sheet name="1122" sheetId="122" r:id="rId17"/>
    <sheet name="1122 4度C" sheetId="123" r:id="rId18"/>
    <sheet name="1121" sheetId="120" r:id="rId19"/>
    <sheet name="1121 4度C" sheetId="121" r:id="rId20"/>
    <sheet name="1120" sheetId="118" r:id="rId21"/>
    <sheet name="1120 4度C" sheetId="119" r:id="rId22"/>
    <sheet name="1119" sheetId="116" r:id="rId23"/>
    <sheet name="1119 4度C" sheetId="117" r:id="rId24"/>
    <sheet name="1118" sheetId="114" r:id="rId25"/>
    <sheet name="1118 4度C" sheetId="115" r:id="rId26"/>
    <sheet name="1117" sheetId="112" r:id="rId27"/>
    <sheet name="1117 4度C" sheetId="113" r:id="rId28"/>
    <sheet name="1116" sheetId="110" r:id="rId29"/>
    <sheet name="1116 4度C" sheetId="111" r:id="rId30"/>
    <sheet name="1115" sheetId="108" r:id="rId31"/>
    <sheet name="1115 4度C" sheetId="109" r:id="rId32"/>
    <sheet name="1114" sheetId="106" r:id="rId33"/>
    <sheet name="1114 4度C" sheetId="107" r:id="rId34"/>
    <sheet name="1113" sheetId="104" r:id="rId35"/>
    <sheet name="1113 4度C" sheetId="105" r:id="rId36"/>
    <sheet name="1112" sheetId="102" r:id="rId37"/>
    <sheet name="1112 4度C" sheetId="103" r:id="rId38"/>
    <sheet name="1111" sheetId="100" r:id="rId39"/>
    <sheet name="1111 4度C" sheetId="101" r:id="rId40"/>
    <sheet name="1110" sheetId="98" r:id="rId41"/>
    <sheet name="1110 4度C" sheetId="99" r:id="rId42"/>
    <sheet name="1109" sheetId="96" r:id="rId43"/>
    <sheet name="1109 4度C" sheetId="97" r:id="rId44"/>
    <sheet name="1108" sheetId="94" r:id="rId45"/>
    <sheet name="1108 4度C" sheetId="95" r:id="rId46"/>
    <sheet name="1107" sheetId="92" r:id="rId47"/>
    <sheet name="1107 4度C" sheetId="93" r:id="rId48"/>
    <sheet name="1106" sheetId="90" r:id="rId49"/>
    <sheet name="1106 4度C" sheetId="91" r:id="rId50"/>
    <sheet name="1105" sheetId="88" r:id="rId51"/>
    <sheet name="1105 4度C" sheetId="89" r:id="rId52"/>
    <sheet name="1104" sheetId="86" r:id="rId53"/>
    <sheet name="1104 4度C" sheetId="87" r:id="rId54"/>
    <sheet name="1103" sheetId="84" r:id="rId55"/>
    <sheet name="1103 4度C" sheetId="85" r:id="rId56"/>
    <sheet name="1102" sheetId="82" r:id="rId57"/>
    <sheet name="1102 4度C" sheetId="83" r:id="rId58"/>
    <sheet name="1101" sheetId="80" r:id="rId59"/>
    <sheet name="1101 4度C" sheetId="81" r:id="rId60"/>
  </sheets>
  <definedNames>
    <definedName name="_xlnm._FilterDatabase" localSheetId="59" hidden="1">'1101 4度C'!$A$4:$AE$4</definedName>
    <definedName name="_xlnm._FilterDatabase" localSheetId="57" hidden="1">'1102 4度C'!$A$4:$AE$4</definedName>
    <definedName name="_xlnm._FilterDatabase" localSheetId="55" hidden="1">'1103 4度C'!$A$4:$AE$4</definedName>
    <definedName name="_xlnm._FilterDatabase" localSheetId="53" hidden="1">'1104 4度C'!$A$4:$AE$4</definedName>
    <definedName name="_xlnm._FilterDatabase" localSheetId="51" hidden="1">'1105 4度C'!$A$4:$AE$4</definedName>
    <definedName name="_xlnm._FilterDatabase" localSheetId="49" hidden="1">'1106 4度C'!$A$4:$AE$4</definedName>
    <definedName name="_xlnm._FilterDatabase" localSheetId="47" hidden="1">'1107 4度C'!$A$4:$AE$4</definedName>
    <definedName name="_xlnm._FilterDatabase" localSheetId="45" hidden="1">'1108 4度C'!$A$4:$AE$4</definedName>
    <definedName name="_xlnm._FilterDatabase" localSheetId="43" hidden="1">'1109 4度C'!$A$4:$AE$4</definedName>
    <definedName name="_xlnm._FilterDatabase" localSheetId="41" hidden="1">'1110 4度C'!$A$4:$AE$4</definedName>
    <definedName name="_xlnm._FilterDatabase" localSheetId="39" hidden="1">'1111 4度C'!$A$4:$AE$4</definedName>
    <definedName name="_xlnm._FilterDatabase" localSheetId="37" hidden="1">'1112 4度C'!$A$4:$AE$4</definedName>
    <definedName name="_xlnm._FilterDatabase" localSheetId="35" hidden="1">'1113 4度C'!$A$4:$AE$4</definedName>
    <definedName name="_xlnm._FilterDatabase" localSheetId="33" hidden="1">'1114 4度C'!$A$4:$AE$4</definedName>
    <definedName name="_xlnm._FilterDatabase" localSheetId="31" hidden="1">'1115 4度C'!$A$4:$AE$4</definedName>
    <definedName name="_xlnm._FilterDatabase" localSheetId="29" hidden="1">'1116 4度C'!$A$4:$AE$4</definedName>
    <definedName name="_xlnm._FilterDatabase" localSheetId="27" hidden="1">'1117 4度C'!$A$4:$AE$4</definedName>
    <definedName name="_xlnm._FilterDatabase" localSheetId="25" hidden="1">'1118 4度C'!$A$4:$AE$4</definedName>
    <definedName name="_xlnm._FilterDatabase" localSheetId="23" hidden="1">'1119 4度C'!$A$4:$AE$4</definedName>
    <definedName name="_xlnm._FilterDatabase" localSheetId="21" hidden="1">'1120 4度C'!$A$4:$AE$4</definedName>
    <definedName name="_xlnm._FilterDatabase" localSheetId="19" hidden="1">'1121 4度C'!$A$4:$AE$4</definedName>
    <definedName name="_xlnm._FilterDatabase" localSheetId="17" hidden="1">'1122 4度C'!$A$4:$AE$4</definedName>
    <definedName name="_xlnm._FilterDatabase" localSheetId="15" hidden="1">'1123 4度C'!$A$4:$AE$4</definedName>
    <definedName name="_xlnm._FilterDatabase" localSheetId="13" hidden="1">'1124 4度C'!$A$4:$AE$4</definedName>
    <definedName name="_xlnm._FilterDatabase" localSheetId="11" hidden="1">'1125 4度C'!$A$4:$AE$4</definedName>
    <definedName name="_xlnm._FilterDatabase" localSheetId="9" hidden="1">'1126 4度C'!$A$4:$AE$4</definedName>
    <definedName name="_xlnm._FilterDatabase" localSheetId="7" hidden="1">'1127 4度C'!$A$4:$AE$4</definedName>
    <definedName name="_xlnm._FilterDatabase" localSheetId="5" hidden="1">'1128 4度C'!$A$4:$AE$4</definedName>
    <definedName name="_xlnm._FilterDatabase" localSheetId="3" hidden="1">'1129 4度C'!$A$4:$AE$4</definedName>
    <definedName name="_xlnm._FilterDatabase" localSheetId="1" hidden="1">'1130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5" i="139" l="1"/>
  <c r="K75" i="139"/>
  <c r="V74" i="139"/>
  <c r="U74" i="139"/>
  <c r="O74" i="139"/>
  <c r="M74" i="139"/>
  <c r="AA74" i="139" s="1"/>
  <c r="K74" i="139"/>
  <c r="G74" i="139"/>
  <c r="AB73" i="139"/>
  <c r="AA73" i="139"/>
  <c r="V73" i="139"/>
  <c r="U73" i="139"/>
  <c r="O73" i="139"/>
  <c r="N73" i="139"/>
  <c r="Q73" i="139" s="1"/>
  <c r="M73" i="139"/>
  <c r="K73" i="139"/>
  <c r="G73" i="139"/>
  <c r="V72" i="139"/>
  <c r="U72" i="139"/>
  <c r="O72" i="139"/>
  <c r="M72" i="139"/>
  <c r="AB72" i="139" s="1"/>
  <c r="K72" i="139"/>
  <c r="G72" i="139"/>
  <c r="X71" i="139"/>
  <c r="W71" i="139"/>
  <c r="V71" i="139"/>
  <c r="U71" i="139"/>
  <c r="O71" i="139"/>
  <c r="M71" i="139"/>
  <c r="K71" i="139"/>
  <c r="G71" i="139"/>
  <c r="V70" i="139"/>
  <c r="M70" i="139" s="1"/>
  <c r="N70" i="139" s="1"/>
  <c r="Q70" i="139" s="1"/>
  <c r="U70" i="139"/>
  <c r="O70" i="139"/>
  <c r="K70" i="139"/>
  <c r="G70" i="139"/>
  <c r="V69" i="139"/>
  <c r="U69" i="139"/>
  <c r="O69" i="139"/>
  <c r="M69" i="139"/>
  <c r="K69" i="139"/>
  <c r="G69" i="139"/>
  <c r="AB68" i="139"/>
  <c r="AA68" i="139"/>
  <c r="V68" i="139"/>
  <c r="M68" i="139" s="1"/>
  <c r="N68" i="139" s="1"/>
  <c r="U68" i="139"/>
  <c r="O68" i="139"/>
  <c r="K68" i="139"/>
  <c r="G68" i="139"/>
  <c r="V67" i="139"/>
  <c r="U67" i="139"/>
  <c r="O67" i="139"/>
  <c r="M67" i="139"/>
  <c r="AB67" i="139" s="1"/>
  <c r="K67" i="139"/>
  <c r="G67" i="139"/>
  <c r="AB66" i="139"/>
  <c r="AA66" i="139"/>
  <c r="V66" i="139"/>
  <c r="U66" i="139"/>
  <c r="O66" i="139"/>
  <c r="M66" i="139"/>
  <c r="N66" i="139" s="1"/>
  <c r="K66" i="139"/>
  <c r="G66" i="139"/>
  <c r="AA65" i="139"/>
  <c r="X65" i="139"/>
  <c r="W65" i="139"/>
  <c r="V65" i="139"/>
  <c r="M65" i="139" s="1"/>
  <c r="O65" i="139"/>
  <c r="N65" i="139"/>
  <c r="P65" i="139" s="1"/>
  <c r="K65" i="139"/>
  <c r="G65" i="139"/>
  <c r="O64" i="139"/>
  <c r="K64" i="139"/>
  <c r="AB63" i="139"/>
  <c r="AA63" i="139"/>
  <c r="V63" i="139"/>
  <c r="U63" i="139"/>
  <c r="O63" i="139"/>
  <c r="M63" i="139"/>
  <c r="N63" i="139" s="1"/>
  <c r="K63" i="139"/>
  <c r="G63" i="139"/>
  <c r="V62" i="139"/>
  <c r="U62" i="139"/>
  <c r="O62" i="139"/>
  <c r="N62" i="139"/>
  <c r="M62" i="139"/>
  <c r="AB62" i="139" s="1"/>
  <c r="K62" i="139"/>
  <c r="G62" i="139"/>
  <c r="V61" i="139"/>
  <c r="M61" i="139" s="1"/>
  <c r="N61" i="139" s="1"/>
  <c r="Q61" i="139" s="1"/>
  <c r="U61" i="139"/>
  <c r="O61" i="139"/>
  <c r="K61" i="139"/>
  <c r="G61" i="139"/>
  <c r="V60" i="139"/>
  <c r="O60" i="139"/>
  <c r="M60" i="139"/>
  <c r="N60" i="139" s="1"/>
  <c r="K60" i="139"/>
  <c r="G60" i="139"/>
  <c r="O59" i="139"/>
  <c r="K59" i="139"/>
  <c r="V58" i="139"/>
  <c r="U58" i="139"/>
  <c r="O58" i="139"/>
  <c r="M58" i="139"/>
  <c r="K58" i="139"/>
  <c r="G58" i="139"/>
  <c r="X57" i="139"/>
  <c r="W57" i="139"/>
  <c r="V57" i="139"/>
  <c r="M57" i="139" s="1"/>
  <c r="N57" i="139" s="1"/>
  <c r="U57" i="139"/>
  <c r="O57" i="139"/>
  <c r="K57" i="139"/>
  <c r="G57" i="139"/>
  <c r="AB56" i="139"/>
  <c r="AA56" i="139"/>
  <c r="V56" i="139"/>
  <c r="U56" i="139"/>
  <c r="O56" i="139"/>
  <c r="M56" i="139"/>
  <c r="N56" i="139" s="1"/>
  <c r="K56" i="139"/>
  <c r="G56" i="139"/>
  <c r="AB55" i="139"/>
  <c r="AA55" i="139"/>
  <c r="V55" i="139"/>
  <c r="U55" i="139"/>
  <c r="O55" i="139"/>
  <c r="N55" i="139"/>
  <c r="Q55" i="139" s="1"/>
  <c r="M55" i="139"/>
  <c r="K55" i="139"/>
  <c r="G55" i="139"/>
  <c r="V54" i="139"/>
  <c r="M54" i="139" s="1"/>
  <c r="U54" i="139"/>
  <c r="O54" i="139"/>
  <c r="K54" i="139"/>
  <c r="G54" i="139"/>
  <c r="V53" i="139"/>
  <c r="O53" i="139"/>
  <c r="N53" i="139"/>
  <c r="M53" i="139"/>
  <c r="K53" i="139"/>
  <c r="G53" i="139"/>
  <c r="O52" i="139"/>
  <c r="K52" i="139"/>
  <c r="V51" i="139"/>
  <c r="U51" i="139"/>
  <c r="O51" i="139"/>
  <c r="M51" i="139"/>
  <c r="K51" i="139"/>
  <c r="G51" i="139"/>
  <c r="X50" i="139"/>
  <c r="W50" i="139"/>
  <c r="V50" i="139"/>
  <c r="M50" i="139" s="1"/>
  <c r="N50" i="139" s="1"/>
  <c r="U50" i="139"/>
  <c r="Q50" i="139"/>
  <c r="P50" i="139"/>
  <c r="O50" i="139"/>
  <c r="K50" i="139"/>
  <c r="G50" i="139"/>
  <c r="V49" i="139"/>
  <c r="U49" i="139"/>
  <c r="O49" i="139"/>
  <c r="N49" i="139"/>
  <c r="P49" i="139" s="1"/>
  <c r="M49" i="139"/>
  <c r="K49" i="139"/>
  <c r="G49" i="139"/>
  <c r="V48" i="139"/>
  <c r="M48" i="139" s="1"/>
  <c r="N48" i="139" s="1"/>
  <c r="U48" i="139"/>
  <c r="O48" i="139"/>
  <c r="K48" i="139"/>
  <c r="G48" i="139"/>
  <c r="AA47" i="139"/>
  <c r="V47" i="139"/>
  <c r="U47" i="139"/>
  <c r="O47" i="139"/>
  <c r="M47" i="139"/>
  <c r="AB47" i="139" s="1"/>
  <c r="K47" i="139"/>
  <c r="G47" i="139"/>
  <c r="AB46" i="139"/>
  <c r="AA46" i="139"/>
  <c r="V46" i="139"/>
  <c r="U46" i="139"/>
  <c r="O46" i="139"/>
  <c r="M46" i="139"/>
  <c r="N46" i="139" s="1"/>
  <c r="K46" i="139"/>
  <c r="G46" i="139"/>
  <c r="V45" i="139"/>
  <c r="M45" i="139" s="1"/>
  <c r="U45" i="139"/>
  <c r="O45" i="139"/>
  <c r="K45" i="139"/>
  <c r="G45" i="139"/>
  <c r="X44" i="139"/>
  <c r="W44" i="139"/>
  <c r="V44" i="139"/>
  <c r="O44" i="139"/>
  <c r="M44" i="139"/>
  <c r="K44" i="139"/>
  <c r="G44" i="139"/>
  <c r="O43" i="139"/>
  <c r="K43" i="139"/>
  <c r="V42" i="139"/>
  <c r="U42" i="139"/>
  <c r="O42" i="139"/>
  <c r="N42" i="139"/>
  <c r="M42" i="139"/>
  <c r="AB42" i="139" s="1"/>
  <c r="K42" i="139"/>
  <c r="G42" i="139"/>
  <c r="V41" i="139"/>
  <c r="M41" i="139" s="1"/>
  <c r="N41" i="139" s="1"/>
  <c r="U41" i="139"/>
  <c r="Q41" i="139"/>
  <c r="P41" i="139"/>
  <c r="O41" i="139"/>
  <c r="K41" i="139"/>
  <c r="G41" i="139"/>
  <c r="X40" i="139"/>
  <c r="W40" i="139"/>
  <c r="V40" i="139"/>
  <c r="U40" i="139"/>
  <c r="P40" i="139"/>
  <c r="O40" i="139"/>
  <c r="N40" i="139"/>
  <c r="Q40" i="139" s="1"/>
  <c r="M40" i="139"/>
  <c r="K40" i="139"/>
  <c r="G40" i="139"/>
  <c r="AB39" i="139"/>
  <c r="V39" i="139"/>
  <c r="M39" i="139" s="1"/>
  <c r="N39" i="139" s="1"/>
  <c r="U39" i="139"/>
  <c r="O39" i="139"/>
  <c r="K39" i="139"/>
  <c r="G39" i="139"/>
  <c r="V38" i="139"/>
  <c r="U38" i="139"/>
  <c r="O38" i="139"/>
  <c r="M38" i="139"/>
  <c r="N38" i="139" s="1"/>
  <c r="K38" i="139"/>
  <c r="G38" i="139"/>
  <c r="AB37" i="139"/>
  <c r="AA37" i="139"/>
  <c r="V37" i="139"/>
  <c r="U37" i="139"/>
  <c r="O37" i="139"/>
  <c r="N37" i="139"/>
  <c r="Q37" i="139" s="1"/>
  <c r="M37" i="139"/>
  <c r="K37" i="139"/>
  <c r="G37" i="139"/>
  <c r="X36" i="139"/>
  <c r="W36" i="139"/>
  <c r="V36" i="139"/>
  <c r="M36" i="139" s="1"/>
  <c r="AB36" i="139" s="1"/>
  <c r="O36" i="139"/>
  <c r="K36" i="139"/>
  <c r="G36" i="139"/>
  <c r="O35" i="139"/>
  <c r="K35" i="139"/>
  <c r="V34" i="139"/>
  <c r="M34" i="139" s="1"/>
  <c r="AB34" i="139" s="1"/>
  <c r="U34" i="139"/>
  <c r="O34" i="139"/>
  <c r="N34" i="139"/>
  <c r="P34" i="139" s="1"/>
  <c r="K34" i="139"/>
  <c r="G34" i="139"/>
  <c r="V33" i="139"/>
  <c r="U33" i="139"/>
  <c r="O33" i="139"/>
  <c r="M33" i="139"/>
  <c r="K33" i="139"/>
  <c r="G33" i="139"/>
  <c r="V32" i="139"/>
  <c r="M32" i="139" s="1"/>
  <c r="N32" i="139" s="1"/>
  <c r="Q32" i="139" s="1"/>
  <c r="U32" i="139"/>
  <c r="O32" i="139"/>
  <c r="K32" i="139"/>
  <c r="G32" i="139"/>
  <c r="X31" i="139"/>
  <c r="W31" i="139"/>
  <c r="V31" i="139"/>
  <c r="U31" i="139"/>
  <c r="O31" i="139"/>
  <c r="M31" i="139"/>
  <c r="N31" i="139" s="1"/>
  <c r="K31" i="139"/>
  <c r="G31" i="139"/>
  <c r="AB30" i="139"/>
  <c r="AA30" i="139"/>
  <c r="V30" i="139"/>
  <c r="U30" i="139"/>
  <c r="O30" i="139"/>
  <c r="M30" i="139"/>
  <c r="N30" i="139" s="1"/>
  <c r="K30" i="139"/>
  <c r="G30" i="139"/>
  <c r="V29" i="139"/>
  <c r="M29" i="139" s="1"/>
  <c r="U29" i="139"/>
  <c r="O29" i="139"/>
  <c r="K29" i="139"/>
  <c r="G29" i="139"/>
  <c r="V28" i="139"/>
  <c r="U28" i="139"/>
  <c r="O28" i="139"/>
  <c r="M28" i="139"/>
  <c r="K28" i="139"/>
  <c r="G28" i="139"/>
  <c r="X27" i="139"/>
  <c r="W27" i="139"/>
  <c r="V27" i="139"/>
  <c r="M27" i="139" s="1"/>
  <c r="O27" i="139"/>
  <c r="K27" i="139"/>
  <c r="G27" i="139"/>
  <c r="O26" i="139"/>
  <c r="K26" i="139"/>
  <c r="G13" i="138" s="1"/>
  <c r="V25" i="139"/>
  <c r="M25" i="139" s="1"/>
  <c r="N25" i="139" s="1"/>
  <c r="Q25" i="139" s="1"/>
  <c r="U25" i="139"/>
  <c r="O25" i="139"/>
  <c r="K25" i="139"/>
  <c r="G25" i="139"/>
  <c r="V24" i="139"/>
  <c r="U24" i="139"/>
  <c r="O24" i="139"/>
  <c r="N24" i="139"/>
  <c r="Q24" i="139" s="1"/>
  <c r="M24" i="139"/>
  <c r="K24" i="139"/>
  <c r="G24" i="139"/>
  <c r="AB23" i="139"/>
  <c r="AA23" i="139"/>
  <c r="V23" i="139"/>
  <c r="M23" i="139" s="1"/>
  <c r="N23" i="139" s="1"/>
  <c r="P23" i="139" s="1"/>
  <c r="U23" i="139"/>
  <c r="Q23" i="139"/>
  <c r="O23" i="139"/>
  <c r="K23" i="139"/>
  <c r="G23" i="139"/>
  <c r="V22" i="139"/>
  <c r="U22" i="139"/>
  <c r="O22" i="139"/>
  <c r="M22" i="139"/>
  <c r="AB22" i="139" s="1"/>
  <c r="K22" i="139"/>
  <c r="G22" i="139"/>
  <c r="V21" i="139"/>
  <c r="M21" i="139" s="1"/>
  <c r="N21" i="139" s="1"/>
  <c r="U21" i="139"/>
  <c r="O21" i="139"/>
  <c r="K21" i="139"/>
  <c r="G21" i="139"/>
  <c r="V20" i="139"/>
  <c r="U20" i="139"/>
  <c r="O20" i="139"/>
  <c r="M20" i="139"/>
  <c r="AB20" i="139" s="1"/>
  <c r="K20" i="139"/>
  <c r="G20" i="139"/>
  <c r="AB19" i="139"/>
  <c r="AA19" i="139"/>
  <c r="V19" i="139"/>
  <c r="U19" i="139"/>
  <c r="O19" i="139"/>
  <c r="N19" i="139"/>
  <c r="Q19" i="139" s="1"/>
  <c r="M19" i="139"/>
  <c r="K19" i="139"/>
  <c r="G19" i="139"/>
  <c r="V18" i="139"/>
  <c r="O18" i="139"/>
  <c r="M18" i="139"/>
  <c r="M26" i="139" s="1"/>
  <c r="K18" i="139"/>
  <c r="G18" i="139"/>
  <c r="O17" i="139"/>
  <c r="K17" i="139"/>
  <c r="V16" i="139"/>
  <c r="M16" i="139" s="1"/>
  <c r="U16" i="139"/>
  <c r="O16" i="139"/>
  <c r="K16" i="139"/>
  <c r="G16" i="139"/>
  <c r="V15" i="139"/>
  <c r="U15" i="139"/>
  <c r="O15" i="139"/>
  <c r="M15" i="139"/>
  <c r="K15" i="139"/>
  <c r="G15" i="139"/>
  <c r="V14" i="139"/>
  <c r="M14" i="139" s="1"/>
  <c r="AB14" i="139" s="1"/>
  <c r="U14" i="139"/>
  <c r="O14" i="139"/>
  <c r="K14" i="139"/>
  <c r="G14" i="139"/>
  <c r="V13" i="139"/>
  <c r="U13" i="139"/>
  <c r="O13" i="139"/>
  <c r="M13" i="139"/>
  <c r="K13" i="139"/>
  <c r="G13" i="139"/>
  <c r="X12" i="139"/>
  <c r="W12" i="139"/>
  <c r="V12" i="139"/>
  <c r="M12" i="139" s="1"/>
  <c r="N12" i="139" s="1"/>
  <c r="O12" i="139"/>
  <c r="K12" i="139"/>
  <c r="G12" i="139"/>
  <c r="O11" i="139"/>
  <c r="K11" i="139"/>
  <c r="E13" i="138" s="1"/>
  <c r="V10" i="139"/>
  <c r="M10" i="139" s="1"/>
  <c r="N10" i="139" s="1"/>
  <c r="O10" i="139"/>
  <c r="K10" i="139"/>
  <c r="G10" i="139"/>
  <c r="O9" i="139"/>
  <c r="K9" i="139"/>
  <c r="D13" i="138" s="1"/>
  <c r="G6" i="138" s="1"/>
  <c r="AB8" i="139"/>
  <c r="V8" i="139"/>
  <c r="M8" i="139" s="1"/>
  <c r="N8" i="139" s="1"/>
  <c r="U8" i="139"/>
  <c r="O8" i="139"/>
  <c r="K8" i="139"/>
  <c r="G8" i="139"/>
  <c r="X7" i="139"/>
  <c r="W7" i="139"/>
  <c r="V7" i="139"/>
  <c r="M7" i="139" s="1"/>
  <c r="U7" i="139"/>
  <c r="O7" i="139"/>
  <c r="K7" i="139"/>
  <c r="G7" i="139"/>
  <c r="V6" i="139"/>
  <c r="U6" i="139"/>
  <c r="O6" i="139"/>
  <c r="M6" i="139"/>
  <c r="K6" i="139"/>
  <c r="G6" i="139"/>
  <c r="V5" i="139"/>
  <c r="M5" i="139" s="1"/>
  <c r="AA5" i="139" s="1"/>
  <c r="O5" i="139"/>
  <c r="N5" i="139"/>
  <c r="Q5" i="139" s="1"/>
  <c r="K5" i="139"/>
  <c r="G5" i="139"/>
  <c r="H2" i="139"/>
  <c r="H1" i="139"/>
  <c r="M18" i="138"/>
  <c r="L18" i="138"/>
  <c r="K18" i="138"/>
  <c r="J18" i="138"/>
  <c r="I18" i="138"/>
  <c r="H18" i="138"/>
  <c r="G18" i="138"/>
  <c r="F18" i="138"/>
  <c r="E18" i="138"/>
  <c r="D18" i="138"/>
  <c r="M17" i="138"/>
  <c r="L17" i="138"/>
  <c r="K17" i="138"/>
  <c r="J17" i="138"/>
  <c r="I17" i="138"/>
  <c r="H17" i="138"/>
  <c r="G17" i="138"/>
  <c r="F17" i="138"/>
  <c r="E17" i="138"/>
  <c r="D17" i="138"/>
  <c r="M16" i="138"/>
  <c r="L16" i="138"/>
  <c r="K16" i="138"/>
  <c r="J16" i="138"/>
  <c r="I16" i="138"/>
  <c r="H16" i="138"/>
  <c r="G16" i="138"/>
  <c r="F16" i="138"/>
  <c r="E16" i="138"/>
  <c r="D16" i="138"/>
  <c r="M13" i="138"/>
  <c r="L13" i="138"/>
  <c r="K13" i="138"/>
  <c r="I6" i="138" s="1"/>
  <c r="J13" i="138"/>
  <c r="I13" i="138"/>
  <c r="H13" i="138"/>
  <c r="F13" i="138"/>
  <c r="I3" i="138"/>
  <c r="F3" i="138"/>
  <c r="C3" i="138"/>
  <c r="AB16" i="139" l="1"/>
  <c r="AA16" i="139"/>
  <c r="N16" i="139"/>
  <c r="P60" i="139"/>
  <c r="Q60" i="139"/>
  <c r="Q31" i="139"/>
  <c r="P31" i="139"/>
  <c r="AB54" i="139"/>
  <c r="AA54" i="139"/>
  <c r="N54" i="139"/>
  <c r="Q63" i="139"/>
  <c r="P63" i="139"/>
  <c r="Q56" i="139"/>
  <c r="P56" i="139"/>
  <c r="AB26" i="139"/>
  <c r="AC18" i="139" s="1"/>
  <c r="AA26" i="139"/>
  <c r="N26" i="139"/>
  <c r="Q38" i="139"/>
  <c r="P38" i="139"/>
  <c r="AA29" i="139"/>
  <c r="N29" i="139"/>
  <c r="AB29" i="139"/>
  <c r="AA45" i="139"/>
  <c r="AB45" i="139"/>
  <c r="N45" i="139"/>
  <c r="N7" i="139"/>
  <c r="AB7" i="139"/>
  <c r="AA7" i="139"/>
  <c r="P5" i="139"/>
  <c r="AA14" i="139"/>
  <c r="M17" i="139"/>
  <c r="AB21" i="139"/>
  <c r="AA24" i="139"/>
  <c r="AB24" i="139"/>
  <c r="AB61" i="139"/>
  <c r="M64" i="139"/>
  <c r="AB10" i="139"/>
  <c r="N20" i="139"/>
  <c r="N27" i="139"/>
  <c r="M35" i="139"/>
  <c r="AB38" i="139"/>
  <c r="Q34" i="139"/>
  <c r="AA48" i="139"/>
  <c r="AB50" i="139"/>
  <c r="AB57" i="139"/>
  <c r="Q65" i="139"/>
  <c r="N74" i="139"/>
  <c r="AB6" i="139"/>
  <c r="AA6" i="139"/>
  <c r="M11" i="139"/>
  <c r="AA22" i="139"/>
  <c r="AA27" i="139"/>
  <c r="AB44" i="139"/>
  <c r="AA44" i="139"/>
  <c r="N44" i="139"/>
  <c r="AB48" i="139"/>
  <c r="N72" i="139"/>
  <c r="N6" i="139"/>
  <c r="P25" i="139"/>
  <c r="AB27" i="139"/>
  <c r="Q30" i="139"/>
  <c r="P30" i="139"/>
  <c r="P32" i="139"/>
  <c r="M75" i="139"/>
  <c r="AB65" i="139"/>
  <c r="Q8" i="139"/>
  <c r="P8" i="139"/>
  <c r="AA34" i="139"/>
  <c r="Q39" i="139"/>
  <c r="P39" i="139"/>
  <c r="AA41" i="139"/>
  <c r="AB51" i="139"/>
  <c r="AA51" i="139"/>
  <c r="AA58" i="139"/>
  <c r="AB58" i="139"/>
  <c r="P70" i="139"/>
  <c r="AA8" i="139"/>
  <c r="AA18" i="139"/>
  <c r="AA20" i="139"/>
  <c r="AA39" i="139"/>
  <c r="AB41" i="139"/>
  <c r="AB49" i="139"/>
  <c r="AA49" i="139"/>
  <c r="N51" i="139"/>
  <c r="N58" i="139"/>
  <c r="AA67" i="139"/>
  <c r="Q12" i="139"/>
  <c r="P12" i="139"/>
  <c r="AB33" i="139"/>
  <c r="AA33" i="139"/>
  <c r="N33" i="139"/>
  <c r="AB5" i="139"/>
  <c r="AA36" i="139"/>
  <c r="AA38" i="139"/>
  <c r="Q57" i="139"/>
  <c r="P57" i="139"/>
  <c r="N67" i="139"/>
  <c r="N22" i="139"/>
  <c r="Q62" i="139"/>
  <c r="P62" i="139"/>
  <c r="AA10" i="139"/>
  <c r="Q46" i="139"/>
  <c r="P46" i="139"/>
  <c r="Q48" i="139"/>
  <c r="P48" i="139"/>
  <c r="AA50" i="139"/>
  <c r="Q53" i="139"/>
  <c r="P53" i="139"/>
  <c r="N14" i="139"/>
  <c r="AB28" i="139"/>
  <c r="AA28" i="139"/>
  <c r="N28" i="139"/>
  <c r="AA32" i="139"/>
  <c r="M9" i="139"/>
  <c r="AB25" i="139"/>
  <c r="AB32" i="139"/>
  <c r="Q49" i="139"/>
  <c r="P61" i="139"/>
  <c r="AA70" i="139"/>
  <c r="AA72" i="139"/>
  <c r="AB74" i="139"/>
  <c r="AA12" i="139"/>
  <c r="AB69" i="139"/>
  <c r="AA69" i="139"/>
  <c r="N69" i="139"/>
  <c r="Q10" i="139"/>
  <c r="P10" i="139"/>
  <c r="AB13" i="139"/>
  <c r="AA13" i="139"/>
  <c r="N13" i="139"/>
  <c r="N18" i="139"/>
  <c r="M59" i="139"/>
  <c r="AB60" i="139"/>
  <c r="AA60" i="139"/>
  <c r="AB18" i="139"/>
  <c r="E6" i="138"/>
  <c r="AA25" i="139"/>
  <c r="F6" i="138"/>
  <c r="AA40" i="139"/>
  <c r="AB40" i="139"/>
  <c r="Q42" i="139"/>
  <c r="P42" i="139"/>
  <c r="N47" i="139"/>
  <c r="AB70" i="139"/>
  <c r="Q21" i="139"/>
  <c r="P21" i="139"/>
  <c r="AB31" i="139"/>
  <c r="AA31" i="139"/>
  <c r="AA21" i="139"/>
  <c r="AA61" i="139"/>
  <c r="AB71" i="139"/>
  <c r="AA71" i="139"/>
  <c r="N71" i="139"/>
  <c r="AB12" i="139"/>
  <c r="M43" i="139"/>
  <c r="N36" i="139"/>
  <c r="P24" i="139"/>
  <c r="AB15" i="139"/>
  <c r="AA15" i="139"/>
  <c r="N15" i="139"/>
  <c r="AA57" i="139"/>
  <c r="M52" i="139"/>
  <c r="Q66" i="139"/>
  <c r="P66" i="139"/>
  <c r="Q68" i="139"/>
  <c r="P68" i="139"/>
  <c r="P19" i="139"/>
  <c r="P37" i="139"/>
  <c r="P55" i="139"/>
  <c r="P73" i="139"/>
  <c r="AA42" i="139"/>
  <c r="AA53" i="139"/>
  <c r="AA62" i="139"/>
  <c r="AB53" i="139"/>
  <c r="O67" i="137"/>
  <c r="K67" i="137"/>
  <c r="V66" i="137"/>
  <c r="U66" i="137"/>
  <c r="O66" i="137"/>
  <c r="M66" i="137"/>
  <c r="K66" i="137"/>
  <c r="G66" i="137"/>
  <c r="AB65" i="137"/>
  <c r="AA65" i="137"/>
  <c r="V65" i="137"/>
  <c r="U65" i="137"/>
  <c r="O65" i="137"/>
  <c r="N65" i="137"/>
  <c r="Q65" i="137" s="1"/>
  <c r="M65" i="137"/>
  <c r="K65" i="137"/>
  <c r="G65" i="137"/>
  <c r="AB64" i="137"/>
  <c r="AA64" i="137"/>
  <c r="V64" i="137"/>
  <c r="U64" i="137"/>
  <c r="O64" i="137"/>
  <c r="N64" i="137"/>
  <c r="Q64" i="137" s="1"/>
  <c r="M64" i="137"/>
  <c r="K64" i="137"/>
  <c r="G64" i="137"/>
  <c r="AB63" i="137"/>
  <c r="AA63" i="137"/>
  <c r="V63" i="137"/>
  <c r="U63" i="137"/>
  <c r="O63" i="137"/>
  <c r="N63" i="137"/>
  <c r="Q63" i="137" s="1"/>
  <c r="M63" i="137"/>
  <c r="K63" i="137"/>
  <c r="G63" i="137"/>
  <c r="AB62" i="137"/>
  <c r="AA62" i="137"/>
  <c r="V62" i="137"/>
  <c r="U62" i="137"/>
  <c r="O62" i="137"/>
  <c r="N62" i="137"/>
  <c r="Q62" i="137" s="1"/>
  <c r="M62" i="137"/>
  <c r="K62" i="137"/>
  <c r="G62" i="137"/>
  <c r="AB61" i="137"/>
  <c r="AA61" i="137"/>
  <c r="V61" i="137"/>
  <c r="U61" i="137"/>
  <c r="O61" i="137"/>
  <c r="N61" i="137"/>
  <c r="Q61" i="137" s="1"/>
  <c r="M61" i="137"/>
  <c r="K61" i="137"/>
  <c r="G61" i="137"/>
  <c r="AB60" i="137"/>
  <c r="AA60" i="137"/>
  <c r="X60" i="137"/>
  <c r="W60" i="137"/>
  <c r="V60" i="137"/>
  <c r="O60" i="137"/>
  <c r="M60" i="137"/>
  <c r="N60" i="137" s="1"/>
  <c r="K60" i="137"/>
  <c r="G60" i="137"/>
  <c r="O59" i="137"/>
  <c r="K59" i="137"/>
  <c r="J13" i="136" s="1"/>
  <c r="AB58" i="137"/>
  <c r="AA58" i="137"/>
  <c r="V58" i="137"/>
  <c r="U58" i="137"/>
  <c r="O58" i="137"/>
  <c r="M58" i="137"/>
  <c r="N58" i="137" s="1"/>
  <c r="K58" i="137"/>
  <c r="G58" i="137"/>
  <c r="V57" i="137"/>
  <c r="U57" i="137"/>
  <c r="O57" i="137"/>
  <c r="M57" i="137"/>
  <c r="K57" i="137"/>
  <c r="G57" i="137"/>
  <c r="AB56" i="137"/>
  <c r="AA56" i="137"/>
  <c r="V56" i="137"/>
  <c r="U56" i="137"/>
  <c r="Q56" i="137"/>
  <c r="P56" i="137"/>
  <c r="O56" i="137"/>
  <c r="N56" i="137"/>
  <c r="M56" i="137"/>
  <c r="K56" i="137"/>
  <c r="G56" i="137"/>
  <c r="AB55" i="137"/>
  <c r="AA55" i="137"/>
  <c r="V55" i="137"/>
  <c r="O55" i="137"/>
  <c r="N55" i="137"/>
  <c r="Q55" i="137" s="1"/>
  <c r="M55" i="137"/>
  <c r="K55" i="137"/>
  <c r="G55" i="137"/>
  <c r="O54" i="137"/>
  <c r="K54" i="137"/>
  <c r="AB53" i="137"/>
  <c r="AA53" i="137"/>
  <c r="V53" i="137"/>
  <c r="U53" i="137"/>
  <c r="O53" i="137"/>
  <c r="N53" i="137"/>
  <c r="M53" i="137"/>
  <c r="K53" i="137"/>
  <c r="G53" i="137"/>
  <c r="AB52" i="137"/>
  <c r="AA52" i="137"/>
  <c r="X52" i="137"/>
  <c r="W52" i="137"/>
  <c r="V52" i="137"/>
  <c r="U52" i="137"/>
  <c r="Q52" i="137"/>
  <c r="P52" i="137"/>
  <c r="O52" i="137"/>
  <c r="N52" i="137"/>
  <c r="M52" i="137"/>
  <c r="K52" i="137"/>
  <c r="G52" i="137"/>
  <c r="V51" i="137"/>
  <c r="M51" i="137" s="1"/>
  <c r="U51" i="137"/>
  <c r="O51" i="137"/>
  <c r="K51" i="137"/>
  <c r="G51" i="137"/>
  <c r="AB50" i="137"/>
  <c r="AA50" i="137"/>
  <c r="V50" i="137"/>
  <c r="U50" i="137"/>
  <c r="O50" i="137"/>
  <c r="N50" i="137"/>
  <c r="Q50" i="137" s="1"/>
  <c r="M50" i="137"/>
  <c r="K50" i="137"/>
  <c r="G50" i="137"/>
  <c r="AB49" i="137"/>
  <c r="AA49" i="137"/>
  <c r="V49" i="137"/>
  <c r="U49" i="137"/>
  <c r="Q49" i="137"/>
  <c r="O49" i="137"/>
  <c r="M49" i="137"/>
  <c r="N49" i="137" s="1"/>
  <c r="P49" i="137" s="1"/>
  <c r="K49" i="137"/>
  <c r="G49" i="137"/>
  <c r="V48" i="137"/>
  <c r="O48" i="137"/>
  <c r="M48" i="137"/>
  <c r="K48" i="137"/>
  <c r="G48" i="137"/>
  <c r="O47" i="137"/>
  <c r="K47" i="137"/>
  <c r="AB46" i="137"/>
  <c r="AA46" i="137"/>
  <c r="V46" i="137"/>
  <c r="U46" i="137"/>
  <c r="O46" i="137"/>
  <c r="N46" i="137"/>
  <c r="M46" i="137"/>
  <c r="K46" i="137"/>
  <c r="G46" i="137"/>
  <c r="AB45" i="137"/>
  <c r="AA45" i="137"/>
  <c r="V45" i="137"/>
  <c r="U45" i="137"/>
  <c r="O45" i="137"/>
  <c r="M45" i="137"/>
  <c r="N45" i="137" s="1"/>
  <c r="K45" i="137"/>
  <c r="G45" i="137"/>
  <c r="V44" i="137"/>
  <c r="U44" i="137"/>
  <c r="O44" i="137"/>
  <c r="M44" i="137"/>
  <c r="K44" i="137"/>
  <c r="G44" i="137"/>
  <c r="AB43" i="137"/>
  <c r="AA43" i="137"/>
  <c r="V43" i="137"/>
  <c r="U43" i="137"/>
  <c r="O43" i="137"/>
  <c r="N43" i="137"/>
  <c r="Q43" i="137" s="1"/>
  <c r="M43" i="137"/>
  <c r="K43" i="137"/>
  <c r="G43" i="137"/>
  <c r="AB42" i="137"/>
  <c r="AA42" i="137"/>
  <c r="V42" i="137"/>
  <c r="U42" i="137"/>
  <c r="O42" i="137"/>
  <c r="N42" i="137"/>
  <c r="Q42" i="137" s="1"/>
  <c r="M42" i="137"/>
  <c r="K42" i="137"/>
  <c r="G42" i="137"/>
  <c r="AB41" i="137"/>
  <c r="AA41" i="137"/>
  <c r="V41" i="137"/>
  <c r="U41" i="137"/>
  <c r="O41" i="137"/>
  <c r="N41" i="137"/>
  <c r="Q41" i="137" s="1"/>
  <c r="M41" i="137"/>
  <c r="K41" i="137"/>
  <c r="G41" i="137"/>
  <c r="AB40" i="137"/>
  <c r="AA40" i="137"/>
  <c r="X40" i="137"/>
  <c r="W40" i="137"/>
  <c r="V40" i="137"/>
  <c r="Q40" i="137"/>
  <c r="O40" i="137"/>
  <c r="M40" i="137"/>
  <c r="N40" i="137" s="1"/>
  <c r="P40" i="137" s="1"/>
  <c r="K40" i="137"/>
  <c r="G40" i="137"/>
  <c r="O39" i="137"/>
  <c r="K39" i="137"/>
  <c r="V38" i="137"/>
  <c r="M38" i="137" s="1"/>
  <c r="AA38" i="137" s="1"/>
  <c r="U38" i="137"/>
  <c r="O38" i="137"/>
  <c r="K38" i="137"/>
  <c r="G38" i="137"/>
  <c r="X37" i="137"/>
  <c r="W37" i="137"/>
  <c r="V37" i="137"/>
  <c r="U37" i="137"/>
  <c r="O37" i="137"/>
  <c r="M37" i="137"/>
  <c r="K37" i="137"/>
  <c r="G37" i="137"/>
  <c r="AB36" i="137"/>
  <c r="AA36" i="137"/>
  <c r="V36" i="137"/>
  <c r="U36" i="137"/>
  <c r="Q36" i="137"/>
  <c r="P36" i="137"/>
  <c r="O36" i="137"/>
  <c r="N36" i="137"/>
  <c r="M36" i="137"/>
  <c r="K36" i="137"/>
  <c r="G36" i="137"/>
  <c r="AB35" i="137"/>
  <c r="AA35" i="137"/>
  <c r="V35" i="137"/>
  <c r="U35" i="137"/>
  <c r="O35" i="137"/>
  <c r="N35" i="137"/>
  <c r="M35" i="137"/>
  <c r="K35" i="137"/>
  <c r="G35" i="137"/>
  <c r="AB34" i="137"/>
  <c r="AA34" i="137"/>
  <c r="V34" i="137"/>
  <c r="U34" i="137"/>
  <c r="O34" i="137"/>
  <c r="N34" i="137"/>
  <c r="P34" i="137" s="1"/>
  <c r="M34" i="137"/>
  <c r="K34" i="137"/>
  <c r="G34" i="137"/>
  <c r="X33" i="137"/>
  <c r="W33" i="137"/>
  <c r="V33" i="137"/>
  <c r="M33" i="137" s="1"/>
  <c r="O33" i="137"/>
  <c r="K33" i="137"/>
  <c r="G33" i="137"/>
  <c r="O32" i="137"/>
  <c r="K32" i="137"/>
  <c r="V31" i="137"/>
  <c r="M31" i="137" s="1"/>
  <c r="U31" i="137"/>
  <c r="O31" i="137"/>
  <c r="K31" i="137"/>
  <c r="G31" i="137"/>
  <c r="AB30" i="137"/>
  <c r="AA30" i="137"/>
  <c r="V30" i="137"/>
  <c r="U30" i="137"/>
  <c r="O30" i="137"/>
  <c r="N30" i="137"/>
  <c r="Q30" i="137" s="1"/>
  <c r="M30" i="137"/>
  <c r="K30" i="137"/>
  <c r="G30" i="137"/>
  <c r="AB29" i="137"/>
  <c r="AA29" i="137"/>
  <c r="V29" i="137"/>
  <c r="U29" i="137"/>
  <c r="Q29" i="137"/>
  <c r="O29" i="137"/>
  <c r="M29" i="137"/>
  <c r="N29" i="137" s="1"/>
  <c r="P29" i="137" s="1"/>
  <c r="K29" i="137"/>
  <c r="G29" i="137"/>
  <c r="AB28" i="137"/>
  <c r="AA28" i="137"/>
  <c r="V28" i="137"/>
  <c r="U28" i="137"/>
  <c r="O28" i="137"/>
  <c r="N28" i="137"/>
  <c r="M28" i="137"/>
  <c r="K28" i="137"/>
  <c r="G28" i="137"/>
  <c r="AB27" i="137"/>
  <c r="AA27" i="137"/>
  <c r="X27" i="137"/>
  <c r="W27" i="137"/>
  <c r="V27" i="137"/>
  <c r="O27" i="137"/>
  <c r="N27" i="137"/>
  <c r="P27" i="137" s="1"/>
  <c r="M27" i="137"/>
  <c r="K27" i="137"/>
  <c r="G27" i="137"/>
  <c r="O26" i="137"/>
  <c r="K26" i="137"/>
  <c r="AB25" i="137"/>
  <c r="AA25" i="137"/>
  <c r="V25" i="137"/>
  <c r="U25" i="137"/>
  <c r="O25" i="137"/>
  <c r="N25" i="137"/>
  <c r="Q25" i="137" s="1"/>
  <c r="M25" i="137"/>
  <c r="K25" i="137"/>
  <c r="G25" i="137"/>
  <c r="AB24" i="137"/>
  <c r="AA24" i="137"/>
  <c r="V24" i="137"/>
  <c r="U24" i="137"/>
  <c r="O24" i="137"/>
  <c r="N24" i="137"/>
  <c r="Q24" i="137" s="1"/>
  <c r="M24" i="137"/>
  <c r="K24" i="137"/>
  <c r="G24" i="137"/>
  <c r="AB23" i="137"/>
  <c r="AA23" i="137"/>
  <c r="V23" i="137"/>
  <c r="U23" i="137"/>
  <c r="O23" i="137"/>
  <c r="N23" i="137"/>
  <c r="Q23" i="137" s="1"/>
  <c r="M23" i="137"/>
  <c r="K23" i="137"/>
  <c r="G23" i="137"/>
  <c r="V22" i="137"/>
  <c r="M22" i="137" s="1"/>
  <c r="N22" i="137" s="1"/>
  <c r="U22" i="137"/>
  <c r="O22" i="137"/>
  <c r="K22" i="137"/>
  <c r="G22" i="137"/>
  <c r="AB21" i="137"/>
  <c r="AA21" i="137"/>
  <c r="V21" i="137"/>
  <c r="U21" i="137"/>
  <c r="O21" i="137"/>
  <c r="N21" i="137"/>
  <c r="Q21" i="137" s="1"/>
  <c r="M21" i="137"/>
  <c r="K21" i="137"/>
  <c r="G21" i="137"/>
  <c r="V20" i="137"/>
  <c r="M20" i="137" s="1"/>
  <c r="M26" i="137" s="1"/>
  <c r="U20" i="137"/>
  <c r="O20" i="137"/>
  <c r="K20" i="137"/>
  <c r="G20" i="137"/>
  <c r="AB19" i="137"/>
  <c r="AA19" i="137"/>
  <c r="V19" i="137"/>
  <c r="U19" i="137"/>
  <c r="O19" i="137"/>
  <c r="N19" i="137"/>
  <c r="Q19" i="137" s="1"/>
  <c r="M19" i="137"/>
  <c r="K19" i="137"/>
  <c r="G19" i="137"/>
  <c r="AB18" i="137"/>
  <c r="AA18" i="137"/>
  <c r="V18" i="137"/>
  <c r="O18" i="137"/>
  <c r="M18" i="137"/>
  <c r="N18" i="137" s="1"/>
  <c r="K18" i="137"/>
  <c r="G18" i="137"/>
  <c r="O17" i="137"/>
  <c r="K17" i="137"/>
  <c r="F13" i="136" s="1"/>
  <c r="AB16" i="137"/>
  <c r="AA16" i="137"/>
  <c r="V16" i="137"/>
  <c r="U16" i="137"/>
  <c r="O16" i="137"/>
  <c r="M16" i="137"/>
  <c r="N16" i="137" s="1"/>
  <c r="K16" i="137"/>
  <c r="G16" i="137"/>
  <c r="V15" i="137"/>
  <c r="U15" i="137"/>
  <c r="O15" i="137"/>
  <c r="M15" i="137"/>
  <c r="K15" i="137"/>
  <c r="G15" i="137"/>
  <c r="AB14" i="137"/>
  <c r="AA14" i="137"/>
  <c r="V14" i="137"/>
  <c r="U14" i="137"/>
  <c r="Q14" i="137"/>
  <c r="P14" i="137"/>
  <c r="O14" i="137"/>
  <c r="N14" i="137"/>
  <c r="M14" i="137"/>
  <c r="K14" i="137"/>
  <c r="G14" i="137"/>
  <c r="AB13" i="137"/>
  <c r="AA13" i="137"/>
  <c r="V13" i="137"/>
  <c r="U13" i="137"/>
  <c r="O13" i="137"/>
  <c r="N13" i="137"/>
  <c r="M13" i="137"/>
  <c r="K13" i="137"/>
  <c r="G13" i="137"/>
  <c r="AB12" i="137"/>
  <c r="AA12" i="137"/>
  <c r="X12" i="137"/>
  <c r="W12" i="137"/>
  <c r="V12" i="137"/>
  <c r="O12" i="137"/>
  <c r="N12" i="137"/>
  <c r="Q12" i="137" s="1"/>
  <c r="M12" i="137"/>
  <c r="K12" i="137"/>
  <c r="G12" i="137"/>
  <c r="O11" i="137"/>
  <c r="K11" i="137"/>
  <c r="AB10" i="137"/>
  <c r="AA10" i="137"/>
  <c r="V10" i="137"/>
  <c r="U10" i="137"/>
  <c r="Q10" i="137"/>
  <c r="P10" i="137"/>
  <c r="O10" i="137"/>
  <c r="N10" i="137"/>
  <c r="M10" i="137"/>
  <c r="K10" i="137"/>
  <c r="G10" i="137"/>
  <c r="V9" i="137"/>
  <c r="M9" i="137" s="1"/>
  <c r="O9" i="137"/>
  <c r="K9" i="137"/>
  <c r="G9" i="137"/>
  <c r="O8" i="137"/>
  <c r="K8" i="137"/>
  <c r="V7" i="137"/>
  <c r="M7" i="137" s="1"/>
  <c r="U7" i="137"/>
  <c r="O7" i="137"/>
  <c r="K7" i="137"/>
  <c r="G7" i="137"/>
  <c r="AB6" i="137"/>
  <c r="AA6" i="137"/>
  <c r="V6" i="137"/>
  <c r="U6" i="137"/>
  <c r="O6" i="137"/>
  <c r="N6" i="137"/>
  <c r="P6" i="137" s="1"/>
  <c r="M6" i="137"/>
  <c r="K6" i="137"/>
  <c r="G6" i="137"/>
  <c r="AB5" i="137"/>
  <c r="AA5" i="137"/>
  <c r="V5" i="137"/>
  <c r="O5" i="137"/>
  <c r="M5" i="137"/>
  <c r="N5" i="137" s="1"/>
  <c r="K5" i="137"/>
  <c r="G5" i="137"/>
  <c r="H2" i="137"/>
  <c r="H1" i="137"/>
  <c r="D1" i="137"/>
  <c r="M18" i="136"/>
  <c r="L18" i="136"/>
  <c r="K18" i="136"/>
  <c r="J18" i="136"/>
  <c r="I18" i="136"/>
  <c r="H18" i="136"/>
  <c r="G18" i="136"/>
  <c r="F18" i="136"/>
  <c r="E18" i="136"/>
  <c r="D18" i="136"/>
  <c r="M17" i="136"/>
  <c r="L17" i="136"/>
  <c r="K17" i="136"/>
  <c r="J17" i="136"/>
  <c r="I17" i="136"/>
  <c r="H17" i="136"/>
  <c r="G17" i="136"/>
  <c r="F17" i="136"/>
  <c r="E17" i="136"/>
  <c r="D17" i="136"/>
  <c r="M16" i="136"/>
  <c r="L16" i="136"/>
  <c r="K16" i="136"/>
  <c r="J16" i="136"/>
  <c r="I16" i="136"/>
  <c r="H16" i="136"/>
  <c r="G16" i="136"/>
  <c r="F16" i="136"/>
  <c r="E16" i="136"/>
  <c r="D16" i="136"/>
  <c r="M13" i="136"/>
  <c r="L13" i="136"/>
  <c r="K13" i="136"/>
  <c r="I6" i="136" s="1"/>
  <c r="I13" i="136"/>
  <c r="H13" i="136"/>
  <c r="G13" i="136"/>
  <c r="E13" i="136"/>
  <c r="D13" i="136"/>
  <c r="F3" i="136"/>
  <c r="C3" i="136"/>
  <c r="Q15" i="139" l="1"/>
  <c r="P15" i="139"/>
  <c r="Q22" i="139"/>
  <c r="P22" i="139"/>
  <c r="P6" i="139"/>
  <c r="Q6" i="139"/>
  <c r="Q67" i="139"/>
  <c r="P67" i="139"/>
  <c r="N43" i="139"/>
  <c r="AA43" i="139"/>
  <c r="AB43" i="139"/>
  <c r="AC36" i="139" s="1"/>
  <c r="AA9" i="139"/>
  <c r="N9" i="139"/>
  <c r="AB9" i="139"/>
  <c r="AC5" i="139" s="1"/>
  <c r="Q71" i="139"/>
  <c r="P71" i="139"/>
  <c r="AB17" i="139"/>
  <c r="AC12" i="139" s="1"/>
  <c r="AA17" i="139"/>
  <c r="N17" i="139"/>
  <c r="Q14" i="139"/>
  <c r="P14" i="139"/>
  <c r="Q74" i="139"/>
  <c r="P74" i="139"/>
  <c r="P7" i="139"/>
  <c r="Q7" i="139"/>
  <c r="P69" i="139"/>
  <c r="Q69" i="139"/>
  <c r="P58" i="139"/>
  <c r="Q58" i="139"/>
  <c r="Q45" i="139"/>
  <c r="P45" i="139"/>
  <c r="AA35" i="139"/>
  <c r="AB35" i="139"/>
  <c r="AC27" i="139" s="1"/>
  <c r="N35" i="139"/>
  <c r="Q27" i="139"/>
  <c r="P27" i="139"/>
  <c r="Q20" i="139"/>
  <c r="P20" i="139"/>
  <c r="Q72" i="139"/>
  <c r="P72" i="139"/>
  <c r="Q26" i="139"/>
  <c r="R18" i="139" s="1"/>
  <c r="G14" i="138"/>
  <c r="G15" i="138" s="1"/>
  <c r="P26" i="139"/>
  <c r="P36" i="139"/>
  <c r="Q36" i="139"/>
  <c r="AB64" i="139"/>
  <c r="AC60" i="139" s="1"/>
  <c r="AA64" i="139"/>
  <c r="N64" i="139"/>
  <c r="Q44" i="139"/>
  <c r="P44" i="139"/>
  <c r="N59" i="139"/>
  <c r="AA59" i="139"/>
  <c r="AB59" i="139"/>
  <c r="AC53" i="139" s="1"/>
  <c r="P28" i="139"/>
  <c r="Q28" i="139"/>
  <c r="Q18" i="139"/>
  <c r="P18" i="139"/>
  <c r="Q33" i="139"/>
  <c r="P33" i="139"/>
  <c r="P13" i="139"/>
  <c r="Q13" i="139"/>
  <c r="AA11" i="139"/>
  <c r="AB11" i="139"/>
  <c r="AC10" i="139" s="1"/>
  <c r="N11" i="139"/>
  <c r="Q54" i="139"/>
  <c r="P54" i="139"/>
  <c r="Q51" i="139"/>
  <c r="P51" i="139"/>
  <c r="AB75" i="139"/>
  <c r="AC65" i="139" s="1"/>
  <c r="AA75" i="139"/>
  <c r="N75" i="139"/>
  <c r="P47" i="139"/>
  <c r="Q47" i="139"/>
  <c r="Q16" i="139"/>
  <c r="P16" i="139"/>
  <c r="AB52" i="139"/>
  <c r="AC44" i="139" s="1"/>
  <c r="AA52" i="139"/>
  <c r="N52" i="139"/>
  <c r="P29" i="139"/>
  <c r="Q29" i="139"/>
  <c r="AA26" i="137"/>
  <c r="AB26" i="137"/>
  <c r="AC18" i="137" s="1"/>
  <c r="N26" i="137"/>
  <c r="Q22" i="137"/>
  <c r="P22" i="137"/>
  <c r="Q5" i="137"/>
  <c r="P5" i="137"/>
  <c r="Q45" i="137"/>
  <c r="P45" i="137"/>
  <c r="M17" i="137"/>
  <c r="AB15" i="137"/>
  <c r="AA15" i="137"/>
  <c r="N15" i="137"/>
  <c r="M54" i="137"/>
  <c r="AB48" i="137"/>
  <c r="AA48" i="137"/>
  <c r="N48" i="137"/>
  <c r="Q58" i="137"/>
  <c r="P58" i="137"/>
  <c r="Q13" i="137"/>
  <c r="P13" i="137"/>
  <c r="N33" i="137"/>
  <c r="AB33" i="137"/>
  <c r="M39" i="137"/>
  <c r="AA33" i="137"/>
  <c r="F1" i="137"/>
  <c r="Q28" i="137"/>
  <c r="P53" i="137"/>
  <c r="Q53" i="137"/>
  <c r="Q18" i="137"/>
  <c r="P18" i="137"/>
  <c r="P42" i="137"/>
  <c r="N7" i="137"/>
  <c r="M8" i="137"/>
  <c r="AB7" i="137"/>
  <c r="M11" i="137"/>
  <c r="N9" i="137"/>
  <c r="Q46" i="137"/>
  <c r="P24" i="137"/>
  <c r="Q60" i="137"/>
  <c r="P60" i="137"/>
  <c r="N38" i="137"/>
  <c r="AB38" i="137"/>
  <c r="N51" i="137"/>
  <c r="AB51" i="137"/>
  <c r="AA51" i="137"/>
  <c r="M67" i="137"/>
  <c r="AB66" i="137"/>
  <c r="AA66" i="137"/>
  <c r="AA9" i="137"/>
  <c r="N66" i="137"/>
  <c r="P62" i="137"/>
  <c r="P64" i="137"/>
  <c r="M59" i="137"/>
  <c r="AB57" i="137"/>
  <c r="AA57" i="137"/>
  <c r="N57" i="137"/>
  <c r="Q16" i="137"/>
  <c r="P16" i="137"/>
  <c r="G6" i="136"/>
  <c r="F6" i="136"/>
  <c r="E6" i="136"/>
  <c r="N31" i="137"/>
  <c r="AB31" i="137"/>
  <c r="M32" i="137"/>
  <c r="AA31" i="137"/>
  <c r="AB44" i="137"/>
  <c r="AA44" i="137"/>
  <c r="M47" i="137"/>
  <c r="AB22" i="137"/>
  <c r="AA22" i="137"/>
  <c r="AB37" i="137"/>
  <c r="AA37" i="137"/>
  <c r="N37" i="137"/>
  <c r="Q35" i="137"/>
  <c r="P35" i="137"/>
  <c r="N20" i="137"/>
  <c r="AB20" i="137"/>
  <c r="P55" i="137"/>
  <c r="AA7" i="137"/>
  <c r="AA20" i="137"/>
  <c r="AB9" i="137"/>
  <c r="N44" i="137"/>
  <c r="P28" i="137"/>
  <c r="P46" i="137"/>
  <c r="P25" i="137"/>
  <c r="Q27" i="137"/>
  <c r="Q34" i="137"/>
  <c r="P43" i="137"/>
  <c r="P65" i="137"/>
  <c r="P19" i="137"/>
  <c r="P30" i="137"/>
  <c r="P50" i="137"/>
  <c r="Q6" i="137"/>
  <c r="P12" i="137"/>
  <c r="P21" i="137"/>
  <c r="P61" i="137"/>
  <c r="P23" i="137"/>
  <c r="P41" i="137"/>
  <c r="P63" i="137"/>
  <c r="O66" i="135"/>
  <c r="K66" i="135"/>
  <c r="V65" i="135"/>
  <c r="M65" i="135" s="1"/>
  <c r="U65" i="135"/>
  <c r="O65" i="135"/>
  <c r="K65" i="135"/>
  <c r="G65" i="135"/>
  <c r="V64" i="135"/>
  <c r="M64" i="135" s="1"/>
  <c r="U64" i="135"/>
  <c r="O64" i="135"/>
  <c r="K64" i="135"/>
  <c r="G64" i="135"/>
  <c r="V63" i="135"/>
  <c r="M63" i="135" s="1"/>
  <c r="U63" i="135"/>
  <c r="O63" i="135"/>
  <c r="K63" i="135"/>
  <c r="G63" i="135"/>
  <c r="V62" i="135"/>
  <c r="M62" i="135" s="1"/>
  <c r="U62" i="135"/>
  <c r="O62" i="135"/>
  <c r="K62" i="135"/>
  <c r="G62" i="135"/>
  <c r="V61" i="135"/>
  <c r="M61" i="135" s="1"/>
  <c r="U61" i="135"/>
  <c r="O61" i="135"/>
  <c r="K61" i="135"/>
  <c r="G61" i="135"/>
  <c r="V60" i="135"/>
  <c r="U60" i="135"/>
  <c r="O60" i="135"/>
  <c r="N60" i="135"/>
  <c r="Q60" i="135" s="1"/>
  <c r="M60" i="135"/>
  <c r="AB60" i="135" s="1"/>
  <c r="K60" i="135"/>
  <c r="G60" i="135"/>
  <c r="X59" i="135"/>
  <c r="W59" i="135"/>
  <c r="V59" i="135"/>
  <c r="M59" i="135" s="1"/>
  <c r="O59" i="135"/>
  <c r="K59" i="135"/>
  <c r="G59" i="135"/>
  <c r="O58" i="135"/>
  <c r="K58" i="135"/>
  <c r="AA57" i="135"/>
  <c r="V57" i="135"/>
  <c r="U57" i="135"/>
  <c r="O57" i="135"/>
  <c r="N57" i="135"/>
  <c r="Q57" i="135" s="1"/>
  <c r="M57" i="135"/>
  <c r="AB57" i="135" s="1"/>
  <c r="K57" i="135"/>
  <c r="G57" i="135"/>
  <c r="V56" i="135"/>
  <c r="M56" i="135" s="1"/>
  <c r="U56" i="135"/>
  <c r="O56" i="135"/>
  <c r="K56" i="135"/>
  <c r="G56" i="135"/>
  <c r="AB55" i="135"/>
  <c r="AA55" i="135"/>
  <c r="V55" i="135"/>
  <c r="U55" i="135"/>
  <c r="O55" i="135"/>
  <c r="M55" i="135"/>
  <c r="N55" i="135" s="1"/>
  <c r="K55" i="135"/>
  <c r="G55" i="135"/>
  <c r="AB54" i="135"/>
  <c r="AA54" i="135"/>
  <c r="V54" i="135"/>
  <c r="O54" i="135"/>
  <c r="M54" i="135"/>
  <c r="N54" i="135" s="1"/>
  <c r="K54" i="135"/>
  <c r="G54" i="135"/>
  <c r="O53" i="135"/>
  <c r="K53" i="135"/>
  <c r="V52" i="135"/>
  <c r="U52" i="135"/>
  <c r="O52" i="135"/>
  <c r="M52" i="135"/>
  <c r="N52" i="135" s="1"/>
  <c r="K52" i="135"/>
  <c r="G52" i="135"/>
  <c r="X51" i="135"/>
  <c r="W51" i="135"/>
  <c r="V51" i="135"/>
  <c r="M51" i="135" s="1"/>
  <c r="U51" i="135"/>
  <c r="O51" i="135"/>
  <c r="K51" i="135"/>
  <c r="G51" i="135"/>
  <c r="V50" i="135"/>
  <c r="U50" i="135"/>
  <c r="O50" i="135"/>
  <c r="M50" i="135"/>
  <c r="N50" i="135" s="1"/>
  <c r="K50" i="135"/>
  <c r="G50" i="135"/>
  <c r="V49" i="135"/>
  <c r="M49" i="135" s="1"/>
  <c r="U49" i="135"/>
  <c r="O49" i="135"/>
  <c r="K49" i="135"/>
  <c r="G49" i="135"/>
  <c r="V48" i="135"/>
  <c r="U48" i="135"/>
  <c r="O48" i="135"/>
  <c r="N48" i="135"/>
  <c r="Q48" i="135" s="1"/>
  <c r="M48" i="135"/>
  <c r="AB48" i="135" s="1"/>
  <c r="K48" i="135"/>
  <c r="G48" i="135"/>
  <c r="V47" i="135"/>
  <c r="O47" i="135"/>
  <c r="N47" i="135"/>
  <c r="Q47" i="135" s="1"/>
  <c r="M47" i="135"/>
  <c r="K47" i="135"/>
  <c r="G47" i="135"/>
  <c r="O46" i="135"/>
  <c r="K46" i="135"/>
  <c r="AB45" i="135"/>
  <c r="AA45" i="135"/>
  <c r="V45" i="135"/>
  <c r="U45" i="135"/>
  <c r="O45" i="135"/>
  <c r="M45" i="135"/>
  <c r="N45" i="135" s="1"/>
  <c r="K45" i="135"/>
  <c r="G45" i="135"/>
  <c r="V44" i="135"/>
  <c r="M44" i="135" s="1"/>
  <c r="U44" i="135"/>
  <c r="O44" i="135"/>
  <c r="K44" i="135"/>
  <c r="G44" i="135"/>
  <c r="V43" i="135"/>
  <c r="M43" i="135" s="1"/>
  <c r="U43" i="135"/>
  <c r="O43" i="135"/>
  <c r="K43" i="135"/>
  <c r="G43" i="135"/>
  <c r="V42" i="135"/>
  <c r="M42" i="135" s="1"/>
  <c r="U42" i="135"/>
  <c r="O42" i="135"/>
  <c r="K42" i="135"/>
  <c r="G42" i="135"/>
  <c r="V41" i="135"/>
  <c r="M41" i="135" s="1"/>
  <c r="U41" i="135"/>
  <c r="O41" i="135"/>
  <c r="K41" i="135"/>
  <c r="G41" i="135"/>
  <c r="V40" i="135"/>
  <c r="M40" i="135" s="1"/>
  <c r="U40" i="135"/>
  <c r="O40" i="135"/>
  <c r="K40" i="135"/>
  <c r="G40" i="135"/>
  <c r="X39" i="135"/>
  <c r="W39" i="135"/>
  <c r="V39" i="135"/>
  <c r="M39" i="135" s="1"/>
  <c r="O39" i="135"/>
  <c r="K39" i="135"/>
  <c r="G39" i="135"/>
  <c r="O38" i="135"/>
  <c r="K38" i="135"/>
  <c r="V37" i="135"/>
  <c r="U37" i="135"/>
  <c r="O37" i="135"/>
  <c r="N37" i="135"/>
  <c r="Q37" i="135" s="1"/>
  <c r="M37" i="135"/>
  <c r="AB37" i="135" s="1"/>
  <c r="K37" i="135"/>
  <c r="G37" i="135"/>
  <c r="V36" i="135"/>
  <c r="U36" i="135"/>
  <c r="O36" i="135"/>
  <c r="M36" i="135"/>
  <c r="AB36" i="135" s="1"/>
  <c r="K36" i="135"/>
  <c r="G36" i="135"/>
  <c r="AA35" i="135"/>
  <c r="V35" i="135"/>
  <c r="U35" i="135"/>
  <c r="O35" i="135"/>
  <c r="N35" i="135"/>
  <c r="Q35" i="135" s="1"/>
  <c r="M35" i="135"/>
  <c r="AB35" i="135" s="1"/>
  <c r="K35" i="135"/>
  <c r="G35" i="135"/>
  <c r="V34" i="135"/>
  <c r="U34" i="135"/>
  <c r="O34" i="135"/>
  <c r="M34" i="135"/>
  <c r="AA34" i="135" s="1"/>
  <c r="K34" i="135"/>
  <c r="G34" i="135"/>
  <c r="X33" i="135"/>
  <c r="W33" i="135"/>
  <c r="V33" i="135"/>
  <c r="O33" i="135"/>
  <c r="M33" i="135"/>
  <c r="M38" i="135" s="1"/>
  <c r="K33" i="135"/>
  <c r="G33" i="135"/>
  <c r="O32" i="135"/>
  <c r="K32" i="135"/>
  <c r="V31" i="135"/>
  <c r="M31" i="135" s="1"/>
  <c r="U31" i="135"/>
  <c r="O31" i="135"/>
  <c r="K31" i="135"/>
  <c r="G31" i="135"/>
  <c r="V30" i="135"/>
  <c r="M30" i="135" s="1"/>
  <c r="U30" i="135"/>
  <c r="O30" i="135"/>
  <c r="K30" i="135"/>
  <c r="G30" i="135"/>
  <c r="V29" i="135"/>
  <c r="M29" i="135" s="1"/>
  <c r="U29" i="135"/>
  <c r="O29" i="135"/>
  <c r="K29" i="135"/>
  <c r="G29" i="135"/>
  <c r="V28" i="135"/>
  <c r="M28" i="135" s="1"/>
  <c r="U28" i="135"/>
  <c r="O28" i="135"/>
  <c r="K28" i="135"/>
  <c r="G28" i="135"/>
  <c r="X27" i="135"/>
  <c r="W27" i="135"/>
  <c r="V27" i="135"/>
  <c r="M27" i="135" s="1"/>
  <c r="O27" i="135"/>
  <c r="K27" i="135"/>
  <c r="G27" i="135"/>
  <c r="O26" i="135"/>
  <c r="K26" i="135"/>
  <c r="V25" i="135"/>
  <c r="U25" i="135"/>
  <c r="O25" i="135"/>
  <c r="N25" i="135"/>
  <c r="Q25" i="135" s="1"/>
  <c r="M25" i="135"/>
  <c r="AB25" i="135" s="1"/>
  <c r="K25" i="135"/>
  <c r="G25" i="135"/>
  <c r="V24" i="135"/>
  <c r="U24" i="135"/>
  <c r="O24" i="135"/>
  <c r="M24" i="135"/>
  <c r="AB24" i="135" s="1"/>
  <c r="K24" i="135"/>
  <c r="G24" i="135"/>
  <c r="AA23" i="135"/>
  <c r="V23" i="135"/>
  <c r="U23" i="135"/>
  <c r="O23" i="135"/>
  <c r="N23" i="135"/>
  <c r="Q23" i="135" s="1"/>
  <c r="M23" i="135"/>
  <c r="AB23" i="135" s="1"/>
  <c r="K23" i="135"/>
  <c r="G23" i="135"/>
  <c r="V22" i="135"/>
  <c r="U22" i="135"/>
  <c r="O22" i="135"/>
  <c r="M22" i="135"/>
  <c r="AA22" i="135" s="1"/>
  <c r="K22" i="135"/>
  <c r="G22" i="135"/>
  <c r="AB21" i="135"/>
  <c r="AA21" i="135"/>
  <c r="V21" i="135"/>
  <c r="U21" i="135"/>
  <c r="O21" i="135"/>
  <c r="M21" i="135"/>
  <c r="N21" i="135" s="1"/>
  <c r="K21" i="135"/>
  <c r="G21" i="135"/>
  <c r="V20" i="135"/>
  <c r="M20" i="135" s="1"/>
  <c r="U20" i="135"/>
  <c r="O20" i="135"/>
  <c r="K20" i="135"/>
  <c r="G20" i="135"/>
  <c r="V19" i="135"/>
  <c r="M19" i="135" s="1"/>
  <c r="U19" i="135"/>
  <c r="O19" i="135"/>
  <c r="K19" i="135"/>
  <c r="G19" i="135"/>
  <c r="V18" i="135"/>
  <c r="M18" i="135" s="1"/>
  <c r="O18" i="135"/>
  <c r="K18" i="135"/>
  <c r="G18" i="135"/>
  <c r="O17" i="135"/>
  <c r="K17" i="135"/>
  <c r="V16" i="135"/>
  <c r="U16" i="135"/>
  <c r="O16" i="135"/>
  <c r="N16" i="135"/>
  <c r="Q16" i="135" s="1"/>
  <c r="M16" i="135"/>
  <c r="AB16" i="135" s="1"/>
  <c r="K16" i="135"/>
  <c r="G16" i="135"/>
  <c r="V15" i="135"/>
  <c r="U15" i="135"/>
  <c r="O15" i="135"/>
  <c r="N15" i="135"/>
  <c r="Q15" i="135" s="1"/>
  <c r="M15" i="135"/>
  <c r="AB15" i="135" s="1"/>
  <c r="K15" i="135"/>
  <c r="G15" i="135"/>
  <c r="V14" i="135"/>
  <c r="U14" i="135"/>
  <c r="O14" i="135"/>
  <c r="M14" i="135"/>
  <c r="AB14" i="135" s="1"/>
  <c r="K14" i="135"/>
  <c r="G14" i="135"/>
  <c r="AA13" i="135"/>
  <c r="V13" i="135"/>
  <c r="U13" i="135"/>
  <c r="O13" i="135"/>
  <c r="N13" i="135"/>
  <c r="Q13" i="135" s="1"/>
  <c r="M13" i="135"/>
  <c r="AB13" i="135" s="1"/>
  <c r="K13" i="135"/>
  <c r="G13" i="135"/>
  <c r="X12" i="135"/>
  <c r="W12" i="135"/>
  <c r="V12" i="135"/>
  <c r="O12" i="135"/>
  <c r="N12" i="135"/>
  <c r="Q12" i="135" s="1"/>
  <c r="M12" i="135"/>
  <c r="AB12" i="135" s="1"/>
  <c r="K12" i="135"/>
  <c r="G12" i="135"/>
  <c r="O11" i="135"/>
  <c r="K11" i="135"/>
  <c r="V10" i="135"/>
  <c r="M10" i="135" s="1"/>
  <c r="U10" i="135"/>
  <c r="O10" i="135"/>
  <c r="K10" i="135"/>
  <c r="G10" i="135"/>
  <c r="V9" i="135"/>
  <c r="M9" i="135" s="1"/>
  <c r="O9" i="135"/>
  <c r="K9" i="135"/>
  <c r="G9" i="135"/>
  <c r="O8" i="135"/>
  <c r="K8" i="135"/>
  <c r="V7" i="135"/>
  <c r="M7" i="135" s="1"/>
  <c r="U7" i="135"/>
  <c r="O7" i="135"/>
  <c r="K7" i="135"/>
  <c r="G7" i="135"/>
  <c r="V6" i="135"/>
  <c r="U6" i="135"/>
  <c r="O6" i="135"/>
  <c r="N6" i="135"/>
  <c r="Q6" i="135" s="1"/>
  <c r="M6" i="135"/>
  <c r="AB6" i="135" s="1"/>
  <c r="K6" i="135"/>
  <c r="G6" i="135"/>
  <c r="V5" i="135"/>
  <c r="O5" i="135"/>
  <c r="N5" i="135"/>
  <c r="Q5" i="135" s="1"/>
  <c r="M5" i="135"/>
  <c r="M8" i="135" s="1"/>
  <c r="K5" i="135"/>
  <c r="G5" i="135"/>
  <c r="F1" i="135" s="1"/>
  <c r="H2" i="135"/>
  <c r="H1" i="135"/>
  <c r="D1" i="135"/>
  <c r="M18" i="134"/>
  <c r="L18" i="134"/>
  <c r="K18" i="134"/>
  <c r="J18" i="134"/>
  <c r="I18" i="134"/>
  <c r="H18" i="134"/>
  <c r="G18" i="134"/>
  <c r="F18" i="134"/>
  <c r="E18" i="134"/>
  <c r="D18" i="134"/>
  <c r="M17" i="134"/>
  <c r="L17" i="134"/>
  <c r="K17" i="134"/>
  <c r="J17" i="134"/>
  <c r="I17" i="134"/>
  <c r="H17" i="134"/>
  <c r="G17" i="134"/>
  <c r="F17" i="134"/>
  <c r="E17" i="134"/>
  <c r="D17" i="134"/>
  <c r="M16" i="134"/>
  <c r="L16" i="134"/>
  <c r="K16" i="134"/>
  <c r="J16" i="134"/>
  <c r="I16" i="134"/>
  <c r="H16" i="134"/>
  <c r="G16" i="134"/>
  <c r="F16" i="134"/>
  <c r="E16" i="134"/>
  <c r="D16" i="134"/>
  <c r="M13" i="134"/>
  <c r="L13" i="134"/>
  <c r="K13" i="134"/>
  <c r="I6" i="134" s="1"/>
  <c r="J13" i="134"/>
  <c r="I13" i="134"/>
  <c r="H13" i="134"/>
  <c r="G13" i="134"/>
  <c r="F13" i="134"/>
  <c r="E13" i="134"/>
  <c r="D13" i="134"/>
  <c r="E6" i="134" s="1"/>
  <c r="F3" i="134"/>
  <c r="C3" i="134"/>
  <c r="P17" i="139" l="1"/>
  <c r="Q17" i="139"/>
  <c r="R12" i="139" s="1"/>
  <c r="F14" i="138"/>
  <c r="F15" i="138" s="1"/>
  <c r="Q52" i="139"/>
  <c r="R44" i="139" s="1"/>
  <c r="H14" i="138"/>
  <c r="H15" i="138" s="1"/>
  <c r="P52" i="139"/>
  <c r="Q35" i="139"/>
  <c r="R27" i="139" s="1"/>
  <c r="P35" i="139"/>
  <c r="K14" i="138"/>
  <c r="Q9" i="139"/>
  <c r="R5" i="139" s="1"/>
  <c r="P9" i="139"/>
  <c r="D14" i="138"/>
  <c r="M14" i="138"/>
  <c r="M15" i="138" s="1"/>
  <c r="Q75" i="139"/>
  <c r="R65" i="139" s="1"/>
  <c r="P75" i="139"/>
  <c r="Q59" i="139"/>
  <c r="R53" i="139" s="1"/>
  <c r="I14" i="138"/>
  <c r="I15" i="138" s="1"/>
  <c r="P59" i="139"/>
  <c r="L14" i="138"/>
  <c r="L15" i="138" s="1"/>
  <c r="Q43" i="139"/>
  <c r="R36" i="139" s="1"/>
  <c r="P43" i="139"/>
  <c r="Q64" i="139"/>
  <c r="R60" i="139" s="1"/>
  <c r="P64" i="139"/>
  <c r="J14" i="138"/>
  <c r="J15" i="138" s="1"/>
  <c r="Q11" i="139"/>
  <c r="R10" i="139" s="1"/>
  <c r="P11" i="139"/>
  <c r="E14" i="138"/>
  <c r="E15" i="138" s="1"/>
  <c r="Q20" i="137"/>
  <c r="P20" i="137"/>
  <c r="Q57" i="137"/>
  <c r="P57" i="137"/>
  <c r="Q9" i="137"/>
  <c r="P9" i="137"/>
  <c r="P48" i="137"/>
  <c r="Q48" i="137"/>
  <c r="AB11" i="137"/>
  <c r="AC9" i="137" s="1"/>
  <c r="AA11" i="137"/>
  <c r="N11" i="137"/>
  <c r="Q37" i="137"/>
  <c r="P37" i="137"/>
  <c r="N59" i="137"/>
  <c r="AB59" i="137"/>
  <c r="AC55" i="137" s="1"/>
  <c r="AA59" i="137"/>
  <c r="AB8" i="137"/>
  <c r="AC5" i="137" s="1"/>
  <c r="AA8" i="137"/>
  <c r="N8" i="137"/>
  <c r="AB54" i="137"/>
  <c r="AC48" i="137" s="1"/>
  <c r="AA54" i="137"/>
  <c r="N54" i="137"/>
  <c r="Q7" i="137"/>
  <c r="P7" i="137"/>
  <c r="Q15" i="137"/>
  <c r="P15" i="137"/>
  <c r="P66" i="137"/>
  <c r="Q66" i="137"/>
  <c r="AB17" i="137"/>
  <c r="AC12" i="137" s="1"/>
  <c r="AA17" i="137"/>
  <c r="N17" i="137"/>
  <c r="N47" i="137"/>
  <c r="AB47" i="137"/>
  <c r="AC40" i="137" s="1"/>
  <c r="AA47" i="137"/>
  <c r="AB67" i="137"/>
  <c r="AC60" i="137" s="1"/>
  <c r="AA67" i="137"/>
  <c r="N67" i="137"/>
  <c r="I3" i="136"/>
  <c r="F2" i="137"/>
  <c r="AA32" i="137"/>
  <c r="AB32" i="137"/>
  <c r="AC27" i="137" s="1"/>
  <c r="N32" i="137"/>
  <c r="Q51" i="137"/>
  <c r="P51" i="137"/>
  <c r="AB39" i="137"/>
  <c r="AC33" i="137" s="1"/>
  <c r="AA39" i="137"/>
  <c r="N39" i="137"/>
  <c r="P44" i="137"/>
  <c r="Q44" i="137"/>
  <c r="Q31" i="137"/>
  <c r="P31" i="137"/>
  <c r="P26" i="137"/>
  <c r="Q26" i="137"/>
  <c r="R18" i="137" s="1"/>
  <c r="G14" i="136"/>
  <c r="G15" i="136" s="1"/>
  <c r="Q38" i="137"/>
  <c r="P38" i="137"/>
  <c r="P33" i="137"/>
  <c r="Q33" i="137"/>
  <c r="N9" i="135"/>
  <c r="AB9" i="135"/>
  <c r="M11" i="135"/>
  <c r="AA9" i="135"/>
  <c r="N31" i="135"/>
  <c r="AA31" i="135"/>
  <c r="AB31" i="135"/>
  <c r="Q55" i="135"/>
  <c r="P55" i="135"/>
  <c r="N20" i="135"/>
  <c r="AB20" i="135"/>
  <c r="AA20" i="135"/>
  <c r="N28" i="135"/>
  <c r="AB28" i="135"/>
  <c r="AA28" i="135"/>
  <c r="N44" i="135"/>
  <c r="AB44" i="135"/>
  <c r="AA44" i="135"/>
  <c r="M53" i="135"/>
  <c r="AB61" i="135"/>
  <c r="AA61" i="135"/>
  <c r="N61" i="135"/>
  <c r="F2" i="135"/>
  <c r="I3" i="134"/>
  <c r="M26" i="135"/>
  <c r="N18" i="135"/>
  <c r="AA18" i="135"/>
  <c r="AB18" i="135"/>
  <c r="N42" i="135"/>
  <c r="AB42" i="135"/>
  <c r="AA42" i="135"/>
  <c r="N51" i="135"/>
  <c r="AB51" i="135"/>
  <c r="AA51" i="135"/>
  <c r="N62" i="135"/>
  <c r="AB62" i="135"/>
  <c r="AA62" i="135"/>
  <c r="Q21" i="135"/>
  <c r="P21" i="135"/>
  <c r="N64" i="135"/>
  <c r="AB64" i="135"/>
  <c r="AA64" i="135"/>
  <c r="N29" i="135"/>
  <c r="AB29" i="135"/>
  <c r="AA29" i="135"/>
  <c r="N10" i="135"/>
  <c r="AB10" i="135"/>
  <c r="AA10" i="135"/>
  <c r="AB7" i="135"/>
  <c r="AA7" i="135"/>
  <c r="N7" i="135"/>
  <c r="N19" i="135"/>
  <c r="AA19" i="135"/>
  <c r="AB19" i="135"/>
  <c r="N43" i="135"/>
  <c r="AA43" i="135"/>
  <c r="AB43" i="135"/>
  <c r="Q50" i="135"/>
  <c r="P50" i="135"/>
  <c r="Q45" i="135"/>
  <c r="P45" i="135"/>
  <c r="N8" i="135"/>
  <c r="AA8" i="135"/>
  <c r="AB8" i="135"/>
  <c r="AC5" i="135" s="1"/>
  <c r="AB49" i="135"/>
  <c r="AA49" i="135"/>
  <c r="N49" i="135"/>
  <c r="Q54" i="135"/>
  <c r="P54" i="135"/>
  <c r="N27" i="135"/>
  <c r="AB27" i="135"/>
  <c r="M32" i="135"/>
  <c r="AA27" i="135"/>
  <c r="AB38" i="135"/>
  <c r="AC33" i="135" s="1"/>
  <c r="AA38" i="135"/>
  <c r="N38" i="135"/>
  <c r="Q52" i="135"/>
  <c r="P52" i="135"/>
  <c r="N39" i="135"/>
  <c r="AB39" i="135"/>
  <c r="AA39" i="135"/>
  <c r="M46" i="135"/>
  <c r="N40" i="135"/>
  <c r="AB40" i="135"/>
  <c r="AA40" i="135"/>
  <c r="N41" i="135"/>
  <c r="AB41" i="135"/>
  <c r="AA41" i="135"/>
  <c r="AA56" i="135"/>
  <c r="N56" i="135"/>
  <c r="M58" i="135"/>
  <c r="AB56" i="135"/>
  <c r="N65" i="135"/>
  <c r="AB65" i="135"/>
  <c r="AA65" i="135"/>
  <c r="N30" i="135"/>
  <c r="AB30" i="135"/>
  <c r="AA30" i="135"/>
  <c r="N59" i="135"/>
  <c r="AB59" i="135"/>
  <c r="AA59" i="135"/>
  <c r="M66" i="135"/>
  <c r="N63" i="135"/>
  <c r="AB63" i="135"/>
  <c r="AA63" i="135"/>
  <c r="AB22" i="135"/>
  <c r="AB33" i="135"/>
  <c r="AB34" i="135"/>
  <c r="P5" i="135"/>
  <c r="P6" i="135"/>
  <c r="N14" i="135"/>
  <c r="P16" i="135"/>
  <c r="N24" i="135"/>
  <c r="N33" i="135"/>
  <c r="N36" i="135"/>
  <c r="P47" i="135"/>
  <c r="P48" i="135"/>
  <c r="P60" i="135"/>
  <c r="P12" i="135"/>
  <c r="P15" i="135"/>
  <c r="P25" i="135"/>
  <c r="P37" i="135"/>
  <c r="N22" i="135"/>
  <c r="N34" i="135"/>
  <c r="AA50" i="135"/>
  <c r="AA52" i="135"/>
  <c r="F6" i="134"/>
  <c r="G6" i="134"/>
  <c r="P13" i="135"/>
  <c r="P23" i="135"/>
  <c r="P35" i="135"/>
  <c r="AB50" i="135"/>
  <c r="AB52" i="135"/>
  <c r="P57" i="135"/>
  <c r="AA5" i="135"/>
  <c r="AA6" i="135"/>
  <c r="AA16" i="135"/>
  <c r="AA47" i="135"/>
  <c r="AA48" i="135"/>
  <c r="AA60" i="135"/>
  <c r="AB5" i="135"/>
  <c r="AA15" i="135"/>
  <c r="AA25" i="135"/>
  <c r="AA37" i="135"/>
  <c r="AB47" i="135"/>
  <c r="AA14" i="135"/>
  <c r="AA24" i="135"/>
  <c r="AA36" i="135"/>
  <c r="AA12" i="135"/>
  <c r="M17" i="135"/>
  <c r="AA33" i="135"/>
  <c r="O74" i="133"/>
  <c r="K74" i="133"/>
  <c r="V73" i="133"/>
  <c r="M73" i="133" s="1"/>
  <c r="U73" i="133"/>
  <c r="O73" i="133"/>
  <c r="K73" i="133"/>
  <c r="G73" i="133"/>
  <c r="V72" i="133"/>
  <c r="M72" i="133" s="1"/>
  <c r="U72" i="133"/>
  <c r="O72" i="133"/>
  <c r="K72" i="133"/>
  <c r="G72" i="133"/>
  <c r="X71" i="133"/>
  <c r="W71" i="133"/>
  <c r="V71" i="133"/>
  <c r="M71" i="133" s="1"/>
  <c r="U71" i="133"/>
  <c r="O71" i="133"/>
  <c r="K71" i="133"/>
  <c r="G71" i="133"/>
  <c r="V70" i="133"/>
  <c r="M70" i="133" s="1"/>
  <c r="U70" i="133"/>
  <c r="O70" i="133"/>
  <c r="K70" i="133"/>
  <c r="G70" i="133"/>
  <c r="V69" i="133"/>
  <c r="M69" i="133" s="1"/>
  <c r="U69" i="133"/>
  <c r="O69" i="133"/>
  <c r="K69" i="133"/>
  <c r="G69" i="133"/>
  <c r="V68" i="133"/>
  <c r="M68" i="133" s="1"/>
  <c r="U68" i="133"/>
  <c r="O68" i="133"/>
  <c r="K68" i="133"/>
  <c r="G68" i="133"/>
  <c r="V67" i="133"/>
  <c r="M67" i="133" s="1"/>
  <c r="U67" i="133"/>
  <c r="O67" i="133"/>
  <c r="K67" i="133"/>
  <c r="G67" i="133"/>
  <c r="V66" i="133"/>
  <c r="U66" i="133"/>
  <c r="O66" i="133"/>
  <c r="N66" i="133"/>
  <c r="Q66" i="133" s="1"/>
  <c r="M66" i="133"/>
  <c r="AB66" i="133" s="1"/>
  <c r="K66" i="133"/>
  <c r="G66" i="133"/>
  <c r="X65" i="133"/>
  <c r="W65" i="133"/>
  <c r="V65" i="133"/>
  <c r="M65" i="133" s="1"/>
  <c r="O65" i="133"/>
  <c r="K65" i="133"/>
  <c r="G65" i="133"/>
  <c r="O64" i="133"/>
  <c r="M64" i="133"/>
  <c r="AB64" i="133" s="1"/>
  <c r="AC60" i="133" s="1"/>
  <c r="K64" i="133"/>
  <c r="V63" i="133"/>
  <c r="U63" i="133"/>
  <c r="O63" i="133"/>
  <c r="M63" i="133"/>
  <c r="AB63" i="133" s="1"/>
  <c r="K63" i="133"/>
  <c r="G63" i="133"/>
  <c r="AB62" i="133"/>
  <c r="V62" i="133"/>
  <c r="U62" i="133"/>
  <c r="O62" i="133"/>
  <c r="M62" i="133"/>
  <c r="AA62" i="133" s="1"/>
  <c r="K62" i="133"/>
  <c r="G62" i="133"/>
  <c r="AB61" i="133"/>
  <c r="AA61" i="133"/>
  <c r="V61" i="133"/>
  <c r="U61" i="133"/>
  <c r="O61" i="133"/>
  <c r="M61" i="133"/>
  <c r="N61" i="133" s="1"/>
  <c r="K61" i="133"/>
  <c r="G61" i="133"/>
  <c r="AB60" i="133"/>
  <c r="AA60" i="133"/>
  <c r="V60" i="133"/>
  <c r="O60" i="133"/>
  <c r="M60" i="133"/>
  <c r="N60" i="133" s="1"/>
  <c r="K60" i="133"/>
  <c r="G60" i="133"/>
  <c r="O59" i="133"/>
  <c r="K59" i="133"/>
  <c r="V58" i="133"/>
  <c r="M58" i="133" s="1"/>
  <c r="U58" i="133"/>
  <c r="O58" i="133"/>
  <c r="K58" i="133"/>
  <c r="G58" i="133"/>
  <c r="X57" i="133"/>
  <c r="W57" i="133"/>
  <c r="V57" i="133"/>
  <c r="M57" i="133" s="1"/>
  <c r="U57" i="133"/>
  <c r="O57" i="133"/>
  <c r="K57" i="133"/>
  <c r="G57" i="133"/>
  <c r="V56" i="133"/>
  <c r="M56" i="133" s="1"/>
  <c r="U56" i="133"/>
  <c r="O56" i="133"/>
  <c r="K56" i="133"/>
  <c r="G56" i="133"/>
  <c r="V55" i="133"/>
  <c r="M55" i="133" s="1"/>
  <c r="U55" i="133"/>
  <c r="O55" i="133"/>
  <c r="K55" i="133"/>
  <c r="G55" i="133"/>
  <c r="V54" i="133"/>
  <c r="U54" i="133"/>
  <c r="O54" i="133"/>
  <c r="N54" i="133"/>
  <c r="Q54" i="133" s="1"/>
  <c r="M54" i="133"/>
  <c r="AB54" i="133" s="1"/>
  <c r="K54" i="133"/>
  <c r="G54" i="133"/>
  <c r="V53" i="133"/>
  <c r="O53" i="133"/>
  <c r="N53" i="133"/>
  <c r="Q53" i="133" s="1"/>
  <c r="M53" i="133"/>
  <c r="M59" i="133" s="1"/>
  <c r="K53" i="133"/>
  <c r="G53" i="133"/>
  <c r="O52" i="133"/>
  <c r="K52" i="133"/>
  <c r="AB51" i="133"/>
  <c r="V51" i="133"/>
  <c r="U51" i="133"/>
  <c r="O51" i="133"/>
  <c r="M51" i="133"/>
  <c r="N51" i="133" s="1"/>
  <c r="K51" i="133"/>
  <c r="G51" i="133"/>
  <c r="V50" i="133"/>
  <c r="M50" i="133" s="1"/>
  <c r="U50" i="133"/>
  <c r="O50" i="133"/>
  <c r="K50" i="133"/>
  <c r="G50" i="133"/>
  <c r="V49" i="133"/>
  <c r="M49" i="133" s="1"/>
  <c r="U49" i="133"/>
  <c r="O49" i="133"/>
  <c r="K49" i="133"/>
  <c r="G49" i="133"/>
  <c r="V48" i="133"/>
  <c r="M48" i="133" s="1"/>
  <c r="U48" i="133"/>
  <c r="O48" i="133"/>
  <c r="K48" i="133"/>
  <c r="G48" i="133"/>
  <c r="V47" i="133"/>
  <c r="M47" i="133" s="1"/>
  <c r="U47" i="133"/>
  <c r="O47" i="133"/>
  <c r="K47" i="133"/>
  <c r="G47" i="133"/>
  <c r="V46" i="133"/>
  <c r="M46" i="133" s="1"/>
  <c r="U46" i="133"/>
  <c r="O46" i="133"/>
  <c r="K46" i="133"/>
  <c r="G46" i="133"/>
  <c r="X45" i="133"/>
  <c r="W45" i="133"/>
  <c r="V45" i="133"/>
  <c r="M45" i="133" s="1"/>
  <c r="O45" i="133"/>
  <c r="K45" i="133"/>
  <c r="G45" i="133"/>
  <c r="O44" i="133"/>
  <c r="K44" i="133"/>
  <c r="V43" i="133"/>
  <c r="U43" i="133"/>
  <c r="O43" i="133"/>
  <c r="M43" i="133"/>
  <c r="AB43" i="133" s="1"/>
  <c r="K43" i="133"/>
  <c r="G43" i="133"/>
  <c r="V42" i="133"/>
  <c r="U42" i="133"/>
  <c r="O42" i="133"/>
  <c r="N42" i="133"/>
  <c r="Q42" i="133" s="1"/>
  <c r="M42" i="133"/>
  <c r="AB42" i="133" s="1"/>
  <c r="K42" i="133"/>
  <c r="G42" i="133"/>
  <c r="V41" i="133"/>
  <c r="U41" i="133"/>
  <c r="O41" i="133"/>
  <c r="M41" i="133"/>
  <c r="AB41" i="133" s="1"/>
  <c r="K41" i="133"/>
  <c r="G41" i="133"/>
  <c r="X40" i="133"/>
  <c r="W40" i="133"/>
  <c r="V40" i="133"/>
  <c r="U40" i="133"/>
  <c r="O40" i="133"/>
  <c r="N40" i="133"/>
  <c r="Q40" i="133" s="1"/>
  <c r="M40" i="133"/>
  <c r="AA40" i="133" s="1"/>
  <c r="K40" i="133"/>
  <c r="G40" i="133"/>
  <c r="V39" i="133"/>
  <c r="U39" i="133"/>
  <c r="O39" i="133"/>
  <c r="M39" i="133"/>
  <c r="AB39" i="133" s="1"/>
  <c r="K39" i="133"/>
  <c r="G39" i="133"/>
  <c r="V38" i="133"/>
  <c r="U38" i="133"/>
  <c r="O38" i="133"/>
  <c r="M38" i="133"/>
  <c r="AA38" i="133" s="1"/>
  <c r="K38" i="133"/>
  <c r="G38" i="133"/>
  <c r="AB37" i="133"/>
  <c r="V37" i="133"/>
  <c r="U37" i="133"/>
  <c r="O37" i="133"/>
  <c r="M37" i="133"/>
  <c r="N37" i="133" s="1"/>
  <c r="K37" i="133"/>
  <c r="G37" i="133"/>
  <c r="AB36" i="133"/>
  <c r="X36" i="133"/>
  <c r="W36" i="133"/>
  <c r="V36" i="133"/>
  <c r="O36" i="133"/>
  <c r="M36" i="133"/>
  <c r="M44" i="133" s="1"/>
  <c r="K36" i="133"/>
  <c r="G36" i="133"/>
  <c r="O35" i="133"/>
  <c r="K35" i="133"/>
  <c r="V34" i="133"/>
  <c r="M34" i="133" s="1"/>
  <c r="U34" i="133"/>
  <c r="O34" i="133"/>
  <c r="K34" i="133"/>
  <c r="G34" i="133"/>
  <c r="V33" i="133"/>
  <c r="M33" i="133" s="1"/>
  <c r="U33" i="133"/>
  <c r="O33" i="133"/>
  <c r="K33" i="133"/>
  <c r="G33" i="133"/>
  <c r="V32" i="133"/>
  <c r="M32" i="133" s="1"/>
  <c r="U32" i="133"/>
  <c r="O32" i="133"/>
  <c r="K32" i="133"/>
  <c r="G32" i="133"/>
  <c r="X31" i="133"/>
  <c r="W31" i="133"/>
  <c r="V31" i="133"/>
  <c r="M31" i="133" s="1"/>
  <c r="U31" i="133"/>
  <c r="O31" i="133"/>
  <c r="K31" i="133"/>
  <c r="G31" i="133"/>
  <c r="V30" i="133"/>
  <c r="M30" i="133" s="1"/>
  <c r="U30" i="133"/>
  <c r="O30" i="133"/>
  <c r="K30" i="133"/>
  <c r="G30" i="133"/>
  <c r="V29" i="133"/>
  <c r="M29" i="133" s="1"/>
  <c r="U29" i="133"/>
  <c r="O29" i="133"/>
  <c r="K29" i="133"/>
  <c r="G29" i="133"/>
  <c r="V28" i="133"/>
  <c r="U28" i="133"/>
  <c r="O28" i="133"/>
  <c r="N28" i="133"/>
  <c r="Q28" i="133" s="1"/>
  <c r="M28" i="133"/>
  <c r="AB28" i="133" s="1"/>
  <c r="K28" i="133"/>
  <c r="G28" i="133"/>
  <c r="X27" i="133"/>
  <c r="W27" i="133"/>
  <c r="V27" i="133"/>
  <c r="M27" i="133" s="1"/>
  <c r="O27" i="133"/>
  <c r="K27" i="133"/>
  <c r="G27" i="133"/>
  <c r="O26" i="133"/>
  <c r="K26" i="133"/>
  <c r="V25" i="133"/>
  <c r="U25" i="133"/>
  <c r="O25" i="133"/>
  <c r="M25" i="133"/>
  <c r="AB25" i="133" s="1"/>
  <c r="K25" i="133"/>
  <c r="G25" i="133"/>
  <c r="V24" i="133"/>
  <c r="U24" i="133"/>
  <c r="O24" i="133"/>
  <c r="M24" i="133"/>
  <c r="AA24" i="133" s="1"/>
  <c r="K24" i="133"/>
  <c r="G24" i="133"/>
  <c r="AB23" i="133"/>
  <c r="V23" i="133"/>
  <c r="U23" i="133"/>
  <c r="O23" i="133"/>
  <c r="M23" i="133"/>
  <c r="N23" i="133" s="1"/>
  <c r="K23" i="133"/>
  <c r="G23" i="133"/>
  <c r="V22" i="133"/>
  <c r="M22" i="133" s="1"/>
  <c r="U22" i="133"/>
  <c r="O22" i="133"/>
  <c r="K22" i="133"/>
  <c r="G22" i="133"/>
  <c r="V21" i="133"/>
  <c r="M21" i="133" s="1"/>
  <c r="U21" i="133"/>
  <c r="O21" i="133"/>
  <c r="K21" i="133"/>
  <c r="G21" i="133"/>
  <c r="V20" i="133"/>
  <c r="M20" i="133" s="1"/>
  <c r="U20" i="133"/>
  <c r="O20" i="133"/>
  <c r="K20" i="133"/>
  <c r="G20" i="133"/>
  <c r="V19" i="133"/>
  <c r="M19" i="133" s="1"/>
  <c r="U19" i="133"/>
  <c r="O19" i="133"/>
  <c r="K19" i="133"/>
  <c r="G19" i="133"/>
  <c r="V18" i="133"/>
  <c r="M18" i="133" s="1"/>
  <c r="O18" i="133"/>
  <c r="K18" i="133"/>
  <c r="G18" i="133"/>
  <c r="O17" i="133"/>
  <c r="K17" i="133"/>
  <c r="V16" i="133"/>
  <c r="U16" i="133"/>
  <c r="O16" i="133"/>
  <c r="N16" i="133"/>
  <c r="Q16" i="133" s="1"/>
  <c r="M16" i="133"/>
  <c r="AB16" i="133" s="1"/>
  <c r="K16" i="133"/>
  <c r="G16" i="133"/>
  <c r="V15" i="133"/>
  <c r="U15" i="133"/>
  <c r="O15" i="133"/>
  <c r="M15" i="133"/>
  <c r="AB15" i="133" s="1"/>
  <c r="K15" i="133"/>
  <c r="G15" i="133"/>
  <c r="V14" i="133"/>
  <c r="U14" i="133"/>
  <c r="O14" i="133"/>
  <c r="M14" i="133"/>
  <c r="AA14" i="133" s="1"/>
  <c r="K14" i="133"/>
  <c r="G14" i="133"/>
  <c r="AB13" i="133"/>
  <c r="V13" i="133"/>
  <c r="U13" i="133"/>
  <c r="O13" i="133"/>
  <c r="M13" i="133"/>
  <c r="N13" i="133" s="1"/>
  <c r="K13" i="133"/>
  <c r="G13" i="133"/>
  <c r="AB12" i="133"/>
  <c r="X12" i="133"/>
  <c r="W12" i="133"/>
  <c r="V12" i="133"/>
  <c r="O12" i="133"/>
  <c r="M12" i="133"/>
  <c r="N12" i="133" s="1"/>
  <c r="K12" i="133"/>
  <c r="G12" i="133"/>
  <c r="F1" i="133" s="1"/>
  <c r="O11" i="133"/>
  <c r="K11" i="133"/>
  <c r="V10" i="133"/>
  <c r="M10" i="133" s="1"/>
  <c r="U10" i="133"/>
  <c r="O10" i="133"/>
  <c r="K10" i="133"/>
  <c r="G10" i="133"/>
  <c r="V9" i="133"/>
  <c r="M9" i="133" s="1"/>
  <c r="O9" i="133"/>
  <c r="K9" i="133"/>
  <c r="G9" i="133"/>
  <c r="O8" i="133"/>
  <c r="K8" i="133"/>
  <c r="V7" i="133"/>
  <c r="U7" i="133"/>
  <c r="O7" i="133"/>
  <c r="M7" i="133"/>
  <c r="AB7" i="133" s="1"/>
  <c r="K7" i="133"/>
  <c r="G7" i="133"/>
  <c r="V6" i="133"/>
  <c r="U6" i="133"/>
  <c r="O6" i="133"/>
  <c r="N6" i="133"/>
  <c r="Q6" i="133" s="1"/>
  <c r="M6" i="133"/>
  <c r="AB6" i="133" s="1"/>
  <c r="K6" i="133"/>
  <c r="G6" i="133"/>
  <c r="V5" i="133"/>
  <c r="O5" i="133"/>
  <c r="N5" i="133"/>
  <c r="Q5" i="133" s="1"/>
  <c r="M5" i="133"/>
  <c r="M8" i="133" s="1"/>
  <c r="K5" i="133"/>
  <c r="G5" i="133"/>
  <c r="H2" i="133"/>
  <c r="H1" i="133"/>
  <c r="D1" i="133"/>
  <c r="M18" i="132"/>
  <c r="L18" i="132"/>
  <c r="K18" i="132"/>
  <c r="J18" i="132"/>
  <c r="I18" i="132"/>
  <c r="H18" i="132"/>
  <c r="G18" i="132"/>
  <c r="F18" i="132"/>
  <c r="E18" i="132"/>
  <c r="D18" i="132"/>
  <c r="M17" i="132"/>
  <c r="L17" i="132"/>
  <c r="K17" i="132"/>
  <c r="J17" i="132"/>
  <c r="I17" i="132"/>
  <c r="H17" i="132"/>
  <c r="G17" i="132"/>
  <c r="F17" i="132"/>
  <c r="E17" i="132"/>
  <c r="D17" i="132"/>
  <c r="M16" i="132"/>
  <c r="L16" i="132"/>
  <c r="K16" i="132"/>
  <c r="J16" i="132"/>
  <c r="I16" i="132"/>
  <c r="H16" i="132"/>
  <c r="G16" i="132"/>
  <c r="F16" i="132"/>
  <c r="E16" i="132"/>
  <c r="D16" i="132"/>
  <c r="M13" i="132"/>
  <c r="L13" i="132"/>
  <c r="K13" i="132"/>
  <c r="I6" i="132" s="1"/>
  <c r="J13" i="132"/>
  <c r="I13" i="132"/>
  <c r="H13" i="132"/>
  <c r="G13" i="132"/>
  <c r="F13" i="132"/>
  <c r="E13" i="132"/>
  <c r="D13" i="132"/>
  <c r="G6" i="132" s="1"/>
  <c r="F3" i="132"/>
  <c r="C3" i="132"/>
  <c r="D15" i="138" l="1"/>
  <c r="G7" i="138"/>
  <c r="F7" i="138"/>
  <c r="E7" i="138"/>
  <c r="K15" i="138"/>
  <c r="I8" i="138" s="1"/>
  <c r="I7" i="138"/>
  <c r="D14" i="136"/>
  <c r="Q8" i="137"/>
  <c r="R5" i="137" s="1"/>
  <c r="P8" i="137"/>
  <c r="D2" i="137"/>
  <c r="Q67" i="137"/>
  <c r="R60" i="137" s="1"/>
  <c r="P67" i="137"/>
  <c r="M14" i="136"/>
  <c r="M15" i="136" s="1"/>
  <c r="Q59" i="137"/>
  <c r="R55" i="137" s="1"/>
  <c r="P59" i="137"/>
  <c r="J14" i="136"/>
  <c r="J15" i="136" s="1"/>
  <c r="Q47" i="137"/>
  <c r="R40" i="137" s="1"/>
  <c r="P47" i="137"/>
  <c r="H14" i="136"/>
  <c r="H15" i="136" s="1"/>
  <c r="F14" i="136"/>
  <c r="F15" i="136" s="1"/>
  <c r="Q17" i="137"/>
  <c r="R12" i="137" s="1"/>
  <c r="P17" i="137"/>
  <c r="E14" i="136"/>
  <c r="E15" i="136" s="1"/>
  <c r="Q11" i="137"/>
  <c r="R9" i="137" s="1"/>
  <c r="P11" i="137"/>
  <c r="Q39" i="137"/>
  <c r="R33" i="137" s="1"/>
  <c r="P39" i="137"/>
  <c r="L14" i="136"/>
  <c r="L15" i="136" s="1"/>
  <c r="Q32" i="137"/>
  <c r="R27" i="137" s="1"/>
  <c r="P32" i="137"/>
  <c r="K14" i="136"/>
  <c r="Q54" i="137"/>
  <c r="R48" i="137" s="1"/>
  <c r="P54" i="137"/>
  <c r="I14" i="136"/>
  <c r="I15" i="136" s="1"/>
  <c r="Q18" i="135"/>
  <c r="P18" i="135"/>
  <c r="P30" i="135"/>
  <c r="Q30" i="135"/>
  <c r="AB32" i="135"/>
  <c r="AC27" i="135" s="1"/>
  <c r="AA32" i="135"/>
  <c r="N32" i="135"/>
  <c r="Q41" i="135"/>
  <c r="P41" i="135"/>
  <c r="Q40" i="135"/>
  <c r="P40" i="135"/>
  <c r="Q62" i="135"/>
  <c r="P62" i="135"/>
  <c r="AB46" i="135"/>
  <c r="AC39" i="135" s="1"/>
  <c r="AA46" i="135"/>
  <c r="N46" i="135"/>
  <c r="P27" i="135"/>
  <c r="Q27" i="135"/>
  <c r="Q10" i="135"/>
  <c r="P10" i="135"/>
  <c r="P61" i="135"/>
  <c r="Q61" i="135"/>
  <c r="Q20" i="135"/>
  <c r="P20" i="135"/>
  <c r="Q65" i="135"/>
  <c r="P65" i="135"/>
  <c r="Q51" i="135"/>
  <c r="P51" i="135"/>
  <c r="Q36" i="135"/>
  <c r="P36" i="135"/>
  <c r="Q63" i="135"/>
  <c r="P63" i="135"/>
  <c r="AB58" i="135"/>
  <c r="AC54" i="135" s="1"/>
  <c r="AA58" i="135"/>
  <c r="N58" i="135"/>
  <c r="P39" i="135"/>
  <c r="Q39" i="135"/>
  <c r="P49" i="135"/>
  <c r="Q49" i="135"/>
  <c r="Q43" i="135"/>
  <c r="P43" i="135"/>
  <c r="Q29" i="135"/>
  <c r="P29" i="135"/>
  <c r="N53" i="135"/>
  <c r="AB53" i="135"/>
  <c r="AC47" i="135" s="1"/>
  <c r="AA53" i="135"/>
  <c r="N17" i="135"/>
  <c r="AB17" i="135"/>
  <c r="AC12" i="135" s="1"/>
  <c r="AA17" i="135"/>
  <c r="Q33" i="135"/>
  <c r="P33" i="135"/>
  <c r="AB66" i="135"/>
  <c r="AC59" i="135" s="1"/>
  <c r="AA66" i="135"/>
  <c r="N66" i="135"/>
  <c r="Q56" i="135"/>
  <c r="P56" i="135"/>
  <c r="Q31" i="135"/>
  <c r="P31" i="135"/>
  <c r="Q34" i="135"/>
  <c r="P34" i="135"/>
  <c r="P38" i="135"/>
  <c r="L14" i="134"/>
  <c r="L15" i="134" s="1"/>
  <c r="Q38" i="135"/>
  <c r="R33" i="135" s="1"/>
  <c r="Q19" i="135"/>
  <c r="P19" i="135"/>
  <c r="P64" i="135"/>
  <c r="Q64" i="135"/>
  <c r="Q44" i="135"/>
  <c r="P44" i="135"/>
  <c r="Q24" i="135"/>
  <c r="P24" i="135"/>
  <c r="P42" i="135"/>
  <c r="Q42" i="135"/>
  <c r="Q22" i="135"/>
  <c r="P22" i="135"/>
  <c r="Q14" i="135"/>
  <c r="P14" i="135"/>
  <c r="Q59" i="135"/>
  <c r="P59" i="135"/>
  <c r="P7" i="135"/>
  <c r="Q7" i="135"/>
  <c r="AB11" i="135"/>
  <c r="AC9" i="135" s="1"/>
  <c r="AA11" i="135"/>
  <c r="N11" i="135"/>
  <c r="D14" i="134"/>
  <c r="Q8" i="135"/>
  <c r="R5" i="135" s="1"/>
  <c r="P8" i="135"/>
  <c r="AB26" i="135"/>
  <c r="AC18" i="135" s="1"/>
  <c r="AA26" i="135"/>
  <c r="N26" i="135"/>
  <c r="Q28" i="135"/>
  <c r="P28" i="135"/>
  <c r="Q9" i="135"/>
  <c r="P9" i="135"/>
  <c r="Q13" i="133"/>
  <c r="P13" i="133"/>
  <c r="N10" i="133"/>
  <c r="AB10" i="133"/>
  <c r="AA10" i="133"/>
  <c r="N59" i="133"/>
  <c r="AA59" i="133"/>
  <c r="AB59" i="133"/>
  <c r="AC53" i="133" s="1"/>
  <c r="Q60" i="133"/>
  <c r="P60" i="133"/>
  <c r="N20" i="133"/>
  <c r="AB20" i="133"/>
  <c r="AA20" i="133"/>
  <c r="N48" i="133"/>
  <c r="AB48" i="133"/>
  <c r="AA48" i="133"/>
  <c r="N70" i="133"/>
  <c r="AB70" i="133"/>
  <c r="AA70" i="133"/>
  <c r="N72" i="133"/>
  <c r="AB72" i="133"/>
  <c r="AA72" i="133"/>
  <c r="AB44" i="133"/>
  <c r="AC36" i="133" s="1"/>
  <c r="AA44" i="133"/>
  <c r="N44" i="133"/>
  <c r="AA22" i="133"/>
  <c r="N22" i="133"/>
  <c r="AB22" i="133"/>
  <c r="AA50" i="133"/>
  <c r="N50" i="133"/>
  <c r="AB50" i="133"/>
  <c r="N27" i="133"/>
  <c r="AB27" i="133"/>
  <c r="AA27" i="133"/>
  <c r="M35" i="133"/>
  <c r="N33" i="133"/>
  <c r="AB33" i="133"/>
  <c r="AA33" i="133"/>
  <c r="N57" i="133"/>
  <c r="AB57" i="133"/>
  <c r="AA57" i="133"/>
  <c r="Q12" i="133"/>
  <c r="P12" i="133"/>
  <c r="Q23" i="133"/>
  <c r="P23" i="133"/>
  <c r="AB29" i="133"/>
  <c r="AA29" i="133"/>
  <c r="N29" i="133"/>
  <c r="Q51" i="133"/>
  <c r="P51" i="133"/>
  <c r="AB55" i="133"/>
  <c r="AA55" i="133"/>
  <c r="N55" i="133"/>
  <c r="F2" i="133"/>
  <c r="I3" i="132"/>
  <c r="N31" i="133"/>
  <c r="AB31" i="133"/>
  <c r="AA31" i="133"/>
  <c r="N18" i="133"/>
  <c r="M26" i="133"/>
  <c r="AB18" i="133"/>
  <c r="AA18" i="133"/>
  <c r="N46" i="133"/>
  <c r="AB46" i="133"/>
  <c r="AA46" i="133"/>
  <c r="N68" i="133"/>
  <c r="AB68" i="133"/>
  <c r="AA68" i="133"/>
  <c r="AB67" i="133"/>
  <c r="AA67" i="133"/>
  <c r="N67" i="133"/>
  <c r="N9" i="133"/>
  <c r="M11" i="133"/>
  <c r="AB9" i="133"/>
  <c r="AA9" i="133"/>
  <c r="N34" i="133"/>
  <c r="AB34" i="133"/>
  <c r="AA34" i="133"/>
  <c r="AB8" i="133"/>
  <c r="AC5" i="133" s="1"/>
  <c r="AA8" i="133"/>
  <c r="N8" i="133"/>
  <c r="N21" i="133"/>
  <c r="AB21" i="133"/>
  <c r="AA21" i="133"/>
  <c r="Q37" i="133"/>
  <c r="P37" i="133"/>
  <c r="N49" i="133"/>
  <c r="AB49" i="133"/>
  <c r="AA49" i="133"/>
  <c r="N71" i="133"/>
  <c r="AB71" i="133"/>
  <c r="AA71" i="133"/>
  <c r="N73" i="133"/>
  <c r="AB73" i="133"/>
  <c r="AA73" i="133"/>
  <c r="N58" i="133"/>
  <c r="AB58" i="133"/>
  <c r="AA58" i="133"/>
  <c r="N30" i="133"/>
  <c r="AB30" i="133"/>
  <c r="AA30" i="133"/>
  <c r="N32" i="133"/>
  <c r="AB32" i="133"/>
  <c r="AA32" i="133"/>
  <c r="N56" i="133"/>
  <c r="AB56" i="133"/>
  <c r="AA56" i="133"/>
  <c r="Q61" i="133"/>
  <c r="P61" i="133"/>
  <c r="N19" i="133"/>
  <c r="AB19" i="133"/>
  <c r="AA19" i="133"/>
  <c r="N45" i="133"/>
  <c r="AB45" i="133"/>
  <c r="AA45" i="133"/>
  <c r="M52" i="133"/>
  <c r="N47" i="133"/>
  <c r="AB47" i="133"/>
  <c r="AA47" i="133"/>
  <c r="N65" i="133"/>
  <c r="AB65" i="133"/>
  <c r="AA65" i="133"/>
  <c r="M74" i="133"/>
  <c r="N69" i="133"/>
  <c r="AB69" i="133"/>
  <c r="AA69" i="133"/>
  <c r="AA12" i="133"/>
  <c r="AA13" i="133"/>
  <c r="AB14" i="133"/>
  <c r="M17" i="133"/>
  <c r="AA23" i="133"/>
  <c r="AB24" i="133"/>
  <c r="AA36" i="133"/>
  <c r="AA37" i="133"/>
  <c r="AB38" i="133"/>
  <c r="AB40" i="133"/>
  <c r="AA51" i="133"/>
  <c r="N7" i="133"/>
  <c r="N43" i="133"/>
  <c r="N64" i="133"/>
  <c r="P28" i="133"/>
  <c r="P53" i="133"/>
  <c r="P54" i="133"/>
  <c r="P66" i="133"/>
  <c r="N15" i="133"/>
  <c r="N25" i="133"/>
  <c r="N36" i="133"/>
  <c r="N39" i="133"/>
  <c r="N41" i="133"/>
  <c r="N63" i="133"/>
  <c r="P5" i="133"/>
  <c r="P6" i="133"/>
  <c r="N14" i="133"/>
  <c r="P16" i="133"/>
  <c r="N24" i="133"/>
  <c r="N38" i="133"/>
  <c r="P40" i="133"/>
  <c r="P42" i="133"/>
  <c r="N62" i="133"/>
  <c r="AA64" i="133"/>
  <c r="AA28" i="133"/>
  <c r="AA53" i="133"/>
  <c r="AA54" i="133"/>
  <c r="AA66" i="133"/>
  <c r="E6" i="132"/>
  <c r="F6" i="132"/>
  <c r="AA7" i="133"/>
  <c r="AA43" i="133"/>
  <c r="AB53" i="133"/>
  <c r="AA5" i="133"/>
  <c r="AA6" i="133"/>
  <c r="AA16" i="133"/>
  <c r="AA42" i="133"/>
  <c r="AB5" i="133"/>
  <c r="AA15" i="133"/>
  <c r="AA25" i="133"/>
  <c r="AA39" i="133"/>
  <c r="AA41" i="133"/>
  <c r="AA63" i="133"/>
  <c r="O77" i="131"/>
  <c r="K77" i="131"/>
  <c r="V76" i="131"/>
  <c r="M76" i="131" s="1"/>
  <c r="U76" i="131"/>
  <c r="O76" i="131"/>
  <c r="K76" i="131"/>
  <c r="G76" i="131"/>
  <c r="V75" i="131"/>
  <c r="M75" i="131" s="1"/>
  <c r="U75" i="131"/>
  <c r="O75" i="131"/>
  <c r="K75" i="131"/>
  <c r="G75" i="131"/>
  <c r="X74" i="131"/>
  <c r="W74" i="131"/>
  <c r="V74" i="131"/>
  <c r="M74" i="131" s="1"/>
  <c r="U74" i="131"/>
  <c r="O74" i="131"/>
  <c r="K74" i="131"/>
  <c r="G74" i="131"/>
  <c r="V73" i="131"/>
  <c r="M73" i="131" s="1"/>
  <c r="U73" i="131"/>
  <c r="O73" i="131"/>
  <c r="K73" i="131"/>
  <c r="G73" i="131"/>
  <c r="V72" i="131"/>
  <c r="M72" i="131" s="1"/>
  <c r="U72" i="131"/>
  <c r="O72" i="131"/>
  <c r="K72" i="131"/>
  <c r="G72" i="131"/>
  <c r="V71" i="131"/>
  <c r="M71" i="131" s="1"/>
  <c r="U71" i="131"/>
  <c r="O71" i="131"/>
  <c r="K71" i="131"/>
  <c r="G71" i="131"/>
  <c r="V70" i="131"/>
  <c r="M70" i="131" s="1"/>
  <c r="U70" i="131"/>
  <c r="O70" i="131"/>
  <c r="K70" i="131"/>
  <c r="G70" i="131"/>
  <c r="X69" i="131"/>
  <c r="W69" i="131"/>
  <c r="V69" i="131"/>
  <c r="M69" i="131" s="1"/>
  <c r="O69" i="131"/>
  <c r="K69" i="131"/>
  <c r="G69" i="131"/>
  <c r="AA68" i="131"/>
  <c r="O68" i="131"/>
  <c r="N68" i="131"/>
  <c r="Q68" i="131" s="1"/>
  <c r="R64" i="131" s="1"/>
  <c r="M68" i="131"/>
  <c r="AB68" i="131" s="1"/>
  <c r="AC64" i="131" s="1"/>
  <c r="K68" i="131"/>
  <c r="V67" i="131"/>
  <c r="U67" i="131"/>
  <c r="O67" i="131"/>
  <c r="N67" i="131"/>
  <c r="Q67" i="131" s="1"/>
  <c r="M67" i="131"/>
  <c r="AB67" i="131" s="1"/>
  <c r="K67" i="131"/>
  <c r="P67" i="131" s="1"/>
  <c r="G67" i="131"/>
  <c r="V66" i="131"/>
  <c r="U66" i="131"/>
  <c r="O66" i="131"/>
  <c r="M66" i="131"/>
  <c r="AB66" i="131" s="1"/>
  <c r="K66" i="131"/>
  <c r="G66" i="131"/>
  <c r="AB65" i="131"/>
  <c r="V65" i="131"/>
  <c r="U65" i="131"/>
  <c r="O65" i="131"/>
  <c r="N65" i="131"/>
  <c r="Q65" i="131" s="1"/>
  <c r="M65" i="131"/>
  <c r="AA65" i="131" s="1"/>
  <c r="K65" i="131"/>
  <c r="G65" i="131"/>
  <c r="AB64" i="131"/>
  <c r="V64" i="131"/>
  <c r="O64" i="131"/>
  <c r="N64" i="131"/>
  <c r="Q64" i="131" s="1"/>
  <c r="M64" i="131"/>
  <c r="AA64" i="131" s="1"/>
  <c r="K64" i="131"/>
  <c r="G64" i="131"/>
  <c r="O63" i="131"/>
  <c r="K63" i="131"/>
  <c r="V62" i="131"/>
  <c r="M62" i="131" s="1"/>
  <c r="U62" i="131"/>
  <c r="O62" i="131"/>
  <c r="K62" i="131"/>
  <c r="G62" i="131"/>
  <c r="X61" i="131"/>
  <c r="W61" i="131"/>
  <c r="V61" i="131"/>
  <c r="M61" i="131" s="1"/>
  <c r="U61" i="131"/>
  <c r="O61" i="131"/>
  <c r="K61" i="131"/>
  <c r="G61" i="131"/>
  <c r="V60" i="131"/>
  <c r="M60" i="131" s="1"/>
  <c r="U60" i="131"/>
  <c r="O60" i="131"/>
  <c r="K60" i="131"/>
  <c r="G60" i="131"/>
  <c r="V59" i="131"/>
  <c r="M59" i="131" s="1"/>
  <c r="U59" i="131"/>
  <c r="O59" i="131"/>
  <c r="K59" i="131"/>
  <c r="G59" i="131"/>
  <c r="V58" i="131"/>
  <c r="M58" i="131" s="1"/>
  <c r="U58" i="131"/>
  <c r="O58" i="131"/>
  <c r="K58" i="131"/>
  <c r="G58" i="131"/>
  <c r="V57" i="131"/>
  <c r="M57" i="131" s="1"/>
  <c r="O57" i="131"/>
  <c r="K57" i="131"/>
  <c r="G57" i="131"/>
  <c r="O56" i="131"/>
  <c r="K56" i="131"/>
  <c r="V55" i="131"/>
  <c r="U55" i="131"/>
  <c r="O55" i="131"/>
  <c r="N55" i="131"/>
  <c r="Q55" i="131" s="1"/>
  <c r="M55" i="131"/>
  <c r="AA55" i="131" s="1"/>
  <c r="K55" i="131"/>
  <c r="G55" i="131"/>
  <c r="AB54" i="131"/>
  <c r="V54" i="131"/>
  <c r="U54" i="131"/>
  <c r="O54" i="131"/>
  <c r="M54" i="131"/>
  <c r="N54" i="131" s="1"/>
  <c r="K54" i="131"/>
  <c r="G54" i="131"/>
  <c r="AB53" i="131"/>
  <c r="AA53" i="131"/>
  <c r="X53" i="131"/>
  <c r="W53" i="131"/>
  <c r="V53" i="131"/>
  <c r="U53" i="131"/>
  <c r="O53" i="131"/>
  <c r="N53" i="131"/>
  <c r="Q53" i="131" s="1"/>
  <c r="M53" i="131"/>
  <c r="K53" i="131"/>
  <c r="G53" i="131"/>
  <c r="AB52" i="131"/>
  <c r="V52" i="131"/>
  <c r="U52" i="131"/>
  <c r="O52" i="131"/>
  <c r="M52" i="131"/>
  <c r="N52" i="131" s="1"/>
  <c r="K52" i="131"/>
  <c r="G52" i="131"/>
  <c r="V51" i="131"/>
  <c r="M51" i="131" s="1"/>
  <c r="U51" i="131"/>
  <c r="O51" i="131"/>
  <c r="K51" i="131"/>
  <c r="G51" i="131"/>
  <c r="V50" i="131"/>
  <c r="M50" i="131" s="1"/>
  <c r="U50" i="131"/>
  <c r="O50" i="131"/>
  <c r="K50" i="131"/>
  <c r="G50" i="131"/>
  <c r="V49" i="131"/>
  <c r="M49" i="131" s="1"/>
  <c r="U49" i="131"/>
  <c r="O49" i="131"/>
  <c r="K49" i="131"/>
  <c r="G49" i="131"/>
  <c r="V48" i="131"/>
  <c r="M48" i="131" s="1"/>
  <c r="U48" i="131"/>
  <c r="O48" i="131"/>
  <c r="K48" i="131"/>
  <c r="G48" i="131"/>
  <c r="X47" i="131"/>
  <c r="W47" i="131"/>
  <c r="V47" i="131"/>
  <c r="M47" i="131" s="1"/>
  <c r="O47" i="131"/>
  <c r="K47" i="131"/>
  <c r="G47" i="131"/>
  <c r="O46" i="131"/>
  <c r="K46" i="131"/>
  <c r="V45" i="131"/>
  <c r="U45" i="131"/>
  <c r="O45" i="131"/>
  <c r="N45" i="131"/>
  <c r="Q45" i="131" s="1"/>
  <c r="M45" i="131"/>
  <c r="AB45" i="131" s="1"/>
  <c r="K45" i="131"/>
  <c r="G45" i="131"/>
  <c r="V44" i="131"/>
  <c r="U44" i="131"/>
  <c r="O44" i="131"/>
  <c r="M44" i="131"/>
  <c r="AB44" i="131" s="1"/>
  <c r="K44" i="131"/>
  <c r="G44" i="131"/>
  <c r="V43" i="131"/>
  <c r="U43" i="131"/>
  <c r="O43" i="131"/>
  <c r="M43" i="131"/>
  <c r="AB43" i="131" s="1"/>
  <c r="K43" i="131"/>
  <c r="G43" i="131"/>
  <c r="X42" i="131"/>
  <c r="W42" i="131"/>
  <c r="V42" i="131"/>
  <c r="U42" i="131"/>
  <c r="O42" i="131"/>
  <c r="M42" i="131"/>
  <c r="AB42" i="131" s="1"/>
  <c r="K42" i="131"/>
  <c r="G42" i="131"/>
  <c r="V41" i="131"/>
  <c r="U41" i="131"/>
  <c r="O41" i="131"/>
  <c r="M41" i="131"/>
  <c r="AB41" i="131" s="1"/>
  <c r="K41" i="131"/>
  <c r="G41" i="131"/>
  <c r="V40" i="131"/>
  <c r="U40" i="131"/>
  <c r="O40" i="131"/>
  <c r="M40" i="131"/>
  <c r="AB40" i="131" s="1"/>
  <c r="K40" i="131"/>
  <c r="G40" i="131"/>
  <c r="V39" i="131"/>
  <c r="U39" i="131"/>
  <c r="O39" i="131"/>
  <c r="N39" i="131"/>
  <c r="Q39" i="131" s="1"/>
  <c r="M39" i="131"/>
  <c r="AA39" i="131" s="1"/>
  <c r="K39" i="131"/>
  <c r="G39" i="131"/>
  <c r="X38" i="131"/>
  <c r="W38" i="131"/>
  <c r="V38" i="131"/>
  <c r="O38" i="131"/>
  <c r="N38" i="131"/>
  <c r="Q38" i="131" s="1"/>
  <c r="M38" i="131"/>
  <c r="AA38" i="131" s="1"/>
  <c r="K38" i="131"/>
  <c r="G38" i="131"/>
  <c r="O37" i="131"/>
  <c r="K37" i="131"/>
  <c r="V36" i="131"/>
  <c r="M36" i="131" s="1"/>
  <c r="U36" i="131"/>
  <c r="O36" i="131"/>
  <c r="K36" i="131"/>
  <c r="G36" i="131"/>
  <c r="V35" i="131"/>
  <c r="M35" i="131" s="1"/>
  <c r="U35" i="131"/>
  <c r="O35" i="131"/>
  <c r="K35" i="131"/>
  <c r="G35" i="131"/>
  <c r="V34" i="131"/>
  <c r="M34" i="131" s="1"/>
  <c r="U34" i="131"/>
  <c r="O34" i="131"/>
  <c r="K34" i="131"/>
  <c r="G34" i="131"/>
  <c r="X33" i="131"/>
  <c r="W33" i="131"/>
  <c r="V33" i="131"/>
  <c r="M33" i="131" s="1"/>
  <c r="U33" i="131"/>
  <c r="O33" i="131"/>
  <c r="K33" i="131"/>
  <c r="G33" i="131"/>
  <c r="V32" i="131"/>
  <c r="M32" i="131" s="1"/>
  <c r="U32" i="131"/>
  <c r="O32" i="131"/>
  <c r="K32" i="131"/>
  <c r="G32" i="131"/>
  <c r="V31" i="131"/>
  <c r="M31" i="131" s="1"/>
  <c r="U31" i="131"/>
  <c r="O31" i="131"/>
  <c r="K31" i="131"/>
  <c r="G31" i="131"/>
  <c r="V30" i="131"/>
  <c r="M30" i="131" s="1"/>
  <c r="U30" i="131"/>
  <c r="O30" i="131"/>
  <c r="K30" i="131"/>
  <c r="G30" i="131"/>
  <c r="X29" i="131"/>
  <c r="W29" i="131"/>
  <c r="V29" i="131"/>
  <c r="M29" i="131" s="1"/>
  <c r="O29" i="131"/>
  <c r="K29" i="131"/>
  <c r="G29" i="131"/>
  <c r="O28" i="131"/>
  <c r="K28" i="131"/>
  <c r="V27" i="131"/>
  <c r="U27" i="131"/>
  <c r="O27" i="131"/>
  <c r="N27" i="131"/>
  <c r="Q27" i="131" s="1"/>
  <c r="M27" i="131"/>
  <c r="AB27" i="131" s="1"/>
  <c r="K27" i="131"/>
  <c r="G27" i="131"/>
  <c r="V26" i="131"/>
  <c r="U26" i="131"/>
  <c r="O26" i="131"/>
  <c r="M26" i="131"/>
  <c r="AB26" i="131" s="1"/>
  <c r="K26" i="131"/>
  <c r="G26" i="131"/>
  <c r="V25" i="131"/>
  <c r="U25" i="131"/>
  <c r="O25" i="131"/>
  <c r="N25" i="131"/>
  <c r="Q25" i="131" s="1"/>
  <c r="M25" i="131"/>
  <c r="AA25" i="131" s="1"/>
  <c r="K25" i="131"/>
  <c r="G25" i="131"/>
  <c r="AB24" i="131"/>
  <c r="V24" i="131"/>
  <c r="U24" i="131"/>
  <c r="O24" i="131"/>
  <c r="M24" i="131"/>
  <c r="N24" i="131" s="1"/>
  <c r="K24" i="131"/>
  <c r="G24" i="131"/>
  <c r="V23" i="131"/>
  <c r="M23" i="131" s="1"/>
  <c r="U23" i="131"/>
  <c r="O23" i="131"/>
  <c r="K23" i="131"/>
  <c r="G23" i="131"/>
  <c r="V22" i="131"/>
  <c r="M22" i="131" s="1"/>
  <c r="U22" i="131"/>
  <c r="O22" i="131"/>
  <c r="K22" i="131"/>
  <c r="G22" i="131"/>
  <c r="V21" i="131"/>
  <c r="M21" i="131" s="1"/>
  <c r="U21" i="131"/>
  <c r="O21" i="131"/>
  <c r="K21" i="131"/>
  <c r="G21" i="131"/>
  <c r="V20" i="131"/>
  <c r="M20" i="131" s="1"/>
  <c r="O20" i="131"/>
  <c r="K20" i="131"/>
  <c r="G20" i="131"/>
  <c r="O19" i="131"/>
  <c r="K19" i="131"/>
  <c r="V18" i="131"/>
  <c r="U18" i="131"/>
  <c r="O18" i="131"/>
  <c r="M18" i="131"/>
  <c r="AB18" i="131" s="1"/>
  <c r="K18" i="131"/>
  <c r="G18" i="131"/>
  <c r="V17" i="131"/>
  <c r="U17" i="131"/>
  <c r="O17" i="131"/>
  <c r="M17" i="131"/>
  <c r="AB17" i="131" s="1"/>
  <c r="K17" i="131"/>
  <c r="G17" i="131"/>
  <c r="V16" i="131"/>
  <c r="U16" i="131"/>
  <c r="O16" i="131"/>
  <c r="M16" i="131"/>
  <c r="AB16" i="131" s="1"/>
  <c r="K16" i="131"/>
  <c r="G16" i="131"/>
  <c r="AB15" i="131"/>
  <c r="AA15" i="131"/>
  <c r="V15" i="131"/>
  <c r="U15" i="131"/>
  <c r="O15" i="131"/>
  <c r="N15" i="131"/>
  <c r="P15" i="131" s="1"/>
  <c r="M15" i="131"/>
  <c r="K15" i="131"/>
  <c r="Q15" i="131" s="1"/>
  <c r="G15" i="131"/>
  <c r="AB14" i="131"/>
  <c r="AA14" i="131"/>
  <c r="V14" i="131"/>
  <c r="U14" i="131"/>
  <c r="O14" i="131"/>
  <c r="M14" i="131"/>
  <c r="N14" i="131" s="1"/>
  <c r="K14" i="131"/>
  <c r="G14" i="131"/>
  <c r="AB13" i="131"/>
  <c r="X13" i="131"/>
  <c r="W13" i="131"/>
  <c r="V13" i="131"/>
  <c r="O13" i="131"/>
  <c r="M13" i="131"/>
  <c r="M19" i="131" s="1"/>
  <c r="K13" i="131"/>
  <c r="G13" i="131"/>
  <c r="F1" i="131" s="1"/>
  <c r="O12" i="131"/>
  <c r="K12" i="131"/>
  <c r="V11" i="131"/>
  <c r="U11" i="131"/>
  <c r="O11" i="131"/>
  <c r="M11" i="131"/>
  <c r="N11" i="131" s="1"/>
  <c r="K11" i="131"/>
  <c r="G11" i="131"/>
  <c r="V10" i="131"/>
  <c r="O10" i="131"/>
  <c r="M10" i="131"/>
  <c r="N10" i="131" s="1"/>
  <c r="K10" i="131"/>
  <c r="G10" i="131"/>
  <c r="O9" i="131"/>
  <c r="K9" i="131"/>
  <c r="V8" i="131"/>
  <c r="U8" i="131"/>
  <c r="O8" i="131"/>
  <c r="M8" i="131"/>
  <c r="AB8" i="131" s="1"/>
  <c r="K8" i="131"/>
  <c r="G8" i="131"/>
  <c r="X7" i="131"/>
  <c r="W7" i="131"/>
  <c r="V7" i="131"/>
  <c r="U7" i="131"/>
  <c r="O7" i="131"/>
  <c r="N7" i="131"/>
  <c r="Q7" i="131" s="1"/>
  <c r="M7" i="131"/>
  <c r="AB7" i="131" s="1"/>
  <c r="K7" i="131"/>
  <c r="G7" i="131"/>
  <c r="V6" i="131"/>
  <c r="U6" i="131"/>
  <c r="O6" i="131"/>
  <c r="M6" i="131"/>
  <c r="AB6" i="131" s="1"/>
  <c r="K6" i="131"/>
  <c r="G6" i="131"/>
  <c r="V5" i="131"/>
  <c r="O5" i="131"/>
  <c r="M5" i="131"/>
  <c r="M9" i="131" s="1"/>
  <c r="K5" i="131"/>
  <c r="G5" i="131"/>
  <c r="H2" i="131"/>
  <c r="H1" i="131"/>
  <c r="D1" i="131"/>
  <c r="M18" i="130"/>
  <c r="L18" i="130"/>
  <c r="K18" i="130"/>
  <c r="J18" i="130"/>
  <c r="I18" i="130"/>
  <c r="H18" i="130"/>
  <c r="G18" i="130"/>
  <c r="F18" i="130"/>
  <c r="E18" i="130"/>
  <c r="D18" i="130"/>
  <c r="M17" i="130"/>
  <c r="L17" i="130"/>
  <c r="K17" i="130"/>
  <c r="J17" i="130"/>
  <c r="I17" i="130"/>
  <c r="H17" i="130"/>
  <c r="G17" i="130"/>
  <c r="F17" i="130"/>
  <c r="E17" i="130"/>
  <c r="D17" i="130"/>
  <c r="M16" i="130"/>
  <c r="L16" i="130"/>
  <c r="K16" i="130"/>
  <c r="J16" i="130"/>
  <c r="I16" i="130"/>
  <c r="H16" i="130"/>
  <c r="G16" i="130"/>
  <c r="F16" i="130"/>
  <c r="E16" i="130"/>
  <c r="D16" i="130"/>
  <c r="J14" i="130"/>
  <c r="J15" i="130" s="1"/>
  <c r="M13" i="130"/>
  <c r="L13" i="130"/>
  <c r="K13" i="130"/>
  <c r="I6" i="130" s="1"/>
  <c r="J13" i="130"/>
  <c r="I13" i="130"/>
  <c r="H13" i="130"/>
  <c r="G13" i="130"/>
  <c r="F13" i="130"/>
  <c r="E13" i="130"/>
  <c r="D13" i="130"/>
  <c r="F6" i="130" s="1"/>
  <c r="F3" i="130"/>
  <c r="C3" i="130"/>
  <c r="G8" i="138" l="1"/>
  <c r="E8" i="138"/>
  <c r="F8" i="138"/>
  <c r="K15" i="136"/>
  <c r="I8" i="136" s="1"/>
  <c r="I7" i="136"/>
  <c r="E7" i="136"/>
  <c r="D15" i="136"/>
  <c r="G7" i="136"/>
  <c r="F7" i="136"/>
  <c r="Q11" i="135"/>
  <c r="R9" i="135" s="1"/>
  <c r="P11" i="135"/>
  <c r="E14" i="134"/>
  <c r="E15" i="134" s="1"/>
  <c r="D15" i="134"/>
  <c r="F14" i="134"/>
  <c r="F15" i="134" s="1"/>
  <c r="Q17" i="135"/>
  <c r="R12" i="135" s="1"/>
  <c r="P17" i="135"/>
  <c r="J14" i="134"/>
  <c r="J15" i="134" s="1"/>
  <c r="Q58" i="135"/>
  <c r="R54" i="135" s="1"/>
  <c r="P58" i="135"/>
  <c r="P53" i="135"/>
  <c r="I14" i="134"/>
  <c r="I15" i="134" s="1"/>
  <c r="Q53" i="135"/>
  <c r="R47" i="135" s="1"/>
  <c r="G14" i="134"/>
  <c r="G15" i="134" s="1"/>
  <c r="P26" i="135"/>
  <c r="Q26" i="135"/>
  <c r="R18" i="135" s="1"/>
  <c r="Q32" i="135"/>
  <c r="R27" i="135" s="1"/>
  <c r="P32" i="135"/>
  <c r="K14" i="134"/>
  <c r="Q66" i="135"/>
  <c r="R59" i="135" s="1"/>
  <c r="P66" i="135"/>
  <c r="M14" i="134"/>
  <c r="M15" i="134" s="1"/>
  <c r="Q46" i="135"/>
  <c r="R39" i="135" s="1"/>
  <c r="P46" i="135"/>
  <c r="H14" i="134"/>
  <c r="H15" i="134" s="1"/>
  <c r="D2" i="135"/>
  <c r="Q41" i="133"/>
  <c r="P41" i="133"/>
  <c r="Q55" i="133"/>
  <c r="P55" i="133"/>
  <c r="Q38" i="133"/>
  <c r="P38" i="133"/>
  <c r="P65" i="133"/>
  <c r="Q65" i="133"/>
  <c r="P58" i="133"/>
  <c r="Q58" i="133"/>
  <c r="P9" i="133"/>
  <c r="Q9" i="133"/>
  <c r="AB26" i="133"/>
  <c r="AC18" i="133" s="1"/>
  <c r="AA26" i="133"/>
  <c r="N26" i="133"/>
  <c r="Q29" i="133"/>
  <c r="P29" i="133"/>
  <c r="Q33" i="133"/>
  <c r="P33" i="133"/>
  <c r="Q24" i="133"/>
  <c r="P24" i="133"/>
  <c r="Q67" i="133"/>
  <c r="P67" i="133"/>
  <c r="Q18" i="133"/>
  <c r="P18" i="133"/>
  <c r="N17" i="133"/>
  <c r="AB17" i="133"/>
  <c r="AC12" i="133" s="1"/>
  <c r="AA17" i="133"/>
  <c r="Q21" i="133"/>
  <c r="P21" i="133"/>
  <c r="Q14" i="133"/>
  <c r="P14" i="133"/>
  <c r="Q47" i="133"/>
  <c r="P47" i="133"/>
  <c r="P56" i="133"/>
  <c r="Q56" i="133"/>
  <c r="Q73" i="133"/>
  <c r="P73" i="133"/>
  <c r="D14" i="132"/>
  <c r="Q8" i="133"/>
  <c r="R5" i="133" s="1"/>
  <c r="P8" i="133"/>
  <c r="AA35" i="133"/>
  <c r="N35" i="133"/>
  <c r="AB35" i="133"/>
  <c r="AC27" i="133" s="1"/>
  <c r="J14" i="132"/>
  <c r="J15" i="132" s="1"/>
  <c r="Q64" i="133"/>
  <c r="R60" i="133" s="1"/>
  <c r="P64" i="133"/>
  <c r="AB52" i="133"/>
  <c r="AC45" i="133" s="1"/>
  <c r="AA52" i="133"/>
  <c r="N52" i="133"/>
  <c r="Q31" i="133"/>
  <c r="P31" i="133"/>
  <c r="P27" i="133"/>
  <c r="Q27" i="133"/>
  <c r="P72" i="133"/>
  <c r="Q72" i="133"/>
  <c r="Q43" i="133"/>
  <c r="P43" i="133"/>
  <c r="P20" i="133"/>
  <c r="Q20" i="133"/>
  <c r="Q63" i="133"/>
  <c r="P63" i="133"/>
  <c r="Q7" i="133"/>
  <c r="P7" i="133"/>
  <c r="P32" i="133"/>
  <c r="Q32" i="133"/>
  <c r="Q71" i="133"/>
  <c r="P71" i="133"/>
  <c r="P68" i="133"/>
  <c r="Q68" i="133"/>
  <c r="Q50" i="133"/>
  <c r="P50" i="133"/>
  <c r="P59" i="133"/>
  <c r="I14" i="132"/>
  <c r="I15" i="132" s="1"/>
  <c r="Q59" i="133"/>
  <c r="R53" i="133" s="1"/>
  <c r="Q39" i="133"/>
  <c r="P39" i="133"/>
  <c r="Q69" i="133"/>
  <c r="P69" i="133"/>
  <c r="P34" i="133"/>
  <c r="Q34" i="133"/>
  <c r="P45" i="133"/>
  <c r="Q45" i="133"/>
  <c r="Q62" i="133"/>
  <c r="P62" i="133"/>
  <c r="Q36" i="133"/>
  <c r="P36" i="133"/>
  <c r="AB74" i="133"/>
  <c r="AC65" i="133" s="1"/>
  <c r="AA74" i="133"/>
  <c r="N74" i="133"/>
  <c r="P30" i="133"/>
  <c r="Q30" i="133"/>
  <c r="Q49" i="133"/>
  <c r="P49" i="133"/>
  <c r="P46" i="133"/>
  <c r="Q46" i="133"/>
  <c r="Q57" i="133"/>
  <c r="P57" i="133"/>
  <c r="Q22" i="133"/>
  <c r="P22" i="133"/>
  <c r="P10" i="133"/>
  <c r="Q10" i="133"/>
  <c r="Q25" i="133"/>
  <c r="P25" i="133"/>
  <c r="Q19" i="133"/>
  <c r="P19" i="133"/>
  <c r="P48" i="133"/>
  <c r="Q48" i="133"/>
  <c r="P70" i="133"/>
  <c r="Q70" i="133"/>
  <c r="Q15" i="133"/>
  <c r="P15" i="133"/>
  <c r="AA11" i="133"/>
  <c r="N11" i="133"/>
  <c r="AB11" i="133"/>
  <c r="AC9" i="133" s="1"/>
  <c r="L14" i="132"/>
  <c r="L15" i="132" s="1"/>
  <c r="Q44" i="133"/>
  <c r="R36" i="133" s="1"/>
  <c r="P44" i="133"/>
  <c r="N22" i="131"/>
  <c r="AB22" i="131"/>
  <c r="AA22" i="131"/>
  <c r="N21" i="131"/>
  <c r="AB21" i="131"/>
  <c r="AA21" i="131"/>
  <c r="N32" i="131"/>
  <c r="AB32" i="131"/>
  <c r="AA32" i="131"/>
  <c r="N34" i="131"/>
  <c r="AB34" i="131"/>
  <c r="AA34" i="131"/>
  <c r="N47" i="131"/>
  <c r="AB47" i="131"/>
  <c r="AA47" i="131"/>
  <c r="M56" i="131"/>
  <c r="N49" i="131"/>
  <c r="AB49" i="131"/>
  <c r="AA49" i="131"/>
  <c r="M63" i="131"/>
  <c r="AB57" i="131"/>
  <c r="AA57" i="131"/>
  <c r="N57" i="131"/>
  <c r="Q52" i="131"/>
  <c r="P52" i="131"/>
  <c r="AB70" i="131"/>
  <c r="AA70" i="131"/>
  <c r="N70" i="131"/>
  <c r="Q24" i="131"/>
  <c r="P24" i="131"/>
  <c r="AB30" i="131"/>
  <c r="AA30" i="131"/>
  <c r="N30" i="131"/>
  <c r="N60" i="131"/>
  <c r="AB60" i="131"/>
  <c r="AA60" i="131"/>
  <c r="N62" i="131"/>
  <c r="AB62" i="131"/>
  <c r="AA62" i="131"/>
  <c r="AB9" i="131"/>
  <c r="AC5" i="131" s="1"/>
  <c r="AA9" i="131"/>
  <c r="N9" i="131"/>
  <c r="N73" i="131"/>
  <c r="AB73" i="131"/>
  <c r="AA73" i="131"/>
  <c r="N75" i="131"/>
  <c r="AB75" i="131"/>
  <c r="AA75" i="131"/>
  <c r="N33" i="131"/>
  <c r="AB33" i="131"/>
  <c r="AA33" i="131"/>
  <c r="N69" i="131"/>
  <c r="AB69" i="131"/>
  <c r="AA69" i="131"/>
  <c r="M77" i="131"/>
  <c r="F2" i="131"/>
  <c r="I3" i="130"/>
  <c r="N20" i="131"/>
  <c r="AB20" i="131"/>
  <c r="AA20" i="131"/>
  <c r="M28" i="131"/>
  <c r="N29" i="131"/>
  <c r="AB29" i="131"/>
  <c r="AA29" i="131"/>
  <c r="M37" i="131"/>
  <c r="N31" i="131"/>
  <c r="AB31" i="131"/>
  <c r="AA31" i="131"/>
  <c r="N48" i="131"/>
  <c r="AB48" i="131"/>
  <c r="AA48" i="131"/>
  <c r="Q54" i="131"/>
  <c r="P54" i="131"/>
  <c r="N35" i="131"/>
  <c r="AB35" i="131"/>
  <c r="AA35" i="131"/>
  <c r="N50" i="131"/>
  <c r="AB50" i="131"/>
  <c r="AA50" i="131"/>
  <c r="AB58" i="131"/>
  <c r="AA58" i="131"/>
  <c r="N58" i="131"/>
  <c r="N71" i="131"/>
  <c r="AB71" i="131"/>
  <c r="AA71" i="131"/>
  <c r="P10" i="131"/>
  <c r="Q10" i="131"/>
  <c r="N61" i="131"/>
  <c r="AB61" i="131"/>
  <c r="AA61" i="131"/>
  <c r="N74" i="131"/>
  <c r="AB74" i="131"/>
  <c r="AA74" i="131"/>
  <c r="P11" i="131"/>
  <c r="Q11" i="131"/>
  <c r="Q14" i="131"/>
  <c r="P14" i="131"/>
  <c r="AB19" i="131"/>
  <c r="AC13" i="131" s="1"/>
  <c r="AA19" i="131"/>
  <c r="N19" i="131"/>
  <c r="N76" i="131"/>
  <c r="AB76" i="131"/>
  <c r="AA76" i="131"/>
  <c r="N23" i="131"/>
  <c r="AB23" i="131"/>
  <c r="AA23" i="131"/>
  <c r="N36" i="131"/>
  <c r="AB36" i="131"/>
  <c r="AA36" i="131"/>
  <c r="N51" i="131"/>
  <c r="AB51" i="131"/>
  <c r="AA51" i="131"/>
  <c r="N59" i="131"/>
  <c r="AB59" i="131"/>
  <c r="AA59" i="131"/>
  <c r="N72" i="131"/>
  <c r="AB72" i="131"/>
  <c r="AA72" i="131"/>
  <c r="AA13" i="131"/>
  <c r="AA24" i="131"/>
  <c r="AB25" i="131"/>
  <c r="AB38" i="131"/>
  <c r="AB39" i="131"/>
  <c r="AA52" i="131"/>
  <c r="AA54" i="131"/>
  <c r="AB55" i="131"/>
  <c r="N5" i="131"/>
  <c r="N6" i="131"/>
  <c r="N8" i="131"/>
  <c r="N18" i="131"/>
  <c r="N42" i="131"/>
  <c r="N44" i="131"/>
  <c r="P7" i="131"/>
  <c r="AA10" i="131"/>
  <c r="AA11" i="131"/>
  <c r="N17" i="131"/>
  <c r="N41" i="131"/>
  <c r="N43" i="131"/>
  <c r="P45" i="131"/>
  <c r="P68" i="131"/>
  <c r="AB10" i="131"/>
  <c r="AB11" i="131"/>
  <c r="N13" i="131"/>
  <c r="N16" i="131"/>
  <c r="N26" i="131"/>
  <c r="N40" i="131"/>
  <c r="N66" i="131"/>
  <c r="P27" i="131"/>
  <c r="P38" i="131"/>
  <c r="M12" i="131"/>
  <c r="G6" i="130"/>
  <c r="P25" i="131"/>
  <c r="P39" i="131"/>
  <c r="AA45" i="131"/>
  <c r="P53" i="131"/>
  <c r="P55" i="131"/>
  <c r="P64" i="131"/>
  <c r="P65" i="131"/>
  <c r="E6" i="130"/>
  <c r="AA5" i="131"/>
  <c r="AA6" i="131"/>
  <c r="AA8" i="131"/>
  <c r="AA18" i="131"/>
  <c r="AA44" i="131"/>
  <c r="AB5" i="131"/>
  <c r="AA7" i="131"/>
  <c r="AA17" i="131"/>
  <c r="AA27" i="131"/>
  <c r="AA41" i="131"/>
  <c r="AA43" i="131"/>
  <c r="AA67" i="131"/>
  <c r="AA16" i="131"/>
  <c r="AA26" i="131"/>
  <c r="AA40" i="131"/>
  <c r="AA42" i="131"/>
  <c r="M46" i="131"/>
  <c r="AA66" i="131"/>
  <c r="O81" i="129"/>
  <c r="K81" i="129"/>
  <c r="V80" i="129"/>
  <c r="M80" i="129" s="1"/>
  <c r="U80" i="129"/>
  <c r="O80" i="129"/>
  <c r="K80" i="129"/>
  <c r="G80" i="129"/>
  <c r="V79" i="129"/>
  <c r="M79" i="129" s="1"/>
  <c r="U79" i="129"/>
  <c r="O79" i="129"/>
  <c r="K79" i="129"/>
  <c r="G79" i="129"/>
  <c r="X78" i="129"/>
  <c r="W78" i="129"/>
  <c r="V78" i="129"/>
  <c r="M78" i="129" s="1"/>
  <c r="U78" i="129"/>
  <c r="O78" i="129"/>
  <c r="K78" i="129"/>
  <c r="G78" i="129"/>
  <c r="V77" i="129"/>
  <c r="M77" i="129" s="1"/>
  <c r="U77" i="129"/>
  <c r="O77" i="129"/>
  <c r="K77" i="129"/>
  <c r="G77" i="129"/>
  <c r="V76" i="129"/>
  <c r="M76" i="129" s="1"/>
  <c r="U76" i="129"/>
  <c r="O76" i="129"/>
  <c r="K76" i="129"/>
  <c r="G76" i="129"/>
  <c r="V75" i="129"/>
  <c r="M75" i="129" s="1"/>
  <c r="U75" i="129"/>
  <c r="O75" i="129"/>
  <c r="K75" i="129"/>
  <c r="G75" i="129"/>
  <c r="V74" i="129"/>
  <c r="M74" i="129" s="1"/>
  <c r="U74" i="129"/>
  <c r="O74" i="129"/>
  <c r="K74" i="129"/>
  <c r="G74" i="129"/>
  <c r="X73" i="129"/>
  <c r="W73" i="129"/>
  <c r="V73" i="129"/>
  <c r="M73" i="129" s="1"/>
  <c r="O73" i="129"/>
  <c r="K73" i="129"/>
  <c r="G73" i="129"/>
  <c r="O72" i="129"/>
  <c r="K72" i="129"/>
  <c r="V71" i="129"/>
  <c r="U71" i="129"/>
  <c r="O71" i="129"/>
  <c r="N71" i="129"/>
  <c r="Q71" i="129" s="1"/>
  <c r="M71" i="129"/>
  <c r="AB71" i="129" s="1"/>
  <c r="K71" i="129"/>
  <c r="G71" i="129"/>
  <c r="V70" i="129"/>
  <c r="U70" i="129"/>
  <c r="O70" i="129"/>
  <c r="M70" i="129"/>
  <c r="AB70" i="129" s="1"/>
  <c r="K70" i="129"/>
  <c r="G70" i="129"/>
  <c r="V69" i="129"/>
  <c r="U69" i="129"/>
  <c r="O69" i="129"/>
  <c r="M69" i="129"/>
  <c r="AA69" i="129" s="1"/>
  <c r="K69" i="129"/>
  <c r="G69" i="129"/>
  <c r="V68" i="129"/>
  <c r="O68" i="129"/>
  <c r="M68" i="129"/>
  <c r="AA68" i="129" s="1"/>
  <c r="K68" i="129"/>
  <c r="G68" i="129"/>
  <c r="O67" i="129"/>
  <c r="K67" i="129"/>
  <c r="V66" i="129"/>
  <c r="M66" i="129" s="1"/>
  <c r="U66" i="129"/>
  <c r="O66" i="129"/>
  <c r="K66" i="129"/>
  <c r="G66" i="129"/>
  <c r="V65" i="129"/>
  <c r="M65" i="129" s="1"/>
  <c r="U65" i="129"/>
  <c r="O65" i="129"/>
  <c r="K65" i="129"/>
  <c r="G65" i="129"/>
  <c r="X64" i="129"/>
  <c r="W64" i="129"/>
  <c r="V64" i="129"/>
  <c r="M64" i="129" s="1"/>
  <c r="U64" i="129"/>
  <c r="O64" i="129"/>
  <c r="K64" i="129"/>
  <c r="G64" i="129"/>
  <c r="V63" i="129"/>
  <c r="M63" i="129" s="1"/>
  <c r="U63" i="129"/>
  <c r="O63" i="129"/>
  <c r="K63" i="129"/>
  <c r="G63" i="129"/>
  <c r="V62" i="129"/>
  <c r="M62" i="129" s="1"/>
  <c r="U62" i="129"/>
  <c r="O62" i="129"/>
  <c r="K62" i="129"/>
  <c r="G62" i="129"/>
  <c r="V61" i="129"/>
  <c r="U61" i="129"/>
  <c r="O61" i="129"/>
  <c r="M61" i="129"/>
  <c r="AB61" i="129" s="1"/>
  <c r="K61" i="129"/>
  <c r="G61" i="129"/>
  <c r="V60" i="129"/>
  <c r="O60" i="129"/>
  <c r="M60" i="129"/>
  <c r="AB60" i="129" s="1"/>
  <c r="K60" i="129"/>
  <c r="G60" i="129"/>
  <c r="O59" i="129"/>
  <c r="K59" i="129"/>
  <c r="AB58" i="129"/>
  <c r="AA58" i="129"/>
  <c r="V58" i="129"/>
  <c r="U58" i="129"/>
  <c r="O58" i="129"/>
  <c r="N58" i="129"/>
  <c r="Q58" i="129" s="1"/>
  <c r="M58" i="129"/>
  <c r="K58" i="129"/>
  <c r="G58" i="129"/>
  <c r="V57" i="129"/>
  <c r="M57" i="129" s="1"/>
  <c r="U57" i="129"/>
  <c r="O57" i="129"/>
  <c r="K57" i="129"/>
  <c r="G57" i="129"/>
  <c r="AB56" i="129"/>
  <c r="AA56" i="129"/>
  <c r="X56" i="129"/>
  <c r="W56" i="129"/>
  <c r="V56" i="129"/>
  <c r="U56" i="129"/>
  <c r="O56" i="129"/>
  <c r="N56" i="129"/>
  <c r="Q56" i="129" s="1"/>
  <c r="M56" i="129"/>
  <c r="K56" i="129"/>
  <c r="G56" i="129"/>
  <c r="V55" i="129"/>
  <c r="M55" i="129" s="1"/>
  <c r="U55" i="129"/>
  <c r="O55" i="129"/>
  <c r="K55" i="129"/>
  <c r="G55" i="129"/>
  <c r="V54" i="129"/>
  <c r="M54" i="129" s="1"/>
  <c r="U54" i="129"/>
  <c r="O54" i="129"/>
  <c r="K54" i="129"/>
  <c r="G54" i="129"/>
  <c r="V53" i="129"/>
  <c r="M53" i="129" s="1"/>
  <c r="U53" i="129"/>
  <c r="O53" i="129"/>
  <c r="K53" i="129"/>
  <c r="G53" i="129"/>
  <c r="V52" i="129"/>
  <c r="M52" i="129" s="1"/>
  <c r="U52" i="129"/>
  <c r="O52" i="129"/>
  <c r="K52" i="129"/>
  <c r="G52" i="129"/>
  <c r="V51" i="129"/>
  <c r="M51" i="129" s="1"/>
  <c r="U51" i="129"/>
  <c r="O51" i="129"/>
  <c r="K51" i="129"/>
  <c r="G51" i="129"/>
  <c r="X50" i="129"/>
  <c r="W50" i="129"/>
  <c r="V50" i="129"/>
  <c r="M50" i="129" s="1"/>
  <c r="O50" i="129"/>
  <c r="K50" i="129"/>
  <c r="G50" i="129"/>
  <c r="O49" i="129"/>
  <c r="K49" i="129"/>
  <c r="V48" i="129"/>
  <c r="U48" i="129"/>
  <c r="O48" i="129"/>
  <c r="M48" i="129"/>
  <c r="AB48" i="129" s="1"/>
  <c r="K48" i="129"/>
  <c r="G48" i="129"/>
  <c r="V47" i="129"/>
  <c r="U47" i="129"/>
  <c r="O47" i="129"/>
  <c r="N47" i="129"/>
  <c r="Q47" i="129" s="1"/>
  <c r="M47" i="129"/>
  <c r="AB47" i="129" s="1"/>
  <c r="K47" i="129"/>
  <c r="G47" i="129"/>
  <c r="V46" i="129"/>
  <c r="U46" i="129"/>
  <c r="O46" i="129"/>
  <c r="M46" i="129"/>
  <c r="AB46" i="129" s="1"/>
  <c r="K46" i="129"/>
  <c r="G46" i="129"/>
  <c r="AB45" i="129"/>
  <c r="X45" i="129"/>
  <c r="W45" i="129"/>
  <c r="V45" i="129"/>
  <c r="U45" i="129"/>
  <c r="O45" i="129"/>
  <c r="N45" i="129"/>
  <c r="Q45" i="129" s="1"/>
  <c r="M45" i="129"/>
  <c r="AA45" i="129" s="1"/>
  <c r="K45" i="129"/>
  <c r="G45" i="129"/>
  <c r="V44" i="129"/>
  <c r="U44" i="129"/>
  <c r="O44" i="129"/>
  <c r="M44" i="129"/>
  <c r="AB44" i="129" s="1"/>
  <c r="K44" i="129"/>
  <c r="G44" i="129"/>
  <c r="V43" i="129"/>
  <c r="U43" i="129"/>
  <c r="O43" i="129"/>
  <c r="M43" i="129"/>
  <c r="AA43" i="129" s="1"/>
  <c r="K43" i="129"/>
  <c r="G43" i="129"/>
  <c r="AB42" i="129"/>
  <c r="AA42" i="129"/>
  <c r="V42" i="129"/>
  <c r="U42" i="129"/>
  <c r="O42" i="129"/>
  <c r="N42" i="129"/>
  <c r="Q42" i="129" s="1"/>
  <c r="M42" i="129"/>
  <c r="K42" i="129"/>
  <c r="G42" i="129"/>
  <c r="X41" i="129"/>
  <c r="W41" i="129"/>
  <c r="V41" i="129"/>
  <c r="O41" i="129"/>
  <c r="M41" i="129"/>
  <c r="M49" i="129" s="1"/>
  <c r="K41" i="129"/>
  <c r="G41" i="129"/>
  <c r="O40" i="129"/>
  <c r="K40" i="129"/>
  <c r="V39" i="129"/>
  <c r="M39" i="129" s="1"/>
  <c r="U39" i="129"/>
  <c r="O39" i="129"/>
  <c r="K39" i="129"/>
  <c r="G39" i="129"/>
  <c r="V38" i="129"/>
  <c r="M38" i="129" s="1"/>
  <c r="U38" i="129"/>
  <c r="O38" i="129"/>
  <c r="K38" i="129"/>
  <c r="G38" i="129"/>
  <c r="V37" i="129"/>
  <c r="M37" i="129" s="1"/>
  <c r="U37" i="129"/>
  <c r="O37" i="129"/>
  <c r="K37" i="129"/>
  <c r="G37" i="129"/>
  <c r="X36" i="129"/>
  <c r="W36" i="129"/>
  <c r="V36" i="129"/>
  <c r="M36" i="129" s="1"/>
  <c r="U36" i="129"/>
  <c r="O36" i="129"/>
  <c r="K36" i="129"/>
  <c r="G36" i="129"/>
  <c r="V35" i="129"/>
  <c r="M35" i="129" s="1"/>
  <c r="U35" i="129"/>
  <c r="O35" i="129"/>
  <c r="K35" i="129"/>
  <c r="G35" i="129"/>
  <c r="V34" i="129"/>
  <c r="M34" i="129" s="1"/>
  <c r="U34" i="129"/>
  <c r="O34" i="129"/>
  <c r="K34" i="129"/>
  <c r="G34" i="129"/>
  <c r="V33" i="129"/>
  <c r="U33" i="129"/>
  <c r="O33" i="129"/>
  <c r="M33" i="129"/>
  <c r="AB33" i="129" s="1"/>
  <c r="K33" i="129"/>
  <c r="G33" i="129"/>
  <c r="X32" i="129"/>
  <c r="W32" i="129"/>
  <c r="V32" i="129"/>
  <c r="M32" i="129" s="1"/>
  <c r="O32" i="129"/>
  <c r="K32" i="129"/>
  <c r="G32" i="129"/>
  <c r="O31" i="129"/>
  <c r="K31" i="129"/>
  <c r="G13" i="128" s="1"/>
  <c r="V30" i="129"/>
  <c r="U30" i="129"/>
  <c r="O30" i="129"/>
  <c r="M30" i="129"/>
  <c r="AB30" i="129" s="1"/>
  <c r="K30" i="129"/>
  <c r="G30" i="129"/>
  <c r="AB29" i="129"/>
  <c r="X29" i="129"/>
  <c r="W29" i="129"/>
  <c r="V29" i="129"/>
  <c r="U29" i="129"/>
  <c r="O29" i="129"/>
  <c r="N29" i="129"/>
  <c r="Q29" i="129" s="1"/>
  <c r="M29" i="129"/>
  <c r="AA29" i="129" s="1"/>
  <c r="K29" i="129"/>
  <c r="G29" i="129"/>
  <c r="V28" i="129"/>
  <c r="U28" i="129"/>
  <c r="O28" i="129"/>
  <c r="M28" i="129"/>
  <c r="AB28" i="129" s="1"/>
  <c r="K28" i="129"/>
  <c r="G28" i="129"/>
  <c r="V27" i="129"/>
  <c r="U27" i="129"/>
  <c r="O27" i="129"/>
  <c r="M27" i="129"/>
  <c r="AA27" i="129" s="1"/>
  <c r="K27" i="129"/>
  <c r="G27" i="129"/>
  <c r="AB26" i="129"/>
  <c r="AA26" i="129"/>
  <c r="V26" i="129"/>
  <c r="U26" i="129"/>
  <c r="O26" i="129"/>
  <c r="N26" i="129"/>
  <c r="Q26" i="129" s="1"/>
  <c r="M26" i="129"/>
  <c r="K26" i="129"/>
  <c r="G26" i="129"/>
  <c r="V25" i="129"/>
  <c r="M25" i="129" s="1"/>
  <c r="U25" i="129"/>
  <c r="O25" i="129"/>
  <c r="K25" i="129"/>
  <c r="G25" i="129"/>
  <c r="V24" i="129"/>
  <c r="M24" i="129" s="1"/>
  <c r="U24" i="129"/>
  <c r="O24" i="129"/>
  <c r="K24" i="129"/>
  <c r="G24" i="129"/>
  <c r="V23" i="129"/>
  <c r="M23" i="129" s="1"/>
  <c r="U23" i="129"/>
  <c r="O23" i="129"/>
  <c r="K23" i="129"/>
  <c r="G23" i="129"/>
  <c r="V22" i="129"/>
  <c r="M22" i="129" s="1"/>
  <c r="O22" i="129"/>
  <c r="K22" i="129"/>
  <c r="G22" i="129"/>
  <c r="O21" i="129"/>
  <c r="K21" i="129"/>
  <c r="V20" i="129"/>
  <c r="U20" i="129"/>
  <c r="O20" i="129"/>
  <c r="M20" i="129"/>
  <c r="AB20" i="129" s="1"/>
  <c r="K20" i="129"/>
  <c r="G20" i="129"/>
  <c r="V19" i="129"/>
  <c r="U19" i="129"/>
  <c r="O19" i="129"/>
  <c r="N19" i="129"/>
  <c r="Q19" i="129" s="1"/>
  <c r="M19" i="129"/>
  <c r="AB19" i="129" s="1"/>
  <c r="K19" i="129"/>
  <c r="G19" i="129"/>
  <c r="X18" i="129"/>
  <c r="W18" i="129"/>
  <c r="V18" i="129"/>
  <c r="U18" i="129"/>
  <c r="O18" i="129"/>
  <c r="M18" i="129"/>
  <c r="AB18" i="129" s="1"/>
  <c r="K18" i="129"/>
  <c r="G18" i="129"/>
  <c r="V17" i="129"/>
  <c r="U17" i="129"/>
  <c r="O17" i="129"/>
  <c r="N17" i="129"/>
  <c r="Q17" i="129" s="1"/>
  <c r="M17" i="129"/>
  <c r="AB17" i="129" s="1"/>
  <c r="K17" i="129"/>
  <c r="G17" i="129"/>
  <c r="V16" i="129"/>
  <c r="U16" i="129"/>
  <c r="O16" i="129"/>
  <c r="M16" i="129"/>
  <c r="AB16" i="129" s="1"/>
  <c r="K16" i="129"/>
  <c r="G16" i="129"/>
  <c r="V15" i="129"/>
  <c r="U15" i="129"/>
  <c r="O15" i="129"/>
  <c r="M15" i="129"/>
  <c r="AA15" i="129" s="1"/>
  <c r="K15" i="129"/>
  <c r="G15" i="129"/>
  <c r="AB14" i="129"/>
  <c r="AA14" i="129"/>
  <c r="V14" i="129"/>
  <c r="U14" i="129"/>
  <c r="O14" i="129"/>
  <c r="N14" i="129"/>
  <c r="Q14" i="129" s="1"/>
  <c r="M14" i="129"/>
  <c r="K14" i="129"/>
  <c r="G14" i="129"/>
  <c r="X13" i="129"/>
  <c r="W13" i="129"/>
  <c r="V13" i="129"/>
  <c r="O13" i="129"/>
  <c r="M13" i="129"/>
  <c r="M21" i="129" s="1"/>
  <c r="K13" i="129"/>
  <c r="G13" i="129"/>
  <c r="F1" i="129" s="1"/>
  <c r="O12" i="129"/>
  <c r="K12" i="129"/>
  <c r="V11" i="129"/>
  <c r="M11" i="129" s="1"/>
  <c r="U11" i="129"/>
  <c r="O11" i="129"/>
  <c r="K11" i="129"/>
  <c r="G11" i="129"/>
  <c r="V10" i="129"/>
  <c r="M10" i="129" s="1"/>
  <c r="O10" i="129"/>
  <c r="K10" i="129"/>
  <c r="G10" i="129"/>
  <c r="O9" i="129"/>
  <c r="K9" i="129"/>
  <c r="V8" i="129"/>
  <c r="U8" i="129"/>
  <c r="O8" i="129"/>
  <c r="M8" i="129"/>
  <c r="AB8" i="129" s="1"/>
  <c r="K8" i="129"/>
  <c r="G8" i="129"/>
  <c r="X7" i="129"/>
  <c r="W7" i="129"/>
  <c r="V7" i="129"/>
  <c r="U7" i="129"/>
  <c r="O7" i="129"/>
  <c r="M7" i="129"/>
  <c r="AB7" i="129" s="1"/>
  <c r="K7" i="129"/>
  <c r="G7" i="129"/>
  <c r="V6" i="129"/>
  <c r="U6" i="129"/>
  <c r="O6" i="129"/>
  <c r="M6" i="129"/>
  <c r="AB6" i="129" s="1"/>
  <c r="K6" i="129"/>
  <c r="G6" i="129"/>
  <c r="V5" i="129"/>
  <c r="O5" i="129"/>
  <c r="M5" i="129"/>
  <c r="M9" i="129" s="1"/>
  <c r="K5" i="129"/>
  <c r="G5" i="129"/>
  <c r="H2" i="129"/>
  <c r="H1" i="129"/>
  <c r="D1" i="129"/>
  <c r="M18" i="128"/>
  <c r="L18" i="128"/>
  <c r="K18" i="128"/>
  <c r="J18" i="128"/>
  <c r="I18" i="128"/>
  <c r="H18" i="128"/>
  <c r="G18" i="128"/>
  <c r="F18" i="128"/>
  <c r="E18" i="128"/>
  <c r="D18" i="128"/>
  <c r="M17" i="128"/>
  <c r="L17" i="128"/>
  <c r="K17" i="128"/>
  <c r="J17" i="128"/>
  <c r="I17" i="128"/>
  <c r="H17" i="128"/>
  <c r="G17" i="128"/>
  <c r="F17" i="128"/>
  <c r="E17" i="128"/>
  <c r="D17" i="128"/>
  <c r="M16" i="128"/>
  <c r="L16" i="128"/>
  <c r="K16" i="128"/>
  <c r="J16" i="128"/>
  <c r="I16" i="128"/>
  <c r="H16" i="128"/>
  <c r="G16" i="128"/>
  <c r="F16" i="128"/>
  <c r="E16" i="128"/>
  <c r="D16" i="128"/>
  <c r="M13" i="128"/>
  <c r="L13" i="128"/>
  <c r="K13" i="128"/>
  <c r="I6" i="128" s="1"/>
  <c r="J13" i="128"/>
  <c r="I13" i="128"/>
  <c r="H13" i="128"/>
  <c r="F13" i="128"/>
  <c r="E13" i="128"/>
  <c r="D13" i="128"/>
  <c r="F3" i="128"/>
  <c r="C3" i="128"/>
  <c r="G8" i="136" l="1"/>
  <c r="F8" i="136"/>
  <c r="E8" i="136"/>
  <c r="K15" i="134"/>
  <c r="I8" i="134" s="1"/>
  <c r="I7" i="134"/>
  <c r="E7" i="134"/>
  <c r="F7" i="134"/>
  <c r="G7" i="134"/>
  <c r="G8" i="134"/>
  <c r="F8" i="134"/>
  <c r="E8" i="134"/>
  <c r="Q35" i="133"/>
  <c r="R27" i="133" s="1"/>
  <c r="P35" i="133"/>
  <c r="K14" i="132"/>
  <c r="Q11" i="133"/>
  <c r="R9" i="133" s="1"/>
  <c r="P11" i="133"/>
  <c r="E14" i="132"/>
  <c r="E15" i="132" s="1"/>
  <c r="Q74" i="133"/>
  <c r="R65" i="133" s="1"/>
  <c r="P74" i="133"/>
  <c r="M14" i="132"/>
  <c r="M15" i="132" s="1"/>
  <c r="D15" i="132"/>
  <c r="H14" i="132"/>
  <c r="H15" i="132" s="1"/>
  <c r="Q52" i="133"/>
  <c r="R45" i="133" s="1"/>
  <c r="P52" i="133"/>
  <c r="D2" i="133"/>
  <c r="G14" i="132"/>
  <c r="G15" i="132" s="1"/>
  <c r="Q26" i="133"/>
  <c r="R18" i="133" s="1"/>
  <c r="P26" i="133"/>
  <c r="F14" i="132"/>
  <c r="F15" i="132" s="1"/>
  <c r="Q17" i="133"/>
  <c r="R12" i="133" s="1"/>
  <c r="P17" i="133"/>
  <c r="Q57" i="131"/>
  <c r="P57" i="131"/>
  <c r="Q16" i="131"/>
  <c r="P16" i="131"/>
  <c r="Q44" i="131"/>
  <c r="P44" i="131"/>
  <c r="Q13" i="131"/>
  <c r="P13" i="131"/>
  <c r="Q34" i="131"/>
  <c r="P34" i="131"/>
  <c r="Q8" i="131"/>
  <c r="P8" i="131"/>
  <c r="Q48" i="131"/>
  <c r="P48" i="131"/>
  <c r="Q30" i="131"/>
  <c r="P30" i="131"/>
  <c r="Q42" i="131"/>
  <c r="P42" i="131"/>
  <c r="N46" i="131"/>
  <c r="AB46" i="131"/>
  <c r="AC38" i="131" s="1"/>
  <c r="AA46" i="131"/>
  <c r="Q6" i="131"/>
  <c r="P6" i="131"/>
  <c r="Q72" i="131"/>
  <c r="P72" i="131"/>
  <c r="Q23" i="131"/>
  <c r="P23" i="131"/>
  <c r="N63" i="131"/>
  <c r="AB63" i="131"/>
  <c r="AC57" i="131" s="1"/>
  <c r="AA63" i="131"/>
  <c r="Q71" i="131"/>
  <c r="P71" i="131"/>
  <c r="Q60" i="131"/>
  <c r="P60" i="131"/>
  <c r="Q5" i="131"/>
  <c r="P5" i="131"/>
  <c r="Q74" i="131"/>
  <c r="P74" i="131"/>
  <c r="AB77" i="131"/>
  <c r="AC69" i="131" s="1"/>
  <c r="AA77" i="131"/>
  <c r="N77" i="131"/>
  <c r="P73" i="131"/>
  <c r="Q73" i="131"/>
  <c r="Q32" i="131"/>
  <c r="P32" i="131"/>
  <c r="AA12" i="131"/>
  <c r="N12" i="131"/>
  <c r="D2" i="131" s="1"/>
  <c r="AB12" i="131"/>
  <c r="AC10" i="131" s="1"/>
  <c r="Q43" i="131"/>
  <c r="P43" i="131"/>
  <c r="Q31" i="131"/>
  <c r="P31" i="131"/>
  <c r="D14" i="130"/>
  <c r="Q9" i="131"/>
  <c r="R5" i="131" s="1"/>
  <c r="P9" i="131"/>
  <c r="Q36" i="131"/>
  <c r="P36" i="131"/>
  <c r="Q41" i="131"/>
  <c r="P41" i="131"/>
  <c r="Q59" i="131"/>
  <c r="P59" i="131"/>
  <c r="Q76" i="131"/>
  <c r="P76" i="131"/>
  <c r="Q50" i="131"/>
  <c r="P50" i="131"/>
  <c r="AB37" i="131"/>
  <c r="AC29" i="131" s="1"/>
  <c r="AA37" i="131"/>
  <c r="N37" i="131"/>
  <c r="P49" i="131"/>
  <c r="Q49" i="131"/>
  <c r="P20" i="131"/>
  <c r="Q20" i="131"/>
  <c r="Q17" i="131"/>
  <c r="P17" i="131"/>
  <c r="F14" i="130"/>
  <c r="F15" i="130" s="1"/>
  <c r="Q19" i="131"/>
  <c r="R13" i="131" s="1"/>
  <c r="P19" i="131"/>
  <c r="P61" i="131"/>
  <c r="Q61" i="131"/>
  <c r="Q69" i="131"/>
  <c r="P69" i="131"/>
  <c r="Q70" i="131"/>
  <c r="P70" i="131"/>
  <c r="AB56" i="131"/>
  <c r="AC47" i="131" s="1"/>
  <c r="AA56" i="131"/>
  <c r="N56" i="131"/>
  <c r="P21" i="131"/>
  <c r="Q21" i="131"/>
  <c r="P75" i="131"/>
  <c r="Q75" i="131"/>
  <c r="Q66" i="131"/>
  <c r="P66" i="131"/>
  <c r="Q18" i="131"/>
  <c r="P18" i="131"/>
  <c r="Q58" i="131"/>
  <c r="P58" i="131"/>
  <c r="Q40" i="131"/>
  <c r="P40" i="131"/>
  <c r="Q51" i="131"/>
  <c r="P51" i="131"/>
  <c r="P35" i="131"/>
  <c r="Q35" i="131"/>
  <c r="Q29" i="131"/>
  <c r="P29" i="131"/>
  <c r="Q26" i="131"/>
  <c r="P26" i="131"/>
  <c r="AB28" i="131"/>
  <c r="AC20" i="131" s="1"/>
  <c r="AA28" i="131"/>
  <c r="N28" i="131"/>
  <c r="P33" i="131"/>
  <c r="Q33" i="131"/>
  <c r="Q62" i="131"/>
  <c r="P62" i="131"/>
  <c r="Q47" i="131"/>
  <c r="P47" i="131"/>
  <c r="Q22" i="131"/>
  <c r="P22" i="131"/>
  <c r="AA62" i="129"/>
  <c r="AB62" i="129"/>
  <c r="N62" i="129"/>
  <c r="AA74" i="129"/>
  <c r="AB74" i="129"/>
  <c r="N74" i="129"/>
  <c r="N54" i="129"/>
  <c r="AB54" i="129"/>
  <c r="AA54" i="129"/>
  <c r="AA49" i="129"/>
  <c r="AB49" i="129"/>
  <c r="AC41" i="129" s="1"/>
  <c r="N49" i="129"/>
  <c r="N50" i="129"/>
  <c r="AB50" i="129"/>
  <c r="M59" i="129"/>
  <c r="AA50" i="129"/>
  <c r="N52" i="129"/>
  <c r="AA52" i="129"/>
  <c r="AB52" i="129"/>
  <c r="N11" i="129"/>
  <c r="AB11" i="129"/>
  <c r="AA11" i="129"/>
  <c r="N38" i="129"/>
  <c r="AA38" i="129"/>
  <c r="AB38" i="129"/>
  <c r="N79" i="129"/>
  <c r="AB79" i="129"/>
  <c r="AA79" i="129"/>
  <c r="N65" i="129"/>
  <c r="AB65" i="129"/>
  <c r="AA65" i="129"/>
  <c r="AA21" i="129"/>
  <c r="AB21" i="129"/>
  <c r="AC13" i="129" s="1"/>
  <c r="N21" i="129"/>
  <c r="N23" i="129"/>
  <c r="AB23" i="129"/>
  <c r="AA23" i="129"/>
  <c r="N36" i="129"/>
  <c r="AA36" i="129"/>
  <c r="AB36" i="129"/>
  <c r="N77" i="129"/>
  <c r="AB77" i="129"/>
  <c r="AA77" i="129"/>
  <c r="N24" i="129"/>
  <c r="AB24" i="129"/>
  <c r="AA24" i="129"/>
  <c r="N32" i="129"/>
  <c r="AB32" i="129"/>
  <c r="M40" i="129"/>
  <c r="AA32" i="129"/>
  <c r="N55" i="129"/>
  <c r="AB55" i="129"/>
  <c r="AA55" i="129"/>
  <c r="N63" i="129"/>
  <c r="AB63" i="129"/>
  <c r="AA63" i="129"/>
  <c r="AA9" i="129"/>
  <c r="AB9" i="129"/>
  <c r="AC5" i="129" s="1"/>
  <c r="N9" i="129"/>
  <c r="F2" i="129"/>
  <c r="I3" i="128"/>
  <c r="AA34" i="129"/>
  <c r="AB34" i="129"/>
  <c r="N34" i="129"/>
  <c r="N73" i="129"/>
  <c r="AA73" i="129"/>
  <c r="AB73" i="129"/>
  <c r="M81" i="129"/>
  <c r="N75" i="129"/>
  <c r="AB75" i="129"/>
  <c r="AA75" i="129"/>
  <c r="N53" i="129"/>
  <c r="AB53" i="129"/>
  <c r="AA53" i="129"/>
  <c r="N80" i="129"/>
  <c r="AB80" i="129"/>
  <c r="AA80" i="129"/>
  <c r="N66" i="129"/>
  <c r="AA66" i="129"/>
  <c r="AB66" i="129"/>
  <c r="N22" i="129"/>
  <c r="AB22" i="129"/>
  <c r="AA22" i="129"/>
  <c r="M31" i="129"/>
  <c r="N39" i="129"/>
  <c r="AB39" i="129"/>
  <c r="AA39" i="129"/>
  <c r="N51" i="129"/>
  <c r="AB51" i="129"/>
  <c r="AA51" i="129"/>
  <c r="N57" i="129"/>
  <c r="AB57" i="129"/>
  <c r="AA57" i="129"/>
  <c r="N78" i="129"/>
  <c r="AA78" i="129"/>
  <c r="AB78" i="129"/>
  <c r="G6" i="128"/>
  <c r="N10" i="129"/>
  <c r="M12" i="129"/>
  <c r="AB10" i="129"/>
  <c r="AA10" i="129"/>
  <c r="N25" i="129"/>
  <c r="AB25" i="129"/>
  <c r="AA25" i="129"/>
  <c r="N64" i="129"/>
  <c r="AA64" i="129"/>
  <c r="AB64" i="129"/>
  <c r="E6" i="128"/>
  <c r="N35" i="129"/>
  <c r="AB35" i="129"/>
  <c r="AA35" i="129"/>
  <c r="N37" i="129"/>
  <c r="AB37" i="129"/>
  <c r="AA37" i="129"/>
  <c r="N76" i="129"/>
  <c r="AA76" i="129"/>
  <c r="AB76" i="129"/>
  <c r="AA13" i="129"/>
  <c r="AB15" i="129"/>
  <c r="AB27" i="129"/>
  <c r="AA41" i="129"/>
  <c r="AB43" i="129"/>
  <c r="AB68" i="129"/>
  <c r="AB69" i="129"/>
  <c r="M72" i="129"/>
  <c r="N7" i="129"/>
  <c r="AB13" i="129"/>
  <c r="N33" i="129"/>
  <c r="AB41" i="129"/>
  <c r="N60" i="129"/>
  <c r="N61" i="129"/>
  <c r="N5" i="129"/>
  <c r="N6" i="129"/>
  <c r="N8" i="129"/>
  <c r="N18" i="129"/>
  <c r="N20" i="129"/>
  <c r="N48" i="129"/>
  <c r="N15" i="129"/>
  <c r="P17" i="129"/>
  <c r="P19" i="129"/>
  <c r="N27" i="129"/>
  <c r="P29" i="129"/>
  <c r="N43" i="129"/>
  <c r="P45" i="129"/>
  <c r="P47" i="129"/>
  <c r="N68" i="129"/>
  <c r="N69" i="129"/>
  <c r="P71" i="129"/>
  <c r="N13" i="129"/>
  <c r="N16" i="129"/>
  <c r="N28" i="129"/>
  <c r="N30" i="129"/>
  <c r="N41" i="129"/>
  <c r="N44" i="129"/>
  <c r="N46" i="129"/>
  <c r="N70" i="129"/>
  <c r="F6" i="128"/>
  <c r="AA33" i="129"/>
  <c r="AA60" i="129"/>
  <c r="AA61" i="129"/>
  <c r="M67" i="129"/>
  <c r="AA5" i="129"/>
  <c r="AA6" i="129"/>
  <c r="AA8" i="129"/>
  <c r="P14" i="129"/>
  <c r="AA20" i="129"/>
  <c r="P26" i="129"/>
  <c r="P42" i="129"/>
  <c r="AA48" i="129"/>
  <c r="P56" i="129"/>
  <c r="P58" i="129"/>
  <c r="AB5" i="129"/>
  <c r="AA7" i="129"/>
  <c r="AA17" i="129"/>
  <c r="AA19" i="129"/>
  <c r="AA47" i="129"/>
  <c r="AA71" i="129"/>
  <c r="AA16" i="129"/>
  <c r="AA18" i="129"/>
  <c r="AA28" i="129"/>
  <c r="AA30" i="129"/>
  <c r="AA44" i="129"/>
  <c r="AA46" i="129"/>
  <c r="AA70" i="129"/>
  <c r="O79" i="127"/>
  <c r="K79" i="127"/>
  <c r="V78" i="127"/>
  <c r="M78" i="127" s="1"/>
  <c r="U78" i="127"/>
  <c r="O78" i="127"/>
  <c r="K78" i="127"/>
  <c r="G78" i="127"/>
  <c r="X77" i="127"/>
  <c r="W77" i="127"/>
  <c r="V77" i="127"/>
  <c r="M77" i="127" s="1"/>
  <c r="U77" i="127"/>
  <c r="O77" i="127"/>
  <c r="K77" i="127"/>
  <c r="G77" i="127"/>
  <c r="V76" i="127"/>
  <c r="M76" i="127" s="1"/>
  <c r="U76" i="127"/>
  <c r="O76" i="127"/>
  <c r="K76" i="127"/>
  <c r="G76" i="127"/>
  <c r="V75" i="127"/>
  <c r="M75" i="127" s="1"/>
  <c r="U75" i="127"/>
  <c r="O75" i="127"/>
  <c r="K75" i="127"/>
  <c r="G75" i="127"/>
  <c r="V74" i="127"/>
  <c r="M74" i="127" s="1"/>
  <c r="U74" i="127"/>
  <c r="O74" i="127"/>
  <c r="K74" i="127"/>
  <c r="G74" i="127"/>
  <c r="V73" i="127"/>
  <c r="M73" i="127" s="1"/>
  <c r="U73" i="127"/>
  <c r="O73" i="127"/>
  <c r="K73" i="127"/>
  <c r="G73" i="127"/>
  <c r="V72" i="127"/>
  <c r="M72" i="127" s="1"/>
  <c r="U72" i="127"/>
  <c r="O72" i="127"/>
  <c r="K72" i="127"/>
  <c r="G72" i="127"/>
  <c r="X71" i="127"/>
  <c r="W71" i="127"/>
  <c r="V71" i="127"/>
  <c r="M71" i="127" s="1"/>
  <c r="O71" i="127"/>
  <c r="K71" i="127"/>
  <c r="G71" i="127"/>
  <c r="O70" i="127"/>
  <c r="K70" i="127"/>
  <c r="V69" i="127"/>
  <c r="U69" i="127"/>
  <c r="O69" i="127"/>
  <c r="N69" i="127"/>
  <c r="Q69" i="127" s="1"/>
  <c r="M69" i="127"/>
  <c r="AB69" i="127" s="1"/>
  <c r="K69" i="127"/>
  <c r="G69" i="127"/>
  <c r="V68" i="127"/>
  <c r="U68" i="127"/>
  <c r="O68" i="127"/>
  <c r="M68" i="127"/>
  <c r="AB68" i="127" s="1"/>
  <c r="K68" i="127"/>
  <c r="G68" i="127"/>
  <c r="V67" i="127"/>
  <c r="U67" i="127"/>
  <c r="O67" i="127"/>
  <c r="M67" i="127"/>
  <c r="AA67" i="127" s="1"/>
  <c r="K67" i="127"/>
  <c r="G67" i="127"/>
  <c r="V66" i="127"/>
  <c r="O66" i="127"/>
  <c r="M66" i="127"/>
  <c r="AA66" i="127" s="1"/>
  <c r="K66" i="127"/>
  <c r="G66" i="127"/>
  <c r="O65" i="127"/>
  <c r="K65" i="127"/>
  <c r="V64" i="127"/>
  <c r="M64" i="127" s="1"/>
  <c r="U64" i="127"/>
  <c r="O64" i="127"/>
  <c r="K64" i="127"/>
  <c r="G64" i="127"/>
  <c r="X63" i="127"/>
  <c r="W63" i="127"/>
  <c r="V63" i="127"/>
  <c r="M63" i="127" s="1"/>
  <c r="U63" i="127"/>
  <c r="O63" i="127"/>
  <c r="K63" i="127"/>
  <c r="G63" i="127"/>
  <c r="V62" i="127"/>
  <c r="M62" i="127" s="1"/>
  <c r="U62" i="127"/>
  <c r="O62" i="127"/>
  <c r="K62" i="127"/>
  <c r="G62" i="127"/>
  <c r="V61" i="127"/>
  <c r="M61" i="127" s="1"/>
  <c r="U61" i="127"/>
  <c r="O61" i="127"/>
  <c r="K61" i="127"/>
  <c r="G61" i="127"/>
  <c r="V60" i="127"/>
  <c r="M60" i="127" s="1"/>
  <c r="U60" i="127"/>
  <c r="O60" i="127"/>
  <c r="K60" i="127"/>
  <c r="G60" i="127"/>
  <c r="V59" i="127"/>
  <c r="M59" i="127" s="1"/>
  <c r="O59" i="127"/>
  <c r="K59" i="127"/>
  <c r="G59" i="127"/>
  <c r="O58" i="127"/>
  <c r="K58" i="127"/>
  <c r="AB57" i="127"/>
  <c r="O57" i="127"/>
  <c r="M57" i="127"/>
  <c r="AA57" i="127" s="1"/>
  <c r="K57" i="127"/>
  <c r="G57" i="127"/>
  <c r="AB56" i="127"/>
  <c r="AA56" i="127"/>
  <c r="Q56" i="127"/>
  <c r="P56" i="127"/>
  <c r="O56" i="127"/>
  <c r="N56" i="127"/>
  <c r="M56" i="127"/>
  <c r="K56" i="127"/>
  <c r="G56" i="127"/>
  <c r="O55" i="127"/>
  <c r="N55" i="127"/>
  <c r="Q55" i="127" s="1"/>
  <c r="M55" i="127"/>
  <c r="AB55" i="127" s="1"/>
  <c r="K55" i="127"/>
  <c r="G55" i="127"/>
  <c r="O54" i="127"/>
  <c r="M54" i="127"/>
  <c r="AB54" i="127" s="1"/>
  <c r="K54" i="127"/>
  <c r="G54" i="127"/>
  <c r="AB53" i="127"/>
  <c r="O53" i="127"/>
  <c r="M53" i="127"/>
  <c r="AA53" i="127" s="1"/>
  <c r="K53" i="127"/>
  <c r="G53" i="127"/>
  <c r="AB52" i="127"/>
  <c r="AA52" i="127"/>
  <c r="Q52" i="127"/>
  <c r="P52" i="127"/>
  <c r="O52" i="127"/>
  <c r="N52" i="127"/>
  <c r="M52" i="127"/>
  <c r="K52" i="127"/>
  <c r="G52" i="127"/>
  <c r="O51" i="127"/>
  <c r="N51" i="127"/>
  <c r="Q51" i="127" s="1"/>
  <c r="M51" i="127"/>
  <c r="AB51" i="127" s="1"/>
  <c r="K51" i="127"/>
  <c r="G51" i="127"/>
  <c r="O50" i="127"/>
  <c r="M50" i="127"/>
  <c r="AB50" i="127" s="1"/>
  <c r="K50" i="127"/>
  <c r="G50" i="127"/>
  <c r="O49" i="127"/>
  <c r="M49" i="127"/>
  <c r="AB49" i="127" s="1"/>
  <c r="K49" i="127"/>
  <c r="G49" i="127"/>
  <c r="O48" i="127"/>
  <c r="K48" i="127"/>
  <c r="V47" i="127"/>
  <c r="M47" i="127" s="1"/>
  <c r="U47" i="127"/>
  <c r="O47" i="127"/>
  <c r="K47" i="127"/>
  <c r="G47" i="127"/>
  <c r="V46" i="127"/>
  <c r="M46" i="127" s="1"/>
  <c r="U46" i="127"/>
  <c r="O46" i="127"/>
  <c r="K46" i="127"/>
  <c r="G46" i="127"/>
  <c r="V45" i="127"/>
  <c r="M45" i="127" s="1"/>
  <c r="U45" i="127"/>
  <c r="O45" i="127"/>
  <c r="K45" i="127"/>
  <c r="G45" i="127"/>
  <c r="X44" i="127"/>
  <c r="W44" i="127"/>
  <c r="V44" i="127"/>
  <c r="M44" i="127" s="1"/>
  <c r="U44" i="127"/>
  <c r="O44" i="127"/>
  <c r="K44" i="127"/>
  <c r="G44" i="127"/>
  <c r="V43" i="127"/>
  <c r="M43" i="127" s="1"/>
  <c r="U43" i="127"/>
  <c r="O43" i="127"/>
  <c r="K43" i="127"/>
  <c r="G43" i="127"/>
  <c r="V42" i="127"/>
  <c r="U42" i="127"/>
  <c r="O42" i="127"/>
  <c r="N42" i="127"/>
  <c r="Q42" i="127" s="1"/>
  <c r="M42" i="127"/>
  <c r="AB42" i="127" s="1"/>
  <c r="K42" i="127"/>
  <c r="G42" i="127"/>
  <c r="V41" i="127"/>
  <c r="U41" i="127"/>
  <c r="O41" i="127"/>
  <c r="M41" i="127"/>
  <c r="AB41" i="127" s="1"/>
  <c r="K41" i="127"/>
  <c r="G41" i="127"/>
  <c r="X40" i="127"/>
  <c r="W40" i="127"/>
  <c r="V40" i="127"/>
  <c r="M40" i="127" s="1"/>
  <c r="O40" i="127"/>
  <c r="K40" i="127"/>
  <c r="G40" i="127"/>
  <c r="O39" i="127"/>
  <c r="K39" i="127"/>
  <c r="V38" i="127"/>
  <c r="U38" i="127"/>
  <c r="O38" i="127"/>
  <c r="M38" i="127"/>
  <c r="AA38" i="127" s="1"/>
  <c r="K38" i="127"/>
  <c r="G38" i="127"/>
  <c r="AB37" i="127"/>
  <c r="AA37" i="127"/>
  <c r="V37" i="127"/>
  <c r="U37" i="127"/>
  <c r="O37" i="127"/>
  <c r="N37" i="127"/>
  <c r="Q37" i="127" s="1"/>
  <c r="M37" i="127"/>
  <c r="K37" i="127"/>
  <c r="G37" i="127"/>
  <c r="V36" i="127"/>
  <c r="M36" i="127" s="1"/>
  <c r="U36" i="127"/>
  <c r="O36" i="127"/>
  <c r="K36" i="127"/>
  <c r="G36" i="127"/>
  <c r="AB35" i="127"/>
  <c r="AA35" i="127"/>
  <c r="X35" i="127"/>
  <c r="W35" i="127"/>
  <c r="V35" i="127"/>
  <c r="U35" i="127"/>
  <c r="O35" i="127"/>
  <c r="N35" i="127"/>
  <c r="Q35" i="127" s="1"/>
  <c r="M35" i="127"/>
  <c r="K35" i="127"/>
  <c r="G35" i="127"/>
  <c r="V34" i="127"/>
  <c r="M34" i="127" s="1"/>
  <c r="U34" i="127"/>
  <c r="O34" i="127"/>
  <c r="K34" i="127"/>
  <c r="G34" i="127"/>
  <c r="V33" i="127"/>
  <c r="M33" i="127" s="1"/>
  <c r="U33" i="127"/>
  <c r="O33" i="127"/>
  <c r="K33" i="127"/>
  <c r="G33" i="127"/>
  <c r="V32" i="127"/>
  <c r="M32" i="127" s="1"/>
  <c r="U32" i="127"/>
  <c r="O32" i="127"/>
  <c r="K32" i="127"/>
  <c r="G32" i="127"/>
  <c r="X31" i="127"/>
  <c r="W31" i="127"/>
  <c r="V31" i="127"/>
  <c r="M31" i="127" s="1"/>
  <c r="O31" i="127"/>
  <c r="K31" i="127"/>
  <c r="G31" i="127"/>
  <c r="O30" i="127"/>
  <c r="K30" i="127"/>
  <c r="V29" i="127"/>
  <c r="M29" i="127" s="1"/>
  <c r="U29" i="127"/>
  <c r="O29" i="127"/>
  <c r="K29" i="127"/>
  <c r="G29" i="127"/>
  <c r="X28" i="127"/>
  <c r="W28" i="127"/>
  <c r="V28" i="127"/>
  <c r="M28" i="127" s="1"/>
  <c r="U28" i="127"/>
  <c r="O28" i="127"/>
  <c r="K28" i="127"/>
  <c r="G28" i="127"/>
  <c r="V27" i="127"/>
  <c r="M27" i="127" s="1"/>
  <c r="U27" i="127"/>
  <c r="O27" i="127"/>
  <c r="K27" i="127"/>
  <c r="G27" i="127"/>
  <c r="V26" i="127"/>
  <c r="U26" i="127"/>
  <c r="O26" i="127"/>
  <c r="N26" i="127"/>
  <c r="Q26" i="127" s="1"/>
  <c r="M26" i="127"/>
  <c r="AB26" i="127" s="1"/>
  <c r="K26" i="127"/>
  <c r="G26" i="127"/>
  <c r="V25" i="127"/>
  <c r="U25" i="127"/>
  <c r="O25" i="127"/>
  <c r="M25" i="127"/>
  <c r="AB25" i="127" s="1"/>
  <c r="K25" i="127"/>
  <c r="G25" i="127"/>
  <c r="V24" i="127"/>
  <c r="U24" i="127"/>
  <c r="O24" i="127"/>
  <c r="N24" i="127"/>
  <c r="Q24" i="127" s="1"/>
  <c r="M24" i="127"/>
  <c r="AB24" i="127" s="1"/>
  <c r="K24" i="127"/>
  <c r="G24" i="127"/>
  <c r="V23" i="127"/>
  <c r="U23" i="127"/>
  <c r="O23" i="127"/>
  <c r="M23" i="127"/>
  <c r="AB23" i="127" s="1"/>
  <c r="K23" i="127"/>
  <c r="G23" i="127"/>
  <c r="V22" i="127"/>
  <c r="U22" i="127"/>
  <c r="O22" i="127"/>
  <c r="M22" i="127"/>
  <c r="AA22" i="127" s="1"/>
  <c r="K22" i="127"/>
  <c r="G22" i="127"/>
  <c r="V21" i="127"/>
  <c r="O21" i="127"/>
  <c r="M21" i="127"/>
  <c r="AA21" i="127" s="1"/>
  <c r="K21" i="127"/>
  <c r="G21" i="127"/>
  <c r="O20" i="127"/>
  <c r="K20" i="127"/>
  <c r="V19" i="127"/>
  <c r="M19" i="127" s="1"/>
  <c r="U19" i="127"/>
  <c r="O19" i="127"/>
  <c r="K19" i="127"/>
  <c r="G19" i="127"/>
  <c r="X18" i="127"/>
  <c r="W18" i="127"/>
  <c r="V18" i="127"/>
  <c r="M18" i="127" s="1"/>
  <c r="U18" i="127"/>
  <c r="O18" i="127"/>
  <c r="K18" i="127"/>
  <c r="G18" i="127"/>
  <c r="V17" i="127"/>
  <c r="M17" i="127" s="1"/>
  <c r="U17" i="127"/>
  <c r="O17" i="127"/>
  <c r="K17" i="127"/>
  <c r="G17" i="127"/>
  <c r="V16" i="127"/>
  <c r="M16" i="127" s="1"/>
  <c r="U16" i="127"/>
  <c r="O16" i="127"/>
  <c r="K16" i="127"/>
  <c r="G16" i="127"/>
  <c r="V15" i="127"/>
  <c r="M15" i="127" s="1"/>
  <c r="U15" i="127"/>
  <c r="O15" i="127"/>
  <c r="K15" i="127"/>
  <c r="G15" i="127"/>
  <c r="V14" i="127"/>
  <c r="M14" i="127" s="1"/>
  <c r="U14" i="127"/>
  <c r="O14" i="127"/>
  <c r="K14" i="127"/>
  <c r="G14" i="127"/>
  <c r="X13" i="127"/>
  <c r="W13" i="127"/>
  <c r="V13" i="127"/>
  <c r="M13" i="127" s="1"/>
  <c r="O13" i="127"/>
  <c r="K13" i="127"/>
  <c r="G13" i="127"/>
  <c r="O12" i="127"/>
  <c r="M12" i="127"/>
  <c r="AB12" i="127" s="1"/>
  <c r="AC10" i="127" s="1"/>
  <c r="K12" i="127"/>
  <c r="V11" i="127"/>
  <c r="U11" i="127"/>
  <c r="O11" i="127"/>
  <c r="M11" i="127"/>
  <c r="AB11" i="127" s="1"/>
  <c r="K11" i="127"/>
  <c r="G11" i="127"/>
  <c r="V10" i="127"/>
  <c r="O10" i="127"/>
  <c r="M10" i="127"/>
  <c r="AB10" i="127" s="1"/>
  <c r="K10" i="127"/>
  <c r="G10" i="127"/>
  <c r="O9" i="127"/>
  <c r="K9" i="127"/>
  <c r="V8" i="127"/>
  <c r="M8" i="127" s="1"/>
  <c r="U8" i="127"/>
  <c r="O8" i="127"/>
  <c r="K8" i="127"/>
  <c r="G8" i="127"/>
  <c r="X7" i="127"/>
  <c r="W7" i="127"/>
  <c r="V7" i="127"/>
  <c r="M7" i="127" s="1"/>
  <c r="U7" i="127"/>
  <c r="O7" i="127"/>
  <c r="K7" i="127"/>
  <c r="G7" i="127"/>
  <c r="V6" i="127"/>
  <c r="M6" i="127" s="1"/>
  <c r="U6" i="127"/>
  <c r="O6" i="127"/>
  <c r="K6" i="127"/>
  <c r="G6" i="127"/>
  <c r="V5" i="127"/>
  <c r="M5" i="127" s="1"/>
  <c r="O5" i="127"/>
  <c r="K5" i="127"/>
  <c r="G5" i="127"/>
  <c r="H2" i="127"/>
  <c r="H1" i="127"/>
  <c r="F1" i="127"/>
  <c r="F2" i="127" s="1"/>
  <c r="D1" i="127"/>
  <c r="M18" i="126"/>
  <c r="L18" i="126"/>
  <c r="K18" i="126"/>
  <c r="J18" i="126"/>
  <c r="I18" i="126"/>
  <c r="H18" i="126"/>
  <c r="G18" i="126"/>
  <c r="F18" i="126"/>
  <c r="E18" i="126"/>
  <c r="D18" i="126"/>
  <c r="M17" i="126"/>
  <c r="L17" i="126"/>
  <c r="K17" i="126"/>
  <c r="J17" i="126"/>
  <c r="I17" i="126"/>
  <c r="H17" i="126"/>
  <c r="G17" i="126"/>
  <c r="F17" i="126"/>
  <c r="E17" i="126"/>
  <c r="D17" i="126"/>
  <c r="M16" i="126"/>
  <c r="L16" i="126"/>
  <c r="K16" i="126"/>
  <c r="J16" i="126"/>
  <c r="I16" i="126"/>
  <c r="H16" i="126"/>
  <c r="G16" i="126"/>
  <c r="F16" i="126"/>
  <c r="E16" i="126"/>
  <c r="D16" i="126"/>
  <c r="M13" i="126"/>
  <c r="L13" i="126"/>
  <c r="K13" i="126"/>
  <c r="I6" i="126" s="1"/>
  <c r="J13" i="126"/>
  <c r="I13" i="126"/>
  <c r="H13" i="126"/>
  <c r="E6" i="126" s="1"/>
  <c r="G13" i="126"/>
  <c r="F13" i="126"/>
  <c r="E13" i="126"/>
  <c r="D13" i="126"/>
  <c r="F6" i="126" s="1"/>
  <c r="I3" i="126"/>
  <c r="F3" i="126"/>
  <c r="C3" i="126"/>
  <c r="F7" i="132" l="1"/>
  <c r="G7" i="132"/>
  <c r="G8" i="132"/>
  <c r="F8" i="132"/>
  <c r="K15" i="132"/>
  <c r="I8" i="132" s="1"/>
  <c r="I7" i="132"/>
  <c r="E7" i="132"/>
  <c r="Q37" i="131"/>
  <c r="R29" i="131" s="1"/>
  <c r="P37" i="131"/>
  <c r="K14" i="130"/>
  <c r="L14" i="130"/>
  <c r="L15" i="130" s="1"/>
  <c r="Q46" i="131"/>
  <c r="R38" i="131" s="1"/>
  <c r="P46" i="131"/>
  <c r="D15" i="130"/>
  <c r="Q77" i="131"/>
  <c r="R69" i="131" s="1"/>
  <c r="P77" i="131"/>
  <c r="M14" i="130"/>
  <c r="M15" i="130" s="1"/>
  <c r="Q63" i="131"/>
  <c r="R57" i="131" s="1"/>
  <c r="P63" i="131"/>
  <c r="I14" i="130"/>
  <c r="I15" i="130" s="1"/>
  <c r="H14" i="130"/>
  <c r="H15" i="130" s="1"/>
  <c r="Q56" i="131"/>
  <c r="R47" i="131" s="1"/>
  <c r="P56" i="131"/>
  <c r="Q12" i="131"/>
  <c r="R10" i="131" s="1"/>
  <c r="P12" i="131"/>
  <c r="E14" i="130"/>
  <c r="E15" i="130" s="1"/>
  <c r="G14" i="130"/>
  <c r="G15" i="130" s="1"/>
  <c r="Q28" i="131"/>
  <c r="R20" i="131" s="1"/>
  <c r="P28" i="131"/>
  <c r="P70" i="129"/>
  <c r="Q70" i="129"/>
  <c r="P5" i="129"/>
  <c r="Q5" i="129"/>
  <c r="AA31" i="129"/>
  <c r="AB31" i="129"/>
  <c r="AC22" i="129" s="1"/>
  <c r="N31" i="129"/>
  <c r="P53" i="129"/>
  <c r="Q53" i="129"/>
  <c r="Q49" i="129"/>
  <c r="R41" i="129" s="1"/>
  <c r="L14" i="128"/>
  <c r="L15" i="128" s="1"/>
  <c r="P49" i="129"/>
  <c r="Q32" i="129"/>
  <c r="P32" i="129"/>
  <c r="P44" i="129"/>
  <c r="Q44" i="129"/>
  <c r="F14" i="128"/>
  <c r="F15" i="128" s="1"/>
  <c r="Q21" i="129"/>
  <c r="R13" i="129" s="1"/>
  <c r="P21" i="129"/>
  <c r="P41" i="129"/>
  <c r="Q41" i="129"/>
  <c r="Q27" i="129"/>
  <c r="P27" i="129"/>
  <c r="Q64" i="129"/>
  <c r="P64" i="129"/>
  <c r="P22" i="129"/>
  <c r="Q22" i="129"/>
  <c r="Q75" i="129"/>
  <c r="P75" i="129"/>
  <c r="Q9" i="129"/>
  <c r="R5" i="129" s="1"/>
  <c r="D14" i="128"/>
  <c r="P9" i="129"/>
  <c r="Q60" i="129"/>
  <c r="P60" i="129"/>
  <c r="P30" i="129"/>
  <c r="Q30" i="129"/>
  <c r="Q33" i="129"/>
  <c r="P33" i="129"/>
  <c r="AB81" i="129"/>
  <c r="AC73" i="129" s="1"/>
  <c r="AA81" i="129"/>
  <c r="N81" i="129"/>
  <c r="Q24" i="129"/>
  <c r="P24" i="129"/>
  <c r="P11" i="129"/>
  <c r="Q11" i="129"/>
  <c r="Q61" i="129"/>
  <c r="P61" i="129"/>
  <c r="P28" i="129"/>
  <c r="Q28" i="129"/>
  <c r="Q76" i="129"/>
  <c r="P76" i="129"/>
  <c r="Q57" i="129"/>
  <c r="P57" i="129"/>
  <c r="Q54" i="129"/>
  <c r="P54" i="129"/>
  <c r="Q38" i="129"/>
  <c r="P38" i="129"/>
  <c r="P16" i="129"/>
  <c r="Q16" i="129"/>
  <c r="Q15" i="129"/>
  <c r="P15" i="129"/>
  <c r="Q7" i="129"/>
  <c r="P7" i="129"/>
  <c r="Q25" i="129"/>
  <c r="P25" i="129"/>
  <c r="Q66" i="129"/>
  <c r="P66" i="129"/>
  <c r="Q63" i="129"/>
  <c r="P63" i="129"/>
  <c r="Q74" i="129"/>
  <c r="P74" i="129"/>
  <c r="Q78" i="129"/>
  <c r="P78" i="129"/>
  <c r="N67" i="129"/>
  <c r="AB67" i="129"/>
  <c r="AC60" i="129" s="1"/>
  <c r="AA67" i="129"/>
  <c r="P13" i="129"/>
  <c r="Q13" i="129"/>
  <c r="P48" i="129"/>
  <c r="Q48" i="129"/>
  <c r="AB72" i="129"/>
  <c r="AC68" i="129" s="1"/>
  <c r="AA72" i="129"/>
  <c r="N72" i="129"/>
  <c r="Q73" i="129"/>
  <c r="P73" i="129"/>
  <c r="P77" i="129"/>
  <c r="Q77" i="129"/>
  <c r="Q65" i="129"/>
  <c r="P65" i="129"/>
  <c r="Q52" i="129"/>
  <c r="P52" i="129"/>
  <c r="P46" i="129"/>
  <c r="Q46" i="129"/>
  <c r="P20" i="129"/>
  <c r="Q20" i="129"/>
  <c r="Q37" i="129"/>
  <c r="P37" i="129"/>
  <c r="Q51" i="129"/>
  <c r="P51" i="129"/>
  <c r="Q34" i="129"/>
  <c r="P34" i="129"/>
  <c r="Q43" i="129"/>
  <c r="P43" i="129"/>
  <c r="Q69" i="129"/>
  <c r="P69" i="129"/>
  <c r="P18" i="129"/>
  <c r="Q18" i="129"/>
  <c r="AA12" i="129"/>
  <c r="N12" i="129"/>
  <c r="AB12" i="129"/>
  <c r="AC10" i="129" s="1"/>
  <c r="Q80" i="129"/>
  <c r="P80" i="129"/>
  <c r="Q55" i="129"/>
  <c r="P55" i="129"/>
  <c r="AB59" i="129"/>
  <c r="AC50" i="129" s="1"/>
  <c r="AA59" i="129"/>
  <c r="N59" i="129"/>
  <c r="Q62" i="129"/>
  <c r="P62" i="129"/>
  <c r="Q68" i="129"/>
  <c r="P68" i="129"/>
  <c r="P8" i="129"/>
  <c r="Q8" i="129"/>
  <c r="P10" i="129"/>
  <c r="Q10" i="129"/>
  <c r="Q36" i="129"/>
  <c r="P36" i="129"/>
  <c r="P79" i="129"/>
  <c r="Q79" i="129"/>
  <c r="P23" i="129"/>
  <c r="Q23" i="129"/>
  <c r="P6" i="129"/>
  <c r="Q6" i="129"/>
  <c r="Q35" i="129"/>
  <c r="P35" i="129"/>
  <c r="P39" i="129"/>
  <c r="Q39" i="129"/>
  <c r="AA40" i="129"/>
  <c r="N40" i="129"/>
  <c r="AB40" i="129"/>
  <c r="AC32" i="129" s="1"/>
  <c r="P50" i="129"/>
  <c r="Q50" i="129"/>
  <c r="N32" i="127"/>
  <c r="AB32" i="127"/>
  <c r="AA32" i="127"/>
  <c r="AB60" i="127"/>
  <c r="AA60" i="127"/>
  <c r="N60" i="127"/>
  <c r="N46" i="127"/>
  <c r="AB46" i="127"/>
  <c r="AA46" i="127"/>
  <c r="N5" i="127"/>
  <c r="M9" i="127"/>
  <c r="AB5" i="127"/>
  <c r="AA5" i="127"/>
  <c r="N18" i="127"/>
  <c r="AB18" i="127"/>
  <c r="AA18" i="127"/>
  <c r="N6" i="127"/>
  <c r="AB6" i="127"/>
  <c r="AA6" i="127"/>
  <c r="N8" i="127"/>
  <c r="AB8" i="127"/>
  <c r="AA8" i="127"/>
  <c r="AB72" i="127"/>
  <c r="AA72" i="127"/>
  <c r="N72" i="127"/>
  <c r="N77" i="127"/>
  <c r="AB77" i="127"/>
  <c r="AA77" i="127"/>
  <c r="N13" i="127"/>
  <c r="AB13" i="127"/>
  <c r="M20" i="127"/>
  <c r="AA13" i="127"/>
  <c r="N16" i="127"/>
  <c r="AB16" i="127"/>
  <c r="AA16" i="127"/>
  <c r="N34" i="127"/>
  <c r="AB34" i="127"/>
  <c r="AA34" i="127"/>
  <c r="AB27" i="127"/>
  <c r="AA27" i="127"/>
  <c r="N27" i="127"/>
  <c r="AB29" i="127"/>
  <c r="AA29" i="127"/>
  <c r="N29" i="127"/>
  <c r="AB40" i="127"/>
  <c r="AA40" i="127"/>
  <c r="M48" i="127"/>
  <c r="N40" i="127"/>
  <c r="N63" i="127"/>
  <c r="AB63" i="127"/>
  <c r="AA63" i="127"/>
  <c r="N75" i="127"/>
  <c r="AB75" i="127"/>
  <c r="AA75" i="127"/>
  <c r="N61" i="127"/>
  <c r="AB61" i="127"/>
  <c r="AA61" i="127"/>
  <c r="N73" i="127"/>
  <c r="AB73" i="127"/>
  <c r="AA73" i="127"/>
  <c r="N44" i="127"/>
  <c r="AB44" i="127"/>
  <c r="AA44" i="127"/>
  <c r="N36" i="127"/>
  <c r="AB36" i="127"/>
  <c r="AA36" i="127"/>
  <c r="N17" i="127"/>
  <c r="AB17" i="127"/>
  <c r="AA17" i="127"/>
  <c r="N19" i="127"/>
  <c r="AB19" i="127"/>
  <c r="AA19" i="127"/>
  <c r="M65" i="127"/>
  <c r="AB59" i="127"/>
  <c r="AA59" i="127"/>
  <c r="N59" i="127"/>
  <c r="N78" i="127"/>
  <c r="AB78" i="127"/>
  <c r="AA78" i="127"/>
  <c r="N64" i="127"/>
  <c r="AB64" i="127"/>
  <c r="AA64" i="127"/>
  <c r="AB14" i="127"/>
  <c r="AA14" i="127"/>
  <c r="N14" i="127"/>
  <c r="N7" i="127"/>
  <c r="AB7" i="127"/>
  <c r="AA7" i="127"/>
  <c r="N71" i="127"/>
  <c r="AB71" i="127"/>
  <c r="AA71" i="127"/>
  <c r="M79" i="127"/>
  <c r="N28" i="127"/>
  <c r="AB28" i="127"/>
  <c r="AA28" i="127"/>
  <c r="AB15" i="127"/>
  <c r="AA15" i="127"/>
  <c r="N15" i="127"/>
  <c r="N31" i="127"/>
  <c r="AB31" i="127"/>
  <c r="AA31" i="127"/>
  <c r="M39" i="127"/>
  <c r="N33" i="127"/>
  <c r="AB33" i="127"/>
  <c r="AA33" i="127"/>
  <c r="N47" i="127"/>
  <c r="AB47" i="127"/>
  <c r="AA47" i="127"/>
  <c r="N76" i="127"/>
  <c r="AB76" i="127"/>
  <c r="AA76" i="127"/>
  <c r="N62" i="127"/>
  <c r="AB62" i="127"/>
  <c r="AA62" i="127"/>
  <c r="AB43" i="127"/>
  <c r="AA43" i="127"/>
  <c r="N43" i="127"/>
  <c r="AB45" i="127"/>
  <c r="AA45" i="127"/>
  <c r="N45" i="127"/>
  <c r="N74" i="127"/>
  <c r="AB74" i="127"/>
  <c r="AA74" i="127"/>
  <c r="AB21" i="127"/>
  <c r="AB22" i="127"/>
  <c r="AB38" i="127"/>
  <c r="AB66" i="127"/>
  <c r="AB67" i="127"/>
  <c r="M70" i="127"/>
  <c r="G6" i="126"/>
  <c r="N12" i="127"/>
  <c r="N25" i="127"/>
  <c r="N41" i="127"/>
  <c r="M58" i="127"/>
  <c r="P26" i="127"/>
  <c r="P42" i="127"/>
  <c r="P51" i="127"/>
  <c r="P55" i="127"/>
  <c r="N10" i="127"/>
  <c r="N11" i="127"/>
  <c r="N23" i="127"/>
  <c r="N50" i="127"/>
  <c r="N54" i="127"/>
  <c r="N68" i="127"/>
  <c r="N21" i="127"/>
  <c r="N22" i="127"/>
  <c r="P24" i="127"/>
  <c r="N38" i="127"/>
  <c r="N49" i="127"/>
  <c r="AA51" i="127"/>
  <c r="AA55" i="127"/>
  <c r="N66" i="127"/>
  <c r="N67" i="127"/>
  <c r="P69" i="127"/>
  <c r="AA12" i="127"/>
  <c r="AA26" i="127"/>
  <c r="AA42" i="127"/>
  <c r="N53" i="127"/>
  <c r="N57" i="127"/>
  <c r="AA25" i="127"/>
  <c r="P35" i="127"/>
  <c r="P37" i="127"/>
  <c r="AA41" i="127"/>
  <c r="AA50" i="127"/>
  <c r="AA54" i="127"/>
  <c r="AA24" i="127"/>
  <c r="M30" i="127"/>
  <c r="AA69" i="127"/>
  <c r="AA10" i="127"/>
  <c r="AA11" i="127"/>
  <c r="AA23" i="127"/>
  <c r="AA49" i="127"/>
  <c r="AA68" i="127"/>
  <c r="O78" i="125"/>
  <c r="K78" i="125"/>
  <c r="V77" i="125"/>
  <c r="U77" i="125"/>
  <c r="O77" i="125"/>
  <c r="M77" i="125"/>
  <c r="N77" i="125" s="1"/>
  <c r="K77" i="125"/>
  <c r="G77" i="125"/>
  <c r="AB76" i="125"/>
  <c r="X76" i="125"/>
  <c r="W76" i="125"/>
  <c r="V76" i="125"/>
  <c r="U76" i="125"/>
  <c r="O76" i="125"/>
  <c r="N76" i="125"/>
  <c r="Q76" i="125" s="1"/>
  <c r="M76" i="125"/>
  <c r="AA76" i="125" s="1"/>
  <c r="K76" i="125"/>
  <c r="G76" i="125"/>
  <c r="V75" i="125"/>
  <c r="M75" i="125" s="1"/>
  <c r="N75" i="125" s="1"/>
  <c r="U75" i="125"/>
  <c r="O75" i="125"/>
  <c r="K75" i="125"/>
  <c r="G75" i="125"/>
  <c r="V74" i="125"/>
  <c r="U74" i="125"/>
  <c r="O74" i="125"/>
  <c r="M74" i="125"/>
  <c r="N74" i="125" s="1"/>
  <c r="K74" i="125"/>
  <c r="G74" i="125"/>
  <c r="V73" i="125"/>
  <c r="M73" i="125" s="1"/>
  <c r="U73" i="125"/>
  <c r="O73" i="125"/>
  <c r="K73" i="125"/>
  <c r="G73" i="125"/>
  <c r="AA72" i="125"/>
  <c r="V72" i="125"/>
  <c r="M72" i="125" s="1"/>
  <c r="U72" i="125"/>
  <c r="O72" i="125"/>
  <c r="K72" i="125"/>
  <c r="G72" i="125"/>
  <c r="V71" i="125"/>
  <c r="M71" i="125" s="1"/>
  <c r="N71" i="125" s="1"/>
  <c r="U71" i="125"/>
  <c r="O71" i="125"/>
  <c r="K71" i="125"/>
  <c r="G71" i="125"/>
  <c r="X70" i="125"/>
  <c r="W70" i="125"/>
  <c r="V70" i="125"/>
  <c r="O70" i="125"/>
  <c r="M70" i="125"/>
  <c r="M78" i="125" s="1"/>
  <c r="K70" i="125"/>
  <c r="G70" i="125"/>
  <c r="O69" i="125"/>
  <c r="K69" i="125"/>
  <c r="AB68" i="125"/>
  <c r="AA68" i="125"/>
  <c r="V68" i="125"/>
  <c r="U68" i="125"/>
  <c r="O68" i="125"/>
  <c r="M68" i="125"/>
  <c r="N68" i="125" s="1"/>
  <c r="K68" i="125"/>
  <c r="G68" i="125"/>
  <c r="V67" i="125"/>
  <c r="U67" i="125"/>
  <c r="O67" i="125"/>
  <c r="M67" i="125"/>
  <c r="K67" i="125"/>
  <c r="G67" i="125"/>
  <c r="V66" i="125"/>
  <c r="U66" i="125"/>
  <c r="O66" i="125"/>
  <c r="M66" i="125"/>
  <c r="AA66" i="125" s="1"/>
  <c r="K66" i="125"/>
  <c r="G66" i="125"/>
  <c r="V65" i="125"/>
  <c r="O65" i="125"/>
  <c r="N65" i="125"/>
  <c r="Q65" i="125" s="1"/>
  <c r="M65" i="125"/>
  <c r="K65" i="125"/>
  <c r="G65" i="125"/>
  <c r="O64" i="125"/>
  <c r="K64" i="125"/>
  <c r="V63" i="125"/>
  <c r="U63" i="125"/>
  <c r="O63" i="125"/>
  <c r="M63" i="125"/>
  <c r="K63" i="125"/>
  <c r="G63" i="125"/>
  <c r="X62" i="125"/>
  <c r="W62" i="125"/>
  <c r="V62" i="125"/>
  <c r="M62" i="125" s="1"/>
  <c r="U62" i="125"/>
  <c r="O62" i="125"/>
  <c r="K62" i="125"/>
  <c r="G62" i="125"/>
  <c r="AB61" i="125"/>
  <c r="AA61" i="125"/>
  <c r="V61" i="125"/>
  <c r="U61" i="125"/>
  <c r="O61" i="125"/>
  <c r="M61" i="125"/>
  <c r="N61" i="125" s="1"/>
  <c r="Q61" i="125" s="1"/>
  <c r="K61" i="125"/>
  <c r="G61" i="125"/>
  <c r="AB60" i="125"/>
  <c r="V60" i="125"/>
  <c r="M60" i="125" s="1"/>
  <c r="N60" i="125" s="1"/>
  <c r="U60" i="125"/>
  <c r="O60" i="125"/>
  <c r="K60" i="125"/>
  <c r="G60" i="125"/>
  <c r="V59" i="125"/>
  <c r="U59" i="125"/>
  <c r="O59" i="125"/>
  <c r="M59" i="125"/>
  <c r="N59" i="125" s="1"/>
  <c r="K59" i="125"/>
  <c r="G59" i="125"/>
  <c r="V58" i="125"/>
  <c r="O58" i="125"/>
  <c r="M58" i="125"/>
  <c r="K58" i="125"/>
  <c r="G58" i="125"/>
  <c r="O57" i="125"/>
  <c r="K57" i="125"/>
  <c r="H13" i="124" s="1"/>
  <c r="G6" i="124" s="1"/>
  <c r="V56" i="125"/>
  <c r="U56" i="125"/>
  <c r="O56" i="125"/>
  <c r="M56" i="125"/>
  <c r="AA56" i="125" s="1"/>
  <c r="K56" i="125"/>
  <c r="G56" i="125"/>
  <c r="AB55" i="125"/>
  <c r="AA55" i="125"/>
  <c r="V55" i="125"/>
  <c r="U55" i="125"/>
  <c r="O55" i="125"/>
  <c r="N55" i="125"/>
  <c r="M55" i="125"/>
  <c r="K55" i="125"/>
  <c r="G55" i="125"/>
  <c r="X54" i="125"/>
  <c r="W54" i="125"/>
  <c r="V54" i="125"/>
  <c r="U54" i="125"/>
  <c r="O54" i="125"/>
  <c r="M54" i="125"/>
  <c r="K54" i="125"/>
  <c r="G54" i="125"/>
  <c r="V53" i="125"/>
  <c r="M53" i="125" s="1"/>
  <c r="U53" i="125"/>
  <c r="O53" i="125"/>
  <c r="K53" i="125"/>
  <c r="G53" i="125"/>
  <c r="V52" i="125"/>
  <c r="M52" i="125" s="1"/>
  <c r="U52" i="125"/>
  <c r="O52" i="125"/>
  <c r="K52" i="125"/>
  <c r="G52" i="125"/>
  <c r="V51" i="125"/>
  <c r="M51" i="125" s="1"/>
  <c r="N51" i="125" s="1"/>
  <c r="U51" i="125"/>
  <c r="O51" i="125"/>
  <c r="K51" i="125"/>
  <c r="G51" i="125"/>
  <c r="AB50" i="125"/>
  <c r="AA50" i="125"/>
  <c r="V50" i="125"/>
  <c r="U50" i="125"/>
  <c r="O50" i="125"/>
  <c r="M50" i="125"/>
  <c r="N50" i="125" s="1"/>
  <c r="K50" i="125"/>
  <c r="G50" i="125"/>
  <c r="V49" i="125"/>
  <c r="U49" i="125"/>
  <c r="O49" i="125"/>
  <c r="M49" i="125"/>
  <c r="N49" i="125" s="1"/>
  <c r="K49" i="125"/>
  <c r="G49" i="125"/>
  <c r="AB48" i="125"/>
  <c r="AA48" i="125"/>
  <c r="X48" i="125"/>
  <c r="W48" i="125"/>
  <c r="V48" i="125"/>
  <c r="M48" i="125" s="1"/>
  <c r="N48" i="125" s="1"/>
  <c r="O48" i="125"/>
  <c r="K48" i="125"/>
  <c r="G48" i="125"/>
  <c r="O47" i="125"/>
  <c r="K47" i="125"/>
  <c r="V46" i="125"/>
  <c r="U46" i="125"/>
  <c r="O46" i="125"/>
  <c r="M46" i="125"/>
  <c r="AA46" i="125" s="1"/>
  <c r="K46" i="125"/>
  <c r="G46" i="125"/>
  <c r="V45" i="125"/>
  <c r="U45" i="125"/>
  <c r="O45" i="125"/>
  <c r="M45" i="125"/>
  <c r="N45" i="125" s="1"/>
  <c r="K45" i="125"/>
  <c r="G45" i="125"/>
  <c r="V44" i="125"/>
  <c r="M44" i="125" s="1"/>
  <c r="U44" i="125"/>
  <c r="O44" i="125"/>
  <c r="K44" i="125"/>
  <c r="G44" i="125"/>
  <c r="X43" i="125"/>
  <c r="W43" i="125"/>
  <c r="V43" i="125"/>
  <c r="U43" i="125"/>
  <c r="O43" i="125"/>
  <c r="M43" i="125"/>
  <c r="AB43" i="125" s="1"/>
  <c r="K43" i="125"/>
  <c r="G43" i="125"/>
  <c r="V42" i="125"/>
  <c r="M42" i="125" s="1"/>
  <c r="N42" i="125" s="1"/>
  <c r="U42" i="125"/>
  <c r="O42" i="125"/>
  <c r="K42" i="125"/>
  <c r="G42" i="125"/>
  <c r="AB41" i="125"/>
  <c r="AA41" i="125"/>
  <c r="V41" i="125"/>
  <c r="U41" i="125"/>
  <c r="O41" i="125"/>
  <c r="M41" i="125"/>
  <c r="N41" i="125" s="1"/>
  <c r="K41" i="125"/>
  <c r="G41" i="125"/>
  <c r="V40" i="125"/>
  <c r="U40" i="125"/>
  <c r="O40" i="125"/>
  <c r="M40" i="125"/>
  <c r="AA40" i="125" s="1"/>
  <c r="K40" i="125"/>
  <c r="G40" i="125"/>
  <c r="X39" i="125"/>
  <c r="W39" i="125"/>
  <c r="V39" i="125"/>
  <c r="M39" i="125" s="1"/>
  <c r="O39" i="125"/>
  <c r="K39" i="125"/>
  <c r="G39" i="125"/>
  <c r="O38" i="125"/>
  <c r="K38" i="125"/>
  <c r="V37" i="125"/>
  <c r="M37" i="125" s="1"/>
  <c r="U37" i="125"/>
  <c r="O37" i="125"/>
  <c r="N37" i="125"/>
  <c r="P37" i="125" s="1"/>
  <c r="K37" i="125"/>
  <c r="G37" i="125"/>
  <c r="V36" i="125"/>
  <c r="U36" i="125"/>
  <c r="O36" i="125"/>
  <c r="M36" i="125"/>
  <c r="K36" i="125"/>
  <c r="G36" i="125"/>
  <c r="X35" i="125"/>
  <c r="W35" i="125"/>
  <c r="V35" i="125"/>
  <c r="M35" i="125" s="1"/>
  <c r="AA35" i="125" s="1"/>
  <c r="U35" i="125"/>
  <c r="O35" i="125"/>
  <c r="K35" i="125"/>
  <c r="G35" i="125"/>
  <c r="V34" i="125"/>
  <c r="U34" i="125"/>
  <c r="O34" i="125"/>
  <c r="M34" i="125"/>
  <c r="N34" i="125" s="1"/>
  <c r="P34" i="125" s="1"/>
  <c r="K34" i="125"/>
  <c r="G34" i="125"/>
  <c r="AB33" i="125"/>
  <c r="V33" i="125"/>
  <c r="U33" i="125"/>
  <c r="O33" i="125"/>
  <c r="M33" i="125"/>
  <c r="N33" i="125" s="1"/>
  <c r="K33" i="125"/>
  <c r="G33" i="125"/>
  <c r="V32" i="125"/>
  <c r="U32" i="125"/>
  <c r="O32" i="125"/>
  <c r="M32" i="125"/>
  <c r="AA32" i="125" s="1"/>
  <c r="K32" i="125"/>
  <c r="G32" i="125"/>
  <c r="X31" i="125"/>
  <c r="W31" i="125"/>
  <c r="V31" i="125"/>
  <c r="O31" i="125"/>
  <c r="N31" i="125"/>
  <c r="Q31" i="125" s="1"/>
  <c r="M31" i="125"/>
  <c r="K31" i="125"/>
  <c r="G31" i="125"/>
  <c r="O30" i="125"/>
  <c r="K30" i="125"/>
  <c r="V29" i="125"/>
  <c r="U29" i="125"/>
  <c r="O29" i="125"/>
  <c r="M29" i="125"/>
  <c r="K29" i="125"/>
  <c r="G29" i="125"/>
  <c r="X28" i="125"/>
  <c r="W28" i="125"/>
  <c r="V28" i="125"/>
  <c r="M28" i="125" s="1"/>
  <c r="U28" i="125"/>
  <c r="O28" i="125"/>
  <c r="K28" i="125"/>
  <c r="G28" i="125"/>
  <c r="AB27" i="125"/>
  <c r="AA27" i="125"/>
  <c r="V27" i="125"/>
  <c r="U27" i="125"/>
  <c r="Q27" i="125"/>
  <c r="P27" i="125"/>
  <c r="O27" i="125"/>
  <c r="M27" i="125"/>
  <c r="N27" i="125" s="1"/>
  <c r="K27" i="125"/>
  <c r="G27" i="125"/>
  <c r="V26" i="125"/>
  <c r="M26" i="125" s="1"/>
  <c r="N26" i="125" s="1"/>
  <c r="U26" i="125"/>
  <c r="O26" i="125"/>
  <c r="K26" i="125"/>
  <c r="G26" i="125"/>
  <c r="V25" i="125"/>
  <c r="U25" i="125"/>
  <c r="O25" i="125"/>
  <c r="M25" i="125"/>
  <c r="AA25" i="125" s="1"/>
  <c r="K25" i="125"/>
  <c r="G25" i="125"/>
  <c r="AB24" i="125"/>
  <c r="V24" i="125"/>
  <c r="U24" i="125"/>
  <c r="O24" i="125"/>
  <c r="M24" i="125"/>
  <c r="AA24" i="125" s="1"/>
  <c r="K24" i="125"/>
  <c r="G24" i="125"/>
  <c r="V23" i="125"/>
  <c r="U23" i="125"/>
  <c r="O23" i="125"/>
  <c r="M23" i="125"/>
  <c r="AA23" i="125" s="1"/>
  <c r="K23" i="125"/>
  <c r="G23" i="125"/>
  <c r="V22" i="125"/>
  <c r="U22" i="125"/>
  <c r="O22" i="125"/>
  <c r="M22" i="125"/>
  <c r="K22" i="125"/>
  <c r="G22" i="125"/>
  <c r="V21" i="125"/>
  <c r="M21" i="125" s="1"/>
  <c r="O21" i="125"/>
  <c r="K21" i="125"/>
  <c r="G21" i="125"/>
  <c r="O20" i="125"/>
  <c r="K20" i="125"/>
  <c r="V19" i="125"/>
  <c r="M19" i="125" s="1"/>
  <c r="N19" i="125" s="1"/>
  <c r="U19" i="125"/>
  <c r="O19" i="125"/>
  <c r="K19" i="125"/>
  <c r="G19" i="125"/>
  <c r="X18" i="125"/>
  <c r="W18" i="125"/>
  <c r="V18" i="125"/>
  <c r="M18" i="125" s="1"/>
  <c r="U18" i="125"/>
  <c r="O18" i="125"/>
  <c r="K18" i="125"/>
  <c r="G18" i="125"/>
  <c r="V17" i="125"/>
  <c r="M17" i="125" s="1"/>
  <c r="N17" i="125" s="1"/>
  <c r="U17" i="125"/>
  <c r="O17" i="125"/>
  <c r="K17" i="125"/>
  <c r="G17" i="125"/>
  <c r="V16" i="125"/>
  <c r="U16" i="125"/>
  <c r="O16" i="125"/>
  <c r="M16" i="125"/>
  <c r="N16" i="125" s="1"/>
  <c r="K16" i="125"/>
  <c r="G16" i="125"/>
  <c r="V15" i="125"/>
  <c r="U15" i="125"/>
  <c r="O15" i="125"/>
  <c r="M15" i="125"/>
  <c r="N15" i="125" s="1"/>
  <c r="K15" i="125"/>
  <c r="G15" i="125"/>
  <c r="AB14" i="125"/>
  <c r="V14" i="125"/>
  <c r="U14" i="125"/>
  <c r="O14" i="125"/>
  <c r="M14" i="125"/>
  <c r="AA14" i="125" s="1"/>
  <c r="K14" i="125"/>
  <c r="G14" i="125"/>
  <c r="X13" i="125"/>
  <c r="W13" i="125"/>
  <c r="V13" i="125"/>
  <c r="O13" i="125"/>
  <c r="M13" i="125"/>
  <c r="K13" i="125"/>
  <c r="G13" i="125"/>
  <c r="O12" i="125"/>
  <c r="K12" i="125"/>
  <c r="V11" i="125"/>
  <c r="U11" i="125"/>
  <c r="O11" i="125"/>
  <c r="M11" i="125"/>
  <c r="N11" i="125" s="1"/>
  <c r="K11" i="125"/>
  <c r="G11" i="125"/>
  <c r="V10" i="125"/>
  <c r="M10" i="125" s="1"/>
  <c r="O10" i="125"/>
  <c r="K10" i="125"/>
  <c r="G10" i="125"/>
  <c r="O9" i="125"/>
  <c r="K9" i="125"/>
  <c r="V8" i="125"/>
  <c r="M8" i="125" s="1"/>
  <c r="U8" i="125"/>
  <c r="O8" i="125"/>
  <c r="K8" i="125"/>
  <c r="G8" i="125"/>
  <c r="X7" i="125"/>
  <c r="W7" i="125"/>
  <c r="V7" i="125"/>
  <c r="U7" i="125"/>
  <c r="O7" i="125"/>
  <c r="M7" i="125"/>
  <c r="AB7" i="125" s="1"/>
  <c r="K7" i="125"/>
  <c r="G7" i="125"/>
  <c r="V6" i="125"/>
  <c r="M6" i="125" s="1"/>
  <c r="N6" i="125" s="1"/>
  <c r="U6" i="125"/>
  <c r="O6" i="125"/>
  <c r="K6" i="125"/>
  <c r="G6" i="125"/>
  <c r="V5" i="125"/>
  <c r="O5" i="125"/>
  <c r="M5" i="125"/>
  <c r="AB5" i="125" s="1"/>
  <c r="K5" i="125"/>
  <c r="G5" i="125"/>
  <c r="H2" i="125"/>
  <c r="H1" i="125"/>
  <c r="D1" i="125"/>
  <c r="M18" i="124"/>
  <c r="L18" i="124"/>
  <c r="K18" i="124"/>
  <c r="J18" i="124"/>
  <c r="I18" i="124"/>
  <c r="H18" i="124"/>
  <c r="G18" i="124"/>
  <c r="F18" i="124"/>
  <c r="E18" i="124"/>
  <c r="D18" i="124"/>
  <c r="M17" i="124"/>
  <c r="L17" i="124"/>
  <c r="K17" i="124"/>
  <c r="J17" i="124"/>
  <c r="I17" i="124"/>
  <c r="H17" i="124"/>
  <c r="G17" i="124"/>
  <c r="F17" i="124"/>
  <c r="E17" i="124"/>
  <c r="D17" i="124"/>
  <c r="M16" i="124"/>
  <c r="L16" i="124"/>
  <c r="K16" i="124"/>
  <c r="J16" i="124"/>
  <c r="I16" i="124"/>
  <c r="H16" i="124"/>
  <c r="G16" i="124"/>
  <c r="F16" i="124"/>
  <c r="E16" i="124"/>
  <c r="D16" i="124"/>
  <c r="M13" i="124"/>
  <c r="L13" i="124"/>
  <c r="K13" i="124"/>
  <c r="J13" i="124"/>
  <c r="I13" i="124"/>
  <c r="G13" i="124"/>
  <c r="F13" i="124"/>
  <c r="E13" i="124"/>
  <c r="D13" i="124"/>
  <c r="F3" i="124"/>
  <c r="C3" i="124"/>
  <c r="E8" i="132" l="1"/>
  <c r="E7" i="130"/>
  <c r="F7" i="130"/>
  <c r="G7" i="130"/>
  <c r="G8" i="130"/>
  <c r="F8" i="130"/>
  <c r="K15" i="130"/>
  <c r="I8" i="130" s="1"/>
  <c r="I7" i="130"/>
  <c r="Q72" i="129"/>
  <c r="R68" i="129" s="1"/>
  <c r="P72" i="129"/>
  <c r="J14" i="128"/>
  <c r="J15" i="128" s="1"/>
  <c r="H14" i="128"/>
  <c r="H15" i="128" s="1"/>
  <c r="P59" i="129"/>
  <c r="Q59" i="129"/>
  <c r="R50" i="129" s="1"/>
  <c r="D15" i="128"/>
  <c r="Q40" i="129"/>
  <c r="R32" i="129" s="1"/>
  <c r="P40" i="129"/>
  <c r="K14" i="128"/>
  <c r="G14" i="128"/>
  <c r="G15" i="128" s="1"/>
  <c r="P31" i="129"/>
  <c r="Q31" i="129"/>
  <c r="R22" i="129" s="1"/>
  <c r="Q81" i="129"/>
  <c r="R73" i="129" s="1"/>
  <c r="P81" i="129"/>
  <c r="M14" i="128"/>
  <c r="M15" i="128" s="1"/>
  <c r="D2" i="129"/>
  <c r="Q67" i="129"/>
  <c r="R60" i="129" s="1"/>
  <c r="P67" i="129"/>
  <c r="I14" i="128"/>
  <c r="I15" i="128" s="1"/>
  <c r="Q12" i="129"/>
  <c r="R10" i="129" s="1"/>
  <c r="P12" i="129"/>
  <c r="E14" i="128"/>
  <c r="E15" i="128" s="1"/>
  <c r="Q12" i="127"/>
  <c r="R10" i="127" s="1"/>
  <c r="P12" i="127"/>
  <c r="E14" i="126"/>
  <c r="E15" i="126" s="1"/>
  <c r="Q67" i="127"/>
  <c r="P67" i="127"/>
  <c r="Q23" i="127"/>
  <c r="P23" i="127"/>
  <c r="AB70" i="127"/>
  <c r="AC66" i="127" s="1"/>
  <c r="AA70" i="127"/>
  <c r="N70" i="127"/>
  <c r="Q43" i="127"/>
  <c r="P43" i="127"/>
  <c r="Q28" i="127"/>
  <c r="P28" i="127"/>
  <c r="Q16" i="127"/>
  <c r="P16" i="127"/>
  <c r="Q45" i="127"/>
  <c r="P45" i="127"/>
  <c r="P5" i="127"/>
  <c r="Q5" i="127"/>
  <c r="Q66" i="127"/>
  <c r="P66" i="127"/>
  <c r="Q11" i="127"/>
  <c r="P11" i="127"/>
  <c r="AB79" i="127"/>
  <c r="AC71" i="127" s="1"/>
  <c r="AA79" i="127"/>
  <c r="N79" i="127"/>
  <c r="Q64" i="127"/>
  <c r="P64" i="127"/>
  <c r="Q29" i="127"/>
  <c r="P29" i="127"/>
  <c r="P8" i="127"/>
  <c r="Q8" i="127"/>
  <c r="Q10" i="127"/>
  <c r="P10" i="127"/>
  <c r="Q33" i="127"/>
  <c r="P33" i="127"/>
  <c r="Q17" i="127"/>
  <c r="P17" i="127"/>
  <c r="Q61" i="127"/>
  <c r="P61" i="127"/>
  <c r="N20" i="127"/>
  <c r="AB20" i="127"/>
  <c r="AC13" i="127" s="1"/>
  <c r="AA20" i="127"/>
  <c r="Q46" i="127"/>
  <c r="P46" i="127"/>
  <c r="AB39" i="127"/>
  <c r="AC31" i="127" s="1"/>
  <c r="AA39" i="127"/>
  <c r="N39" i="127"/>
  <c r="Q60" i="127"/>
  <c r="P60" i="127"/>
  <c r="Q25" i="127"/>
  <c r="P25" i="127"/>
  <c r="Q40" i="127"/>
  <c r="P40" i="127"/>
  <c r="Q19" i="127"/>
  <c r="P19" i="127"/>
  <c r="Q49" i="127"/>
  <c r="P49" i="127"/>
  <c r="Q71" i="127"/>
  <c r="P71" i="127"/>
  <c r="Q78" i="127"/>
  <c r="P78" i="127"/>
  <c r="Q27" i="127"/>
  <c r="P27" i="127"/>
  <c r="Q13" i="127"/>
  <c r="P13" i="127"/>
  <c r="P6" i="127"/>
  <c r="Q6" i="127"/>
  <c r="N48" i="127"/>
  <c r="AB48" i="127"/>
  <c r="AC40" i="127" s="1"/>
  <c r="AA48" i="127"/>
  <c r="Q47" i="127"/>
  <c r="P47" i="127"/>
  <c r="Q38" i="127"/>
  <c r="P38" i="127"/>
  <c r="Q62" i="127"/>
  <c r="P62" i="127"/>
  <c r="Q59" i="127"/>
  <c r="P59" i="127"/>
  <c r="Q36" i="127"/>
  <c r="P36" i="127"/>
  <c r="P75" i="127"/>
  <c r="Q75" i="127"/>
  <c r="AA9" i="127"/>
  <c r="N9" i="127"/>
  <c r="AB9" i="127"/>
  <c r="AC5" i="127" s="1"/>
  <c r="Q50" i="127"/>
  <c r="P50" i="127"/>
  <c r="Q57" i="127"/>
  <c r="P57" i="127"/>
  <c r="Q31" i="127"/>
  <c r="P31" i="127"/>
  <c r="Q54" i="127"/>
  <c r="P54" i="127"/>
  <c r="Q53" i="127"/>
  <c r="P53" i="127"/>
  <c r="Q22" i="127"/>
  <c r="P22" i="127"/>
  <c r="AB58" i="127"/>
  <c r="AC49" i="127" s="1"/>
  <c r="AA58" i="127"/>
  <c r="N58" i="127"/>
  <c r="Q15" i="127"/>
  <c r="P15" i="127"/>
  <c r="Q7" i="127"/>
  <c r="P7" i="127"/>
  <c r="Q77" i="127"/>
  <c r="P77" i="127"/>
  <c r="P18" i="127"/>
  <c r="Q18" i="127"/>
  <c r="Q68" i="127"/>
  <c r="P68" i="127"/>
  <c r="Q34" i="127"/>
  <c r="P34" i="127"/>
  <c r="N30" i="127"/>
  <c r="AB30" i="127"/>
  <c r="AC21" i="127" s="1"/>
  <c r="AA30" i="127"/>
  <c r="Q73" i="127"/>
  <c r="P73" i="127"/>
  <c r="Q21" i="127"/>
  <c r="P21" i="127"/>
  <c r="Q41" i="127"/>
  <c r="P41" i="127"/>
  <c r="Q74" i="127"/>
  <c r="P74" i="127"/>
  <c r="Q76" i="127"/>
  <c r="P76" i="127"/>
  <c r="Q14" i="127"/>
  <c r="P14" i="127"/>
  <c r="N65" i="127"/>
  <c r="AB65" i="127"/>
  <c r="AC59" i="127" s="1"/>
  <c r="AA65" i="127"/>
  <c r="Q44" i="127"/>
  <c r="P44" i="127"/>
  <c r="P63" i="127"/>
  <c r="Q63" i="127"/>
  <c r="Q72" i="127"/>
  <c r="P72" i="127"/>
  <c r="P32" i="127"/>
  <c r="Q32" i="127"/>
  <c r="Q68" i="125"/>
  <c r="P68" i="125"/>
  <c r="Q48" i="125"/>
  <c r="P48" i="125"/>
  <c r="Q45" i="125"/>
  <c r="P45" i="125"/>
  <c r="P11" i="125"/>
  <c r="Q11" i="125"/>
  <c r="AB78" i="125"/>
  <c r="AC70" i="125" s="1"/>
  <c r="AA78" i="125"/>
  <c r="N78" i="125"/>
  <c r="Q74" i="125"/>
  <c r="P74" i="125"/>
  <c r="Q19" i="125"/>
  <c r="P19" i="125"/>
  <c r="Q75" i="125"/>
  <c r="P75" i="125"/>
  <c r="N73" i="125"/>
  <c r="AB73" i="125"/>
  <c r="AA73" i="125"/>
  <c r="AA6" i="125"/>
  <c r="M9" i="125"/>
  <c r="AB23" i="125"/>
  <c r="N28" i="125"/>
  <c r="AB28" i="125"/>
  <c r="AA28" i="125"/>
  <c r="AB31" i="125"/>
  <c r="AA31" i="125"/>
  <c r="Q33" i="125"/>
  <c r="P33" i="125"/>
  <c r="N40" i="125"/>
  <c r="M57" i="125"/>
  <c r="AA65" i="125"/>
  <c r="AB65" i="125"/>
  <c r="AB72" i="125"/>
  <c r="N72" i="125"/>
  <c r="Q17" i="125"/>
  <c r="P17" i="125"/>
  <c r="AB13" i="125"/>
  <c r="AA13" i="125"/>
  <c r="M20" i="125"/>
  <c r="P76" i="125"/>
  <c r="M12" i="125"/>
  <c r="N10" i="125"/>
  <c r="AB10" i="125"/>
  <c r="N32" i="125"/>
  <c r="M69" i="125"/>
  <c r="N23" i="125"/>
  <c r="AA51" i="125"/>
  <c r="AA15" i="125"/>
  <c r="AB25" i="125"/>
  <c r="AB32" i="125"/>
  <c r="Q37" i="125"/>
  <c r="Q42" i="125"/>
  <c r="P42" i="125"/>
  <c r="AA59" i="125"/>
  <c r="N8" i="125"/>
  <c r="AB8" i="125"/>
  <c r="AA8" i="125"/>
  <c r="M30" i="125"/>
  <c r="N21" i="125"/>
  <c r="AB21" i="125"/>
  <c r="AA21" i="125"/>
  <c r="Q26" i="125"/>
  <c r="P26" i="125"/>
  <c r="P50" i="125"/>
  <c r="AB52" i="125"/>
  <c r="N52" i="125"/>
  <c r="AA17" i="125"/>
  <c r="Q71" i="125"/>
  <c r="P71" i="125"/>
  <c r="AA5" i="125"/>
  <c r="N13" i="125"/>
  <c r="AA10" i="125"/>
  <c r="AA34" i="125"/>
  <c r="Q59" i="125"/>
  <c r="P59" i="125"/>
  <c r="AB71" i="125"/>
  <c r="AB34" i="125"/>
  <c r="I6" i="124"/>
  <c r="N14" i="125"/>
  <c r="AA26" i="125"/>
  <c r="P31" i="125"/>
  <c r="AA52" i="125"/>
  <c r="Q60" i="125"/>
  <c r="P60" i="125"/>
  <c r="P65" i="125"/>
  <c r="AA77" i="125"/>
  <c r="AB17" i="125"/>
  <c r="AA42" i="125"/>
  <c r="AA49" i="125"/>
  <c r="AB56" i="125"/>
  <c r="AB59" i="125"/>
  <c r="AB67" i="125"/>
  <c r="AA67" i="125"/>
  <c r="Q6" i="125"/>
  <c r="P6" i="125"/>
  <c r="P16" i="125"/>
  <c r="AA18" i="125"/>
  <c r="AB18" i="125"/>
  <c r="N18" i="125"/>
  <c r="N35" i="125"/>
  <c r="AB35" i="125"/>
  <c r="AB37" i="125"/>
  <c r="AA37" i="125"/>
  <c r="AB42" i="125"/>
  <c r="AB45" i="125"/>
  <c r="AA45" i="125"/>
  <c r="AB49" i="125"/>
  <c r="N70" i="125"/>
  <c r="AB6" i="125"/>
  <c r="Q16" i="125"/>
  <c r="M38" i="125"/>
  <c r="N62" i="125"/>
  <c r="AB62" i="125"/>
  <c r="AA62" i="125"/>
  <c r="E6" i="124"/>
  <c r="AA16" i="125"/>
  <c r="N24" i="125"/>
  <c r="AB26" i="125"/>
  <c r="AA33" i="125"/>
  <c r="AB40" i="125"/>
  <c r="Q50" i="125"/>
  <c r="AA60" i="125"/>
  <c r="AA70" i="125"/>
  <c r="AB77" i="125"/>
  <c r="N5" i="125"/>
  <c r="AB19" i="125"/>
  <c r="AA19" i="125"/>
  <c r="N46" i="125"/>
  <c r="Q34" i="125"/>
  <c r="N53" i="125"/>
  <c r="AB53" i="125"/>
  <c r="AA53" i="125"/>
  <c r="P61" i="125"/>
  <c r="N66" i="125"/>
  <c r="Q15" i="125"/>
  <c r="P15" i="125"/>
  <c r="AA74" i="125"/>
  <c r="AB74" i="125"/>
  <c r="N25" i="125"/>
  <c r="N39" i="125"/>
  <c r="AA39" i="125"/>
  <c r="AA71" i="125"/>
  <c r="Q51" i="125"/>
  <c r="P51" i="125"/>
  <c r="AB54" i="125"/>
  <c r="AA54" i="125"/>
  <c r="Q49" i="125"/>
  <c r="P49" i="125"/>
  <c r="N56" i="125"/>
  <c r="AB51" i="125"/>
  <c r="AB11" i="125"/>
  <c r="AA11" i="125"/>
  <c r="M47" i="125"/>
  <c r="AB16" i="125"/>
  <c r="AB22" i="125"/>
  <c r="AA22" i="125"/>
  <c r="AB29" i="125"/>
  <c r="AA29" i="125"/>
  <c r="AA36" i="125"/>
  <c r="AB36" i="125"/>
  <c r="Q55" i="125"/>
  <c r="P55" i="125"/>
  <c r="AB70" i="125"/>
  <c r="AB75" i="125"/>
  <c r="AA75" i="125"/>
  <c r="AB46" i="125"/>
  <c r="N54" i="125"/>
  <c r="AB39" i="125"/>
  <c r="AB66" i="125"/>
  <c r="AB15" i="125"/>
  <c r="N44" i="125"/>
  <c r="AB44" i="125"/>
  <c r="AA44" i="125"/>
  <c r="N67" i="125"/>
  <c r="Q77" i="125"/>
  <c r="P77" i="125"/>
  <c r="F6" i="124"/>
  <c r="F1" i="125"/>
  <c r="N22" i="125"/>
  <c r="N29" i="125"/>
  <c r="N36" i="125"/>
  <c r="M64" i="125"/>
  <c r="AB58" i="125"/>
  <c r="AA58" i="125"/>
  <c r="AB63" i="125"/>
  <c r="AA63" i="125"/>
  <c r="Q41" i="125"/>
  <c r="P41" i="125"/>
  <c r="N58" i="125"/>
  <c r="N63" i="125"/>
  <c r="N7" i="125"/>
  <c r="N43" i="125"/>
  <c r="AA7" i="125"/>
  <c r="AA43" i="125"/>
  <c r="O69" i="123"/>
  <c r="K69" i="123"/>
  <c r="V68" i="123"/>
  <c r="U68" i="123"/>
  <c r="O68" i="123"/>
  <c r="M68" i="123"/>
  <c r="N68" i="123" s="1"/>
  <c r="K68" i="123"/>
  <c r="G68" i="123"/>
  <c r="AB67" i="123"/>
  <c r="AA67" i="123"/>
  <c r="V67" i="123"/>
  <c r="U67" i="123"/>
  <c r="O67" i="123"/>
  <c r="N67" i="123"/>
  <c r="Q67" i="123" s="1"/>
  <c r="M67" i="123"/>
  <c r="K67" i="123"/>
  <c r="G67" i="123"/>
  <c r="V66" i="123"/>
  <c r="U66" i="123"/>
  <c r="O66" i="123"/>
  <c r="M66" i="123"/>
  <c r="N66" i="123" s="1"/>
  <c r="K66" i="123"/>
  <c r="G66" i="123"/>
  <c r="AB65" i="123"/>
  <c r="AA65" i="123"/>
  <c r="V65" i="123"/>
  <c r="U65" i="123"/>
  <c r="O65" i="123"/>
  <c r="N65" i="123"/>
  <c r="P65" i="123" s="1"/>
  <c r="M65" i="123"/>
  <c r="K65" i="123"/>
  <c r="G65" i="123"/>
  <c r="AB64" i="123"/>
  <c r="AA64" i="123"/>
  <c r="V64" i="123"/>
  <c r="M64" i="123" s="1"/>
  <c r="U64" i="123"/>
  <c r="Q64" i="123"/>
  <c r="O64" i="123"/>
  <c r="N64" i="123"/>
  <c r="P64" i="123" s="1"/>
  <c r="K64" i="123"/>
  <c r="G64" i="123"/>
  <c r="V63" i="123"/>
  <c r="U63" i="123"/>
  <c r="O63" i="123"/>
  <c r="M63" i="123"/>
  <c r="AA63" i="123" s="1"/>
  <c r="K63" i="123"/>
  <c r="G63" i="123"/>
  <c r="X62" i="123"/>
  <c r="W62" i="123"/>
  <c r="V62" i="123"/>
  <c r="M62" i="123" s="1"/>
  <c r="O62" i="123"/>
  <c r="K62" i="123"/>
  <c r="G62" i="123"/>
  <c r="O61" i="123"/>
  <c r="K61" i="123"/>
  <c r="J13" i="122" s="1"/>
  <c r="V60" i="123"/>
  <c r="M60" i="123" s="1"/>
  <c r="N60" i="123" s="1"/>
  <c r="U60" i="123"/>
  <c r="O60" i="123"/>
  <c r="K60" i="123"/>
  <c r="G60" i="123"/>
  <c r="V59" i="123"/>
  <c r="U59" i="123"/>
  <c r="O59" i="123"/>
  <c r="M59" i="123"/>
  <c r="K59" i="123"/>
  <c r="G59" i="123"/>
  <c r="AB58" i="123"/>
  <c r="AA58" i="123"/>
  <c r="V58" i="123"/>
  <c r="U58" i="123"/>
  <c r="O58" i="123"/>
  <c r="N58" i="123"/>
  <c r="P58" i="123" s="1"/>
  <c r="M58" i="123"/>
  <c r="K58" i="123"/>
  <c r="G58" i="123"/>
  <c r="V57" i="123"/>
  <c r="O57" i="123"/>
  <c r="M57" i="123"/>
  <c r="K57" i="123"/>
  <c r="G57" i="123"/>
  <c r="O56" i="123"/>
  <c r="K56" i="123"/>
  <c r="V55" i="123"/>
  <c r="U55" i="123"/>
  <c r="O55" i="123"/>
  <c r="M55" i="123"/>
  <c r="N55" i="123" s="1"/>
  <c r="K55" i="123"/>
  <c r="G55" i="123"/>
  <c r="AB54" i="123"/>
  <c r="AA54" i="123"/>
  <c r="X54" i="123"/>
  <c r="W54" i="123"/>
  <c r="V54" i="123"/>
  <c r="U54" i="123"/>
  <c r="O54" i="123"/>
  <c r="N54" i="123"/>
  <c r="Q54" i="123" s="1"/>
  <c r="M54" i="123"/>
  <c r="K54" i="123"/>
  <c r="G54" i="123"/>
  <c r="AB53" i="123"/>
  <c r="V53" i="123"/>
  <c r="M53" i="123" s="1"/>
  <c r="N53" i="123" s="1"/>
  <c r="U53" i="123"/>
  <c r="Q53" i="123"/>
  <c r="P53" i="123"/>
  <c r="O53" i="123"/>
  <c r="K53" i="123"/>
  <c r="G53" i="123"/>
  <c r="V52" i="123"/>
  <c r="U52" i="123"/>
  <c r="O52" i="123"/>
  <c r="M52" i="123"/>
  <c r="K52" i="123"/>
  <c r="G52" i="123"/>
  <c r="V51" i="123"/>
  <c r="M51" i="123" s="1"/>
  <c r="N51" i="123" s="1"/>
  <c r="P51" i="123" s="1"/>
  <c r="U51" i="123"/>
  <c r="O51" i="123"/>
  <c r="K51" i="123"/>
  <c r="G51" i="123"/>
  <c r="V50" i="123"/>
  <c r="O50" i="123"/>
  <c r="M50" i="123"/>
  <c r="K50" i="123"/>
  <c r="G50" i="123"/>
  <c r="O49" i="123"/>
  <c r="K49" i="123"/>
  <c r="V48" i="123"/>
  <c r="U48" i="123"/>
  <c r="O48" i="123"/>
  <c r="N48" i="123"/>
  <c r="M48" i="123"/>
  <c r="K48" i="123"/>
  <c r="G48" i="123"/>
  <c r="V47" i="123"/>
  <c r="M47" i="123" s="1"/>
  <c r="N47" i="123" s="1"/>
  <c r="U47" i="123"/>
  <c r="O47" i="123"/>
  <c r="K47" i="123"/>
  <c r="G47" i="123"/>
  <c r="V46" i="123"/>
  <c r="U46" i="123"/>
  <c r="O46" i="123"/>
  <c r="M46" i="123"/>
  <c r="K46" i="123"/>
  <c r="G46" i="123"/>
  <c r="AB45" i="123"/>
  <c r="AA45" i="123"/>
  <c r="V45" i="123"/>
  <c r="U45" i="123"/>
  <c r="O45" i="123"/>
  <c r="N45" i="123"/>
  <c r="Q45" i="123" s="1"/>
  <c r="M45" i="123"/>
  <c r="K45" i="123"/>
  <c r="G45" i="123"/>
  <c r="V44" i="123"/>
  <c r="U44" i="123"/>
  <c r="O44" i="123"/>
  <c r="M44" i="123"/>
  <c r="K44" i="123"/>
  <c r="G44" i="123"/>
  <c r="AB43" i="123"/>
  <c r="AA43" i="123"/>
  <c r="V43" i="123"/>
  <c r="U43" i="123"/>
  <c r="O43" i="123"/>
  <c r="N43" i="123"/>
  <c r="P43" i="123" s="1"/>
  <c r="M43" i="123"/>
  <c r="K43" i="123"/>
  <c r="G43" i="123"/>
  <c r="X42" i="123"/>
  <c r="W42" i="123"/>
  <c r="V42" i="123"/>
  <c r="M42" i="123" s="1"/>
  <c r="AB42" i="123" s="1"/>
  <c r="O42" i="123"/>
  <c r="K42" i="123"/>
  <c r="G42" i="123"/>
  <c r="O41" i="123"/>
  <c r="K41" i="123"/>
  <c r="L13" i="122" s="1"/>
  <c r="V40" i="123"/>
  <c r="M40" i="123" s="1"/>
  <c r="N40" i="123" s="1"/>
  <c r="Q40" i="123" s="1"/>
  <c r="U40" i="123"/>
  <c r="O40" i="123"/>
  <c r="K40" i="123"/>
  <c r="G40" i="123"/>
  <c r="V39" i="123"/>
  <c r="U39" i="123"/>
  <c r="O39" i="123"/>
  <c r="M39" i="123"/>
  <c r="N39" i="123" s="1"/>
  <c r="K39" i="123"/>
  <c r="G39" i="123"/>
  <c r="V38" i="123"/>
  <c r="M38" i="123" s="1"/>
  <c r="N38" i="123" s="1"/>
  <c r="U38" i="123"/>
  <c r="O38" i="123"/>
  <c r="K38" i="123"/>
  <c r="G38" i="123"/>
  <c r="V37" i="123"/>
  <c r="U37" i="123"/>
  <c r="O37" i="123"/>
  <c r="M37" i="123"/>
  <c r="N37" i="123" s="1"/>
  <c r="K37" i="123"/>
  <c r="G37" i="123"/>
  <c r="AB36" i="123"/>
  <c r="AA36" i="123"/>
  <c r="X36" i="123"/>
  <c r="W36" i="123"/>
  <c r="V36" i="123"/>
  <c r="O36" i="123"/>
  <c r="N36" i="123"/>
  <c r="P36" i="123" s="1"/>
  <c r="M36" i="123"/>
  <c r="K36" i="123"/>
  <c r="G36" i="123"/>
  <c r="O35" i="123"/>
  <c r="K35" i="123"/>
  <c r="K13" i="122" s="1"/>
  <c r="AB34" i="123"/>
  <c r="AA34" i="123"/>
  <c r="V34" i="123"/>
  <c r="U34" i="123"/>
  <c r="O34" i="123"/>
  <c r="N34" i="123"/>
  <c r="Q34" i="123" s="1"/>
  <c r="M34" i="123"/>
  <c r="K34" i="123"/>
  <c r="G34" i="123"/>
  <c r="AB33" i="123"/>
  <c r="V33" i="123"/>
  <c r="U33" i="123"/>
  <c r="O33" i="123"/>
  <c r="N33" i="123"/>
  <c r="Q33" i="123" s="1"/>
  <c r="M33" i="123"/>
  <c r="AA33" i="123" s="1"/>
  <c r="K33" i="123"/>
  <c r="G33" i="123"/>
  <c r="AB32" i="123"/>
  <c r="AA32" i="123"/>
  <c r="V32" i="123"/>
  <c r="U32" i="123"/>
  <c r="O32" i="123"/>
  <c r="N32" i="123"/>
  <c r="M32" i="123"/>
  <c r="K32" i="123"/>
  <c r="G32" i="123"/>
  <c r="AB31" i="123"/>
  <c r="V31" i="123"/>
  <c r="M31" i="123" s="1"/>
  <c r="N31" i="123" s="1"/>
  <c r="Q31" i="123" s="1"/>
  <c r="U31" i="123"/>
  <c r="P31" i="123"/>
  <c r="O31" i="123"/>
  <c r="K31" i="123"/>
  <c r="G31" i="123"/>
  <c r="X30" i="123"/>
  <c r="W30" i="123"/>
  <c r="V30" i="123"/>
  <c r="O30" i="123"/>
  <c r="M30" i="123"/>
  <c r="N30" i="123" s="1"/>
  <c r="K30" i="123"/>
  <c r="G30" i="123"/>
  <c r="O29" i="123"/>
  <c r="K29" i="123"/>
  <c r="V28" i="123"/>
  <c r="U28" i="123"/>
  <c r="O28" i="123"/>
  <c r="N28" i="123"/>
  <c r="M28" i="123"/>
  <c r="K28" i="123"/>
  <c r="G28" i="123"/>
  <c r="V27" i="123"/>
  <c r="M27" i="123" s="1"/>
  <c r="N27" i="123" s="1"/>
  <c r="U27" i="123"/>
  <c r="O27" i="123"/>
  <c r="K27" i="123"/>
  <c r="G27" i="123"/>
  <c r="V26" i="123"/>
  <c r="U26" i="123"/>
  <c r="Q26" i="123"/>
  <c r="O26" i="123"/>
  <c r="N26" i="123"/>
  <c r="P26" i="123" s="1"/>
  <c r="M26" i="123"/>
  <c r="K26" i="123"/>
  <c r="G26" i="123"/>
  <c r="AB25" i="123"/>
  <c r="AA25" i="123"/>
  <c r="V25" i="123"/>
  <c r="U25" i="123"/>
  <c r="O25" i="123"/>
  <c r="N25" i="123"/>
  <c r="Q25" i="123" s="1"/>
  <c r="M25" i="123"/>
  <c r="K25" i="123"/>
  <c r="G25" i="123"/>
  <c r="V24" i="123"/>
  <c r="M24" i="123" s="1"/>
  <c r="U24" i="123"/>
  <c r="O24" i="123"/>
  <c r="K24" i="123"/>
  <c r="G24" i="123"/>
  <c r="AB23" i="123"/>
  <c r="AA23" i="123"/>
  <c r="V23" i="123"/>
  <c r="U23" i="123"/>
  <c r="O23" i="123"/>
  <c r="N23" i="123"/>
  <c r="P23" i="123" s="1"/>
  <c r="M23" i="123"/>
  <c r="K23" i="123"/>
  <c r="G23" i="123"/>
  <c r="V22" i="123"/>
  <c r="M22" i="123" s="1"/>
  <c r="N22" i="123" s="1"/>
  <c r="U22" i="123"/>
  <c r="O22" i="123"/>
  <c r="K22" i="123"/>
  <c r="G22" i="123"/>
  <c r="V21" i="123"/>
  <c r="O21" i="123"/>
  <c r="N21" i="123"/>
  <c r="M21" i="123"/>
  <c r="K21" i="123"/>
  <c r="G21" i="123"/>
  <c r="O20" i="123"/>
  <c r="K20" i="123"/>
  <c r="V19" i="123"/>
  <c r="U19" i="123"/>
  <c r="O19" i="123"/>
  <c r="M19" i="123"/>
  <c r="K19" i="123"/>
  <c r="G19" i="123"/>
  <c r="AB18" i="123"/>
  <c r="X18" i="123"/>
  <c r="W18" i="123"/>
  <c r="V18" i="123"/>
  <c r="M18" i="123" s="1"/>
  <c r="N18" i="123" s="1"/>
  <c r="U18" i="123"/>
  <c r="O18" i="123"/>
  <c r="K18" i="123"/>
  <c r="G18" i="123"/>
  <c r="V17" i="123"/>
  <c r="U17" i="123"/>
  <c r="O17" i="123"/>
  <c r="M17" i="123"/>
  <c r="N17" i="123" s="1"/>
  <c r="K17" i="123"/>
  <c r="G17" i="123"/>
  <c r="AB16" i="123"/>
  <c r="AA16" i="123"/>
  <c r="V16" i="123"/>
  <c r="U16" i="123"/>
  <c r="O16" i="123"/>
  <c r="N16" i="123"/>
  <c r="P16" i="123" s="1"/>
  <c r="M16" i="123"/>
  <c r="K16" i="123"/>
  <c r="G16" i="123"/>
  <c r="V15" i="123"/>
  <c r="U15" i="123"/>
  <c r="O15" i="123"/>
  <c r="M15" i="123"/>
  <c r="K15" i="123"/>
  <c r="G15" i="123"/>
  <c r="AB14" i="123"/>
  <c r="AA14" i="123"/>
  <c r="V14" i="123"/>
  <c r="U14" i="123"/>
  <c r="O14" i="123"/>
  <c r="N14" i="123"/>
  <c r="Q14" i="123" s="1"/>
  <c r="M14" i="123"/>
  <c r="K14" i="123"/>
  <c r="G14" i="123"/>
  <c r="X13" i="123"/>
  <c r="W13" i="123"/>
  <c r="V13" i="123"/>
  <c r="M13" i="123" s="1"/>
  <c r="AA13" i="123" s="1"/>
  <c r="O13" i="123"/>
  <c r="K13" i="123"/>
  <c r="G13" i="123"/>
  <c r="O12" i="123"/>
  <c r="K12" i="123"/>
  <c r="AB11" i="123"/>
  <c r="V11" i="123"/>
  <c r="M11" i="123" s="1"/>
  <c r="N11" i="123" s="1"/>
  <c r="U11" i="123"/>
  <c r="Q11" i="123"/>
  <c r="P11" i="123"/>
  <c r="O11" i="123"/>
  <c r="K11" i="123"/>
  <c r="G11" i="123"/>
  <c r="V10" i="123"/>
  <c r="O10" i="123"/>
  <c r="M10" i="123"/>
  <c r="K10" i="123"/>
  <c r="G10" i="123"/>
  <c r="O9" i="123"/>
  <c r="K9" i="123"/>
  <c r="V8" i="123"/>
  <c r="U8" i="123"/>
  <c r="O8" i="123"/>
  <c r="N8" i="123"/>
  <c r="M8" i="123"/>
  <c r="K8" i="123"/>
  <c r="G8" i="123"/>
  <c r="X7" i="123"/>
  <c r="W7" i="123"/>
  <c r="V7" i="123"/>
  <c r="M7" i="123" s="1"/>
  <c r="N7" i="123" s="1"/>
  <c r="U7" i="123"/>
  <c r="O7" i="123"/>
  <c r="K7" i="123"/>
  <c r="G7" i="123"/>
  <c r="V6" i="123"/>
  <c r="U6" i="123"/>
  <c r="O6" i="123"/>
  <c r="M6" i="123"/>
  <c r="K6" i="123"/>
  <c r="G6" i="123"/>
  <c r="F1" i="123" s="1"/>
  <c r="AB5" i="123"/>
  <c r="AA5" i="123"/>
  <c r="V5" i="123"/>
  <c r="O5" i="123"/>
  <c r="N5" i="123"/>
  <c r="Q5" i="123" s="1"/>
  <c r="M5" i="123"/>
  <c r="K5" i="123"/>
  <c r="G5" i="123"/>
  <c r="H2" i="123"/>
  <c r="H1" i="123"/>
  <c r="D1" i="123"/>
  <c r="F3" i="122" s="1"/>
  <c r="M18" i="122"/>
  <c r="L18" i="122"/>
  <c r="K18" i="122"/>
  <c r="J18" i="122"/>
  <c r="I18" i="122"/>
  <c r="H18" i="122"/>
  <c r="G18" i="122"/>
  <c r="F18" i="122"/>
  <c r="E18" i="122"/>
  <c r="D18" i="122"/>
  <c r="M17" i="122"/>
  <c r="L17" i="122"/>
  <c r="K17" i="122"/>
  <c r="J17" i="122"/>
  <c r="I17" i="122"/>
  <c r="H17" i="122"/>
  <c r="G17" i="122"/>
  <c r="F17" i="122"/>
  <c r="E17" i="122"/>
  <c r="D17" i="122"/>
  <c r="M16" i="122"/>
  <c r="L16" i="122"/>
  <c r="K16" i="122"/>
  <c r="J16" i="122"/>
  <c r="I16" i="122"/>
  <c r="H16" i="122"/>
  <c r="G16" i="122"/>
  <c r="F16" i="122"/>
  <c r="E16" i="122"/>
  <c r="D16" i="122"/>
  <c r="M13" i="122"/>
  <c r="I13" i="122"/>
  <c r="H13" i="122"/>
  <c r="G13" i="122"/>
  <c r="F13" i="122"/>
  <c r="E13" i="122"/>
  <c r="D13" i="122"/>
  <c r="C3" i="122"/>
  <c r="E8" i="130" l="1"/>
  <c r="E7" i="128"/>
  <c r="F7" i="128"/>
  <c r="G7" i="128"/>
  <c r="G8" i="128"/>
  <c r="F8" i="128"/>
  <c r="K15" i="128"/>
  <c r="I8" i="128" s="1"/>
  <c r="I7" i="128"/>
  <c r="Q65" i="127"/>
  <c r="R59" i="127" s="1"/>
  <c r="P65" i="127"/>
  <c r="I14" i="126"/>
  <c r="I15" i="126" s="1"/>
  <c r="Q48" i="127"/>
  <c r="R40" i="127" s="1"/>
  <c r="P48" i="127"/>
  <c r="L14" i="126"/>
  <c r="L15" i="126" s="1"/>
  <c r="Q70" i="127"/>
  <c r="R66" i="127" s="1"/>
  <c r="P70" i="127"/>
  <c r="J14" i="126"/>
  <c r="J15" i="126" s="1"/>
  <c r="G14" i="126"/>
  <c r="G15" i="126" s="1"/>
  <c r="Q30" i="127"/>
  <c r="R21" i="127" s="1"/>
  <c r="P30" i="127"/>
  <c r="Q58" i="127"/>
  <c r="R49" i="127" s="1"/>
  <c r="P58" i="127"/>
  <c r="H14" i="126"/>
  <c r="H15" i="126" s="1"/>
  <c r="Q20" i="127"/>
  <c r="R13" i="127" s="1"/>
  <c r="P20" i="127"/>
  <c r="F14" i="126"/>
  <c r="F15" i="126" s="1"/>
  <c r="Q79" i="127"/>
  <c r="R71" i="127" s="1"/>
  <c r="P79" i="127"/>
  <c r="M14" i="126"/>
  <c r="M15" i="126" s="1"/>
  <c r="Q9" i="127"/>
  <c r="R5" i="127" s="1"/>
  <c r="P9" i="127"/>
  <c r="D2" i="127"/>
  <c r="D14" i="126"/>
  <c r="Q39" i="127"/>
  <c r="R31" i="127" s="1"/>
  <c r="P39" i="127"/>
  <c r="K14" i="126"/>
  <c r="P62" i="125"/>
  <c r="Q62" i="125"/>
  <c r="AB38" i="125"/>
  <c r="AC31" i="125" s="1"/>
  <c r="AA38" i="125"/>
  <c r="N38" i="125"/>
  <c r="Q13" i="125"/>
  <c r="P13" i="125"/>
  <c r="AA57" i="125"/>
  <c r="N57" i="125"/>
  <c r="AB57" i="125"/>
  <c r="AC48" i="125" s="1"/>
  <c r="P52" i="125"/>
  <c r="Q52" i="125"/>
  <c r="Q32" i="125"/>
  <c r="P32" i="125"/>
  <c r="AB64" i="125"/>
  <c r="AC58" i="125" s="1"/>
  <c r="AA64" i="125"/>
  <c r="N64" i="125"/>
  <c r="Q10" i="125"/>
  <c r="P10" i="125"/>
  <c r="P28" i="125"/>
  <c r="Q28" i="125"/>
  <c r="F2" i="125"/>
  <c r="I3" i="124"/>
  <c r="P24" i="125"/>
  <c r="Q24" i="125"/>
  <c r="Q67" i="125"/>
  <c r="P67" i="125"/>
  <c r="P44" i="125"/>
  <c r="Q44" i="125"/>
  <c r="P63" i="125"/>
  <c r="Q63" i="125"/>
  <c r="P56" i="125"/>
  <c r="Q56" i="125"/>
  <c r="P40" i="125"/>
  <c r="Q40" i="125"/>
  <c r="P54" i="125"/>
  <c r="Q54" i="125"/>
  <c r="P36" i="125"/>
  <c r="Q36" i="125"/>
  <c r="AB12" i="125"/>
  <c r="AC10" i="125" s="1"/>
  <c r="AA12" i="125"/>
  <c r="N12" i="125"/>
  <c r="AB30" i="125"/>
  <c r="AC21" i="125" s="1"/>
  <c r="N30" i="125"/>
  <c r="AA30" i="125"/>
  <c r="Q73" i="125"/>
  <c r="P73" i="125"/>
  <c r="AA47" i="125"/>
  <c r="AB47" i="125"/>
  <c r="AC39" i="125" s="1"/>
  <c r="N47" i="125"/>
  <c r="Q58" i="125"/>
  <c r="P58" i="125"/>
  <c r="Q78" i="125"/>
  <c r="R70" i="125" s="1"/>
  <c r="P78" i="125"/>
  <c r="M14" i="124"/>
  <c r="M15" i="124" s="1"/>
  <c r="Q70" i="125"/>
  <c r="P70" i="125"/>
  <c r="P29" i="125"/>
  <c r="Q29" i="125"/>
  <c r="P39" i="125"/>
  <c r="Q39" i="125"/>
  <c r="Q35" i="125"/>
  <c r="P35" i="125"/>
  <c r="AB9" i="125"/>
  <c r="AC5" i="125" s="1"/>
  <c r="AA9" i="125"/>
  <c r="N9" i="125"/>
  <c r="Q8" i="125"/>
  <c r="P8" i="125"/>
  <c r="Q66" i="125"/>
  <c r="P66" i="125"/>
  <c r="P72" i="125"/>
  <c r="Q72" i="125"/>
  <c r="Q43" i="125"/>
  <c r="P43" i="125"/>
  <c r="Q7" i="125"/>
  <c r="P7" i="125"/>
  <c r="P53" i="125"/>
  <c r="Q53" i="125"/>
  <c r="Q46" i="125"/>
  <c r="P46" i="125"/>
  <c r="Q23" i="125"/>
  <c r="P23" i="125"/>
  <c r="Q5" i="125"/>
  <c r="P5" i="125"/>
  <c r="AB69" i="125"/>
  <c r="AC65" i="125" s="1"/>
  <c r="AA69" i="125"/>
  <c r="N69" i="125"/>
  <c r="Q22" i="125"/>
  <c r="P22" i="125"/>
  <c r="Q25" i="125"/>
  <c r="P25" i="125"/>
  <c r="P18" i="125"/>
  <c r="Q18" i="125"/>
  <c r="Q14" i="125"/>
  <c r="P14" i="125"/>
  <c r="P21" i="125"/>
  <c r="Q21" i="125"/>
  <c r="AB20" i="125"/>
  <c r="AC13" i="125" s="1"/>
  <c r="AA20" i="125"/>
  <c r="N20" i="125"/>
  <c r="I3" i="122"/>
  <c r="F2" i="123"/>
  <c r="Q17" i="123"/>
  <c r="P17" i="123"/>
  <c r="P39" i="123"/>
  <c r="Q39" i="123"/>
  <c r="Q22" i="123"/>
  <c r="P22" i="123"/>
  <c r="Q37" i="123"/>
  <c r="P37" i="123"/>
  <c r="Q30" i="123"/>
  <c r="P30" i="123"/>
  <c r="Q55" i="123"/>
  <c r="P55" i="123"/>
  <c r="Q68" i="123"/>
  <c r="P68" i="123"/>
  <c r="AB24" i="123"/>
  <c r="N24" i="123"/>
  <c r="AA24" i="123"/>
  <c r="Q66" i="123"/>
  <c r="P66" i="123"/>
  <c r="AB19" i="123"/>
  <c r="N19" i="123"/>
  <c r="AA19" i="123"/>
  <c r="Q48" i="123"/>
  <c r="P48" i="123"/>
  <c r="AA59" i="123"/>
  <c r="AB59" i="123"/>
  <c r="N62" i="123"/>
  <c r="M69" i="123"/>
  <c r="AA27" i="123"/>
  <c r="AB7" i="123"/>
  <c r="AB27" i="123"/>
  <c r="AB8" i="123"/>
  <c r="AA8" i="123"/>
  <c r="AB21" i="123"/>
  <c r="M29" i="123"/>
  <c r="AA21" i="123"/>
  <c r="AB28" i="123"/>
  <c r="AA28" i="123"/>
  <c r="AB60" i="123"/>
  <c r="AA38" i="123"/>
  <c r="AA57" i="123"/>
  <c r="AB57" i="123"/>
  <c r="AA46" i="123"/>
  <c r="AB46" i="123"/>
  <c r="AA62" i="123"/>
  <c r="AA22" i="123"/>
  <c r="Q7" i="123"/>
  <c r="P7" i="123"/>
  <c r="AA10" i="123"/>
  <c r="AB10" i="123"/>
  <c r="AB22" i="123"/>
  <c r="AB44" i="123"/>
  <c r="AA44" i="123"/>
  <c r="AB52" i="123"/>
  <c r="AA52" i="123"/>
  <c r="N52" i="123"/>
  <c r="M20" i="123"/>
  <c r="N13" i="123"/>
  <c r="I6" i="122"/>
  <c r="M56" i="123"/>
  <c r="AB50" i="123"/>
  <c r="AA50" i="123"/>
  <c r="Q60" i="123"/>
  <c r="P60" i="123"/>
  <c r="Q18" i="123"/>
  <c r="P18" i="123"/>
  <c r="Q21" i="123"/>
  <c r="P21" i="123"/>
  <c r="Q28" i="123"/>
  <c r="P40" i="123"/>
  <c r="Q47" i="123"/>
  <c r="P47" i="123"/>
  <c r="M61" i="123"/>
  <c r="Q38" i="123"/>
  <c r="P38" i="123"/>
  <c r="M41" i="123"/>
  <c r="AA51" i="123"/>
  <c r="N59" i="123"/>
  <c r="AB17" i="123"/>
  <c r="AA17" i="123"/>
  <c r="AB51" i="123"/>
  <c r="AB38" i="123"/>
  <c r="N57" i="123"/>
  <c r="AB15" i="123"/>
  <c r="AA15" i="123"/>
  <c r="AA30" i="123"/>
  <c r="AB30" i="123"/>
  <c r="Q32" i="123"/>
  <c r="N46" i="123"/>
  <c r="AB62" i="123"/>
  <c r="N15" i="123"/>
  <c r="N10" i="123"/>
  <c r="AA39" i="123"/>
  <c r="AB39" i="123"/>
  <c r="N44" i="123"/>
  <c r="Q27" i="123"/>
  <c r="P27" i="123"/>
  <c r="AA7" i="123"/>
  <c r="M49" i="123"/>
  <c r="N42" i="123"/>
  <c r="G6" i="122"/>
  <c r="E6" i="122"/>
  <c r="F6" i="122"/>
  <c r="AB13" i="123"/>
  <c r="M35" i="123"/>
  <c r="AB37" i="123"/>
  <c r="AA37" i="123"/>
  <c r="AA42" i="123"/>
  <c r="N50" i="123"/>
  <c r="AB55" i="123"/>
  <c r="AA55" i="123"/>
  <c r="AA60" i="123"/>
  <c r="AB68" i="123"/>
  <c r="AA68" i="123"/>
  <c r="Q8" i="123"/>
  <c r="P8" i="123"/>
  <c r="AA66" i="123"/>
  <c r="AB66" i="123"/>
  <c r="AA6" i="123"/>
  <c r="M9" i="123"/>
  <c r="AB6" i="123"/>
  <c r="N6" i="123"/>
  <c r="P28" i="123"/>
  <c r="P33" i="123"/>
  <c r="AA47" i="123"/>
  <c r="AA11" i="123"/>
  <c r="AA18" i="123"/>
  <c r="AB26" i="123"/>
  <c r="AA26" i="123"/>
  <c r="AB47" i="123"/>
  <c r="AA53" i="123"/>
  <c r="AA40" i="123"/>
  <c r="Q51" i="123"/>
  <c r="M12" i="123"/>
  <c r="AA31" i="123"/>
  <c r="AB40" i="123"/>
  <c r="AB48" i="123"/>
  <c r="AA48" i="123"/>
  <c r="P32" i="123"/>
  <c r="P54" i="123"/>
  <c r="P5" i="123"/>
  <c r="P14" i="123"/>
  <c r="Q23" i="123"/>
  <c r="Q36" i="123"/>
  <c r="Q43" i="123"/>
  <c r="Q65" i="123"/>
  <c r="P25" i="123"/>
  <c r="P45" i="123"/>
  <c r="P67" i="123"/>
  <c r="Q16" i="123"/>
  <c r="Q58" i="123"/>
  <c r="N63" i="123"/>
  <c r="AB63" i="123"/>
  <c r="P34" i="123"/>
  <c r="O66" i="121"/>
  <c r="M66" i="121"/>
  <c r="AB66" i="121" s="1"/>
  <c r="AC59" i="121" s="1"/>
  <c r="K66" i="121"/>
  <c r="AB65" i="121"/>
  <c r="AA65" i="121"/>
  <c r="V65" i="121"/>
  <c r="U65" i="121"/>
  <c r="O65" i="121"/>
  <c r="N65" i="121"/>
  <c r="Q65" i="121" s="1"/>
  <c r="M65" i="121"/>
  <c r="K65" i="121"/>
  <c r="G65" i="121"/>
  <c r="AB64" i="121"/>
  <c r="AA64" i="121"/>
  <c r="V64" i="121"/>
  <c r="U64" i="121"/>
  <c r="O64" i="121"/>
  <c r="N64" i="121"/>
  <c r="P64" i="121" s="1"/>
  <c r="M64" i="121"/>
  <c r="K64" i="121"/>
  <c r="G64" i="121"/>
  <c r="AB63" i="121"/>
  <c r="AA63" i="121"/>
  <c r="V63" i="121"/>
  <c r="U63" i="121"/>
  <c r="O63" i="121"/>
  <c r="N63" i="121"/>
  <c r="P63" i="121" s="1"/>
  <c r="M63" i="121"/>
  <c r="K63" i="121"/>
  <c r="G63" i="121"/>
  <c r="AB62" i="121"/>
  <c r="AA62" i="121"/>
  <c r="V62" i="121"/>
  <c r="U62" i="121"/>
  <c r="O62" i="121"/>
  <c r="N62" i="121"/>
  <c r="Q62" i="121" s="1"/>
  <c r="M62" i="121"/>
  <c r="K62" i="121"/>
  <c r="G62" i="121"/>
  <c r="AB61" i="121"/>
  <c r="AA61" i="121"/>
  <c r="V61" i="121"/>
  <c r="U61" i="121"/>
  <c r="Q61" i="121"/>
  <c r="P61" i="121"/>
  <c r="O61" i="121"/>
  <c r="N61" i="121"/>
  <c r="M61" i="121"/>
  <c r="K61" i="121"/>
  <c r="G61" i="121"/>
  <c r="AB60" i="121"/>
  <c r="AA60" i="121"/>
  <c r="V60" i="121"/>
  <c r="U60" i="121"/>
  <c r="O60" i="121"/>
  <c r="N60" i="121"/>
  <c r="P60" i="121" s="1"/>
  <c r="M60" i="121"/>
  <c r="K60" i="121"/>
  <c r="G60" i="121"/>
  <c r="AB59" i="121"/>
  <c r="AA59" i="121"/>
  <c r="X59" i="121"/>
  <c r="W59" i="121"/>
  <c r="V59" i="121"/>
  <c r="O59" i="121"/>
  <c r="N59" i="121"/>
  <c r="Q59" i="121" s="1"/>
  <c r="M59" i="121"/>
  <c r="K59" i="121"/>
  <c r="G59" i="121"/>
  <c r="AB58" i="121"/>
  <c r="AA58" i="121"/>
  <c r="Q58" i="121"/>
  <c r="P58" i="121"/>
  <c r="O58" i="121"/>
  <c r="N58" i="121"/>
  <c r="M58" i="121"/>
  <c r="K58" i="121"/>
  <c r="AB57" i="121"/>
  <c r="AA57" i="121"/>
  <c r="V57" i="121"/>
  <c r="U57" i="121"/>
  <c r="Q57" i="121"/>
  <c r="P57" i="121"/>
  <c r="O57" i="121"/>
  <c r="N57" i="121"/>
  <c r="M57" i="121"/>
  <c r="K57" i="121"/>
  <c r="G57" i="121"/>
  <c r="AB56" i="121"/>
  <c r="AA56" i="121"/>
  <c r="V56" i="121"/>
  <c r="U56" i="121"/>
  <c r="Q56" i="121"/>
  <c r="P56" i="121"/>
  <c r="O56" i="121"/>
  <c r="N56" i="121"/>
  <c r="M56" i="121"/>
  <c r="K56" i="121"/>
  <c r="G56" i="121"/>
  <c r="AB55" i="121"/>
  <c r="AA55" i="121"/>
  <c r="V55" i="121"/>
  <c r="U55" i="121"/>
  <c r="Q55" i="121"/>
  <c r="P55" i="121"/>
  <c r="O55" i="121"/>
  <c r="N55" i="121"/>
  <c r="M55" i="121"/>
  <c r="K55" i="121"/>
  <c r="G55" i="121"/>
  <c r="AC54" i="121"/>
  <c r="AB54" i="121"/>
  <c r="AA54" i="121"/>
  <c r="V54" i="121"/>
  <c r="R54" i="121"/>
  <c r="Q54" i="121"/>
  <c r="P54" i="121"/>
  <c r="O54" i="121"/>
  <c r="N54" i="121"/>
  <c r="M54" i="121"/>
  <c r="K54" i="121"/>
  <c r="G54" i="121"/>
  <c r="O53" i="121"/>
  <c r="M53" i="121"/>
  <c r="AB53" i="121" s="1"/>
  <c r="AC48" i="121" s="1"/>
  <c r="K53" i="121"/>
  <c r="AB52" i="121"/>
  <c r="AA52" i="121"/>
  <c r="V52" i="121"/>
  <c r="U52" i="121"/>
  <c r="O52" i="121"/>
  <c r="N52" i="121"/>
  <c r="Q52" i="121" s="1"/>
  <c r="M52" i="121"/>
  <c r="K52" i="121"/>
  <c r="G52" i="121"/>
  <c r="AB51" i="121"/>
  <c r="AA51" i="121"/>
  <c r="V51" i="121"/>
  <c r="U51" i="121"/>
  <c r="Q51" i="121"/>
  <c r="P51" i="121"/>
  <c r="O51" i="121"/>
  <c r="N51" i="121"/>
  <c r="M51" i="121"/>
  <c r="K51" i="121"/>
  <c r="G51" i="121"/>
  <c r="AB50" i="121"/>
  <c r="AA50" i="121"/>
  <c r="V50" i="121"/>
  <c r="U50" i="121"/>
  <c r="O50" i="121"/>
  <c r="N50" i="121"/>
  <c r="P50" i="121" s="1"/>
  <c r="M50" i="121"/>
  <c r="K50" i="121"/>
  <c r="G50" i="121"/>
  <c r="AB49" i="121"/>
  <c r="AA49" i="121"/>
  <c r="V49" i="121"/>
  <c r="U49" i="121"/>
  <c r="Q49" i="121"/>
  <c r="P49" i="121"/>
  <c r="O49" i="121"/>
  <c r="N49" i="121"/>
  <c r="M49" i="121"/>
  <c r="K49" i="121"/>
  <c r="G49" i="121"/>
  <c r="AB48" i="121"/>
  <c r="AA48" i="121"/>
  <c r="V48" i="121"/>
  <c r="Q48" i="121"/>
  <c r="P48" i="121"/>
  <c r="O48" i="121"/>
  <c r="N48" i="121"/>
  <c r="M48" i="121"/>
  <c r="K48" i="121"/>
  <c r="G48" i="121"/>
  <c r="AB47" i="121"/>
  <c r="AA47" i="121"/>
  <c r="O47" i="121"/>
  <c r="N47" i="121"/>
  <c r="P47" i="121" s="1"/>
  <c r="M47" i="121"/>
  <c r="K47" i="121"/>
  <c r="AB46" i="121"/>
  <c r="AA46" i="121"/>
  <c r="V46" i="121"/>
  <c r="U46" i="121"/>
  <c r="Q46" i="121"/>
  <c r="P46" i="121"/>
  <c r="O46" i="121"/>
  <c r="N46" i="121"/>
  <c r="M46" i="121"/>
  <c r="K46" i="121"/>
  <c r="G46" i="121"/>
  <c r="AB45" i="121"/>
  <c r="AA45" i="121"/>
  <c r="V45" i="121"/>
  <c r="U45" i="121"/>
  <c r="O45" i="121"/>
  <c r="N45" i="121"/>
  <c r="Q45" i="121" s="1"/>
  <c r="M45" i="121"/>
  <c r="K45" i="121"/>
  <c r="G45" i="121"/>
  <c r="AB44" i="121"/>
  <c r="AA44" i="121"/>
  <c r="V44" i="121"/>
  <c r="U44" i="121"/>
  <c r="Q44" i="121"/>
  <c r="O44" i="121"/>
  <c r="N44" i="121"/>
  <c r="P44" i="121" s="1"/>
  <c r="M44" i="121"/>
  <c r="K44" i="121"/>
  <c r="G44" i="121"/>
  <c r="AB43" i="121"/>
  <c r="AA43" i="121"/>
  <c r="V43" i="121"/>
  <c r="U43" i="121"/>
  <c r="O43" i="121"/>
  <c r="N43" i="121"/>
  <c r="Q43" i="121" s="1"/>
  <c r="M43" i="121"/>
  <c r="K43" i="121"/>
  <c r="G43" i="121"/>
  <c r="AB42" i="121"/>
  <c r="AA42" i="121"/>
  <c r="V42" i="121"/>
  <c r="U42" i="121"/>
  <c r="Q42" i="121"/>
  <c r="P42" i="121"/>
  <c r="O42" i="121"/>
  <c r="N42" i="121"/>
  <c r="M42" i="121"/>
  <c r="K42" i="121"/>
  <c r="G42" i="121"/>
  <c r="AB41" i="121"/>
  <c r="AA41" i="121"/>
  <c r="V41" i="121"/>
  <c r="U41" i="121"/>
  <c r="Q41" i="121"/>
  <c r="P41" i="121"/>
  <c r="O41" i="121"/>
  <c r="N41" i="121"/>
  <c r="M41" i="121"/>
  <c r="K41" i="121"/>
  <c r="G41" i="121"/>
  <c r="AC40" i="121"/>
  <c r="AB40" i="121"/>
  <c r="AA40" i="121"/>
  <c r="X40" i="121"/>
  <c r="W40" i="121"/>
  <c r="V40" i="121"/>
  <c r="O40" i="121"/>
  <c r="N40" i="121"/>
  <c r="Q40" i="121" s="1"/>
  <c r="M40" i="121"/>
  <c r="K40" i="121"/>
  <c r="G40" i="121"/>
  <c r="AB39" i="121"/>
  <c r="AC34" i="121" s="1"/>
  <c r="AA39" i="121"/>
  <c r="O39" i="121"/>
  <c r="N39" i="121"/>
  <c r="Q39" i="121" s="1"/>
  <c r="R34" i="121" s="1"/>
  <c r="M39" i="121"/>
  <c r="K39" i="121"/>
  <c r="AB38" i="121"/>
  <c r="AA38" i="121"/>
  <c r="V38" i="121"/>
  <c r="U38" i="121"/>
  <c r="Q38" i="121"/>
  <c r="P38" i="121"/>
  <c r="O38" i="121"/>
  <c r="N38" i="121"/>
  <c r="M38" i="121"/>
  <c r="K38" i="121"/>
  <c r="G38" i="121"/>
  <c r="AB37" i="121"/>
  <c r="AA37" i="121"/>
  <c r="V37" i="121"/>
  <c r="U37" i="121"/>
  <c r="Q37" i="121"/>
  <c r="P37" i="121"/>
  <c r="O37" i="121"/>
  <c r="N37" i="121"/>
  <c r="M37" i="121"/>
  <c r="K37" i="121"/>
  <c r="G37" i="121"/>
  <c r="AB36" i="121"/>
  <c r="AA36" i="121"/>
  <c r="V36" i="121"/>
  <c r="U36" i="121"/>
  <c r="Q36" i="121"/>
  <c r="P36" i="121"/>
  <c r="O36" i="121"/>
  <c r="N36" i="121"/>
  <c r="M36" i="121"/>
  <c r="K36" i="121"/>
  <c r="G36" i="121"/>
  <c r="AB35" i="121"/>
  <c r="AA35" i="121"/>
  <c r="V35" i="121"/>
  <c r="U35" i="121"/>
  <c r="Q35" i="121"/>
  <c r="P35" i="121"/>
  <c r="O35" i="121"/>
  <c r="N35" i="121"/>
  <c r="M35" i="121"/>
  <c r="K35" i="121"/>
  <c r="G35" i="121"/>
  <c r="AB34" i="121"/>
  <c r="AA34" i="121"/>
  <c r="X34" i="121"/>
  <c r="W34" i="121"/>
  <c r="V34" i="121"/>
  <c r="Q34" i="121"/>
  <c r="P34" i="121"/>
  <c r="O34" i="121"/>
  <c r="N34" i="121"/>
  <c r="M34" i="121"/>
  <c r="K34" i="121"/>
  <c r="G34" i="121"/>
  <c r="AB33" i="121"/>
  <c r="AA33" i="121"/>
  <c r="O33" i="121"/>
  <c r="N33" i="121"/>
  <c r="K14" i="120" s="1"/>
  <c r="M33" i="121"/>
  <c r="K33" i="121"/>
  <c r="AB32" i="121"/>
  <c r="AA32" i="121"/>
  <c r="V32" i="121"/>
  <c r="U32" i="121"/>
  <c r="O32" i="121"/>
  <c r="N32" i="121"/>
  <c r="Q32" i="121" s="1"/>
  <c r="M32" i="121"/>
  <c r="K32" i="121"/>
  <c r="G32" i="121"/>
  <c r="AB31" i="121"/>
  <c r="AA31" i="121"/>
  <c r="V31" i="121"/>
  <c r="U31" i="121"/>
  <c r="O31" i="121"/>
  <c r="N31" i="121"/>
  <c r="Q31" i="121" s="1"/>
  <c r="M31" i="121"/>
  <c r="K31" i="121"/>
  <c r="G31" i="121"/>
  <c r="AB30" i="121"/>
  <c r="AA30" i="121"/>
  <c r="V30" i="121"/>
  <c r="U30" i="121"/>
  <c r="Q30" i="121"/>
  <c r="P30" i="121"/>
  <c r="O30" i="121"/>
  <c r="N30" i="121"/>
  <c r="M30" i="121"/>
  <c r="K30" i="121"/>
  <c r="G30" i="121"/>
  <c r="AB29" i="121"/>
  <c r="AA29" i="121"/>
  <c r="V29" i="121"/>
  <c r="U29" i="121"/>
  <c r="Q29" i="121"/>
  <c r="P29" i="121"/>
  <c r="O29" i="121"/>
  <c r="N29" i="121"/>
  <c r="M29" i="121"/>
  <c r="K29" i="121"/>
  <c r="G29" i="121"/>
  <c r="AC28" i="121"/>
  <c r="AB28" i="121"/>
  <c r="AA28" i="121"/>
  <c r="X28" i="121"/>
  <c r="W28" i="121"/>
  <c r="V28" i="121"/>
  <c r="Q28" i="121"/>
  <c r="P28" i="121"/>
  <c r="O28" i="121"/>
  <c r="N28" i="121"/>
  <c r="M28" i="121"/>
  <c r="K28" i="121"/>
  <c r="G28" i="121"/>
  <c r="AB27" i="121"/>
  <c r="AA27" i="121"/>
  <c r="O27" i="121"/>
  <c r="N27" i="121"/>
  <c r="P27" i="121" s="1"/>
  <c r="M27" i="121"/>
  <c r="K27" i="121"/>
  <c r="AB26" i="121"/>
  <c r="AA26" i="121"/>
  <c r="V26" i="121"/>
  <c r="U26" i="121"/>
  <c r="Q26" i="121"/>
  <c r="P26" i="121"/>
  <c r="O26" i="121"/>
  <c r="N26" i="121"/>
  <c r="M26" i="121"/>
  <c r="K26" i="121"/>
  <c r="G26" i="121"/>
  <c r="AB25" i="121"/>
  <c r="AA25" i="121"/>
  <c r="V25" i="121"/>
  <c r="U25" i="121"/>
  <c r="Q25" i="121"/>
  <c r="P25" i="121"/>
  <c r="O25" i="121"/>
  <c r="N25" i="121"/>
  <c r="M25" i="121"/>
  <c r="K25" i="121"/>
  <c r="G25" i="121"/>
  <c r="AB24" i="121"/>
  <c r="AA24" i="121"/>
  <c r="V24" i="121"/>
  <c r="U24" i="121"/>
  <c r="Q24" i="121"/>
  <c r="P24" i="121"/>
  <c r="O24" i="121"/>
  <c r="N24" i="121"/>
  <c r="M24" i="121"/>
  <c r="K24" i="121"/>
  <c r="G24" i="121"/>
  <c r="AB23" i="121"/>
  <c r="AA23" i="121"/>
  <c r="V23" i="121"/>
  <c r="U23" i="121"/>
  <c r="Q23" i="121"/>
  <c r="P23" i="121"/>
  <c r="O23" i="121"/>
  <c r="N23" i="121"/>
  <c r="M23" i="121"/>
  <c r="K23" i="121"/>
  <c r="G23" i="121"/>
  <c r="AB22" i="121"/>
  <c r="AA22" i="121"/>
  <c r="V22" i="121"/>
  <c r="U22" i="121"/>
  <c r="Q22" i="121"/>
  <c r="P22" i="121"/>
  <c r="O22" i="121"/>
  <c r="N22" i="121"/>
  <c r="M22" i="121"/>
  <c r="K22" i="121"/>
  <c r="G22" i="121"/>
  <c r="AB21" i="121"/>
  <c r="AA21" i="121"/>
  <c r="V21" i="121"/>
  <c r="U21" i="121"/>
  <c r="O21" i="121"/>
  <c r="N21" i="121"/>
  <c r="P21" i="121" s="1"/>
  <c r="M21" i="121"/>
  <c r="K21" i="121"/>
  <c r="G21" i="121"/>
  <c r="AB20" i="121"/>
  <c r="AA20" i="121"/>
  <c r="V20" i="121"/>
  <c r="U20" i="121"/>
  <c r="O20" i="121"/>
  <c r="N20" i="121"/>
  <c r="Q20" i="121" s="1"/>
  <c r="M20" i="121"/>
  <c r="K20" i="121"/>
  <c r="G20" i="121"/>
  <c r="AC19" i="121"/>
  <c r="AB19" i="121"/>
  <c r="AA19" i="121"/>
  <c r="V19" i="121"/>
  <c r="O19" i="121"/>
  <c r="N19" i="121"/>
  <c r="Q19" i="121" s="1"/>
  <c r="M19" i="121"/>
  <c r="K19" i="121"/>
  <c r="G19" i="121"/>
  <c r="AB18" i="121"/>
  <c r="AA18" i="121"/>
  <c r="Q18" i="121"/>
  <c r="P18" i="121"/>
  <c r="O18" i="121"/>
  <c r="N18" i="121"/>
  <c r="M18" i="121"/>
  <c r="K18" i="121"/>
  <c r="AB17" i="121"/>
  <c r="AA17" i="121"/>
  <c r="V17" i="121"/>
  <c r="U17" i="121"/>
  <c r="Q17" i="121"/>
  <c r="P17" i="121"/>
  <c r="O17" i="121"/>
  <c r="N17" i="121"/>
  <c r="M17" i="121"/>
  <c r="K17" i="121"/>
  <c r="G17" i="121"/>
  <c r="AB16" i="121"/>
  <c r="AA16" i="121"/>
  <c r="V16" i="121"/>
  <c r="U16" i="121"/>
  <c r="Q16" i="121"/>
  <c r="P16" i="121"/>
  <c r="O16" i="121"/>
  <c r="N16" i="121"/>
  <c r="M16" i="121"/>
  <c r="K16" i="121"/>
  <c r="G16" i="121"/>
  <c r="AB15" i="121"/>
  <c r="AA15" i="121"/>
  <c r="V15" i="121"/>
  <c r="U15" i="121"/>
  <c r="Q15" i="121"/>
  <c r="P15" i="121"/>
  <c r="O15" i="121"/>
  <c r="N15" i="121"/>
  <c r="M15" i="121"/>
  <c r="K15" i="121"/>
  <c r="G15" i="121"/>
  <c r="AB14" i="121"/>
  <c r="AA14" i="121"/>
  <c r="V14" i="121"/>
  <c r="U14" i="121"/>
  <c r="Q14" i="121"/>
  <c r="P14" i="121"/>
  <c r="O14" i="121"/>
  <c r="N14" i="121"/>
  <c r="M14" i="121"/>
  <c r="K14" i="121"/>
  <c r="G14" i="121"/>
  <c r="AB13" i="121"/>
  <c r="AA13" i="121"/>
  <c r="V13" i="121"/>
  <c r="U13" i="121"/>
  <c r="Q13" i="121"/>
  <c r="P13" i="121"/>
  <c r="O13" i="121"/>
  <c r="N13" i="121"/>
  <c r="M13" i="121"/>
  <c r="K13" i="121"/>
  <c r="G13" i="121"/>
  <c r="AC12" i="121"/>
  <c r="AB12" i="121"/>
  <c r="AA12" i="121"/>
  <c r="X12" i="121"/>
  <c r="W12" i="121"/>
  <c r="V12" i="121"/>
  <c r="R12" i="121"/>
  <c r="Q12" i="121"/>
  <c r="P12" i="121"/>
  <c r="O12" i="121"/>
  <c r="N12" i="121"/>
  <c r="M12" i="121"/>
  <c r="K12" i="121"/>
  <c r="G12" i="121"/>
  <c r="AB11" i="121"/>
  <c r="AA11" i="121"/>
  <c r="O11" i="121"/>
  <c r="N11" i="121"/>
  <c r="Q11" i="121" s="1"/>
  <c r="R9" i="121" s="1"/>
  <c r="M11" i="121"/>
  <c r="K11" i="121"/>
  <c r="AB10" i="121"/>
  <c r="AA10" i="121"/>
  <c r="V10" i="121"/>
  <c r="U10" i="121"/>
  <c r="O10" i="121"/>
  <c r="N10" i="121"/>
  <c r="Q10" i="121" s="1"/>
  <c r="M10" i="121"/>
  <c r="K10" i="121"/>
  <c r="G10" i="121"/>
  <c r="AC9" i="121"/>
  <c r="AB9" i="121"/>
  <c r="AA9" i="121"/>
  <c r="V9" i="121"/>
  <c r="O9" i="121"/>
  <c r="N9" i="121"/>
  <c r="P9" i="121" s="1"/>
  <c r="M9" i="121"/>
  <c r="K9" i="121"/>
  <c r="G9" i="121"/>
  <c r="AB8" i="121"/>
  <c r="AA8" i="121"/>
  <c r="Q8" i="121"/>
  <c r="R5" i="121" s="1"/>
  <c r="P8" i="121"/>
  <c r="O8" i="121"/>
  <c r="N8" i="121"/>
  <c r="M8" i="121"/>
  <c r="K8" i="121"/>
  <c r="AB7" i="121"/>
  <c r="AA7" i="121"/>
  <c r="V7" i="121"/>
  <c r="U7" i="121"/>
  <c r="Q7" i="121"/>
  <c r="P7" i="121"/>
  <c r="O7" i="121"/>
  <c r="N7" i="121"/>
  <c r="M7" i="121"/>
  <c r="K7" i="121"/>
  <c r="G7" i="121"/>
  <c r="AB6" i="121"/>
  <c r="AA6" i="121"/>
  <c r="V6" i="121"/>
  <c r="U6" i="121"/>
  <c r="Q6" i="121"/>
  <c r="P6" i="121"/>
  <c r="O6" i="121"/>
  <c r="N6" i="121"/>
  <c r="M6" i="121"/>
  <c r="K6" i="121"/>
  <c r="G6" i="121"/>
  <c r="AC5" i="121"/>
  <c r="AB5" i="121"/>
  <c r="AA5" i="121"/>
  <c r="V5" i="121"/>
  <c r="Q5" i="121"/>
  <c r="P5" i="121"/>
  <c r="O5" i="121"/>
  <c r="N5" i="121"/>
  <c r="M5" i="121"/>
  <c r="K5" i="121"/>
  <c r="G5" i="121"/>
  <c r="H2" i="121"/>
  <c r="F2" i="121"/>
  <c r="H1" i="121"/>
  <c r="F1" i="121"/>
  <c r="D1" i="121"/>
  <c r="M18" i="120"/>
  <c r="L18" i="120"/>
  <c r="K18" i="120"/>
  <c r="J18" i="120"/>
  <c r="I18" i="120"/>
  <c r="H18" i="120"/>
  <c r="G18" i="120"/>
  <c r="F18" i="120"/>
  <c r="E18" i="120"/>
  <c r="D18" i="120"/>
  <c r="M17" i="120"/>
  <c r="L17" i="120"/>
  <c r="K17" i="120"/>
  <c r="J17" i="120"/>
  <c r="I17" i="120"/>
  <c r="H17" i="120"/>
  <c r="G17" i="120"/>
  <c r="F17" i="120"/>
  <c r="E17" i="120"/>
  <c r="D17" i="120"/>
  <c r="M16" i="120"/>
  <c r="L16" i="120"/>
  <c r="K16" i="120"/>
  <c r="J16" i="120"/>
  <c r="I16" i="120"/>
  <c r="H16" i="120"/>
  <c r="G16" i="120"/>
  <c r="F16" i="120"/>
  <c r="E16" i="120"/>
  <c r="D16" i="120"/>
  <c r="J15" i="120"/>
  <c r="F15" i="120"/>
  <c r="E15" i="120"/>
  <c r="D15" i="120"/>
  <c r="L14" i="120"/>
  <c r="L15" i="120" s="1"/>
  <c r="J14" i="120"/>
  <c r="F14" i="120"/>
  <c r="E14" i="120"/>
  <c r="D14" i="120"/>
  <c r="M13" i="120"/>
  <c r="L13" i="120"/>
  <c r="K13" i="120"/>
  <c r="J13" i="120"/>
  <c r="I13" i="120"/>
  <c r="H13" i="120"/>
  <c r="G13" i="120"/>
  <c r="F13" i="120"/>
  <c r="E13" i="120"/>
  <c r="D13" i="120"/>
  <c r="I6" i="120"/>
  <c r="G6" i="120"/>
  <c r="F6" i="120"/>
  <c r="E6" i="120"/>
  <c r="I3" i="120"/>
  <c r="F3" i="120"/>
  <c r="C3" i="120"/>
  <c r="E8" i="128" l="1"/>
  <c r="K15" i="126"/>
  <c r="I8" i="126" s="1"/>
  <c r="I7" i="126"/>
  <c r="D15" i="126"/>
  <c r="G7" i="126"/>
  <c r="F7" i="126"/>
  <c r="E7" i="126"/>
  <c r="F14" i="124"/>
  <c r="F15" i="124" s="1"/>
  <c r="P20" i="125"/>
  <c r="Q20" i="125"/>
  <c r="R13" i="125" s="1"/>
  <c r="Q57" i="125"/>
  <c r="R48" i="125" s="1"/>
  <c r="P57" i="125"/>
  <c r="H14" i="124"/>
  <c r="H15" i="124" s="1"/>
  <c r="K14" i="124"/>
  <c r="Q38" i="125"/>
  <c r="R31" i="125" s="1"/>
  <c r="P38" i="125"/>
  <c r="D2" i="125"/>
  <c r="Q9" i="125"/>
  <c r="R5" i="125" s="1"/>
  <c r="D14" i="124"/>
  <c r="P9" i="125"/>
  <c r="G14" i="124"/>
  <c r="G15" i="124" s="1"/>
  <c r="P30" i="125"/>
  <c r="Q30" i="125"/>
  <c r="R21" i="125" s="1"/>
  <c r="P69" i="125"/>
  <c r="Q69" i="125"/>
  <c r="R65" i="125" s="1"/>
  <c r="J14" i="124"/>
  <c r="J15" i="124" s="1"/>
  <c r="P64" i="125"/>
  <c r="I14" i="124"/>
  <c r="I15" i="124" s="1"/>
  <c r="Q64" i="125"/>
  <c r="R58" i="125" s="1"/>
  <c r="E14" i="124"/>
  <c r="E15" i="124" s="1"/>
  <c r="Q12" i="125"/>
  <c r="R10" i="125" s="1"/>
  <c r="P12" i="125"/>
  <c r="Q47" i="125"/>
  <c r="R39" i="125" s="1"/>
  <c r="L14" i="124"/>
  <c r="L15" i="124" s="1"/>
  <c r="P47" i="125"/>
  <c r="AB41" i="123"/>
  <c r="AC36" i="123" s="1"/>
  <c r="AA41" i="123"/>
  <c r="N41" i="123"/>
  <c r="Q13" i="123"/>
  <c r="P13" i="123"/>
  <c r="Q52" i="123"/>
  <c r="P52" i="123"/>
  <c r="Q63" i="123"/>
  <c r="P63" i="123"/>
  <c r="P10" i="123"/>
  <c r="Q10" i="123"/>
  <c r="Q57" i="123"/>
  <c r="P57" i="123"/>
  <c r="Q6" i="123"/>
  <c r="P6" i="123"/>
  <c r="Q59" i="123"/>
  <c r="P59" i="123"/>
  <c r="N29" i="123"/>
  <c r="AB29" i="123"/>
  <c r="AC21" i="123" s="1"/>
  <c r="AA29" i="123"/>
  <c r="Q15" i="123"/>
  <c r="P15" i="123"/>
  <c r="P46" i="123"/>
  <c r="Q46" i="123"/>
  <c r="AB69" i="123"/>
  <c r="AC62" i="123" s="1"/>
  <c r="AA69" i="123"/>
  <c r="N69" i="123"/>
  <c r="Q62" i="123"/>
  <c r="P62" i="123"/>
  <c r="Q19" i="123"/>
  <c r="P19" i="123"/>
  <c r="N20" i="123"/>
  <c r="AA20" i="123"/>
  <c r="AB20" i="123"/>
  <c r="AC13" i="123" s="1"/>
  <c r="Q24" i="123"/>
  <c r="P24" i="123"/>
  <c r="Q44" i="123"/>
  <c r="P44" i="123"/>
  <c r="AB12" i="123"/>
  <c r="AC10" i="123" s="1"/>
  <c r="AA12" i="123"/>
  <c r="N12" i="123"/>
  <c r="AB61" i="123"/>
  <c r="AC57" i="123" s="1"/>
  <c r="AA61" i="123"/>
  <c r="N61" i="123"/>
  <c r="Q50" i="123"/>
  <c r="P50" i="123"/>
  <c r="AB35" i="123"/>
  <c r="AC30" i="123" s="1"/>
  <c r="AA35" i="123"/>
  <c r="N35" i="123"/>
  <c r="N9" i="123"/>
  <c r="AA9" i="123"/>
  <c r="AB9" i="123"/>
  <c r="AC5" i="123" s="1"/>
  <c r="P42" i="123"/>
  <c r="Q42" i="123"/>
  <c r="AB56" i="123"/>
  <c r="AC50" i="123" s="1"/>
  <c r="N56" i="123"/>
  <c r="AA56" i="123"/>
  <c r="N49" i="123"/>
  <c r="AA49" i="123"/>
  <c r="AB49" i="123"/>
  <c r="AC42" i="123" s="1"/>
  <c r="K15" i="120"/>
  <c r="P65" i="121"/>
  <c r="P10" i="121"/>
  <c r="Q21" i="121"/>
  <c r="P32" i="121"/>
  <c r="P52" i="121"/>
  <c r="Q27" i="121"/>
  <c r="R19" i="121" s="1"/>
  <c r="P40" i="121"/>
  <c r="Q47" i="121"/>
  <c r="R40" i="121" s="1"/>
  <c r="Q60" i="121"/>
  <c r="N53" i="121"/>
  <c r="P62" i="121"/>
  <c r="H14" i="120"/>
  <c r="H15" i="120" s="1"/>
  <c r="Q9" i="121"/>
  <c r="P31" i="121"/>
  <c r="P11" i="121"/>
  <c r="P33" i="121"/>
  <c r="AA53" i="121"/>
  <c r="P59" i="121"/>
  <c r="P19" i="121"/>
  <c r="P39" i="121"/>
  <c r="Q50" i="121"/>
  <c r="Q63" i="121"/>
  <c r="G14" i="120"/>
  <c r="G15" i="120" s="1"/>
  <c r="P20" i="121"/>
  <c r="Q64" i="121"/>
  <c r="Q33" i="121"/>
  <c r="R28" i="121" s="1"/>
  <c r="AA66" i="121"/>
  <c r="P43" i="121"/>
  <c r="P45" i="121"/>
  <c r="N66" i="121"/>
  <c r="O76" i="119"/>
  <c r="K76" i="119"/>
  <c r="AA75" i="119"/>
  <c r="V75" i="119"/>
  <c r="U75" i="119"/>
  <c r="O75" i="119"/>
  <c r="M75" i="119"/>
  <c r="K75" i="119"/>
  <c r="G75" i="119"/>
  <c r="X74" i="119"/>
  <c r="W74" i="119"/>
  <c r="V74" i="119"/>
  <c r="M74" i="119" s="1"/>
  <c r="U74" i="119"/>
  <c r="O74" i="119"/>
  <c r="N74" i="119"/>
  <c r="K74" i="119"/>
  <c r="G74" i="119"/>
  <c r="AA73" i="119"/>
  <c r="V73" i="119"/>
  <c r="U73" i="119"/>
  <c r="O73" i="119"/>
  <c r="M73" i="119"/>
  <c r="K73" i="119"/>
  <c r="G73" i="119"/>
  <c r="V72" i="119"/>
  <c r="M72" i="119" s="1"/>
  <c r="U72" i="119"/>
  <c r="O72" i="119"/>
  <c r="K72" i="119"/>
  <c r="G72" i="119"/>
  <c r="V71" i="119"/>
  <c r="M71" i="119" s="1"/>
  <c r="U71" i="119"/>
  <c r="O71" i="119"/>
  <c r="K71" i="119"/>
  <c r="G71" i="119"/>
  <c r="V70" i="119"/>
  <c r="M70" i="119" s="1"/>
  <c r="U70" i="119"/>
  <c r="O70" i="119"/>
  <c r="K70" i="119"/>
  <c r="G70" i="119"/>
  <c r="AB69" i="119"/>
  <c r="V69" i="119"/>
  <c r="M69" i="119" s="1"/>
  <c r="AA69" i="119" s="1"/>
  <c r="U69" i="119"/>
  <c r="O69" i="119"/>
  <c r="N69" i="119"/>
  <c r="Q69" i="119" s="1"/>
  <c r="K69" i="119"/>
  <c r="G69" i="119"/>
  <c r="AB68" i="119"/>
  <c r="X68" i="119"/>
  <c r="W68" i="119"/>
  <c r="V68" i="119"/>
  <c r="M68" i="119" s="1"/>
  <c r="O68" i="119"/>
  <c r="K68" i="119"/>
  <c r="G68" i="119"/>
  <c r="O67" i="119"/>
  <c r="M67" i="119"/>
  <c r="K67" i="119"/>
  <c r="V66" i="119"/>
  <c r="U66" i="119"/>
  <c r="O66" i="119"/>
  <c r="M66" i="119"/>
  <c r="K66" i="119"/>
  <c r="G66" i="119"/>
  <c r="V65" i="119"/>
  <c r="U65" i="119"/>
  <c r="O65" i="119"/>
  <c r="M65" i="119"/>
  <c r="AB65" i="119" s="1"/>
  <c r="K65" i="119"/>
  <c r="G65" i="119"/>
  <c r="AB64" i="119"/>
  <c r="V64" i="119"/>
  <c r="U64" i="119"/>
  <c r="O64" i="119"/>
  <c r="M64" i="119"/>
  <c r="AA64" i="119" s="1"/>
  <c r="K64" i="119"/>
  <c r="G64" i="119"/>
  <c r="AB63" i="119"/>
  <c r="V63" i="119"/>
  <c r="O63" i="119"/>
  <c r="M63" i="119"/>
  <c r="AA63" i="119" s="1"/>
  <c r="K63" i="119"/>
  <c r="G63" i="119"/>
  <c r="O62" i="119"/>
  <c r="M62" i="119"/>
  <c r="AA62" i="119" s="1"/>
  <c r="K62" i="119"/>
  <c r="V61" i="119"/>
  <c r="M61" i="119" s="1"/>
  <c r="U61" i="119"/>
  <c r="O61" i="119"/>
  <c r="K61" i="119"/>
  <c r="G61" i="119"/>
  <c r="X60" i="119"/>
  <c r="W60" i="119"/>
  <c r="V60" i="119"/>
  <c r="M60" i="119" s="1"/>
  <c r="U60" i="119"/>
  <c r="O60" i="119"/>
  <c r="K60" i="119"/>
  <c r="G60" i="119"/>
  <c r="V59" i="119"/>
  <c r="M59" i="119" s="1"/>
  <c r="U59" i="119"/>
  <c r="O59" i="119"/>
  <c r="K59" i="119"/>
  <c r="G59" i="119"/>
  <c r="V58" i="119"/>
  <c r="M58" i="119" s="1"/>
  <c r="U58" i="119"/>
  <c r="O58" i="119"/>
  <c r="K58" i="119"/>
  <c r="G58" i="119"/>
  <c r="AB57" i="119"/>
  <c r="V57" i="119"/>
  <c r="M57" i="119" s="1"/>
  <c r="AA57" i="119" s="1"/>
  <c r="U57" i="119"/>
  <c r="P57" i="119"/>
  <c r="O57" i="119"/>
  <c r="N57" i="119"/>
  <c r="Q57" i="119" s="1"/>
  <c r="K57" i="119"/>
  <c r="G57" i="119"/>
  <c r="AB56" i="119"/>
  <c r="V56" i="119"/>
  <c r="M56" i="119" s="1"/>
  <c r="AA56" i="119" s="1"/>
  <c r="P56" i="119"/>
  <c r="O56" i="119"/>
  <c r="N56" i="119"/>
  <c r="Q56" i="119" s="1"/>
  <c r="K56" i="119"/>
  <c r="G56" i="119"/>
  <c r="AA55" i="119"/>
  <c r="O55" i="119"/>
  <c r="M55" i="119"/>
  <c r="K55" i="119"/>
  <c r="AB54" i="119"/>
  <c r="V54" i="119"/>
  <c r="U54" i="119"/>
  <c r="O54" i="119"/>
  <c r="M54" i="119"/>
  <c r="AA54" i="119" s="1"/>
  <c r="K54" i="119"/>
  <c r="G54" i="119"/>
  <c r="AA53" i="119"/>
  <c r="V53" i="119"/>
  <c r="U53" i="119"/>
  <c r="O53" i="119"/>
  <c r="M53" i="119"/>
  <c r="N53" i="119" s="1"/>
  <c r="K53" i="119"/>
  <c r="G53" i="119"/>
  <c r="AB52" i="119"/>
  <c r="X52" i="119"/>
  <c r="W52" i="119"/>
  <c r="V52" i="119"/>
  <c r="U52" i="119"/>
  <c r="P52" i="119"/>
  <c r="O52" i="119"/>
  <c r="M52" i="119"/>
  <c r="N52" i="119" s="1"/>
  <c r="Q52" i="119" s="1"/>
  <c r="K52" i="119"/>
  <c r="G52" i="119"/>
  <c r="AA51" i="119"/>
  <c r="V51" i="119"/>
  <c r="U51" i="119"/>
  <c r="O51" i="119"/>
  <c r="M51" i="119"/>
  <c r="N51" i="119" s="1"/>
  <c r="K51" i="119"/>
  <c r="G51" i="119"/>
  <c r="AB50" i="119"/>
  <c r="V50" i="119"/>
  <c r="M50" i="119" s="1"/>
  <c r="AA50" i="119" s="1"/>
  <c r="U50" i="119"/>
  <c r="O50" i="119"/>
  <c r="N50" i="119"/>
  <c r="K50" i="119"/>
  <c r="G50" i="119"/>
  <c r="AA49" i="119"/>
  <c r="V49" i="119"/>
  <c r="U49" i="119"/>
  <c r="O49" i="119"/>
  <c r="M49" i="119"/>
  <c r="K49" i="119"/>
  <c r="G49" i="119"/>
  <c r="V48" i="119"/>
  <c r="M48" i="119" s="1"/>
  <c r="U48" i="119"/>
  <c r="O48" i="119"/>
  <c r="K48" i="119"/>
  <c r="G48" i="119"/>
  <c r="V47" i="119"/>
  <c r="M47" i="119" s="1"/>
  <c r="U47" i="119"/>
  <c r="O47" i="119"/>
  <c r="K47" i="119"/>
  <c r="G47" i="119"/>
  <c r="X46" i="119"/>
  <c r="W46" i="119"/>
  <c r="V46" i="119"/>
  <c r="O46" i="119"/>
  <c r="M46" i="119"/>
  <c r="K46" i="119"/>
  <c r="G46" i="119"/>
  <c r="O45" i="119"/>
  <c r="K45" i="119"/>
  <c r="AA44" i="119"/>
  <c r="V44" i="119"/>
  <c r="U44" i="119"/>
  <c r="O44" i="119"/>
  <c r="M44" i="119"/>
  <c r="K44" i="119"/>
  <c r="G44" i="119"/>
  <c r="V43" i="119"/>
  <c r="M43" i="119" s="1"/>
  <c r="U43" i="119"/>
  <c r="O43" i="119"/>
  <c r="N43" i="119"/>
  <c r="K43" i="119"/>
  <c r="G43" i="119"/>
  <c r="X42" i="119"/>
  <c r="W42" i="119"/>
  <c r="V42" i="119"/>
  <c r="U42" i="119"/>
  <c r="O42" i="119"/>
  <c r="M42" i="119"/>
  <c r="K42" i="119"/>
  <c r="G42" i="119"/>
  <c r="V41" i="119"/>
  <c r="M41" i="119" s="1"/>
  <c r="U41" i="119"/>
  <c r="O41" i="119"/>
  <c r="N41" i="119"/>
  <c r="K41" i="119"/>
  <c r="G41" i="119"/>
  <c r="V40" i="119"/>
  <c r="U40" i="119"/>
  <c r="O40" i="119"/>
  <c r="N40" i="119"/>
  <c r="M40" i="119"/>
  <c r="K40" i="119"/>
  <c r="G40" i="119"/>
  <c r="V39" i="119"/>
  <c r="U39" i="119"/>
  <c r="O39" i="119"/>
  <c r="M39" i="119"/>
  <c r="K39" i="119"/>
  <c r="G39" i="119"/>
  <c r="X38" i="119"/>
  <c r="W38" i="119"/>
  <c r="V38" i="119"/>
  <c r="M38" i="119" s="1"/>
  <c r="O38" i="119"/>
  <c r="N38" i="119"/>
  <c r="K38" i="119"/>
  <c r="G38" i="119"/>
  <c r="O37" i="119"/>
  <c r="K37" i="119"/>
  <c r="AB36" i="119"/>
  <c r="V36" i="119"/>
  <c r="M36" i="119" s="1"/>
  <c r="AA36" i="119" s="1"/>
  <c r="U36" i="119"/>
  <c r="O36" i="119"/>
  <c r="N36" i="119"/>
  <c r="K36" i="119"/>
  <c r="G36" i="119"/>
  <c r="AB35" i="119"/>
  <c r="AA35" i="119"/>
  <c r="V35" i="119"/>
  <c r="U35" i="119"/>
  <c r="O35" i="119"/>
  <c r="M35" i="119"/>
  <c r="N35" i="119" s="1"/>
  <c r="K35" i="119"/>
  <c r="G35" i="119"/>
  <c r="AA34" i="119"/>
  <c r="X34" i="119"/>
  <c r="W34" i="119"/>
  <c r="V34" i="119"/>
  <c r="M34" i="119" s="1"/>
  <c r="AB34" i="119" s="1"/>
  <c r="U34" i="119"/>
  <c r="O34" i="119"/>
  <c r="N34" i="119"/>
  <c r="K34" i="119"/>
  <c r="G34" i="119"/>
  <c r="AB33" i="119"/>
  <c r="AA33" i="119"/>
  <c r="V33" i="119"/>
  <c r="U33" i="119"/>
  <c r="O33" i="119"/>
  <c r="M33" i="119"/>
  <c r="N33" i="119" s="1"/>
  <c r="K33" i="119"/>
  <c r="G33" i="119"/>
  <c r="AA32" i="119"/>
  <c r="V32" i="119"/>
  <c r="M32" i="119" s="1"/>
  <c r="U32" i="119"/>
  <c r="O32" i="119"/>
  <c r="K32" i="119"/>
  <c r="G32" i="119"/>
  <c r="V31" i="119"/>
  <c r="M31" i="119" s="1"/>
  <c r="U31" i="119"/>
  <c r="O31" i="119"/>
  <c r="K31" i="119"/>
  <c r="G31" i="119"/>
  <c r="X30" i="119"/>
  <c r="W30" i="119"/>
  <c r="V30" i="119"/>
  <c r="O30" i="119"/>
  <c r="M30" i="119"/>
  <c r="K30" i="119"/>
  <c r="G30" i="119"/>
  <c r="O29" i="119"/>
  <c r="K29" i="119"/>
  <c r="AA28" i="119"/>
  <c r="V28" i="119"/>
  <c r="U28" i="119"/>
  <c r="O28" i="119"/>
  <c r="M28" i="119"/>
  <c r="K28" i="119"/>
  <c r="G28" i="119"/>
  <c r="V27" i="119"/>
  <c r="M27" i="119" s="1"/>
  <c r="U27" i="119"/>
  <c r="O27" i="119"/>
  <c r="N27" i="119"/>
  <c r="K27" i="119"/>
  <c r="G27" i="119"/>
  <c r="V26" i="119"/>
  <c r="U26" i="119"/>
  <c r="O26" i="119"/>
  <c r="N26" i="119"/>
  <c r="M26" i="119"/>
  <c r="K26" i="119"/>
  <c r="G26" i="119"/>
  <c r="V25" i="119"/>
  <c r="U25" i="119"/>
  <c r="O25" i="119"/>
  <c r="M25" i="119"/>
  <c r="K25" i="119"/>
  <c r="G25" i="119"/>
  <c r="AB24" i="119"/>
  <c r="V24" i="119"/>
  <c r="U24" i="119"/>
  <c r="O24" i="119"/>
  <c r="M24" i="119"/>
  <c r="AA24" i="119" s="1"/>
  <c r="K24" i="119"/>
  <c r="G24" i="119"/>
  <c r="AA23" i="119"/>
  <c r="V23" i="119"/>
  <c r="U23" i="119"/>
  <c r="O23" i="119"/>
  <c r="M23" i="119"/>
  <c r="N23" i="119" s="1"/>
  <c r="K23" i="119"/>
  <c r="G23" i="119"/>
  <c r="AB22" i="119"/>
  <c r="V22" i="119"/>
  <c r="M22" i="119" s="1"/>
  <c r="AA22" i="119" s="1"/>
  <c r="U22" i="119"/>
  <c r="O22" i="119"/>
  <c r="N22" i="119"/>
  <c r="K22" i="119"/>
  <c r="G22" i="119"/>
  <c r="AB21" i="119"/>
  <c r="V21" i="119"/>
  <c r="M21" i="119" s="1"/>
  <c r="O21" i="119"/>
  <c r="N21" i="119"/>
  <c r="K21" i="119"/>
  <c r="G21" i="119"/>
  <c r="O20" i="119"/>
  <c r="K20" i="119"/>
  <c r="AB19" i="119"/>
  <c r="V19" i="119"/>
  <c r="M19" i="119" s="1"/>
  <c r="AA19" i="119" s="1"/>
  <c r="U19" i="119"/>
  <c r="Q19" i="119"/>
  <c r="P19" i="119"/>
  <c r="O19" i="119"/>
  <c r="N19" i="119"/>
  <c r="K19" i="119"/>
  <c r="G19" i="119"/>
  <c r="AA18" i="119"/>
  <c r="X18" i="119"/>
  <c r="W18" i="119"/>
  <c r="V18" i="119"/>
  <c r="M18" i="119" s="1"/>
  <c r="U18" i="119"/>
  <c r="O18" i="119"/>
  <c r="K18" i="119"/>
  <c r="G18" i="119"/>
  <c r="AB17" i="119"/>
  <c r="V17" i="119"/>
  <c r="M17" i="119" s="1"/>
  <c r="AA17" i="119" s="1"/>
  <c r="U17" i="119"/>
  <c r="Q17" i="119"/>
  <c r="P17" i="119"/>
  <c r="O17" i="119"/>
  <c r="N17" i="119"/>
  <c r="K17" i="119"/>
  <c r="G17" i="119"/>
  <c r="AA16" i="119"/>
  <c r="V16" i="119"/>
  <c r="U16" i="119"/>
  <c r="O16" i="119"/>
  <c r="M16" i="119"/>
  <c r="K16" i="119"/>
  <c r="G16" i="119"/>
  <c r="V15" i="119"/>
  <c r="M15" i="119" s="1"/>
  <c r="U15" i="119"/>
  <c r="O15" i="119"/>
  <c r="N15" i="119"/>
  <c r="K15" i="119"/>
  <c r="G15" i="119"/>
  <c r="V14" i="119"/>
  <c r="U14" i="119"/>
  <c r="O14" i="119"/>
  <c r="N14" i="119"/>
  <c r="M14" i="119"/>
  <c r="K14" i="119"/>
  <c r="G14" i="119"/>
  <c r="X13" i="119"/>
  <c r="W13" i="119"/>
  <c r="V13" i="119"/>
  <c r="O13" i="119"/>
  <c r="M13" i="119"/>
  <c r="K13" i="119"/>
  <c r="G13" i="119"/>
  <c r="O12" i="119"/>
  <c r="M12" i="119"/>
  <c r="K12" i="119"/>
  <c r="AA11" i="119"/>
  <c r="V11" i="119"/>
  <c r="U11" i="119"/>
  <c r="O11" i="119"/>
  <c r="M11" i="119"/>
  <c r="N11" i="119" s="1"/>
  <c r="K11" i="119"/>
  <c r="G11" i="119"/>
  <c r="AA10" i="119"/>
  <c r="V10" i="119"/>
  <c r="O10" i="119"/>
  <c r="M10" i="119"/>
  <c r="N10" i="119" s="1"/>
  <c r="K10" i="119"/>
  <c r="G10" i="119"/>
  <c r="O9" i="119"/>
  <c r="K9" i="119"/>
  <c r="V8" i="119"/>
  <c r="M8" i="119" s="1"/>
  <c r="U8" i="119"/>
  <c r="O8" i="119"/>
  <c r="K8" i="119"/>
  <c r="G8" i="119"/>
  <c r="AB7" i="119"/>
  <c r="X7" i="119"/>
  <c r="W7" i="119"/>
  <c r="V7" i="119"/>
  <c r="M7" i="119" s="1"/>
  <c r="U7" i="119"/>
  <c r="O7" i="119"/>
  <c r="K7" i="119"/>
  <c r="G7" i="119"/>
  <c r="V6" i="119"/>
  <c r="M6" i="119" s="1"/>
  <c r="U6" i="119"/>
  <c r="O6" i="119"/>
  <c r="K6" i="119"/>
  <c r="G6" i="119"/>
  <c r="V5" i="119"/>
  <c r="M5" i="119" s="1"/>
  <c r="O5" i="119"/>
  <c r="K5" i="119"/>
  <c r="G5" i="119"/>
  <c r="H2" i="119"/>
  <c r="H1" i="119"/>
  <c r="F1" i="119"/>
  <c r="F2" i="119" s="1"/>
  <c r="D1" i="119"/>
  <c r="M18" i="118"/>
  <c r="L18" i="118"/>
  <c r="K18" i="118"/>
  <c r="J18" i="118"/>
  <c r="I18" i="118"/>
  <c r="H18" i="118"/>
  <c r="G18" i="118"/>
  <c r="F18" i="118"/>
  <c r="E18" i="118"/>
  <c r="D18" i="118"/>
  <c r="M17" i="118"/>
  <c r="L17" i="118"/>
  <c r="K17" i="118"/>
  <c r="J17" i="118"/>
  <c r="I17" i="118"/>
  <c r="H17" i="118"/>
  <c r="G17" i="118"/>
  <c r="F17" i="118"/>
  <c r="E17" i="118"/>
  <c r="D17" i="118"/>
  <c r="M16" i="118"/>
  <c r="L16" i="118"/>
  <c r="K16" i="118"/>
  <c r="J16" i="118"/>
  <c r="I16" i="118"/>
  <c r="H16" i="118"/>
  <c r="G16" i="118"/>
  <c r="F16" i="118"/>
  <c r="E16" i="118"/>
  <c r="D16" i="118"/>
  <c r="M13" i="118"/>
  <c r="L13" i="118"/>
  <c r="K13" i="118"/>
  <c r="I6" i="118" s="1"/>
  <c r="J13" i="118"/>
  <c r="I13" i="118"/>
  <c r="H13" i="118"/>
  <c r="G13" i="118"/>
  <c r="F13" i="118"/>
  <c r="E13" i="118"/>
  <c r="D13" i="118"/>
  <c r="G6" i="118" s="1"/>
  <c r="F6" i="118"/>
  <c r="E6" i="118"/>
  <c r="I3" i="118"/>
  <c r="F3" i="118"/>
  <c r="C3" i="118"/>
  <c r="G8" i="126" l="1"/>
  <c r="F8" i="126"/>
  <c r="E8" i="126"/>
  <c r="I7" i="124"/>
  <c r="K15" i="124"/>
  <c r="I8" i="124" s="1"/>
  <c r="D15" i="124"/>
  <c r="F7" i="124"/>
  <c r="E7" i="124"/>
  <c r="G7" i="124"/>
  <c r="Q29" i="123"/>
  <c r="R21" i="123" s="1"/>
  <c r="P29" i="123"/>
  <c r="G14" i="122"/>
  <c r="G15" i="122" s="1"/>
  <c r="J14" i="122"/>
  <c r="J15" i="122" s="1"/>
  <c r="Q61" i="123"/>
  <c r="R57" i="123" s="1"/>
  <c r="P61" i="123"/>
  <c r="Q49" i="123"/>
  <c r="R42" i="123" s="1"/>
  <c r="P49" i="123"/>
  <c r="H14" i="122"/>
  <c r="H15" i="122" s="1"/>
  <c r="P56" i="123"/>
  <c r="I14" i="122"/>
  <c r="I15" i="122" s="1"/>
  <c r="Q56" i="123"/>
  <c r="R50" i="123" s="1"/>
  <c r="F14" i="122"/>
  <c r="F15" i="122" s="1"/>
  <c r="P20" i="123"/>
  <c r="Q20" i="123"/>
  <c r="R13" i="123" s="1"/>
  <c r="Q35" i="123"/>
  <c r="R30" i="123" s="1"/>
  <c r="P35" i="123"/>
  <c r="K14" i="122"/>
  <c r="P69" i="123"/>
  <c r="Q69" i="123"/>
  <c r="R62" i="123" s="1"/>
  <c r="M14" i="122"/>
  <c r="M15" i="122" s="1"/>
  <c r="Q41" i="123"/>
  <c r="R36" i="123" s="1"/>
  <c r="P41" i="123"/>
  <c r="L14" i="122"/>
  <c r="L15" i="122" s="1"/>
  <c r="D14" i="122"/>
  <c r="P9" i="123"/>
  <c r="D2" i="123"/>
  <c r="Q9" i="123"/>
  <c r="R5" i="123" s="1"/>
  <c r="E14" i="122"/>
  <c r="E15" i="122" s="1"/>
  <c r="Q12" i="123"/>
  <c r="R10" i="123" s="1"/>
  <c r="P12" i="123"/>
  <c r="M14" i="120"/>
  <c r="Q66" i="121"/>
  <c r="R59" i="121" s="1"/>
  <c r="P66" i="121"/>
  <c r="P53" i="121"/>
  <c r="I14" i="120"/>
  <c r="I15" i="120" s="1"/>
  <c r="Q53" i="121"/>
  <c r="R48" i="121" s="1"/>
  <c r="D2" i="121"/>
  <c r="F8" i="120"/>
  <c r="F7" i="120"/>
  <c r="P69" i="119"/>
  <c r="N5" i="119"/>
  <c r="M9" i="119"/>
  <c r="AB9" i="119" s="1"/>
  <c r="AC5" i="119" s="1"/>
  <c r="AB5" i="119"/>
  <c r="AA5" i="119"/>
  <c r="N6" i="119"/>
  <c r="AB6" i="119"/>
  <c r="AA6" i="119"/>
  <c r="N7" i="119"/>
  <c r="AA7" i="119"/>
  <c r="N8" i="119"/>
  <c r="AB8" i="119"/>
  <c r="AA8" i="119"/>
  <c r="Q10" i="119"/>
  <c r="P10" i="119"/>
  <c r="Q11" i="119"/>
  <c r="P11" i="119"/>
  <c r="AB12" i="119"/>
  <c r="AC10" i="119" s="1"/>
  <c r="AA12" i="119"/>
  <c r="N12" i="119"/>
  <c r="AB13" i="119"/>
  <c r="M20" i="119"/>
  <c r="AA13" i="119"/>
  <c r="N13" i="119"/>
  <c r="AB14" i="119"/>
  <c r="AA14" i="119"/>
  <c r="Q14" i="119"/>
  <c r="P14" i="119"/>
  <c r="Q15" i="119"/>
  <c r="P15" i="119"/>
  <c r="AB15" i="119"/>
  <c r="AA15" i="119"/>
  <c r="AB16" i="119"/>
  <c r="N16" i="119"/>
  <c r="N18" i="119"/>
  <c r="AB18" i="119"/>
  <c r="Q21" i="119"/>
  <c r="P21" i="119"/>
  <c r="M29" i="119"/>
  <c r="AA29" i="119" s="1"/>
  <c r="AA21" i="119"/>
  <c r="Q22" i="119"/>
  <c r="P22" i="119"/>
  <c r="Q23" i="119"/>
  <c r="P23" i="119"/>
  <c r="AB25" i="119"/>
  <c r="AA25" i="119"/>
  <c r="N25" i="119"/>
  <c r="AB26" i="119"/>
  <c r="AA26" i="119"/>
  <c r="Q26" i="119"/>
  <c r="P26" i="119"/>
  <c r="Q27" i="119"/>
  <c r="P27" i="119"/>
  <c r="AB27" i="119"/>
  <c r="AA27" i="119"/>
  <c r="AB28" i="119"/>
  <c r="N28" i="119"/>
  <c r="N30" i="119"/>
  <c r="AB30" i="119"/>
  <c r="M37" i="119"/>
  <c r="AA30" i="119"/>
  <c r="N31" i="119"/>
  <c r="AB31" i="119"/>
  <c r="AA31" i="119"/>
  <c r="N32" i="119"/>
  <c r="AB32" i="119"/>
  <c r="Q33" i="119"/>
  <c r="P33" i="119"/>
  <c r="Q34" i="119"/>
  <c r="P34" i="119"/>
  <c r="Q35" i="119"/>
  <c r="P35" i="119"/>
  <c r="Q36" i="119"/>
  <c r="P36" i="119"/>
  <c r="Q38" i="119"/>
  <c r="P38" i="119"/>
  <c r="AB38" i="119"/>
  <c r="M45" i="119"/>
  <c r="AA38" i="119"/>
  <c r="AB39" i="119"/>
  <c r="AA39" i="119"/>
  <c r="N39" i="119"/>
  <c r="AB40" i="119"/>
  <c r="AA40" i="119"/>
  <c r="Q40" i="119"/>
  <c r="P40" i="119"/>
  <c r="Q41" i="119"/>
  <c r="P41" i="119"/>
  <c r="AB41" i="119"/>
  <c r="AA41" i="119"/>
  <c r="AB42" i="119"/>
  <c r="AA42" i="119"/>
  <c r="N42" i="119"/>
  <c r="Q43" i="119"/>
  <c r="P43" i="119"/>
  <c r="AB43" i="119"/>
  <c r="AA43" i="119"/>
  <c r="AB44" i="119"/>
  <c r="N44" i="119"/>
  <c r="N46" i="119"/>
  <c r="AB46" i="119"/>
  <c r="AA46" i="119"/>
  <c r="N47" i="119"/>
  <c r="AB47" i="119"/>
  <c r="AA47" i="119"/>
  <c r="N48" i="119"/>
  <c r="AB48" i="119"/>
  <c r="AA48" i="119"/>
  <c r="N49" i="119"/>
  <c r="AB49" i="119"/>
  <c r="Q50" i="119"/>
  <c r="P50" i="119"/>
  <c r="Q51" i="119"/>
  <c r="P51" i="119"/>
  <c r="Q53" i="119"/>
  <c r="P53" i="119"/>
  <c r="AB55" i="119"/>
  <c r="AC46" i="119" s="1"/>
  <c r="N55" i="119"/>
  <c r="N58" i="119"/>
  <c r="AB58" i="119"/>
  <c r="AA58" i="119"/>
  <c r="N59" i="119"/>
  <c r="AB59" i="119"/>
  <c r="AA59" i="119"/>
  <c r="N60" i="119"/>
  <c r="AB60" i="119"/>
  <c r="AA60" i="119"/>
  <c r="N61" i="119"/>
  <c r="AB61" i="119"/>
  <c r="AA61" i="119"/>
  <c r="N62" i="119"/>
  <c r="AB62" i="119"/>
  <c r="AC56" i="119" s="1"/>
  <c r="AB66" i="119"/>
  <c r="AA66" i="119"/>
  <c r="N66" i="119"/>
  <c r="AB67" i="119"/>
  <c r="AC63" i="119" s="1"/>
  <c r="AA67" i="119"/>
  <c r="N67" i="119"/>
  <c r="J14" i="118" s="1"/>
  <c r="J15" i="118" s="1"/>
  <c r="N68" i="119"/>
  <c r="AA68" i="119"/>
  <c r="M76" i="119"/>
  <c r="N70" i="119"/>
  <c r="AB70" i="119"/>
  <c r="AA70" i="119"/>
  <c r="N71" i="119"/>
  <c r="AB71" i="119"/>
  <c r="AA71" i="119"/>
  <c r="N72" i="119"/>
  <c r="AB72" i="119"/>
  <c r="AA72" i="119"/>
  <c r="N73" i="119"/>
  <c r="AB73" i="119"/>
  <c r="Q74" i="119"/>
  <c r="P74" i="119"/>
  <c r="AB74" i="119"/>
  <c r="AA74" i="119"/>
  <c r="N75" i="119"/>
  <c r="AB75" i="119"/>
  <c r="AB10" i="119"/>
  <c r="AB11" i="119"/>
  <c r="AB23" i="119"/>
  <c r="AB51" i="119"/>
  <c r="AA52" i="119"/>
  <c r="AB53" i="119"/>
  <c r="N65" i="119"/>
  <c r="N24" i="119"/>
  <c r="N54" i="119"/>
  <c r="N63" i="119"/>
  <c r="N64" i="119"/>
  <c r="AA65" i="119"/>
  <c r="O80" i="117"/>
  <c r="K80" i="117"/>
  <c r="V79" i="117"/>
  <c r="U79" i="117"/>
  <c r="O79" i="117"/>
  <c r="M79" i="117"/>
  <c r="AB79" i="117" s="1"/>
  <c r="K79" i="117"/>
  <c r="G79" i="117"/>
  <c r="AB78" i="117"/>
  <c r="X78" i="117"/>
  <c r="W78" i="117"/>
  <c r="V78" i="117"/>
  <c r="U78" i="117"/>
  <c r="O78" i="117"/>
  <c r="M78" i="117"/>
  <c r="AA78" i="117" s="1"/>
  <c r="K78" i="117"/>
  <c r="G78" i="117"/>
  <c r="V77" i="117"/>
  <c r="M77" i="117" s="1"/>
  <c r="U77" i="117"/>
  <c r="P77" i="117"/>
  <c r="O77" i="117"/>
  <c r="N77" i="117"/>
  <c r="Q77" i="117" s="1"/>
  <c r="K77" i="117"/>
  <c r="G77" i="117"/>
  <c r="AA76" i="117"/>
  <c r="V76" i="117"/>
  <c r="U76" i="117"/>
  <c r="O76" i="117"/>
  <c r="M76" i="117"/>
  <c r="AB76" i="117" s="1"/>
  <c r="K76" i="117"/>
  <c r="G76" i="117"/>
  <c r="V75" i="117"/>
  <c r="M75" i="117" s="1"/>
  <c r="U75" i="117"/>
  <c r="O75" i="117"/>
  <c r="K75" i="117"/>
  <c r="G75" i="117"/>
  <c r="AA74" i="117"/>
  <c r="V74" i="117"/>
  <c r="M74" i="117" s="1"/>
  <c r="U74" i="117"/>
  <c r="O74" i="117"/>
  <c r="K74" i="117"/>
  <c r="G74" i="117"/>
  <c r="AA73" i="117"/>
  <c r="V73" i="117"/>
  <c r="U73" i="117"/>
  <c r="O73" i="117"/>
  <c r="M73" i="117"/>
  <c r="K73" i="117"/>
  <c r="G73" i="117"/>
  <c r="X72" i="117"/>
  <c r="W72" i="117"/>
  <c r="V72" i="117"/>
  <c r="O72" i="117"/>
  <c r="N72" i="117"/>
  <c r="M72" i="117"/>
  <c r="K72" i="117"/>
  <c r="G72" i="117"/>
  <c r="O71" i="117"/>
  <c r="K71" i="117"/>
  <c r="V70" i="117"/>
  <c r="U70" i="117"/>
  <c r="O70" i="117"/>
  <c r="M70" i="117"/>
  <c r="K70" i="117"/>
  <c r="G70" i="117"/>
  <c r="V69" i="117"/>
  <c r="U69" i="117"/>
  <c r="Q69" i="117"/>
  <c r="O69" i="117"/>
  <c r="N69" i="117"/>
  <c r="P69" i="117" s="1"/>
  <c r="M69" i="117"/>
  <c r="AB69" i="117" s="1"/>
  <c r="K69" i="117"/>
  <c r="G69" i="117"/>
  <c r="V68" i="117"/>
  <c r="U68" i="117"/>
  <c r="O68" i="117"/>
  <c r="N68" i="117"/>
  <c r="M68" i="117"/>
  <c r="K68" i="117"/>
  <c r="G68" i="117"/>
  <c r="AA67" i="117"/>
  <c r="V67" i="117"/>
  <c r="O67" i="117"/>
  <c r="M67" i="117"/>
  <c r="AB67" i="117" s="1"/>
  <c r="K67" i="117"/>
  <c r="G67" i="117"/>
  <c r="O66" i="117"/>
  <c r="K66" i="117"/>
  <c r="V65" i="117"/>
  <c r="M65" i="117" s="1"/>
  <c r="U65" i="117"/>
  <c r="O65" i="117"/>
  <c r="K65" i="117"/>
  <c r="G65" i="117"/>
  <c r="V64" i="117"/>
  <c r="M64" i="117" s="1"/>
  <c r="U64" i="117"/>
  <c r="O64" i="117"/>
  <c r="K64" i="117"/>
  <c r="G64" i="117"/>
  <c r="AB63" i="117"/>
  <c r="X63" i="117"/>
  <c r="W63" i="117"/>
  <c r="V63" i="117"/>
  <c r="U63" i="117"/>
  <c r="O63" i="117"/>
  <c r="M63" i="117"/>
  <c r="AA63" i="117" s="1"/>
  <c r="K63" i="117"/>
  <c r="G63" i="117"/>
  <c r="AB62" i="117"/>
  <c r="AA62" i="117"/>
  <c r="V62" i="117"/>
  <c r="M62" i="117" s="1"/>
  <c r="U62" i="117"/>
  <c r="O62" i="117"/>
  <c r="N62" i="117"/>
  <c r="K62" i="117"/>
  <c r="G62" i="117"/>
  <c r="V61" i="117"/>
  <c r="U61" i="117"/>
  <c r="O61" i="117"/>
  <c r="M61" i="117"/>
  <c r="AB61" i="117" s="1"/>
  <c r="K61" i="117"/>
  <c r="G61" i="117"/>
  <c r="AB60" i="117"/>
  <c r="V60" i="117"/>
  <c r="U60" i="117"/>
  <c r="P60" i="117"/>
  <c r="O60" i="117"/>
  <c r="N60" i="117"/>
  <c r="Q60" i="117" s="1"/>
  <c r="M60" i="117"/>
  <c r="AA60" i="117" s="1"/>
  <c r="K60" i="117"/>
  <c r="G60" i="117"/>
  <c r="V59" i="117"/>
  <c r="O59" i="117"/>
  <c r="N59" i="117"/>
  <c r="M59" i="117"/>
  <c r="K59" i="117"/>
  <c r="G59" i="117"/>
  <c r="O58" i="117"/>
  <c r="K58" i="117"/>
  <c r="V57" i="117"/>
  <c r="U57" i="117"/>
  <c r="O57" i="117"/>
  <c r="N57" i="117"/>
  <c r="M57" i="117"/>
  <c r="K57" i="117"/>
  <c r="G57" i="117"/>
  <c r="V56" i="117"/>
  <c r="U56" i="117"/>
  <c r="O56" i="117"/>
  <c r="M56" i="117"/>
  <c r="AB56" i="117" s="1"/>
  <c r="K56" i="117"/>
  <c r="G56" i="117"/>
  <c r="X55" i="117"/>
  <c r="W55" i="117"/>
  <c r="V55" i="117"/>
  <c r="M55" i="117" s="1"/>
  <c r="U55" i="117"/>
  <c r="O55" i="117"/>
  <c r="K55" i="117"/>
  <c r="G55" i="117"/>
  <c r="AA54" i="117"/>
  <c r="V54" i="117"/>
  <c r="M54" i="117" s="1"/>
  <c r="U54" i="117"/>
  <c r="O54" i="117"/>
  <c r="K54" i="117"/>
  <c r="G54" i="117"/>
  <c r="AB53" i="117"/>
  <c r="AA53" i="117"/>
  <c r="V53" i="117"/>
  <c r="U53" i="117"/>
  <c r="O53" i="117"/>
  <c r="M53" i="117"/>
  <c r="N53" i="117" s="1"/>
  <c r="K53" i="117"/>
  <c r="G53" i="117"/>
  <c r="V52" i="117"/>
  <c r="U52" i="117"/>
  <c r="O52" i="117"/>
  <c r="M52" i="117"/>
  <c r="AB52" i="117" s="1"/>
  <c r="K52" i="117"/>
  <c r="G52" i="117"/>
  <c r="AB51" i="117"/>
  <c r="AA51" i="117"/>
  <c r="V51" i="117"/>
  <c r="U51" i="117"/>
  <c r="O51" i="117"/>
  <c r="M51" i="117"/>
  <c r="N51" i="117" s="1"/>
  <c r="K51" i="117"/>
  <c r="G51" i="117"/>
  <c r="V50" i="117"/>
  <c r="U50" i="117"/>
  <c r="O50" i="117"/>
  <c r="N50" i="117"/>
  <c r="M50" i="117"/>
  <c r="K50" i="117"/>
  <c r="G50" i="117"/>
  <c r="X49" i="117"/>
  <c r="W49" i="117"/>
  <c r="V49" i="117"/>
  <c r="O49" i="117"/>
  <c r="M49" i="117"/>
  <c r="AB49" i="117" s="1"/>
  <c r="K49" i="117"/>
  <c r="G49" i="117"/>
  <c r="O48" i="117"/>
  <c r="K48" i="117"/>
  <c r="V47" i="117"/>
  <c r="M47" i="117" s="1"/>
  <c r="U47" i="117"/>
  <c r="O47" i="117"/>
  <c r="K47" i="117"/>
  <c r="G47" i="117"/>
  <c r="V46" i="117"/>
  <c r="M46" i="117" s="1"/>
  <c r="U46" i="117"/>
  <c r="O46" i="117"/>
  <c r="K46" i="117"/>
  <c r="G46" i="117"/>
  <c r="AB45" i="117"/>
  <c r="V45" i="117"/>
  <c r="M45" i="117" s="1"/>
  <c r="U45" i="117"/>
  <c r="O45" i="117"/>
  <c r="K45" i="117"/>
  <c r="G45" i="117"/>
  <c r="AA44" i="117"/>
  <c r="X44" i="117"/>
  <c r="W44" i="117"/>
  <c r="V44" i="117"/>
  <c r="M44" i="117" s="1"/>
  <c r="AB44" i="117" s="1"/>
  <c r="U44" i="117"/>
  <c r="O44" i="117"/>
  <c r="N44" i="117"/>
  <c r="K44" i="117"/>
  <c r="G44" i="117"/>
  <c r="V43" i="117"/>
  <c r="U43" i="117"/>
  <c r="O43" i="117"/>
  <c r="M43" i="117"/>
  <c r="K43" i="117"/>
  <c r="G43" i="117"/>
  <c r="AB42" i="117"/>
  <c r="V42" i="117"/>
  <c r="U42" i="117"/>
  <c r="P42" i="117"/>
  <c r="O42" i="117"/>
  <c r="N42" i="117"/>
  <c r="Q42" i="117" s="1"/>
  <c r="M42" i="117"/>
  <c r="AA42" i="117" s="1"/>
  <c r="K42" i="117"/>
  <c r="G42" i="117"/>
  <c r="V41" i="117"/>
  <c r="U41" i="117"/>
  <c r="O41" i="117"/>
  <c r="N41" i="117"/>
  <c r="M41" i="117"/>
  <c r="K41" i="117"/>
  <c r="G41" i="117"/>
  <c r="X40" i="117"/>
  <c r="W40" i="117"/>
  <c r="V40" i="117"/>
  <c r="M40" i="117" s="1"/>
  <c r="O40" i="117"/>
  <c r="K40" i="117"/>
  <c r="G40" i="117"/>
  <c r="O39" i="117"/>
  <c r="K39" i="117"/>
  <c r="AA38" i="117"/>
  <c r="V38" i="117"/>
  <c r="U38" i="117"/>
  <c r="O38" i="117"/>
  <c r="M38" i="117"/>
  <c r="AB38" i="117" s="1"/>
  <c r="K38" i="117"/>
  <c r="G38" i="117"/>
  <c r="V37" i="117"/>
  <c r="M37" i="117" s="1"/>
  <c r="U37" i="117"/>
  <c r="O37" i="117"/>
  <c r="K37" i="117"/>
  <c r="G37" i="117"/>
  <c r="AA36" i="117"/>
  <c r="V36" i="117"/>
  <c r="M36" i="117" s="1"/>
  <c r="U36" i="117"/>
  <c r="O36" i="117"/>
  <c r="K36" i="117"/>
  <c r="G36" i="117"/>
  <c r="AB35" i="117"/>
  <c r="AA35" i="117"/>
  <c r="X35" i="117"/>
  <c r="W35" i="117"/>
  <c r="V35" i="117"/>
  <c r="U35" i="117"/>
  <c r="O35" i="117"/>
  <c r="M35" i="117"/>
  <c r="N35" i="117" s="1"/>
  <c r="K35" i="117"/>
  <c r="G35" i="117"/>
  <c r="V34" i="117"/>
  <c r="U34" i="117"/>
  <c r="O34" i="117"/>
  <c r="N34" i="117"/>
  <c r="M34" i="117"/>
  <c r="K34" i="117"/>
  <c r="G34" i="117"/>
  <c r="V33" i="117"/>
  <c r="U33" i="117"/>
  <c r="Q33" i="117"/>
  <c r="O33" i="117"/>
  <c r="N33" i="117"/>
  <c r="P33" i="117" s="1"/>
  <c r="M33" i="117"/>
  <c r="AB33" i="117" s="1"/>
  <c r="K33" i="117"/>
  <c r="G33" i="117"/>
  <c r="V32" i="117"/>
  <c r="U32" i="117"/>
  <c r="P32" i="117"/>
  <c r="O32" i="117"/>
  <c r="N32" i="117"/>
  <c r="Q32" i="117" s="1"/>
  <c r="M32" i="117"/>
  <c r="K32" i="117"/>
  <c r="G32" i="117"/>
  <c r="AA31" i="117"/>
  <c r="X31" i="117"/>
  <c r="W31" i="117"/>
  <c r="V31" i="117"/>
  <c r="M31" i="117" s="1"/>
  <c r="O31" i="117"/>
  <c r="K31" i="117"/>
  <c r="G31" i="117"/>
  <c r="O30" i="117"/>
  <c r="K30" i="117"/>
  <c r="AB29" i="117"/>
  <c r="V29" i="117"/>
  <c r="M29" i="117" s="1"/>
  <c r="U29" i="117"/>
  <c r="O29" i="117"/>
  <c r="K29" i="117"/>
  <c r="G29" i="117"/>
  <c r="AA28" i="117"/>
  <c r="X28" i="117"/>
  <c r="W28" i="117"/>
  <c r="V28" i="117"/>
  <c r="M28" i="117" s="1"/>
  <c r="AB28" i="117" s="1"/>
  <c r="U28" i="117"/>
  <c r="O28" i="117"/>
  <c r="N28" i="117"/>
  <c r="K28" i="117"/>
  <c r="G28" i="117"/>
  <c r="V27" i="117"/>
  <c r="U27" i="117"/>
  <c r="O27" i="117"/>
  <c r="M27" i="117"/>
  <c r="K27" i="117"/>
  <c r="G27" i="117"/>
  <c r="AB26" i="117"/>
  <c r="V26" i="117"/>
  <c r="U26" i="117"/>
  <c r="P26" i="117"/>
  <c r="O26" i="117"/>
  <c r="N26" i="117"/>
  <c r="Q26" i="117" s="1"/>
  <c r="M26" i="117"/>
  <c r="AA26" i="117" s="1"/>
  <c r="K26" i="117"/>
  <c r="G26" i="117"/>
  <c r="V25" i="117"/>
  <c r="U25" i="117"/>
  <c r="O25" i="117"/>
  <c r="N25" i="117"/>
  <c r="M25" i="117"/>
  <c r="K25" i="117"/>
  <c r="G25" i="117"/>
  <c r="V24" i="117"/>
  <c r="U24" i="117"/>
  <c r="O24" i="117"/>
  <c r="M24" i="117"/>
  <c r="AB24" i="117" s="1"/>
  <c r="K24" i="117"/>
  <c r="G24" i="117"/>
  <c r="V23" i="117"/>
  <c r="M23" i="117" s="1"/>
  <c r="U23" i="117"/>
  <c r="Q23" i="117"/>
  <c r="P23" i="117"/>
  <c r="O23" i="117"/>
  <c r="N23" i="117"/>
  <c r="K23" i="117"/>
  <c r="G23" i="117"/>
  <c r="AA22" i="117"/>
  <c r="V22" i="117"/>
  <c r="U22" i="117"/>
  <c r="O22" i="117"/>
  <c r="M22" i="117"/>
  <c r="AB22" i="117" s="1"/>
  <c r="K22" i="117"/>
  <c r="G22" i="117"/>
  <c r="AA21" i="117"/>
  <c r="V21" i="117"/>
  <c r="M21" i="117" s="1"/>
  <c r="O21" i="117"/>
  <c r="K21" i="117"/>
  <c r="G21" i="117"/>
  <c r="O20" i="117"/>
  <c r="K20" i="117"/>
  <c r="V19" i="117"/>
  <c r="M19" i="117" s="1"/>
  <c r="U19" i="117"/>
  <c r="O19" i="117"/>
  <c r="K19" i="117"/>
  <c r="G19" i="117"/>
  <c r="AA18" i="117"/>
  <c r="X18" i="117"/>
  <c r="W18" i="117"/>
  <c r="V18" i="117"/>
  <c r="U18" i="117"/>
  <c r="O18" i="117"/>
  <c r="M18" i="117"/>
  <c r="AB18" i="117" s="1"/>
  <c r="K18" i="117"/>
  <c r="G18" i="117"/>
  <c r="AB17" i="117"/>
  <c r="AA17" i="117"/>
  <c r="V17" i="117"/>
  <c r="U17" i="117"/>
  <c r="O17" i="117"/>
  <c r="M17" i="117"/>
  <c r="N17" i="117" s="1"/>
  <c r="K17" i="117"/>
  <c r="G17" i="117"/>
  <c r="V16" i="117"/>
  <c r="U16" i="117"/>
  <c r="O16" i="117"/>
  <c r="M16" i="117"/>
  <c r="N16" i="117" s="1"/>
  <c r="K16" i="117"/>
  <c r="G16" i="117"/>
  <c r="V15" i="117"/>
  <c r="M15" i="117" s="1"/>
  <c r="U15" i="117"/>
  <c r="O15" i="117"/>
  <c r="K15" i="117"/>
  <c r="G15" i="117"/>
  <c r="AB14" i="117"/>
  <c r="V14" i="117"/>
  <c r="U14" i="117"/>
  <c r="P14" i="117"/>
  <c r="O14" i="117"/>
  <c r="N14" i="117"/>
  <c r="Q14" i="117" s="1"/>
  <c r="M14" i="117"/>
  <c r="AA14" i="117" s="1"/>
  <c r="K14" i="117"/>
  <c r="G14" i="117"/>
  <c r="AA13" i="117"/>
  <c r="X13" i="117"/>
  <c r="W13" i="117"/>
  <c r="V13" i="117"/>
  <c r="M13" i="117" s="1"/>
  <c r="O13" i="117"/>
  <c r="K13" i="117"/>
  <c r="G13" i="117"/>
  <c r="O12" i="117"/>
  <c r="K12" i="117"/>
  <c r="AB11" i="117"/>
  <c r="V11" i="117"/>
  <c r="M11" i="117" s="1"/>
  <c r="AA11" i="117" s="1"/>
  <c r="U11" i="117"/>
  <c r="O11" i="117"/>
  <c r="N11" i="117"/>
  <c r="K11" i="117"/>
  <c r="G11" i="117"/>
  <c r="AB10" i="117"/>
  <c r="AA10" i="117"/>
  <c r="V10" i="117"/>
  <c r="O10" i="117"/>
  <c r="M10" i="117"/>
  <c r="K10" i="117"/>
  <c r="G10" i="117"/>
  <c r="O9" i="117"/>
  <c r="K9" i="117"/>
  <c r="AA8" i="117"/>
  <c r="V8" i="117"/>
  <c r="M8" i="117" s="1"/>
  <c r="U8" i="117"/>
  <c r="O8" i="117"/>
  <c r="K8" i="117"/>
  <c r="G8" i="117"/>
  <c r="AB7" i="117"/>
  <c r="X7" i="117"/>
  <c r="W7" i="117"/>
  <c r="V7" i="117"/>
  <c r="U7" i="117"/>
  <c r="O7" i="117"/>
  <c r="M7" i="117"/>
  <c r="K7" i="117"/>
  <c r="G7" i="117"/>
  <c r="AB6" i="117"/>
  <c r="V6" i="117"/>
  <c r="U6" i="117"/>
  <c r="P6" i="117"/>
  <c r="O6" i="117"/>
  <c r="N6" i="117"/>
  <c r="Q6" i="117" s="1"/>
  <c r="M6" i="117"/>
  <c r="AA6" i="117" s="1"/>
  <c r="K6" i="117"/>
  <c r="G6" i="117"/>
  <c r="AB5" i="117"/>
  <c r="V5" i="117"/>
  <c r="O5" i="117"/>
  <c r="N5" i="117"/>
  <c r="Q5" i="117" s="1"/>
  <c r="M5" i="117"/>
  <c r="K5" i="117"/>
  <c r="G5" i="117"/>
  <c r="H2" i="117"/>
  <c r="H1" i="117"/>
  <c r="F1" i="117"/>
  <c r="F2" i="117" s="1"/>
  <c r="D1" i="117"/>
  <c r="M18" i="116"/>
  <c r="L18" i="116"/>
  <c r="K18" i="116"/>
  <c r="J18" i="116"/>
  <c r="I18" i="116"/>
  <c r="H18" i="116"/>
  <c r="G18" i="116"/>
  <c r="F18" i="116"/>
  <c r="E18" i="116"/>
  <c r="D18" i="116"/>
  <c r="M17" i="116"/>
  <c r="L17" i="116"/>
  <c r="K17" i="116"/>
  <c r="J17" i="116"/>
  <c r="I17" i="116"/>
  <c r="H17" i="116"/>
  <c r="G17" i="116"/>
  <c r="F17" i="116"/>
  <c r="E17" i="116"/>
  <c r="D17" i="116"/>
  <c r="M16" i="116"/>
  <c r="L16" i="116"/>
  <c r="K16" i="116"/>
  <c r="J16" i="116"/>
  <c r="I16" i="116"/>
  <c r="H16" i="116"/>
  <c r="G16" i="116"/>
  <c r="F16" i="116"/>
  <c r="E16" i="116"/>
  <c r="D16" i="116"/>
  <c r="M13" i="116"/>
  <c r="L13" i="116"/>
  <c r="K13" i="116"/>
  <c r="J13" i="116"/>
  <c r="I13" i="116"/>
  <c r="H13" i="116"/>
  <c r="G13" i="116"/>
  <c r="F13" i="116"/>
  <c r="E13" i="116"/>
  <c r="D13" i="116"/>
  <c r="I6" i="116"/>
  <c r="G6" i="116"/>
  <c r="F6" i="116"/>
  <c r="E6" i="116"/>
  <c r="I3" i="116"/>
  <c r="F3" i="116"/>
  <c r="C3" i="116"/>
  <c r="E8" i="124" l="1"/>
  <c r="F8" i="124"/>
  <c r="G8" i="124"/>
  <c r="I7" i="122"/>
  <c r="K15" i="122"/>
  <c r="I8" i="122" s="1"/>
  <c r="F7" i="122"/>
  <c r="G7" i="122"/>
  <c r="E7" i="122"/>
  <c r="D15" i="122"/>
  <c r="G8" i="120"/>
  <c r="M15" i="120"/>
  <c r="I8" i="120" s="1"/>
  <c r="I7" i="120"/>
  <c r="G7" i="120"/>
  <c r="E7" i="120"/>
  <c r="Q63" i="119"/>
  <c r="P63" i="119"/>
  <c r="Q54" i="119"/>
  <c r="P54" i="119"/>
  <c r="P58" i="119"/>
  <c r="Q58" i="119"/>
  <c r="P25" i="119"/>
  <c r="Q25" i="119"/>
  <c r="P8" i="119"/>
  <c r="Q8" i="119"/>
  <c r="Q24" i="119"/>
  <c r="P24" i="119"/>
  <c r="P70" i="119"/>
  <c r="Q70" i="119"/>
  <c r="Q16" i="119"/>
  <c r="P16" i="119"/>
  <c r="Q28" i="119"/>
  <c r="P28" i="119"/>
  <c r="Q61" i="119"/>
  <c r="P61" i="119"/>
  <c r="P12" i="119"/>
  <c r="Q12" i="119"/>
  <c r="R10" i="119" s="1"/>
  <c r="E14" i="118"/>
  <c r="E15" i="118" s="1"/>
  <c r="Q68" i="119"/>
  <c r="P68" i="119"/>
  <c r="Q13" i="119"/>
  <c r="P13" i="119"/>
  <c r="P18" i="119"/>
  <c r="Q18" i="119"/>
  <c r="P48" i="119"/>
  <c r="Q48" i="119"/>
  <c r="P39" i="119"/>
  <c r="Q39" i="119"/>
  <c r="N20" i="119"/>
  <c r="AA20" i="119"/>
  <c r="AB20" i="119"/>
  <c r="AC13" i="119" s="1"/>
  <c r="P65" i="119"/>
  <c r="Q65" i="119"/>
  <c r="Q7" i="119"/>
  <c r="P7" i="119"/>
  <c r="Q47" i="119"/>
  <c r="P47" i="119"/>
  <c r="P60" i="119"/>
  <c r="Q60" i="119"/>
  <c r="Q59" i="119"/>
  <c r="P59" i="119"/>
  <c r="Q31" i="119"/>
  <c r="P31" i="119"/>
  <c r="P5" i="119"/>
  <c r="Q5" i="119"/>
  <c r="P6" i="119"/>
  <c r="Q6" i="119"/>
  <c r="P32" i="119"/>
  <c r="Q32" i="119"/>
  <c r="P72" i="119"/>
  <c r="Q72" i="119"/>
  <c r="Q64" i="119"/>
  <c r="P64" i="119"/>
  <c r="Q71" i="119"/>
  <c r="P71" i="119"/>
  <c r="Q75" i="119"/>
  <c r="P75" i="119"/>
  <c r="Q73" i="119"/>
  <c r="P73" i="119"/>
  <c r="AB76" i="119"/>
  <c r="AC68" i="119" s="1"/>
  <c r="AA76" i="119"/>
  <c r="N76" i="119"/>
  <c r="M14" i="118" s="1"/>
  <c r="M15" i="118" s="1"/>
  <c r="Q67" i="119"/>
  <c r="R63" i="119" s="1"/>
  <c r="P67" i="119"/>
  <c r="Q66" i="119"/>
  <c r="P66" i="119"/>
  <c r="Q62" i="119"/>
  <c r="R56" i="119" s="1"/>
  <c r="P62" i="119"/>
  <c r="I14" i="118"/>
  <c r="I15" i="118" s="1"/>
  <c r="Q55" i="119"/>
  <c r="R46" i="119" s="1"/>
  <c r="P55" i="119"/>
  <c r="H14" i="118"/>
  <c r="H15" i="118" s="1"/>
  <c r="Q49" i="119"/>
  <c r="P49" i="119"/>
  <c r="Q46" i="119"/>
  <c r="P46" i="119"/>
  <c r="Q44" i="119"/>
  <c r="P44" i="119"/>
  <c r="Q42" i="119"/>
  <c r="P42" i="119"/>
  <c r="N45" i="119"/>
  <c r="AB45" i="119"/>
  <c r="AC38" i="119" s="1"/>
  <c r="AA45" i="119"/>
  <c r="AB37" i="119"/>
  <c r="AC30" i="119" s="1"/>
  <c r="AA37" i="119"/>
  <c r="N37" i="119"/>
  <c r="Q30" i="119"/>
  <c r="P30" i="119"/>
  <c r="N29" i="119"/>
  <c r="AB29" i="119"/>
  <c r="AC21" i="119" s="1"/>
  <c r="N9" i="119"/>
  <c r="AA9" i="119"/>
  <c r="P5" i="117"/>
  <c r="AA5" i="117"/>
  <c r="M9" i="117"/>
  <c r="AA7" i="117"/>
  <c r="N7" i="117"/>
  <c r="N8" i="117"/>
  <c r="AB8" i="117"/>
  <c r="M12" i="117"/>
  <c r="N10" i="117"/>
  <c r="Q11" i="117"/>
  <c r="P11" i="117"/>
  <c r="AB13" i="117"/>
  <c r="M20" i="117"/>
  <c r="N13" i="117"/>
  <c r="AB15" i="117"/>
  <c r="AA15" i="117"/>
  <c r="N15" i="117"/>
  <c r="AB16" i="117"/>
  <c r="AA16" i="117"/>
  <c r="Q16" i="117"/>
  <c r="P16" i="117"/>
  <c r="Q17" i="117"/>
  <c r="P17" i="117"/>
  <c r="N19" i="117"/>
  <c r="AA19" i="117"/>
  <c r="AB19" i="117"/>
  <c r="M30" i="117"/>
  <c r="N21" i="117"/>
  <c r="AB21" i="117"/>
  <c r="AB23" i="117"/>
  <c r="AA23" i="117"/>
  <c r="AB25" i="117"/>
  <c r="AA25" i="117"/>
  <c r="Q25" i="117"/>
  <c r="P25" i="117"/>
  <c r="AB27" i="117"/>
  <c r="AA27" i="117"/>
  <c r="N27" i="117"/>
  <c r="Q28" i="117"/>
  <c r="P28" i="117"/>
  <c r="AA29" i="117"/>
  <c r="N29" i="117"/>
  <c r="M39" i="117"/>
  <c r="AA39" i="117" s="1"/>
  <c r="AB31" i="117"/>
  <c r="N31" i="117"/>
  <c r="AB32" i="117"/>
  <c r="AA32" i="117"/>
  <c r="AB34" i="117"/>
  <c r="AA34" i="117"/>
  <c r="Q34" i="117"/>
  <c r="P34" i="117"/>
  <c r="Q35" i="117"/>
  <c r="P35" i="117"/>
  <c r="AB36" i="117"/>
  <c r="N36" i="117"/>
  <c r="N37" i="117"/>
  <c r="AB37" i="117"/>
  <c r="AA37" i="117"/>
  <c r="M48" i="117"/>
  <c r="N48" i="117" s="1"/>
  <c r="AB40" i="117"/>
  <c r="AA40" i="117"/>
  <c r="N40" i="117"/>
  <c r="AB41" i="117"/>
  <c r="AA41" i="117"/>
  <c r="Q41" i="117"/>
  <c r="P41" i="117"/>
  <c r="AB43" i="117"/>
  <c r="AA43" i="117"/>
  <c r="N43" i="117"/>
  <c r="Q44" i="117"/>
  <c r="P44" i="117"/>
  <c r="AA45" i="117"/>
  <c r="N45" i="117"/>
  <c r="N46" i="117"/>
  <c r="AB46" i="117"/>
  <c r="AA46" i="117"/>
  <c r="AB47" i="117"/>
  <c r="AA47" i="117"/>
  <c r="N47" i="117"/>
  <c r="AB50" i="117"/>
  <c r="AA50" i="117"/>
  <c r="Q50" i="117"/>
  <c r="P50" i="117"/>
  <c r="Q51" i="117"/>
  <c r="P51" i="117"/>
  <c r="Q53" i="117"/>
  <c r="P53" i="117"/>
  <c r="AB54" i="117"/>
  <c r="N54" i="117"/>
  <c r="N55" i="117"/>
  <c r="AB55" i="117"/>
  <c r="AA55" i="117"/>
  <c r="AB57" i="117"/>
  <c r="AA57" i="117"/>
  <c r="P57" i="117"/>
  <c r="Q57" i="117"/>
  <c r="M66" i="117"/>
  <c r="N66" i="117" s="1"/>
  <c r="P66" i="117" s="1"/>
  <c r="AB59" i="117"/>
  <c r="AA59" i="117"/>
  <c r="P59" i="117"/>
  <c r="Q59" i="117"/>
  <c r="Q62" i="117"/>
  <c r="P62" i="117"/>
  <c r="N64" i="117"/>
  <c r="AB64" i="117"/>
  <c r="AA64" i="117"/>
  <c r="AB65" i="117"/>
  <c r="AA65" i="117"/>
  <c r="N65" i="117"/>
  <c r="I14" i="116"/>
  <c r="I15" i="116" s="1"/>
  <c r="Q66" i="117"/>
  <c r="R59" i="117" s="1"/>
  <c r="AB68" i="117"/>
  <c r="AA68" i="117"/>
  <c r="Q68" i="117"/>
  <c r="P68" i="117"/>
  <c r="AB70" i="117"/>
  <c r="AA70" i="117"/>
  <c r="N70" i="117"/>
  <c r="M80" i="117"/>
  <c r="AB72" i="117"/>
  <c r="AA72" i="117"/>
  <c r="Q72" i="117"/>
  <c r="P72" i="117"/>
  <c r="N73" i="117"/>
  <c r="AB73" i="117"/>
  <c r="AB74" i="117"/>
  <c r="N74" i="117"/>
  <c r="N75" i="117"/>
  <c r="AB75" i="117"/>
  <c r="AA75" i="117"/>
  <c r="AB77" i="117"/>
  <c r="AA77" i="117"/>
  <c r="N61" i="117"/>
  <c r="N79" i="117"/>
  <c r="N18" i="117"/>
  <c r="N52" i="117"/>
  <c r="N63" i="117"/>
  <c r="N22" i="117"/>
  <c r="N38" i="117"/>
  <c r="N49" i="117"/>
  <c r="N67" i="117"/>
  <c r="N76" i="117"/>
  <c r="AA61" i="117"/>
  <c r="AA79" i="117"/>
  <c r="N24" i="117"/>
  <c r="AA52" i="117"/>
  <c r="N56" i="117"/>
  <c r="M58" i="117"/>
  <c r="N78" i="117"/>
  <c r="M71" i="117"/>
  <c r="N71" i="117" s="1"/>
  <c r="AA24" i="117"/>
  <c r="AA49" i="117"/>
  <c r="AA56" i="117"/>
  <c r="AA33" i="117"/>
  <c r="AA69" i="117"/>
  <c r="O80" i="115"/>
  <c r="K80" i="115"/>
  <c r="V79" i="115"/>
  <c r="U79" i="115"/>
  <c r="O79" i="115"/>
  <c r="M79" i="115"/>
  <c r="N79" i="115" s="1"/>
  <c r="K79" i="115"/>
  <c r="G79" i="115"/>
  <c r="AB78" i="115"/>
  <c r="X78" i="115"/>
  <c r="W78" i="115"/>
  <c r="V78" i="115"/>
  <c r="U78" i="115"/>
  <c r="O78" i="115"/>
  <c r="M78" i="115"/>
  <c r="AA78" i="115" s="1"/>
  <c r="K78" i="115"/>
  <c r="G78" i="115"/>
  <c r="AB77" i="115"/>
  <c r="AA77" i="115"/>
  <c r="V77" i="115"/>
  <c r="U77" i="115"/>
  <c r="O77" i="115"/>
  <c r="N77" i="115"/>
  <c r="P77" i="115" s="1"/>
  <c r="M77" i="115"/>
  <c r="K77" i="115"/>
  <c r="G77" i="115"/>
  <c r="V76" i="115"/>
  <c r="U76" i="115"/>
  <c r="O76" i="115"/>
  <c r="M76" i="115"/>
  <c r="K76" i="115"/>
  <c r="G76" i="115"/>
  <c r="AB75" i="115"/>
  <c r="AA75" i="115"/>
  <c r="V75" i="115"/>
  <c r="U75" i="115"/>
  <c r="O75" i="115"/>
  <c r="M75" i="115"/>
  <c r="N75" i="115" s="1"/>
  <c r="P75" i="115" s="1"/>
  <c r="K75" i="115"/>
  <c r="G75" i="115"/>
  <c r="V74" i="115"/>
  <c r="U74" i="115"/>
  <c r="O74" i="115"/>
  <c r="M74" i="115"/>
  <c r="AA74" i="115" s="1"/>
  <c r="K74" i="115"/>
  <c r="G74" i="115"/>
  <c r="V73" i="115"/>
  <c r="M73" i="115" s="1"/>
  <c r="N73" i="115" s="1"/>
  <c r="U73" i="115"/>
  <c r="O73" i="115"/>
  <c r="K73" i="115"/>
  <c r="G73" i="115"/>
  <c r="X72" i="115"/>
  <c r="W72" i="115"/>
  <c r="V72" i="115"/>
  <c r="O72" i="115"/>
  <c r="M72" i="115"/>
  <c r="N72" i="115" s="1"/>
  <c r="K72" i="115"/>
  <c r="G72" i="115"/>
  <c r="O71" i="115"/>
  <c r="K71" i="115"/>
  <c r="V70" i="115"/>
  <c r="M70" i="115" s="1"/>
  <c r="U70" i="115"/>
  <c r="O70" i="115"/>
  <c r="K70" i="115"/>
  <c r="G70" i="115"/>
  <c r="V69" i="115"/>
  <c r="U69" i="115"/>
  <c r="O69" i="115"/>
  <c r="M69" i="115"/>
  <c r="AB69" i="115" s="1"/>
  <c r="K69" i="115"/>
  <c r="G69" i="115"/>
  <c r="V68" i="115"/>
  <c r="M68" i="115" s="1"/>
  <c r="U68" i="115"/>
  <c r="O68" i="115"/>
  <c r="K68" i="115"/>
  <c r="G68" i="115"/>
  <c r="V67" i="115"/>
  <c r="O67" i="115"/>
  <c r="M67" i="115"/>
  <c r="K67" i="115"/>
  <c r="G67" i="115"/>
  <c r="O66" i="115"/>
  <c r="K66" i="115"/>
  <c r="V65" i="115"/>
  <c r="U65" i="115"/>
  <c r="O65" i="115"/>
  <c r="M65" i="115"/>
  <c r="AA65" i="115" s="1"/>
  <c r="K65" i="115"/>
  <c r="G65" i="115"/>
  <c r="AB64" i="115"/>
  <c r="AA64" i="115"/>
  <c r="V64" i="115"/>
  <c r="U64" i="115"/>
  <c r="Q64" i="115"/>
  <c r="P64" i="115"/>
  <c r="O64" i="115"/>
  <c r="N64" i="115"/>
  <c r="M64" i="115"/>
  <c r="K64" i="115"/>
  <c r="G64" i="115"/>
  <c r="AA63" i="115"/>
  <c r="X63" i="115"/>
  <c r="W63" i="115"/>
  <c r="V63" i="115"/>
  <c r="U63" i="115"/>
  <c r="O63" i="115"/>
  <c r="M63" i="115"/>
  <c r="AB63" i="115" s="1"/>
  <c r="K63" i="115"/>
  <c r="G63" i="115"/>
  <c r="V62" i="115"/>
  <c r="U62" i="115"/>
  <c r="O62" i="115"/>
  <c r="M62" i="115"/>
  <c r="N62" i="115" s="1"/>
  <c r="K62" i="115"/>
  <c r="G62" i="115"/>
  <c r="V61" i="115"/>
  <c r="U61" i="115"/>
  <c r="O61" i="115"/>
  <c r="M61" i="115"/>
  <c r="K61" i="115"/>
  <c r="G61" i="115"/>
  <c r="AB60" i="115"/>
  <c r="AA60" i="115"/>
  <c r="V60" i="115"/>
  <c r="U60" i="115"/>
  <c r="O60" i="115"/>
  <c r="N60" i="115"/>
  <c r="P60" i="115" s="1"/>
  <c r="M60" i="115"/>
  <c r="K60" i="115"/>
  <c r="G60" i="115"/>
  <c r="V59" i="115"/>
  <c r="O59" i="115"/>
  <c r="M59" i="115"/>
  <c r="M66" i="115" s="1"/>
  <c r="AB66" i="115" s="1"/>
  <c r="AC59" i="115" s="1"/>
  <c r="K59" i="115"/>
  <c r="G59" i="115"/>
  <c r="O58" i="115"/>
  <c r="K58" i="115"/>
  <c r="H13" i="114" s="1"/>
  <c r="V57" i="115"/>
  <c r="U57" i="115"/>
  <c r="O57" i="115"/>
  <c r="M57" i="115"/>
  <c r="AB57" i="115" s="1"/>
  <c r="K57" i="115"/>
  <c r="G57" i="115"/>
  <c r="V56" i="115"/>
  <c r="U56" i="115"/>
  <c r="O56" i="115"/>
  <c r="M56" i="115"/>
  <c r="AB56" i="115" s="1"/>
  <c r="K56" i="115"/>
  <c r="G56" i="115"/>
  <c r="AB55" i="115"/>
  <c r="AA55" i="115"/>
  <c r="X55" i="115"/>
  <c r="W55" i="115"/>
  <c r="V55" i="115"/>
  <c r="U55" i="115"/>
  <c r="O55" i="115"/>
  <c r="M55" i="115"/>
  <c r="N55" i="115" s="1"/>
  <c r="Q55" i="115" s="1"/>
  <c r="K55" i="115"/>
  <c r="G55" i="115"/>
  <c r="V54" i="115"/>
  <c r="U54" i="115"/>
  <c r="O54" i="115"/>
  <c r="M54" i="115"/>
  <c r="AA54" i="115" s="1"/>
  <c r="K54" i="115"/>
  <c r="G54" i="115"/>
  <c r="AB53" i="115"/>
  <c r="V53" i="115"/>
  <c r="M53" i="115" s="1"/>
  <c r="N53" i="115" s="1"/>
  <c r="U53" i="115"/>
  <c r="O53" i="115"/>
  <c r="K53" i="115"/>
  <c r="G53" i="115"/>
  <c r="V52" i="115"/>
  <c r="U52" i="115"/>
  <c r="O52" i="115"/>
  <c r="M52" i="115"/>
  <c r="K52" i="115"/>
  <c r="G52" i="115"/>
  <c r="AB51" i="115"/>
  <c r="AA51" i="115"/>
  <c r="V51" i="115"/>
  <c r="U51" i="115"/>
  <c r="O51" i="115"/>
  <c r="N51" i="115"/>
  <c r="M51" i="115"/>
  <c r="K51" i="115"/>
  <c r="G51" i="115"/>
  <c r="V50" i="115"/>
  <c r="U50" i="115"/>
  <c r="O50" i="115"/>
  <c r="M50" i="115"/>
  <c r="K50" i="115"/>
  <c r="G50" i="115"/>
  <c r="X49" i="115"/>
  <c r="W49" i="115"/>
  <c r="V49" i="115"/>
  <c r="O49" i="115"/>
  <c r="M49" i="115"/>
  <c r="K49" i="115"/>
  <c r="G49" i="115"/>
  <c r="O48" i="115"/>
  <c r="K48" i="115"/>
  <c r="V47" i="115"/>
  <c r="U47" i="115"/>
  <c r="O47" i="115"/>
  <c r="M47" i="115"/>
  <c r="AA47" i="115" s="1"/>
  <c r="K47" i="115"/>
  <c r="G47" i="115"/>
  <c r="AB46" i="115"/>
  <c r="AA46" i="115"/>
  <c r="V46" i="115"/>
  <c r="U46" i="115"/>
  <c r="Q46" i="115"/>
  <c r="P46" i="115"/>
  <c r="O46" i="115"/>
  <c r="N46" i="115"/>
  <c r="M46" i="115"/>
  <c r="K46" i="115"/>
  <c r="G46" i="115"/>
  <c r="V45" i="115"/>
  <c r="U45" i="115"/>
  <c r="O45" i="115"/>
  <c r="M45" i="115"/>
  <c r="AB45" i="115" s="1"/>
  <c r="K45" i="115"/>
  <c r="G45" i="115"/>
  <c r="X44" i="115"/>
  <c r="W44" i="115"/>
  <c r="V44" i="115"/>
  <c r="M44" i="115" s="1"/>
  <c r="U44" i="115"/>
  <c r="O44" i="115"/>
  <c r="K44" i="115"/>
  <c r="G44" i="115"/>
  <c r="V43" i="115"/>
  <c r="U43" i="115"/>
  <c r="O43" i="115"/>
  <c r="M43" i="115"/>
  <c r="K43" i="115"/>
  <c r="G43" i="115"/>
  <c r="AB42" i="115"/>
  <c r="AA42" i="115"/>
  <c r="V42" i="115"/>
  <c r="U42" i="115"/>
  <c r="O42" i="115"/>
  <c r="N42" i="115"/>
  <c r="P42" i="115" s="1"/>
  <c r="M42" i="115"/>
  <c r="K42" i="115"/>
  <c r="G42" i="115"/>
  <c r="V41" i="115"/>
  <c r="U41" i="115"/>
  <c r="O41" i="115"/>
  <c r="M41" i="115"/>
  <c r="AB41" i="115" s="1"/>
  <c r="K41" i="115"/>
  <c r="G41" i="115"/>
  <c r="X40" i="115"/>
  <c r="W40" i="115"/>
  <c r="V40" i="115"/>
  <c r="O40" i="115"/>
  <c r="M40" i="115"/>
  <c r="K40" i="115"/>
  <c r="G40" i="115"/>
  <c r="O39" i="115"/>
  <c r="K39" i="115"/>
  <c r="V38" i="115"/>
  <c r="U38" i="115"/>
  <c r="O38" i="115"/>
  <c r="M38" i="115"/>
  <c r="K38" i="115"/>
  <c r="G38" i="115"/>
  <c r="AB37" i="115"/>
  <c r="AA37" i="115"/>
  <c r="V37" i="115"/>
  <c r="U37" i="115"/>
  <c r="O37" i="115"/>
  <c r="M37" i="115"/>
  <c r="N37" i="115" s="1"/>
  <c r="Q37" i="115" s="1"/>
  <c r="K37" i="115"/>
  <c r="G37" i="115"/>
  <c r="V36" i="115"/>
  <c r="U36" i="115"/>
  <c r="O36" i="115"/>
  <c r="M36" i="115"/>
  <c r="AA36" i="115" s="1"/>
  <c r="K36" i="115"/>
  <c r="G36" i="115"/>
  <c r="AB35" i="115"/>
  <c r="AA35" i="115"/>
  <c r="X35" i="115"/>
  <c r="W35" i="115"/>
  <c r="V35" i="115"/>
  <c r="U35" i="115"/>
  <c r="O35" i="115"/>
  <c r="N35" i="115"/>
  <c r="M35" i="115"/>
  <c r="K35" i="115"/>
  <c r="G35" i="115"/>
  <c r="V34" i="115"/>
  <c r="U34" i="115"/>
  <c r="O34" i="115"/>
  <c r="M34" i="115"/>
  <c r="N34" i="115" s="1"/>
  <c r="K34" i="115"/>
  <c r="G34" i="115"/>
  <c r="V33" i="115"/>
  <c r="U33" i="115"/>
  <c r="O33" i="115"/>
  <c r="M33" i="115"/>
  <c r="AB33" i="115" s="1"/>
  <c r="K33" i="115"/>
  <c r="G33" i="115"/>
  <c r="V32" i="115"/>
  <c r="M32" i="115" s="1"/>
  <c r="U32" i="115"/>
  <c r="O32" i="115"/>
  <c r="K32" i="115"/>
  <c r="G32" i="115"/>
  <c r="X31" i="115"/>
  <c r="W31" i="115"/>
  <c r="V31" i="115"/>
  <c r="O31" i="115"/>
  <c r="M31" i="115"/>
  <c r="N31" i="115" s="1"/>
  <c r="K31" i="115"/>
  <c r="G31" i="115"/>
  <c r="O30" i="115"/>
  <c r="K30" i="115"/>
  <c r="V29" i="115"/>
  <c r="U29" i="115"/>
  <c r="O29" i="115"/>
  <c r="M29" i="115"/>
  <c r="AB29" i="115" s="1"/>
  <c r="K29" i="115"/>
  <c r="G29" i="115"/>
  <c r="X28" i="115"/>
  <c r="W28" i="115"/>
  <c r="V28" i="115"/>
  <c r="U28" i="115"/>
  <c r="O28" i="115"/>
  <c r="M28" i="115"/>
  <c r="N28" i="115" s="1"/>
  <c r="K28" i="115"/>
  <c r="G28" i="115"/>
  <c r="V27" i="115"/>
  <c r="U27" i="115"/>
  <c r="O27" i="115"/>
  <c r="M27" i="115"/>
  <c r="K27" i="115"/>
  <c r="G27" i="115"/>
  <c r="AB26" i="115"/>
  <c r="AA26" i="115"/>
  <c r="V26" i="115"/>
  <c r="U26" i="115"/>
  <c r="O26" i="115"/>
  <c r="N26" i="115"/>
  <c r="P26" i="115" s="1"/>
  <c r="M26" i="115"/>
  <c r="K26" i="115"/>
  <c r="G26" i="115"/>
  <c r="V25" i="115"/>
  <c r="M25" i="115" s="1"/>
  <c r="U25" i="115"/>
  <c r="O25" i="115"/>
  <c r="K25" i="115"/>
  <c r="G25" i="115"/>
  <c r="V24" i="115"/>
  <c r="U24" i="115"/>
  <c r="O24" i="115"/>
  <c r="M24" i="115"/>
  <c r="AB24" i="115" s="1"/>
  <c r="K24" i="115"/>
  <c r="G24" i="115"/>
  <c r="AB23" i="115"/>
  <c r="AA23" i="115"/>
  <c r="V23" i="115"/>
  <c r="U23" i="115"/>
  <c r="Q23" i="115"/>
  <c r="P23" i="115"/>
  <c r="O23" i="115"/>
  <c r="N23" i="115"/>
  <c r="M23" i="115"/>
  <c r="K23" i="115"/>
  <c r="G23" i="115"/>
  <c r="V22" i="115"/>
  <c r="U22" i="115"/>
  <c r="O22" i="115"/>
  <c r="M22" i="115"/>
  <c r="K22" i="115"/>
  <c r="G22" i="115"/>
  <c r="V21" i="115"/>
  <c r="M21" i="115" s="1"/>
  <c r="AA21" i="115" s="1"/>
  <c r="O21" i="115"/>
  <c r="K21" i="115"/>
  <c r="G21" i="115"/>
  <c r="O20" i="115"/>
  <c r="K20" i="115"/>
  <c r="AB19" i="115"/>
  <c r="AA19" i="115"/>
  <c r="V19" i="115"/>
  <c r="U19" i="115"/>
  <c r="O19" i="115"/>
  <c r="M19" i="115"/>
  <c r="N19" i="115" s="1"/>
  <c r="Q19" i="115" s="1"/>
  <c r="K19" i="115"/>
  <c r="G19" i="115"/>
  <c r="AB18" i="115"/>
  <c r="X18" i="115"/>
  <c r="W18" i="115"/>
  <c r="V18" i="115"/>
  <c r="U18" i="115"/>
  <c r="O18" i="115"/>
  <c r="M18" i="115"/>
  <c r="AA18" i="115" s="1"/>
  <c r="K18" i="115"/>
  <c r="G18" i="115"/>
  <c r="AB17" i="115"/>
  <c r="AA17" i="115"/>
  <c r="V17" i="115"/>
  <c r="U17" i="115"/>
  <c r="O17" i="115"/>
  <c r="N17" i="115"/>
  <c r="M17" i="115"/>
  <c r="K17" i="115"/>
  <c r="G17" i="115"/>
  <c r="V16" i="115"/>
  <c r="M16" i="115" s="1"/>
  <c r="U16" i="115"/>
  <c r="O16" i="115"/>
  <c r="K16" i="115"/>
  <c r="G16" i="115"/>
  <c r="V15" i="115"/>
  <c r="U15" i="115"/>
  <c r="O15" i="115"/>
  <c r="M15" i="115"/>
  <c r="AB15" i="115" s="1"/>
  <c r="K15" i="115"/>
  <c r="G15" i="115"/>
  <c r="V14" i="115"/>
  <c r="M14" i="115" s="1"/>
  <c r="U14" i="115"/>
  <c r="O14" i="115"/>
  <c r="K14" i="115"/>
  <c r="G14" i="115"/>
  <c r="X13" i="115"/>
  <c r="W13" i="115"/>
  <c r="V13" i="115"/>
  <c r="O13" i="115"/>
  <c r="M13" i="115"/>
  <c r="K13" i="115"/>
  <c r="G13" i="115"/>
  <c r="O12" i="115"/>
  <c r="K12" i="115"/>
  <c r="AA11" i="115"/>
  <c r="V11" i="115"/>
  <c r="U11" i="115"/>
  <c r="O11" i="115"/>
  <c r="M11" i="115"/>
  <c r="AB11" i="115" s="1"/>
  <c r="K11" i="115"/>
  <c r="G11" i="115"/>
  <c r="V10" i="115"/>
  <c r="M10" i="115" s="1"/>
  <c r="AA10" i="115" s="1"/>
  <c r="O10" i="115"/>
  <c r="K10" i="115"/>
  <c r="G10" i="115"/>
  <c r="O9" i="115"/>
  <c r="M9" i="115"/>
  <c r="N9" i="115" s="1"/>
  <c r="K9" i="115"/>
  <c r="AB8" i="115"/>
  <c r="AA8" i="115"/>
  <c r="V8" i="115"/>
  <c r="M8" i="115" s="1"/>
  <c r="N8" i="115" s="1"/>
  <c r="P8" i="115" s="1"/>
  <c r="U8" i="115"/>
  <c r="Q8" i="115"/>
  <c r="O8" i="115"/>
  <c r="K8" i="115"/>
  <c r="G8" i="115"/>
  <c r="X7" i="115"/>
  <c r="W7" i="115"/>
  <c r="V7" i="115"/>
  <c r="U7" i="115"/>
  <c r="O7" i="115"/>
  <c r="N7" i="115"/>
  <c r="P7" i="115" s="1"/>
  <c r="M7" i="115"/>
  <c r="K7" i="115"/>
  <c r="G7" i="115"/>
  <c r="AB6" i="115"/>
  <c r="AA6" i="115"/>
  <c r="V6" i="115"/>
  <c r="U6" i="115"/>
  <c r="O6" i="115"/>
  <c r="N6" i="115"/>
  <c r="P6" i="115" s="1"/>
  <c r="M6" i="115"/>
  <c r="K6" i="115"/>
  <c r="G6" i="115"/>
  <c r="V5" i="115"/>
  <c r="O5" i="115"/>
  <c r="M5" i="115"/>
  <c r="AB5" i="115" s="1"/>
  <c r="K5" i="115"/>
  <c r="G5" i="115"/>
  <c r="H2" i="115"/>
  <c r="H1" i="115"/>
  <c r="D1" i="115"/>
  <c r="M18" i="114"/>
  <c r="L18" i="114"/>
  <c r="K18" i="114"/>
  <c r="J18" i="114"/>
  <c r="I18" i="114"/>
  <c r="H18" i="114"/>
  <c r="G18" i="114"/>
  <c r="F18" i="114"/>
  <c r="E18" i="114"/>
  <c r="D18" i="114"/>
  <c r="M17" i="114"/>
  <c r="L17" i="114"/>
  <c r="K17" i="114"/>
  <c r="J17" i="114"/>
  <c r="I17" i="114"/>
  <c r="H17" i="114"/>
  <c r="G17" i="114"/>
  <c r="F17" i="114"/>
  <c r="E17" i="114"/>
  <c r="D17" i="114"/>
  <c r="M16" i="114"/>
  <c r="L16" i="114"/>
  <c r="K16" i="114"/>
  <c r="J16" i="114"/>
  <c r="I16" i="114"/>
  <c r="H16" i="114"/>
  <c r="G16" i="114"/>
  <c r="F16" i="114"/>
  <c r="E16" i="114"/>
  <c r="D16" i="114"/>
  <c r="M13" i="114"/>
  <c r="L13" i="114"/>
  <c r="I6" i="114" s="1"/>
  <c r="K13" i="114"/>
  <c r="J13" i="114"/>
  <c r="I13" i="114"/>
  <c r="G13" i="114"/>
  <c r="F13" i="114"/>
  <c r="E13" i="114"/>
  <c r="G6" i="114" s="1"/>
  <c r="D13" i="114"/>
  <c r="F3" i="114"/>
  <c r="C3" i="114"/>
  <c r="E8" i="122" l="1"/>
  <c r="F8" i="122"/>
  <c r="G8" i="122"/>
  <c r="E8" i="120"/>
  <c r="Q9" i="119"/>
  <c r="R5" i="119" s="1"/>
  <c r="D14" i="118"/>
  <c r="P29" i="119"/>
  <c r="G14" i="118"/>
  <c r="G15" i="118" s="1"/>
  <c r="Q29" i="119"/>
  <c r="R21" i="119" s="1"/>
  <c r="Q37" i="119"/>
  <c r="R30" i="119" s="1"/>
  <c r="K14" i="118"/>
  <c r="P37" i="119"/>
  <c r="Q20" i="119"/>
  <c r="R13" i="119" s="1"/>
  <c r="P20" i="119"/>
  <c r="F14" i="118"/>
  <c r="F15" i="118" s="1"/>
  <c r="P45" i="119"/>
  <c r="L14" i="118"/>
  <c r="L15" i="118" s="1"/>
  <c r="Q45" i="119"/>
  <c r="R38" i="119" s="1"/>
  <c r="P9" i="119"/>
  <c r="D2" i="119"/>
  <c r="Q76" i="119"/>
  <c r="R68" i="119" s="1"/>
  <c r="P76" i="119"/>
  <c r="P15" i="117"/>
  <c r="Q15" i="117"/>
  <c r="P55" i="117"/>
  <c r="Q55" i="117"/>
  <c r="Q78" i="117"/>
  <c r="P78" i="117"/>
  <c r="Q75" i="117"/>
  <c r="P75" i="117"/>
  <c r="P65" i="117"/>
  <c r="Q65" i="117"/>
  <c r="Q56" i="117"/>
  <c r="P56" i="117"/>
  <c r="N30" i="117"/>
  <c r="AB30" i="117"/>
  <c r="AC21" i="117" s="1"/>
  <c r="AA30" i="117"/>
  <c r="Q46" i="117"/>
  <c r="P46" i="117"/>
  <c r="Q71" i="117"/>
  <c r="R67" i="117" s="1"/>
  <c r="P71" i="117"/>
  <c r="J14" i="116"/>
  <c r="J15" i="116" s="1"/>
  <c r="AA20" i="117"/>
  <c r="N20" i="117"/>
  <c r="AB20" i="117"/>
  <c r="AC13" i="117" s="1"/>
  <c r="P21" i="117"/>
  <c r="Q21" i="117"/>
  <c r="Q24" i="117"/>
  <c r="P24" i="117"/>
  <c r="N12" i="117"/>
  <c r="AA12" i="117"/>
  <c r="AB12" i="117"/>
  <c r="AC10" i="117" s="1"/>
  <c r="Q64" i="117"/>
  <c r="P64" i="117"/>
  <c r="P8" i="117"/>
  <c r="Q8" i="117"/>
  <c r="Q19" i="117"/>
  <c r="P19" i="117"/>
  <c r="P47" i="117"/>
  <c r="Q47" i="117"/>
  <c r="L14" i="116"/>
  <c r="L15" i="116" s="1"/>
  <c r="Q48" i="117"/>
  <c r="R40" i="117" s="1"/>
  <c r="P48" i="117"/>
  <c r="P37" i="117"/>
  <c r="Q37" i="117"/>
  <c r="AB71" i="117"/>
  <c r="AC67" i="117" s="1"/>
  <c r="AA71" i="117"/>
  <c r="AB58" i="117"/>
  <c r="AC49" i="117" s="1"/>
  <c r="AA58" i="117"/>
  <c r="N58" i="117"/>
  <c r="Q58" i="117" s="1"/>
  <c r="R49" i="117" s="1"/>
  <c r="Q76" i="117"/>
  <c r="P76" i="117"/>
  <c r="Q67" i="117"/>
  <c r="P67" i="117"/>
  <c r="Q49" i="117"/>
  <c r="P49" i="117"/>
  <c r="Q38" i="117"/>
  <c r="P38" i="117"/>
  <c r="Q22" i="117"/>
  <c r="P22" i="117"/>
  <c r="Q63" i="117"/>
  <c r="P63" i="117"/>
  <c r="Q52" i="117"/>
  <c r="P52" i="117"/>
  <c r="Q18" i="117"/>
  <c r="P18" i="117"/>
  <c r="Q79" i="117"/>
  <c r="P79" i="117"/>
  <c r="Q61" i="117"/>
  <c r="P61" i="117"/>
  <c r="Q74" i="117"/>
  <c r="P74" i="117"/>
  <c r="Q73" i="117"/>
  <c r="P73" i="117"/>
  <c r="AB80" i="117"/>
  <c r="AC72" i="117" s="1"/>
  <c r="AA80" i="117"/>
  <c r="N80" i="117"/>
  <c r="Q70" i="117"/>
  <c r="P70" i="117"/>
  <c r="AB66" i="117"/>
  <c r="AC59" i="117" s="1"/>
  <c r="AA66" i="117"/>
  <c r="Q54" i="117"/>
  <c r="P54" i="117"/>
  <c r="Q45" i="117"/>
  <c r="P45" i="117"/>
  <c r="Q43" i="117"/>
  <c r="P43" i="117"/>
  <c r="Q40" i="117"/>
  <c r="P40" i="117"/>
  <c r="AB48" i="117"/>
  <c r="AC40" i="117" s="1"/>
  <c r="AA48" i="117"/>
  <c r="Q36" i="117"/>
  <c r="P36" i="117"/>
  <c r="Q31" i="117"/>
  <c r="P31" i="117"/>
  <c r="N39" i="117"/>
  <c r="AB39" i="117"/>
  <c r="AC31" i="117" s="1"/>
  <c r="Q29" i="117"/>
  <c r="P29" i="117"/>
  <c r="Q27" i="117"/>
  <c r="P27" i="117"/>
  <c r="Q13" i="117"/>
  <c r="P13" i="117"/>
  <c r="Q10" i="117"/>
  <c r="P10" i="117"/>
  <c r="Q7" i="117"/>
  <c r="P7" i="117"/>
  <c r="AB9" i="117"/>
  <c r="AC5" i="117" s="1"/>
  <c r="AA9" i="117"/>
  <c r="N9" i="117"/>
  <c r="AB70" i="115"/>
  <c r="AA70" i="115"/>
  <c r="N70" i="115"/>
  <c r="N14" i="115"/>
  <c r="AB14" i="115"/>
  <c r="AA14" i="115"/>
  <c r="Q34" i="115"/>
  <c r="P34" i="115"/>
  <c r="P72" i="115"/>
  <c r="Q72" i="115"/>
  <c r="Q31" i="115"/>
  <c r="P31" i="115"/>
  <c r="N68" i="115"/>
  <c r="AA68" i="115"/>
  <c r="AB68" i="115"/>
  <c r="AB16" i="115"/>
  <c r="N16" i="115"/>
  <c r="AA16" i="115"/>
  <c r="N44" i="115"/>
  <c r="AA44" i="115"/>
  <c r="AB44" i="115"/>
  <c r="N32" i="115"/>
  <c r="AA32" i="115"/>
  <c r="AB32" i="115"/>
  <c r="AB25" i="115"/>
  <c r="N25" i="115"/>
  <c r="AA25" i="115"/>
  <c r="Q9" i="115"/>
  <c r="R5" i="115" s="1"/>
  <c r="D14" i="114"/>
  <c r="P9" i="115"/>
  <c r="Q79" i="115"/>
  <c r="P79" i="115"/>
  <c r="F1" i="115"/>
  <c r="AB61" i="115"/>
  <c r="AA61" i="115"/>
  <c r="P37" i="115"/>
  <c r="N54" i="115"/>
  <c r="N59" i="115"/>
  <c r="N61" i="115"/>
  <c r="AB73" i="115"/>
  <c r="AA76" i="115"/>
  <c r="AB76" i="115"/>
  <c r="N76" i="115"/>
  <c r="P35" i="115"/>
  <c r="Q35" i="115"/>
  <c r="N74" i="115"/>
  <c r="AA13" i="115"/>
  <c r="AB13" i="115"/>
  <c r="AB10" i="115"/>
  <c r="N41" i="115"/>
  <c r="P55" i="115"/>
  <c r="AA73" i="115"/>
  <c r="Q73" i="115"/>
  <c r="P73" i="115"/>
  <c r="Q28" i="115"/>
  <c r="P28" i="115"/>
  <c r="M48" i="115"/>
  <c r="AA40" i="115"/>
  <c r="AB40" i="115"/>
  <c r="N5" i="115"/>
  <c r="AB7" i="115"/>
  <c r="AA7" i="115"/>
  <c r="N40" i="115"/>
  <c r="M30" i="115"/>
  <c r="N21" i="115"/>
  <c r="AB52" i="115"/>
  <c r="AA52" i="115"/>
  <c r="N66" i="115"/>
  <c r="Q7" i="115"/>
  <c r="P17" i="115"/>
  <c r="Q17" i="115"/>
  <c r="AA59" i="115"/>
  <c r="AA5" i="115"/>
  <c r="P19" i="115"/>
  <c r="AB28" i="115"/>
  <c r="AB43" i="115"/>
  <c r="AA43" i="115"/>
  <c r="N45" i="115"/>
  <c r="N57" i="115"/>
  <c r="AB59" i="115"/>
  <c r="AA66" i="115"/>
  <c r="AA22" i="115"/>
  <c r="AB22" i="115"/>
  <c r="N22" i="115"/>
  <c r="AA38" i="115"/>
  <c r="AB38" i="115"/>
  <c r="N38" i="115"/>
  <c r="N43" i="115"/>
  <c r="Q62" i="115"/>
  <c r="P62" i="115"/>
  <c r="AB79" i="115"/>
  <c r="AA79" i="115"/>
  <c r="AB27" i="115"/>
  <c r="AA27" i="115"/>
  <c r="AA45" i="115"/>
  <c r="N27" i="115"/>
  <c r="AA62" i="115"/>
  <c r="E6" i="114"/>
  <c r="Q75" i="115"/>
  <c r="AB49" i="115"/>
  <c r="AA49" i="115"/>
  <c r="M58" i="115"/>
  <c r="N49" i="115"/>
  <c r="AB9" i="115"/>
  <c r="AC5" i="115" s="1"/>
  <c r="AA9" i="115"/>
  <c r="AB50" i="115"/>
  <c r="AA50" i="115"/>
  <c r="M80" i="115"/>
  <c r="AB72" i="115"/>
  <c r="AA72" i="115"/>
  <c r="N50" i="115"/>
  <c r="N29" i="115"/>
  <c r="N36" i="115"/>
  <c r="AA67" i="115"/>
  <c r="AB67" i="115"/>
  <c r="M71" i="115"/>
  <c r="N67" i="115"/>
  <c r="Q77" i="115"/>
  <c r="AA57" i="115"/>
  <c r="AB62" i="115"/>
  <c r="F6" i="114"/>
  <c r="N11" i="115"/>
  <c r="N18" i="115"/>
  <c r="M20" i="115"/>
  <c r="Q53" i="115"/>
  <c r="P53" i="115"/>
  <c r="AA29" i="115"/>
  <c r="AB36" i="115"/>
  <c r="AA41" i="115"/>
  <c r="P51" i="115"/>
  <c r="Q51" i="115"/>
  <c r="AA53" i="115"/>
  <c r="AB21" i="115"/>
  <c r="AA31" i="115"/>
  <c r="M39" i="115"/>
  <c r="AB31" i="115"/>
  <c r="N52" i="115"/>
  <c r="AB54" i="115"/>
  <c r="AA28" i="115"/>
  <c r="N10" i="115"/>
  <c r="M12" i="115"/>
  <c r="N13" i="115"/>
  <c r="AB74" i="115"/>
  <c r="AB34" i="115"/>
  <c r="AA34" i="115"/>
  <c r="N63" i="115"/>
  <c r="N47" i="115"/>
  <c r="N65" i="115"/>
  <c r="N24" i="115"/>
  <c r="N56" i="115"/>
  <c r="N78" i="115"/>
  <c r="N15" i="115"/>
  <c r="N33" i="115"/>
  <c r="N69" i="115"/>
  <c r="AA24" i="115"/>
  <c r="AB47" i="115"/>
  <c r="AA56" i="115"/>
  <c r="AB65" i="115"/>
  <c r="Q6" i="115"/>
  <c r="Q26" i="115"/>
  <c r="Q42" i="115"/>
  <c r="Q60" i="115"/>
  <c r="AA15" i="115"/>
  <c r="AA33" i="115"/>
  <c r="AA69" i="115"/>
  <c r="O79" i="113"/>
  <c r="K79" i="113"/>
  <c r="V78" i="113"/>
  <c r="U78" i="113"/>
  <c r="O78" i="113"/>
  <c r="M78" i="113"/>
  <c r="K78" i="113"/>
  <c r="G78" i="113"/>
  <c r="AB77" i="113"/>
  <c r="X77" i="113"/>
  <c r="W77" i="113"/>
  <c r="V77" i="113"/>
  <c r="U77" i="113"/>
  <c r="O77" i="113"/>
  <c r="M77" i="113"/>
  <c r="AA77" i="113" s="1"/>
  <c r="K77" i="113"/>
  <c r="G77" i="113"/>
  <c r="V76" i="113"/>
  <c r="M76" i="113" s="1"/>
  <c r="AB76" i="113" s="1"/>
  <c r="U76" i="113"/>
  <c r="O76" i="113"/>
  <c r="K76" i="113"/>
  <c r="G76" i="113"/>
  <c r="V75" i="113"/>
  <c r="U75" i="113"/>
  <c r="O75" i="113"/>
  <c r="M75" i="113"/>
  <c r="K75" i="113"/>
  <c r="G75" i="113"/>
  <c r="V74" i="113"/>
  <c r="M74" i="113" s="1"/>
  <c r="N74" i="113" s="1"/>
  <c r="P74" i="113" s="1"/>
  <c r="U74" i="113"/>
  <c r="Q74" i="113"/>
  <c r="O74" i="113"/>
  <c r="K74" i="113"/>
  <c r="G74" i="113"/>
  <c r="V73" i="113"/>
  <c r="U73" i="113"/>
  <c r="O73" i="113"/>
  <c r="M73" i="113"/>
  <c r="K73" i="113"/>
  <c r="G73" i="113"/>
  <c r="V72" i="113"/>
  <c r="M72" i="113" s="1"/>
  <c r="AB72" i="113" s="1"/>
  <c r="U72" i="113"/>
  <c r="O72" i="113"/>
  <c r="K72" i="113"/>
  <c r="G72" i="113"/>
  <c r="X71" i="113"/>
  <c r="W71" i="113"/>
  <c r="V71" i="113"/>
  <c r="M71" i="113" s="1"/>
  <c r="O71" i="113"/>
  <c r="K71" i="113"/>
  <c r="G71" i="113"/>
  <c r="O70" i="113"/>
  <c r="K70" i="113"/>
  <c r="V69" i="113"/>
  <c r="M69" i="113" s="1"/>
  <c r="U69" i="113"/>
  <c r="O69" i="113"/>
  <c r="N69" i="113"/>
  <c r="Q69" i="113" s="1"/>
  <c r="K69" i="113"/>
  <c r="G69" i="113"/>
  <c r="V68" i="113"/>
  <c r="U68" i="113"/>
  <c r="O68" i="113"/>
  <c r="M68" i="113"/>
  <c r="AB68" i="113" s="1"/>
  <c r="K68" i="113"/>
  <c r="G68" i="113"/>
  <c r="V67" i="113"/>
  <c r="U67" i="113"/>
  <c r="O67" i="113"/>
  <c r="M67" i="113"/>
  <c r="AB67" i="113" s="1"/>
  <c r="K67" i="113"/>
  <c r="G67" i="113"/>
  <c r="V66" i="113"/>
  <c r="O66" i="113"/>
  <c r="M66" i="113"/>
  <c r="K66" i="113"/>
  <c r="G66" i="113"/>
  <c r="O65" i="113"/>
  <c r="K65" i="113"/>
  <c r="V64" i="113"/>
  <c r="U64" i="113"/>
  <c r="O64" i="113"/>
  <c r="M64" i="113"/>
  <c r="AB64" i="113" s="1"/>
  <c r="K64" i="113"/>
  <c r="G64" i="113"/>
  <c r="X63" i="113"/>
  <c r="W63" i="113"/>
  <c r="V63" i="113"/>
  <c r="M63" i="113" s="1"/>
  <c r="N63" i="113" s="1"/>
  <c r="P63" i="113" s="1"/>
  <c r="U63" i="113"/>
  <c r="Q63" i="113"/>
  <c r="O63" i="113"/>
  <c r="K63" i="113"/>
  <c r="G63" i="113"/>
  <c r="V62" i="113"/>
  <c r="U62" i="113"/>
  <c r="O62" i="113"/>
  <c r="M62" i="113"/>
  <c r="K62" i="113"/>
  <c r="G62" i="113"/>
  <c r="V61" i="113"/>
  <c r="M61" i="113" s="1"/>
  <c r="U61" i="113"/>
  <c r="O61" i="113"/>
  <c r="K61" i="113"/>
  <c r="G61" i="113"/>
  <c r="V60" i="113"/>
  <c r="U60" i="113"/>
  <c r="Q60" i="113"/>
  <c r="P60" i="113"/>
  <c r="O60" i="113"/>
  <c r="N60" i="113"/>
  <c r="M60" i="113"/>
  <c r="K60" i="113"/>
  <c r="G60" i="113"/>
  <c r="V59" i="113"/>
  <c r="O59" i="113"/>
  <c r="M59" i="113"/>
  <c r="K59" i="113"/>
  <c r="G59" i="113"/>
  <c r="O58" i="113"/>
  <c r="K58" i="113"/>
  <c r="AB57" i="113"/>
  <c r="AA57" i="113"/>
  <c r="V57" i="113"/>
  <c r="U57" i="113"/>
  <c r="P57" i="113"/>
  <c r="O57" i="113"/>
  <c r="N57" i="113"/>
  <c r="Q57" i="113" s="1"/>
  <c r="M57" i="113"/>
  <c r="K57" i="113"/>
  <c r="G57" i="113"/>
  <c r="V56" i="113"/>
  <c r="U56" i="113"/>
  <c r="O56" i="113"/>
  <c r="M56" i="113"/>
  <c r="K56" i="113"/>
  <c r="G56" i="113"/>
  <c r="X55" i="113"/>
  <c r="W55" i="113"/>
  <c r="V55" i="113"/>
  <c r="U55" i="113"/>
  <c r="O55" i="113"/>
  <c r="M55" i="113"/>
  <c r="K55" i="113"/>
  <c r="G55" i="113"/>
  <c r="AB54" i="113"/>
  <c r="V54" i="113"/>
  <c r="M54" i="113" s="1"/>
  <c r="N54" i="113" s="1"/>
  <c r="U54" i="113"/>
  <c r="Q54" i="113"/>
  <c r="P54" i="113"/>
  <c r="O54" i="113"/>
  <c r="K54" i="113"/>
  <c r="G54" i="113"/>
  <c r="V53" i="113"/>
  <c r="U53" i="113"/>
  <c r="O53" i="113"/>
  <c r="M53" i="113"/>
  <c r="K53" i="113"/>
  <c r="G53" i="113"/>
  <c r="AB52" i="113"/>
  <c r="V52" i="113"/>
  <c r="M52" i="113" s="1"/>
  <c r="U52" i="113"/>
  <c r="O52" i="113"/>
  <c r="K52" i="113"/>
  <c r="G52" i="113"/>
  <c r="V51" i="113"/>
  <c r="U51" i="113"/>
  <c r="O51" i="113"/>
  <c r="M51" i="113"/>
  <c r="K51" i="113"/>
  <c r="G51" i="113"/>
  <c r="AB50" i="113"/>
  <c r="AA50" i="113"/>
  <c r="V50" i="113"/>
  <c r="U50" i="113"/>
  <c r="O50" i="113"/>
  <c r="N50" i="113"/>
  <c r="Q50" i="113" s="1"/>
  <c r="M50" i="113"/>
  <c r="K50" i="113"/>
  <c r="G50" i="113"/>
  <c r="AA49" i="113"/>
  <c r="X49" i="113"/>
  <c r="W49" i="113"/>
  <c r="V49" i="113"/>
  <c r="M49" i="113" s="1"/>
  <c r="O49" i="113"/>
  <c r="N49" i="113"/>
  <c r="P49" i="113" s="1"/>
  <c r="K49" i="113"/>
  <c r="G49" i="113"/>
  <c r="O48" i="113"/>
  <c r="K48" i="113"/>
  <c r="L13" i="112" s="1"/>
  <c r="V47" i="113"/>
  <c r="M47" i="113" s="1"/>
  <c r="U47" i="113"/>
  <c r="O47" i="113"/>
  <c r="K47" i="113"/>
  <c r="G47" i="113"/>
  <c r="V46" i="113"/>
  <c r="U46" i="113"/>
  <c r="O46" i="113"/>
  <c r="M46" i="113"/>
  <c r="AB46" i="113" s="1"/>
  <c r="K46" i="113"/>
  <c r="G46" i="113"/>
  <c r="V45" i="113"/>
  <c r="M45" i="113" s="1"/>
  <c r="N45" i="113" s="1"/>
  <c r="Q45" i="113" s="1"/>
  <c r="U45" i="113"/>
  <c r="P45" i="113"/>
  <c r="O45" i="113"/>
  <c r="K45" i="113"/>
  <c r="G45" i="113"/>
  <c r="X44" i="113"/>
  <c r="W44" i="113"/>
  <c r="V44" i="113"/>
  <c r="U44" i="113"/>
  <c r="O44" i="113"/>
  <c r="M44" i="113"/>
  <c r="K44" i="113"/>
  <c r="G44" i="113"/>
  <c r="V43" i="113"/>
  <c r="M43" i="113" s="1"/>
  <c r="AA43" i="113" s="1"/>
  <c r="U43" i="113"/>
  <c r="O43" i="113"/>
  <c r="K43" i="113"/>
  <c r="G43" i="113"/>
  <c r="V42" i="113"/>
  <c r="U42" i="113"/>
  <c r="O42" i="113"/>
  <c r="M42" i="113"/>
  <c r="K42" i="113"/>
  <c r="G42" i="113"/>
  <c r="AB41" i="113"/>
  <c r="AA41" i="113"/>
  <c r="V41" i="113"/>
  <c r="U41" i="113"/>
  <c r="P41" i="113"/>
  <c r="O41" i="113"/>
  <c r="N41" i="113"/>
  <c r="Q41" i="113" s="1"/>
  <c r="M41" i="113"/>
  <c r="K41" i="113"/>
  <c r="G41" i="113"/>
  <c r="AB40" i="113"/>
  <c r="AA40" i="113"/>
  <c r="X40" i="113"/>
  <c r="W40" i="113"/>
  <c r="V40" i="113"/>
  <c r="M40" i="113" s="1"/>
  <c r="O40" i="113"/>
  <c r="K40" i="113"/>
  <c r="G40" i="113"/>
  <c r="O39" i="113"/>
  <c r="K39" i="113"/>
  <c r="K13" i="112" s="1"/>
  <c r="V38" i="113"/>
  <c r="M38" i="113" s="1"/>
  <c r="AB38" i="113" s="1"/>
  <c r="U38" i="113"/>
  <c r="O38" i="113"/>
  <c r="N38" i="113"/>
  <c r="P38" i="113" s="1"/>
  <c r="K38" i="113"/>
  <c r="G38" i="113"/>
  <c r="V37" i="113"/>
  <c r="U37" i="113"/>
  <c r="O37" i="113"/>
  <c r="M37" i="113"/>
  <c r="K37" i="113"/>
  <c r="G37" i="113"/>
  <c r="AB36" i="113"/>
  <c r="AA36" i="113"/>
  <c r="V36" i="113"/>
  <c r="M36" i="113" s="1"/>
  <c r="N36" i="113" s="1"/>
  <c r="U36" i="113"/>
  <c r="Q36" i="113"/>
  <c r="P36" i="113"/>
  <c r="O36" i="113"/>
  <c r="K36" i="113"/>
  <c r="G36" i="113"/>
  <c r="X35" i="113"/>
  <c r="W35" i="113"/>
  <c r="V35" i="113"/>
  <c r="U35" i="113"/>
  <c r="O35" i="113"/>
  <c r="N35" i="113"/>
  <c r="P35" i="113" s="1"/>
  <c r="M35" i="113"/>
  <c r="K35" i="113"/>
  <c r="G35" i="113"/>
  <c r="AB34" i="113"/>
  <c r="AA34" i="113"/>
  <c r="V34" i="113"/>
  <c r="U34" i="113"/>
  <c r="O34" i="113"/>
  <c r="N34" i="113"/>
  <c r="Q34" i="113" s="1"/>
  <c r="M34" i="113"/>
  <c r="K34" i="113"/>
  <c r="G34" i="113"/>
  <c r="V33" i="113"/>
  <c r="M33" i="113" s="1"/>
  <c r="U33" i="113"/>
  <c r="O33" i="113"/>
  <c r="N33" i="113"/>
  <c r="P33" i="113" s="1"/>
  <c r="K33" i="113"/>
  <c r="G33" i="113"/>
  <c r="V32" i="113"/>
  <c r="U32" i="113"/>
  <c r="O32" i="113"/>
  <c r="M32" i="113"/>
  <c r="AB32" i="113" s="1"/>
  <c r="K32" i="113"/>
  <c r="G32" i="113"/>
  <c r="X31" i="113"/>
  <c r="W31" i="113"/>
  <c r="V31" i="113"/>
  <c r="M31" i="113" s="1"/>
  <c r="O31" i="113"/>
  <c r="K31" i="113"/>
  <c r="G31" i="113"/>
  <c r="O30" i="113"/>
  <c r="K30" i="113"/>
  <c r="G13" i="112" s="1"/>
  <c r="V29" i="113"/>
  <c r="M29" i="113" s="1"/>
  <c r="N29" i="113" s="1"/>
  <c r="Q29" i="113" s="1"/>
  <c r="U29" i="113"/>
  <c r="P29" i="113"/>
  <c r="O29" i="113"/>
  <c r="K29" i="113"/>
  <c r="G29" i="113"/>
  <c r="X28" i="113"/>
  <c r="W28" i="113"/>
  <c r="V28" i="113"/>
  <c r="U28" i="113"/>
  <c r="O28" i="113"/>
  <c r="M28" i="113"/>
  <c r="N28" i="113" s="1"/>
  <c r="K28" i="113"/>
  <c r="G28" i="113"/>
  <c r="V27" i="113"/>
  <c r="M27" i="113" s="1"/>
  <c r="AA27" i="113" s="1"/>
  <c r="U27" i="113"/>
  <c r="O27" i="113"/>
  <c r="K27" i="113"/>
  <c r="G27" i="113"/>
  <c r="V26" i="113"/>
  <c r="U26" i="113"/>
  <c r="O26" i="113"/>
  <c r="M26" i="113"/>
  <c r="K26" i="113"/>
  <c r="G26" i="113"/>
  <c r="AB25" i="113"/>
  <c r="AA25" i="113"/>
  <c r="V25" i="113"/>
  <c r="U25" i="113"/>
  <c r="P25" i="113"/>
  <c r="O25" i="113"/>
  <c r="N25" i="113"/>
  <c r="Q25" i="113" s="1"/>
  <c r="M25" i="113"/>
  <c r="K25" i="113"/>
  <c r="G25" i="113"/>
  <c r="V24" i="113"/>
  <c r="M24" i="113" s="1"/>
  <c r="U24" i="113"/>
  <c r="O24" i="113"/>
  <c r="K24" i="113"/>
  <c r="G24" i="113"/>
  <c r="V23" i="113"/>
  <c r="U23" i="113"/>
  <c r="O23" i="113"/>
  <c r="M23" i="113"/>
  <c r="AB23" i="113" s="1"/>
  <c r="K23" i="113"/>
  <c r="G23" i="113"/>
  <c r="AB22" i="113"/>
  <c r="AA22" i="113"/>
  <c r="V22" i="113"/>
  <c r="M22" i="113" s="1"/>
  <c r="U22" i="113"/>
  <c r="O22" i="113"/>
  <c r="N22" i="113"/>
  <c r="P22" i="113" s="1"/>
  <c r="K22" i="113"/>
  <c r="G22" i="113"/>
  <c r="V21" i="113"/>
  <c r="O21" i="113"/>
  <c r="M21" i="113"/>
  <c r="K21" i="113"/>
  <c r="G21" i="113"/>
  <c r="O20" i="113"/>
  <c r="K20" i="113"/>
  <c r="V19" i="113"/>
  <c r="U19" i="113"/>
  <c r="O19" i="113"/>
  <c r="M19" i="113"/>
  <c r="K19" i="113"/>
  <c r="G19" i="113"/>
  <c r="AB18" i="113"/>
  <c r="V18" i="113"/>
  <c r="M18" i="113" s="1"/>
  <c r="N18" i="113" s="1"/>
  <c r="U18" i="113"/>
  <c r="Q18" i="113"/>
  <c r="P18" i="113"/>
  <c r="O18" i="113"/>
  <c r="K18" i="113"/>
  <c r="G18" i="113"/>
  <c r="V17" i="113"/>
  <c r="U17" i="113"/>
  <c r="O17" i="113"/>
  <c r="M17" i="113"/>
  <c r="K17" i="113"/>
  <c r="G17" i="113"/>
  <c r="F1" i="113" s="1"/>
  <c r="AB16" i="113"/>
  <c r="V16" i="113"/>
  <c r="M16" i="113" s="1"/>
  <c r="U16" i="113"/>
  <c r="O16" i="113"/>
  <c r="K16" i="113"/>
  <c r="G16" i="113"/>
  <c r="V15" i="113"/>
  <c r="U15" i="113"/>
  <c r="O15" i="113"/>
  <c r="M15" i="113"/>
  <c r="K15" i="113"/>
  <c r="G15" i="113"/>
  <c r="AB14" i="113"/>
  <c r="X14" i="113"/>
  <c r="W14" i="113"/>
  <c r="V14" i="113"/>
  <c r="O14" i="113"/>
  <c r="M14" i="113"/>
  <c r="AA14" i="113" s="1"/>
  <c r="K14" i="113"/>
  <c r="G14" i="113"/>
  <c r="AB13" i="113"/>
  <c r="O13" i="113"/>
  <c r="M13" i="113"/>
  <c r="N13" i="113" s="1"/>
  <c r="E14" i="112" s="1"/>
  <c r="K13" i="113"/>
  <c r="V12" i="113"/>
  <c r="U12" i="113"/>
  <c r="O12" i="113"/>
  <c r="M12" i="113"/>
  <c r="AB12" i="113" s="1"/>
  <c r="K12" i="113"/>
  <c r="G12" i="113"/>
  <c r="AC11" i="113"/>
  <c r="AB11" i="113"/>
  <c r="AA11" i="113"/>
  <c r="V11" i="113"/>
  <c r="M11" i="113" s="1"/>
  <c r="O11" i="113"/>
  <c r="N11" i="113"/>
  <c r="P11" i="113" s="1"/>
  <c r="K11" i="113"/>
  <c r="G11" i="113"/>
  <c r="O10" i="113"/>
  <c r="K10" i="113"/>
  <c r="V9" i="113"/>
  <c r="U9" i="113"/>
  <c r="O9" i="113"/>
  <c r="M9" i="113"/>
  <c r="N9" i="113" s="1"/>
  <c r="K9" i="113"/>
  <c r="G9" i="113"/>
  <c r="V8" i="113"/>
  <c r="U8" i="113"/>
  <c r="O8" i="113"/>
  <c r="M8" i="113"/>
  <c r="AB8" i="113" s="1"/>
  <c r="K8" i="113"/>
  <c r="G8" i="113"/>
  <c r="X7" i="113"/>
  <c r="W7" i="113"/>
  <c r="V7" i="113"/>
  <c r="M7" i="113" s="1"/>
  <c r="N7" i="113" s="1"/>
  <c r="P7" i="113" s="1"/>
  <c r="U7" i="113"/>
  <c r="Q7" i="113"/>
  <c r="O7" i="113"/>
  <c r="K7" i="113"/>
  <c r="G7" i="113"/>
  <c r="V6" i="113"/>
  <c r="U6" i="113"/>
  <c r="P6" i="113"/>
  <c r="O6" i="113"/>
  <c r="N6" i="113"/>
  <c r="M6" i="113"/>
  <c r="K6" i="113"/>
  <c r="G6" i="113"/>
  <c r="AB5" i="113"/>
  <c r="AA5" i="113"/>
  <c r="V5" i="113"/>
  <c r="O5" i="113"/>
  <c r="N5" i="113"/>
  <c r="Q5" i="113" s="1"/>
  <c r="M5" i="113"/>
  <c r="K5" i="113"/>
  <c r="G5" i="113"/>
  <c r="H2" i="113"/>
  <c r="H1" i="113"/>
  <c r="D1" i="113"/>
  <c r="F3" i="112" s="1"/>
  <c r="M18" i="112"/>
  <c r="L18" i="112"/>
  <c r="K18" i="112"/>
  <c r="J18" i="112"/>
  <c r="I18" i="112"/>
  <c r="H18" i="112"/>
  <c r="G18" i="112"/>
  <c r="F18" i="112"/>
  <c r="E18" i="112"/>
  <c r="D18" i="112"/>
  <c r="M17" i="112"/>
  <c r="L17" i="112"/>
  <c r="K17" i="112"/>
  <c r="J17" i="112"/>
  <c r="I17" i="112"/>
  <c r="H17" i="112"/>
  <c r="G17" i="112"/>
  <c r="F17" i="112"/>
  <c r="E17" i="112"/>
  <c r="D17" i="112"/>
  <c r="M16" i="112"/>
  <c r="L16" i="112"/>
  <c r="K16" i="112"/>
  <c r="J16" i="112"/>
  <c r="I16" i="112"/>
  <c r="H16" i="112"/>
  <c r="G16" i="112"/>
  <c r="F16" i="112"/>
  <c r="E16" i="112"/>
  <c r="D16" i="112"/>
  <c r="M13" i="112"/>
  <c r="J13" i="112"/>
  <c r="I13" i="112"/>
  <c r="H13" i="112"/>
  <c r="F13" i="112"/>
  <c r="E13" i="112"/>
  <c r="E15" i="112" s="1"/>
  <c r="D13" i="112"/>
  <c r="C3" i="112"/>
  <c r="E7" i="118" l="1"/>
  <c r="D15" i="118"/>
  <c r="G7" i="118"/>
  <c r="F7" i="118"/>
  <c r="K15" i="118"/>
  <c r="I8" i="118" s="1"/>
  <c r="I7" i="118"/>
  <c r="K14" i="116"/>
  <c r="Q39" i="117"/>
  <c r="R31" i="117" s="1"/>
  <c r="P39" i="117"/>
  <c r="G14" i="116"/>
  <c r="G15" i="116" s="1"/>
  <c r="Q30" i="117"/>
  <c r="R21" i="117" s="1"/>
  <c r="P30" i="117"/>
  <c r="D2" i="117"/>
  <c r="D14" i="116"/>
  <c r="Q12" i="117"/>
  <c r="R10" i="117" s="1"/>
  <c r="E14" i="116"/>
  <c r="E15" i="116" s="1"/>
  <c r="P12" i="117"/>
  <c r="Q20" i="117"/>
  <c r="R13" i="117" s="1"/>
  <c r="P20" i="117"/>
  <c r="F14" i="116"/>
  <c r="F15" i="116" s="1"/>
  <c r="Q9" i="117"/>
  <c r="R5" i="117" s="1"/>
  <c r="P9" i="117"/>
  <c r="Q80" i="117"/>
  <c r="R72" i="117" s="1"/>
  <c r="P80" i="117"/>
  <c r="M14" i="116"/>
  <c r="M15" i="116" s="1"/>
  <c r="P58" i="117"/>
  <c r="H14" i="116"/>
  <c r="H15" i="116" s="1"/>
  <c r="AA58" i="115"/>
  <c r="AB58" i="115"/>
  <c r="AC49" i="115" s="1"/>
  <c r="N58" i="115"/>
  <c r="P70" i="115"/>
  <c r="Q70" i="115"/>
  <c r="Q10" i="115"/>
  <c r="P10" i="115"/>
  <c r="Q5" i="115"/>
  <c r="P5" i="115"/>
  <c r="Q57" i="115"/>
  <c r="P57" i="115"/>
  <c r="Q61" i="115"/>
  <c r="P61" i="115"/>
  <c r="Q45" i="115"/>
  <c r="P45" i="115"/>
  <c r="P59" i="115"/>
  <c r="Q59" i="115"/>
  <c r="Q44" i="115"/>
  <c r="P44" i="115"/>
  <c r="P52" i="115"/>
  <c r="Q52" i="115"/>
  <c r="Q67" i="115"/>
  <c r="P67" i="115"/>
  <c r="N48" i="115"/>
  <c r="AB48" i="115"/>
  <c r="AC40" i="115" s="1"/>
  <c r="AA48" i="115"/>
  <c r="Q54" i="115"/>
  <c r="P54" i="115"/>
  <c r="AB71" i="115"/>
  <c r="AC67" i="115" s="1"/>
  <c r="AA71" i="115"/>
  <c r="N71" i="115"/>
  <c r="Q27" i="115"/>
  <c r="P27" i="115"/>
  <c r="P16" i="115"/>
  <c r="Q16" i="115"/>
  <c r="N39" i="115"/>
  <c r="AB39" i="115"/>
  <c r="AC31" i="115" s="1"/>
  <c r="AA39" i="115"/>
  <c r="Q69" i="115"/>
  <c r="P69" i="115"/>
  <c r="Q33" i="115"/>
  <c r="P33" i="115"/>
  <c r="Q36" i="115"/>
  <c r="P36" i="115"/>
  <c r="I3" i="114"/>
  <c r="F2" i="115"/>
  <c r="Q15" i="115"/>
  <c r="P15" i="115"/>
  <c r="Q29" i="115"/>
  <c r="P29" i="115"/>
  <c r="P68" i="115"/>
  <c r="Q68" i="115"/>
  <c r="P78" i="115"/>
  <c r="Q78" i="115"/>
  <c r="P50" i="115"/>
  <c r="Q50" i="115"/>
  <c r="P56" i="115"/>
  <c r="Q56" i="115"/>
  <c r="P41" i="115"/>
  <c r="Q41" i="115"/>
  <c r="P24" i="115"/>
  <c r="Q24" i="115"/>
  <c r="Q13" i="115"/>
  <c r="P13" i="115"/>
  <c r="Q11" i="115"/>
  <c r="P11" i="115"/>
  <c r="N12" i="115"/>
  <c r="AB12" i="115"/>
  <c r="AC10" i="115" s="1"/>
  <c r="AA12" i="115"/>
  <c r="Q32" i="115"/>
  <c r="P32" i="115"/>
  <c r="D15" i="114"/>
  <c r="Q65" i="115"/>
  <c r="P65" i="115"/>
  <c r="AB80" i="115"/>
  <c r="AC72" i="115" s="1"/>
  <c r="AA80" i="115"/>
  <c r="N80" i="115"/>
  <c r="P43" i="115"/>
  <c r="Q43" i="115"/>
  <c r="I14" i="114"/>
  <c r="I15" i="114" s="1"/>
  <c r="Q66" i="115"/>
  <c r="R59" i="115" s="1"/>
  <c r="P66" i="115"/>
  <c r="Q47" i="115"/>
  <c r="P47" i="115"/>
  <c r="Q38" i="115"/>
  <c r="P38" i="115"/>
  <c r="Q63" i="115"/>
  <c r="P63" i="115"/>
  <c r="Q74" i="115"/>
  <c r="P74" i="115"/>
  <c r="P21" i="115"/>
  <c r="Q21" i="115"/>
  <c r="Q25" i="115"/>
  <c r="P25" i="115"/>
  <c r="AB20" i="115"/>
  <c r="AC13" i="115" s="1"/>
  <c r="AA20" i="115"/>
  <c r="N20" i="115"/>
  <c r="Q22" i="115"/>
  <c r="P22" i="115"/>
  <c r="N30" i="115"/>
  <c r="AB30" i="115"/>
  <c r="AC21" i="115" s="1"/>
  <c r="AA30" i="115"/>
  <c r="Q18" i="115"/>
  <c r="P18" i="115"/>
  <c r="Q49" i="115"/>
  <c r="P49" i="115"/>
  <c r="Q40" i="115"/>
  <c r="P40" i="115"/>
  <c r="Q76" i="115"/>
  <c r="P76" i="115"/>
  <c r="Q14" i="115"/>
  <c r="P14" i="115"/>
  <c r="AB24" i="113"/>
  <c r="N24" i="113"/>
  <c r="AA24" i="113"/>
  <c r="M30" i="113"/>
  <c r="AB47" i="113"/>
  <c r="AA47" i="113"/>
  <c r="N47" i="113"/>
  <c r="P9" i="113"/>
  <c r="Q9" i="113"/>
  <c r="M79" i="113"/>
  <c r="AB71" i="113"/>
  <c r="AA71" i="113"/>
  <c r="N71" i="113"/>
  <c r="Q28" i="113"/>
  <c r="P28" i="113"/>
  <c r="I3" i="112"/>
  <c r="F2" i="113"/>
  <c r="AB53" i="113"/>
  <c r="AA53" i="113"/>
  <c r="Q35" i="113"/>
  <c r="AB56" i="113"/>
  <c r="N56" i="113"/>
  <c r="AB15" i="113"/>
  <c r="AA15" i="113"/>
  <c r="AB33" i="113"/>
  <c r="AA33" i="113"/>
  <c r="Q38" i="113"/>
  <c r="AB51" i="113"/>
  <c r="AA51" i="113"/>
  <c r="AA63" i="113"/>
  <c r="P69" i="113"/>
  <c r="N15" i="113"/>
  <c r="N31" i="113"/>
  <c r="M39" i="113"/>
  <c r="N51" i="113"/>
  <c r="AB63" i="113"/>
  <c r="AA9" i="113"/>
  <c r="AA21" i="113"/>
  <c r="AB21" i="113"/>
  <c r="AB26" i="113"/>
  <c r="AA26" i="113"/>
  <c r="N61" i="113"/>
  <c r="AB61" i="113"/>
  <c r="N67" i="113"/>
  <c r="AB9" i="113"/>
  <c r="N21" i="113"/>
  <c r="N26" i="113"/>
  <c r="AA38" i="113"/>
  <c r="Q49" i="113"/>
  <c r="AA61" i="113"/>
  <c r="AB69" i="113"/>
  <c r="AA69" i="113"/>
  <c r="AA31" i="113"/>
  <c r="AA44" i="113"/>
  <c r="AB44" i="113"/>
  <c r="AB73" i="113"/>
  <c r="AA73" i="113"/>
  <c r="AB78" i="113"/>
  <c r="AA78" i="113"/>
  <c r="AA7" i="113"/>
  <c r="P13" i="113"/>
  <c r="AB31" i="113"/>
  <c r="I6" i="112"/>
  <c r="N44" i="113"/>
  <c r="AB49" i="113"/>
  <c r="M58" i="113"/>
  <c r="AA56" i="113"/>
  <c r="M65" i="113"/>
  <c r="N73" i="113"/>
  <c r="N78" i="113"/>
  <c r="AB7" i="113"/>
  <c r="Q13" i="113"/>
  <c r="R11" i="113" s="1"/>
  <c r="AB62" i="113"/>
  <c r="AA62" i="113"/>
  <c r="N76" i="113"/>
  <c r="AA13" i="113"/>
  <c r="AA18" i="113"/>
  <c r="AA54" i="113"/>
  <c r="N62" i="113"/>
  <c r="AB17" i="113"/>
  <c r="AA17" i="113"/>
  <c r="Q33" i="113"/>
  <c r="AA45" i="113"/>
  <c r="N43" i="113"/>
  <c r="AB43" i="113"/>
  <c r="AA67" i="113"/>
  <c r="N72" i="113"/>
  <c r="AA72" i="113"/>
  <c r="AA28" i="113"/>
  <c r="AB28" i="113"/>
  <c r="AB75" i="113"/>
  <c r="AA75" i="113"/>
  <c r="N75" i="113"/>
  <c r="AB45" i="113"/>
  <c r="G6" i="112"/>
  <c r="F6" i="112"/>
  <c r="E6" i="112"/>
  <c r="AB42" i="113"/>
  <c r="AA42" i="113"/>
  <c r="Q11" i="113"/>
  <c r="AB6" i="113"/>
  <c r="AA6" i="113"/>
  <c r="M10" i="113"/>
  <c r="N16" i="113"/>
  <c r="AA16" i="113"/>
  <c r="AB19" i="113"/>
  <c r="AA19" i="113"/>
  <c r="N19" i="113"/>
  <c r="AA29" i="113"/>
  <c r="N52" i="113"/>
  <c r="AA52" i="113"/>
  <c r="AB55" i="113"/>
  <c r="AA55" i="113"/>
  <c r="N55" i="113"/>
  <c r="AB60" i="113"/>
  <c r="AA60" i="113"/>
  <c r="AA76" i="113"/>
  <c r="N27" i="113"/>
  <c r="AB27" i="113"/>
  <c r="N17" i="113"/>
  <c r="N53" i="113"/>
  <c r="AB66" i="113"/>
  <c r="AA66" i="113"/>
  <c r="M70" i="113"/>
  <c r="N66" i="113"/>
  <c r="AA74" i="113"/>
  <c r="AB74" i="113"/>
  <c r="Q22" i="113"/>
  <c r="N42" i="113"/>
  <c r="Q6" i="113"/>
  <c r="AB29" i="113"/>
  <c r="AB35" i="113"/>
  <c r="AA35" i="113"/>
  <c r="AB37" i="113"/>
  <c r="AA37" i="113"/>
  <c r="N37" i="113"/>
  <c r="N40" i="113"/>
  <c r="M48" i="113"/>
  <c r="N8" i="113"/>
  <c r="N46" i="113"/>
  <c r="N64" i="113"/>
  <c r="N14" i="113"/>
  <c r="N23" i="113"/>
  <c r="N77" i="113"/>
  <c r="N12" i="113"/>
  <c r="N32" i="113"/>
  <c r="N59" i="113"/>
  <c r="N68" i="113"/>
  <c r="P5" i="113"/>
  <c r="AA46" i="113"/>
  <c r="P50" i="113"/>
  <c r="AA64" i="113"/>
  <c r="AA8" i="113"/>
  <c r="P34" i="113"/>
  <c r="AA23" i="113"/>
  <c r="AA12" i="113"/>
  <c r="M20" i="113"/>
  <c r="AA32" i="113"/>
  <c r="AA59" i="113"/>
  <c r="AA68" i="113"/>
  <c r="AB59" i="113"/>
  <c r="O77" i="111"/>
  <c r="K77" i="111"/>
  <c r="V76" i="111"/>
  <c r="M76" i="111" s="1"/>
  <c r="U76" i="111"/>
  <c r="O76" i="111"/>
  <c r="K76" i="111"/>
  <c r="G76" i="111"/>
  <c r="AB75" i="111"/>
  <c r="V75" i="111"/>
  <c r="U75" i="111"/>
  <c r="O75" i="111"/>
  <c r="N75" i="111"/>
  <c r="Q75" i="111" s="1"/>
  <c r="M75" i="111"/>
  <c r="AA75" i="111" s="1"/>
  <c r="K75" i="111"/>
  <c r="G75" i="111"/>
  <c r="X74" i="111"/>
  <c r="W74" i="111"/>
  <c r="V74" i="111"/>
  <c r="M74" i="111" s="1"/>
  <c r="U74" i="111"/>
  <c r="O74" i="111"/>
  <c r="K74" i="111"/>
  <c r="G74" i="111"/>
  <c r="V73" i="111"/>
  <c r="U73" i="111"/>
  <c r="O73" i="111"/>
  <c r="M73" i="111"/>
  <c r="AB73" i="111" s="1"/>
  <c r="K73" i="111"/>
  <c r="G73" i="111"/>
  <c r="V72" i="111"/>
  <c r="M72" i="111" s="1"/>
  <c r="U72" i="111"/>
  <c r="O72" i="111"/>
  <c r="K72" i="111"/>
  <c r="G72" i="111"/>
  <c r="V71" i="111"/>
  <c r="U71" i="111"/>
  <c r="O71" i="111"/>
  <c r="M71" i="111"/>
  <c r="N71" i="111" s="1"/>
  <c r="K71" i="111"/>
  <c r="G71" i="111"/>
  <c r="V70" i="111"/>
  <c r="U70" i="111"/>
  <c r="O70" i="111"/>
  <c r="M70" i="111"/>
  <c r="N70" i="111" s="1"/>
  <c r="K70" i="111"/>
  <c r="G70" i="111"/>
  <c r="X69" i="111"/>
  <c r="W69" i="111"/>
  <c r="V69" i="111"/>
  <c r="M69" i="111" s="1"/>
  <c r="O69" i="111"/>
  <c r="K69" i="111"/>
  <c r="G69" i="111"/>
  <c r="O68" i="111"/>
  <c r="K68" i="111"/>
  <c r="V67" i="111"/>
  <c r="M67" i="111" s="1"/>
  <c r="U67" i="111"/>
  <c r="O67" i="111"/>
  <c r="K67" i="111"/>
  <c r="G67" i="111"/>
  <c r="V66" i="111"/>
  <c r="U66" i="111"/>
  <c r="O66" i="111"/>
  <c r="M66" i="111"/>
  <c r="AB66" i="111" s="1"/>
  <c r="K66" i="111"/>
  <c r="G66" i="111"/>
  <c r="V65" i="111"/>
  <c r="M65" i="111" s="1"/>
  <c r="U65" i="111"/>
  <c r="O65" i="111"/>
  <c r="K65" i="111"/>
  <c r="G65" i="111"/>
  <c r="V64" i="111"/>
  <c r="O64" i="111"/>
  <c r="M64" i="111"/>
  <c r="AB64" i="111" s="1"/>
  <c r="K64" i="111"/>
  <c r="G64" i="111"/>
  <c r="O63" i="111"/>
  <c r="K63" i="111"/>
  <c r="V62" i="111"/>
  <c r="U62" i="111"/>
  <c r="O62" i="111"/>
  <c r="M62" i="111"/>
  <c r="N62" i="111" s="1"/>
  <c r="K62" i="111"/>
  <c r="G62" i="111"/>
  <c r="V61" i="111"/>
  <c r="M61" i="111" s="1"/>
  <c r="U61" i="111"/>
  <c r="O61" i="111"/>
  <c r="K61" i="111"/>
  <c r="G61" i="111"/>
  <c r="V60" i="111"/>
  <c r="U60" i="111"/>
  <c r="O60" i="111"/>
  <c r="M60" i="111"/>
  <c r="N60" i="111" s="1"/>
  <c r="K60" i="111"/>
  <c r="G60" i="111"/>
  <c r="V59" i="111"/>
  <c r="U59" i="111"/>
  <c r="O59" i="111"/>
  <c r="M59" i="111"/>
  <c r="N59" i="111" s="1"/>
  <c r="K59" i="111"/>
  <c r="G59" i="111"/>
  <c r="V58" i="111"/>
  <c r="M58" i="111" s="1"/>
  <c r="O58" i="111"/>
  <c r="K58" i="111"/>
  <c r="G58" i="111"/>
  <c r="O57" i="111"/>
  <c r="K57" i="111"/>
  <c r="V56" i="111"/>
  <c r="U56" i="111"/>
  <c r="O56" i="111"/>
  <c r="N56" i="111"/>
  <c r="P56" i="111" s="1"/>
  <c r="M56" i="111"/>
  <c r="AA56" i="111" s="1"/>
  <c r="K56" i="111"/>
  <c r="G56" i="111"/>
  <c r="V55" i="111"/>
  <c r="U55" i="111"/>
  <c r="O55" i="111"/>
  <c r="M55" i="111"/>
  <c r="AB55" i="111" s="1"/>
  <c r="K55" i="111"/>
  <c r="G55" i="111"/>
  <c r="X54" i="111"/>
  <c r="W54" i="111"/>
  <c r="V54" i="111"/>
  <c r="M54" i="111" s="1"/>
  <c r="U54" i="111"/>
  <c r="O54" i="111"/>
  <c r="K54" i="111"/>
  <c r="G54" i="111"/>
  <c r="V53" i="111"/>
  <c r="U53" i="111"/>
  <c r="O53" i="111"/>
  <c r="M53" i="111"/>
  <c r="AB53" i="111" s="1"/>
  <c r="K53" i="111"/>
  <c r="G53" i="111"/>
  <c r="V52" i="111"/>
  <c r="M52" i="111" s="1"/>
  <c r="U52" i="111"/>
  <c r="O52" i="111"/>
  <c r="K52" i="111"/>
  <c r="G52" i="111"/>
  <c r="V51" i="111"/>
  <c r="U51" i="111"/>
  <c r="O51" i="111"/>
  <c r="M51" i="111"/>
  <c r="AB51" i="111" s="1"/>
  <c r="K51" i="111"/>
  <c r="G51" i="111"/>
  <c r="V50" i="111"/>
  <c r="M50" i="111" s="1"/>
  <c r="U50" i="111"/>
  <c r="O50" i="111"/>
  <c r="K50" i="111"/>
  <c r="G50" i="111"/>
  <c r="V49" i="111"/>
  <c r="U49" i="111"/>
  <c r="O49" i="111"/>
  <c r="M49" i="111"/>
  <c r="N49" i="111" s="1"/>
  <c r="K49" i="111"/>
  <c r="G49" i="111"/>
  <c r="AB48" i="111"/>
  <c r="AA48" i="111"/>
  <c r="X48" i="111"/>
  <c r="W48" i="111"/>
  <c r="V48" i="111"/>
  <c r="O48" i="111"/>
  <c r="N48" i="111"/>
  <c r="Q48" i="111" s="1"/>
  <c r="M48" i="111"/>
  <c r="K48" i="111"/>
  <c r="G48" i="111"/>
  <c r="O47" i="111"/>
  <c r="K47" i="111"/>
  <c r="V46" i="111"/>
  <c r="U46" i="111"/>
  <c r="O46" i="111"/>
  <c r="M46" i="111"/>
  <c r="AB46" i="111" s="1"/>
  <c r="K46" i="111"/>
  <c r="G46" i="111"/>
  <c r="V45" i="111"/>
  <c r="M45" i="111" s="1"/>
  <c r="U45" i="111"/>
  <c r="O45" i="111"/>
  <c r="K45" i="111"/>
  <c r="G45" i="111"/>
  <c r="V44" i="111"/>
  <c r="U44" i="111"/>
  <c r="O44" i="111"/>
  <c r="M44" i="111"/>
  <c r="AB44" i="111" s="1"/>
  <c r="K44" i="111"/>
  <c r="G44" i="111"/>
  <c r="X43" i="111"/>
  <c r="W43" i="111"/>
  <c r="V43" i="111"/>
  <c r="M43" i="111" s="1"/>
  <c r="U43" i="111"/>
  <c r="O43" i="111"/>
  <c r="K43" i="111"/>
  <c r="G43" i="111"/>
  <c r="V42" i="111"/>
  <c r="U42" i="111"/>
  <c r="O42" i="111"/>
  <c r="M42" i="111"/>
  <c r="N42" i="111" s="1"/>
  <c r="K42" i="111"/>
  <c r="G42" i="111"/>
  <c r="V41" i="111"/>
  <c r="U41" i="111"/>
  <c r="O41" i="111"/>
  <c r="M41" i="111"/>
  <c r="N41" i="111" s="1"/>
  <c r="K41" i="111"/>
  <c r="G41" i="111"/>
  <c r="V40" i="111"/>
  <c r="U40" i="111"/>
  <c r="O40" i="111"/>
  <c r="N40" i="111"/>
  <c r="P40" i="111" s="1"/>
  <c r="M40" i="111"/>
  <c r="AA40" i="111" s="1"/>
  <c r="K40" i="111"/>
  <c r="G40" i="111"/>
  <c r="AB39" i="111"/>
  <c r="AA39" i="111"/>
  <c r="X39" i="111"/>
  <c r="W39" i="111"/>
  <c r="V39" i="111"/>
  <c r="O39" i="111"/>
  <c r="M39" i="111"/>
  <c r="N39" i="111" s="1"/>
  <c r="K39" i="111"/>
  <c r="G39" i="111"/>
  <c r="O38" i="111"/>
  <c r="K38" i="111"/>
  <c r="AB37" i="111"/>
  <c r="V37" i="111"/>
  <c r="U37" i="111"/>
  <c r="O37" i="111"/>
  <c r="N37" i="111"/>
  <c r="Q37" i="111" s="1"/>
  <c r="M37" i="111"/>
  <c r="AA37" i="111" s="1"/>
  <c r="K37" i="111"/>
  <c r="G37" i="111"/>
  <c r="V36" i="111"/>
  <c r="M36" i="111" s="1"/>
  <c r="U36" i="111"/>
  <c r="O36" i="111"/>
  <c r="K36" i="111"/>
  <c r="G36" i="111"/>
  <c r="V35" i="111"/>
  <c r="U35" i="111"/>
  <c r="O35" i="111"/>
  <c r="M35" i="111"/>
  <c r="AB35" i="111" s="1"/>
  <c r="K35" i="111"/>
  <c r="G35" i="111"/>
  <c r="X34" i="111"/>
  <c r="W34" i="111"/>
  <c r="V34" i="111"/>
  <c r="M34" i="111" s="1"/>
  <c r="U34" i="111"/>
  <c r="O34" i="111"/>
  <c r="K34" i="111"/>
  <c r="G34" i="111"/>
  <c r="V33" i="111"/>
  <c r="U33" i="111"/>
  <c r="O33" i="111"/>
  <c r="M33" i="111"/>
  <c r="N33" i="111" s="1"/>
  <c r="K33" i="111"/>
  <c r="G33" i="111"/>
  <c r="V32" i="111"/>
  <c r="U32" i="111"/>
  <c r="O32" i="111"/>
  <c r="M32" i="111"/>
  <c r="AB32" i="111" s="1"/>
  <c r="K32" i="111"/>
  <c r="G32" i="111"/>
  <c r="V31" i="111"/>
  <c r="M31" i="111" s="1"/>
  <c r="U31" i="111"/>
  <c r="O31" i="111"/>
  <c r="K31" i="111"/>
  <c r="G31" i="111"/>
  <c r="V30" i="111"/>
  <c r="U30" i="111"/>
  <c r="O30" i="111"/>
  <c r="M30" i="111"/>
  <c r="AB30" i="111" s="1"/>
  <c r="K30" i="111"/>
  <c r="G30" i="111"/>
  <c r="X29" i="111"/>
  <c r="W29" i="111"/>
  <c r="V29" i="111"/>
  <c r="M29" i="111" s="1"/>
  <c r="O29" i="111"/>
  <c r="K29" i="111"/>
  <c r="G29" i="111"/>
  <c r="O28" i="111"/>
  <c r="K28" i="111"/>
  <c r="V27" i="111"/>
  <c r="M27" i="111" s="1"/>
  <c r="U27" i="111"/>
  <c r="O27" i="111"/>
  <c r="K27" i="111"/>
  <c r="G27" i="111"/>
  <c r="X26" i="111"/>
  <c r="W26" i="111"/>
  <c r="V26" i="111"/>
  <c r="U26" i="111"/>
  <c r="O26" i="111"/>
  <c r="M26" i="111"/>
  <c r="AB26" i="111" s="1"/>
  <c r="K26" i="111"/>
  <c r="G26" i="111"/>
  <c r="V25" i="111"/>
  <c r="U25" i="111"/>
  <c r="O25" i="111"/>
  <c r="M25" i="111"/>
  <c r="N25" i="111" s="1"/>
  <c r="K25" i="111"/>
  <c r="G25" i="111"/>
  <c r="V24" i="111"/>
  <c r="U24" i="111"/>
  <c r="O24" i="111"/>
  <c r="N24" i="111"/>
  <c r="P24" i="111" s="1"/>
  <c r="M24" i="111"/>
  <c r="AA24" i="111" s="1"/>
  <c r="K24" i="111"/>
  <c r="G24" i="111"/>
  <c r="V23" i="111"/>
  <c r="U23" i="111"/>
  <c r="O23" i="111"/>
  <c r="M23" i="111"/>
  <c r="N23" i="111" s="1"/>
  <c r="K23" i="111"/>
  <c r="G23" i="111"/>
  <c r="V22" i="111"/>
  <c r="M22" i="111" s="1"/>
  <c r="U22" i="111"/>
  <c r="O22" i="111"/>
  <c r="K22" i="111"/>
  <c r="G22" i="111"/>
  <c r="AB21" i="111"/>
  <c r="V21" i="111"/>
  <c r="U21" i="111"/>
  <c r="O21" i="111"/>
  <c r="N21" i="111"/>
  <c r="Q21" i="111" s="1"/>
  <c r="M21" i="111"/>
  <c r="AA21" i="111" s="1"/>
  <c r="K21" i="111"/>
  <c r="G21" i="111"/>
  <c r="V20" i="111"/>
  <c r="M20" i="111" s="1"/>
  <c r="U20" i="111"/>
  <c r="O20" i="111"/>
  <c r="K20" i="111"/>
  <c r="G20" i="111"/>
  <c r="V19" i="111"/>
  <c r="O19" i="111"/>
  <c r="M19" i="111"/>
  <c r="AA19" i="111" s="1"/>
  <c r="K19" i="111"/>
  <c r="G19" i="111"/>
  <c r="O18" i="111"/>
  <c r="K18" i="111"/>
  <c r="V17" i="111"/>
  <c r="U17" i="111"/>
  <c r="O17" i="111"/>
  <c r="M17" i="111"/>
  <c r="AB17" i="111" s="1"/>
  <c r="K17" i="111"/>
  <c r="G17" i="111"/>
  <c r="V16" i="111"/>
  <c r="M16" i="111" s="1"/>
  <c r="U16" i="111"/>
  <c r="O16" i="111"/>
  <c r="K16" i="111"/>
  <c r="G16" i="111"/>
  <c r="V15" i="111"/>
  <c r="U15" i="111"/>
  <c r="O15" i="111"/>
  <c r="M15" i="111"/>
  <c r="AA15" i="111" s="1"/>
  <c r="K15" i="111"/>
  <c r="G15" i="111"/>
  <c r="V14" i="111"/>
  <c r="M14" i="111" s="1"/>
  <c r="U14" i="111"/>
  <c r="O14" i="111"/>
  <c r="K14" i="111"/>
  <c r="G14" i="111"/>
  <c r="X13" i="111"/>
  <c r="W13" i="111"/>
  <c r="V13" i="111"/>
  <c r="M13" i="111" s="1"/>
  <c r="O13" i="111"/>
  <c r="K13" i="111"/>
  <c r="G13" i="111"/>
  <c r="O12" i="111"/>
  <c r="K12" i="111"/>
  <c r="V11" i="111"/>
  <c r="M11" i="111" s="1"/>
  <c r="U11" i="111"/>
  <c r="O11" i="111"/>
  <c r="K11" i="111"/>
  <c r="G11" i="111"/>
  <c r="AB10" i="111"/>
  <c r="V10" i="111"/>
  <c r="O10" i="111"/>
  <c r="N10" i="111"/>
  <c r="Q10" i="111" s="1"/>
  <c r="M10" i="111"/>
  <c r="AA10" i="111" s="1"/>
  <c r="K10" i="111"/>
  <c r="G10" i="111"/>
  <c r="O9" i="111"/>
  <c r="K9" i="111"/>
  <c r="V8" i="111"/>
  <c r="U8" i="111"/>
  <c r="O8" i="111"/>
  <c r="M8" i="111"/>
  <c r="AB8" i="111" s="1"/>
  <c r="K8" i="111"/>
  <c r="G8" i="111"/>
  <c r="X7" i="111"/>
  <c r="W7" i="111"/>
  <c r="V7" i="111"/>
  <c r="M7" i="111" s="1"/>
  <c r="U7" i="111"/>
  <c r="O7" i="111"/>
  <c r="K7" i="111"/>
  <c r="G7" i="111"/>
  <c r="V6" i="111"/>
  <c r="U6" i="111"/>
  <c r="O6" i="111"/>
  <c r="M6" i="111"/>
  <c r="AA6" i="111" s="1"/>
  <c r="K6" i="111"/>
  <c r="G6" i="111"/>
  <c r="F1" i="111" s="1"/>
  <c r="V5" i="111"/>
  <c r="M5" i="111" s="1"/>
  <c r="O5" i="111"/>
  <c r="K5" i="111"/>
  <c r="G5" i="111"/>
  <c r="H2" i="111"/>
  <c r="H1" i="111"/>
  <c r="D1" i="111"/>
  <c r="F3" i="110" s="1"/>
  <c r="M18" i="110"/>
  <c r="L18" i="110"/>
  <c r="K18" i="110"/>
  <c r="J18" i="110"/>
  <c r="I18" i="110"/>
  <c r="H18" i="110"/>
  <c r="G18" i="110"/>
  <c r="F18" i="110"/>
  <c r="E18" i="110"/>
  <c r="D18" i="110"/>
  <c r="M17" i="110"/>
  <c r="L17" i="110"/>
  <c r="K17" i="110"/>
  <c r="J17" i="110"/>
  <c r="I17" i="110"/>
  <c r="H17" i="110"/>
  <c r="G17" i="110"/>
  <c r="F17" i="110"/>
  <c r="E17" i="110"/>
  <c r="D17" i="110"/>
  <c r="M16" i="110"/>
  <c r="L16" i="110"/>
  <c r="K16" i="110"/>
  <c r="J16" i="110"/>
  <c r="I16" i="110"/>
  <c r="H16" i="110"/>
  <c r="G16" i="110"/>
  <c r="F16" i="110"/>
  <c r="E16" i="110"/>
  <c r="D16" i="110"/>
  <c r="M13" i="110"/>
  <c r="L13" i="110"/>
  <c r="K13" i="110"/>
  <c r="I6" i="110" s="1"/>
  <c r="J13" i="110"/>
  <c r="I13" i="110"/>
  <c r="H13" i="110"/>
  <c r="G13" i="110"/>
  <c r="F13" i="110"/>
  <c r="E13" i="110"/>
  <c r="D13" i="110"/>
  <c r="G6" i="110" s="1"/>
  <c r="C3" i="110"/>
  <c r="G8" i="118" l="1"/>
  <c r="F8" i="118"/>
  <c r="E8" i="118"/>
  <c r="D15" i="116"/>
  <c r="F7" i="116"/>
  <c r="E7" i="116"/>
  <c r="G7" i="116"/>
  <c r="I7" i="116"/>
  <c r="K15" i="116"/>
  <c r="I8" i="116" s="1"/>
  <c r="Q58" i="115"/>
  <c r="R49" i="115" s="1"/>
  <c r="P58" i="115"/>
  <c r="H14" i="114"/>
  <c r="H15" i="114" s="1"/>
  <c r="Q20" i="115"/>
  <c r="R13" i="115" s="1"/>
  <c r="P20" i="115"/>
  <c r="F14" i="114"/>
  <c r="F15" i="114" s="1"/>
  <c r="P80" i="115"/>
  <c r="Q80" i="115"/>
  <c r="R72" i="115" s="1"/>
  <c r="M14" i="114"/>
  <c r="M15" i="114" s="1"/>
  <c r="Q39" i="115"/>
  <c r="R31" i="115" s="1"/>
  <c r="P39" i="115"/>
  <c r="K14" i="114"/>
  <c r="G14" i="114"/>
  <c r="G15" i="114" s="1"/>
  <c r="P30" i="115"/>
  <c r="Q30" i="115"/>
  <c r="R21" i="115" s="1"/>
  <c r="P71" i="115"/>
  <c r="Q71" i="115"/>
  <c r="R67" i="115" s="1"/>
  <c r="J14" i="114"/>
  <c r="J15" i="114" s="1"/>
  <c r="E14" i="114"/>
  <c r="P12" i="115"/>
  <c r="Q12" i="115"/>
  <c r="R10" i="115" s="1"/>
  <c r="D2" i="115"/>
  <c r="L14" i="114"/>
  <c r="L15" i="114" s="1"/>
  <c r="Q48" i="115"/>
  <c r="R40" i="115" s="1"/>
  <c r="P48" i="115"/>
  <c r="Q17" i="113"/>
  <c r="P17" i="113"/>
  <c r="Q75" i="113"/>
  <c r="P75" i="113"/>
  <c r="Q15" i="113"/>
  <c r="P15" i="113"/>
  <c r="Q52" i="113"/>
  <c r="P52" i="113"/>
  <c r="Q78" i="113"/>
  <c r="P78" i="113"/>
  <c r="AB79" i="113"/>
  <c r="AC71" i="113" s="1"/>
  <c r="AA79" i="113"/>
  <c r="N79" i="113"/>
  <c r="P42" i="113"/>
  <c r="Q42" i="113"/>
  <c r="Q73" i="113"/>
  <c r="P73" i="113"/>
  <c r="P68" i="113"/>
  <c r="Q68" i="113"/>
  <c r="Q19" i="113"/>
  <c r="P19" i="113"/>
  <c r="AA65" i="113"/>
  <c r="AB65" i="113"/>
  <c r="AC59" i="113" s="1"/>
  <c r="N65" i="113"/>
  <c r="Q72" i="113"/>
  <c r="P72" i="113"/>
  <c r="Q47" i="113"/>
  <c r="P47" i="113"/>
  <c r="P32" i="113"/>
  <c r="Q32" i="113"/>
  <c r="N58" i="113"/>
  <c r="AB58" i="113"/>
  <c r="AC49" i="113" s="1"/>
  <c r="AA58" i="113"/>
  <c r="Q21" i="113"/>
  <c r="P21" i="113"/>
  <c r="Q40" i="113"/>
  <c r="P40" i="113"/>
  <c r="P76" i="113"/>
  <c r="Q76" i="113"/>
  <c r="P59" i="113"/>
  <c r="Q59" i="113"/>
  <c r="P12" i="113"/>
  <c r="Q12" i="113"/>
  <c r="Q66" i="113"/>
  <c r="P66" i="113"/>
  <c r="Q77" i="113"/>
  <c r="P77" i="113"/>
  <c r="AB70" i="113"/>
  <c r="AC66" i="113" s="1"/>
  <c r="AA70" i="113"/>
  <c r="N70" i="113"/>
  <c r="Q16" i="113"/>
  <c r="P16" i="113"/>
  <c r="Q43" i="113"/>
  <c r="P43" i="113"/>
  <c r="Q44" i="113"/>
  <c r="P44" i="113"/>
  <c r="Q67" i="113"/>
  <c r="P67" i="113"/>
  <c r="AB30" i="113"/>
  <c r="AC21" i="113" s="1"/>
  <c r="AA30" i="113"/>
  <c r="N30" i="113"/>
  <c r="Q62" i="113"/>
  <c r="P62" i="113"/>
  <c r="AB48" i="113"/>
  <c r="AC40" i="113" s="1"/>
  <c r="AA48" i="113"/>
  <c r="N48" i="113"/>
  <c r="Q37" i="113"/>
  <c r="P37" i="113"/>
  <c r="Q26" i="113"/>
  <c r="P26" i="113"/>
  <c r="Q23" i="113"/>
  <c r="P23" i="113"/>
  <c r="AB10" i="113"/>
  <c r="AC5" i="113" s="1"/>
  <c r="AA10" i="113"/>
  <c r="N10" i="113"/>
  <c r="Q46" i="113"/>
  <c r="P46" i="113"/>
  <c r="Q8" i="113"/>
  <c r="P8" i="113"/>
  <c r="N20" i="113"/>
  <c r="AA20" i="113"/>
  <c r="AB20" i="113"/>
  <c r="AC14" i="113" s="1"/>
  <c r="Q51" i="113"/>
  <c r="P51" i="113"/>
  <c r="Q55" i="113"/>
  <c r="P55" i="113"/>
  <c r="P71" i="113"/>
  <c r="Q71" i="113"/>
  <c r="Q14" i="113"/>
  <c r="P14" i="113"/>
  <c r="Q61" i="113"/>
  <c r="P61" i="113"/>
  <c r="Q56" i="113"/>
  <c r="P56" i="113"/>
  <c r="Q24" i="113"/>
  <c r="P24" i="113"/>
  <c r="Q27" i="113"/>
  <c r="P27" i="113"/>
  <c r="AA39" i="113"/>
  <c r="AB39" i="113"/>
  <c r="AC31" i="113" s="1"/>
  <c r="N39" i="113"/>
  <c r="Q31" i="113"/>
  <c r="P31" i="113"/>
  <c r="Q64" i="113"/>
  <c r="P64" i="113"/>
  <c r="Q53" i="113"/>
  <c r="P53" i="113"/>
  <c r="AB16" i="111"/>
  <c r="AA16" i="111"/>
  <c r="N16" i="111"/>
  <c r="M63" i="111"/>
  <c r="AB58" i="111"/>
  <c r="AA58" i="111"/>
  <c r="N58" i="111"/>
  <c r="P62" i="111"/>
  <c r="Q62" i="111"/>
  <c r="P41" i="111"/>
  <c r="Q41" i="111"/>
  <c r="AB31" i="111"/>
  <c r="AA31" i="111"/>
  <c r="N31" i="111"/>
  <c r="N5" i="111"/>
  <c r="AB5" i="111"/>
  <c r="AA5" i="111"/>
  <c r="M9" i="111"/>
  <c r="AB27" i="111"/>
  <c r="AA27" i="111"/>
  <c r="N27" i="111"/>
  <c r="P59" i="111"/>
  <c r="Q59" i="111"/>
  <c r="Q39" i="111"/>
  <c r="P39" i="111"/>
  <c r="P25" i="111"/>
  <c r="Q25" i="111"/>
  <c r="Q49" i="111"/>
  <c r="P49" i="111"/>
  <c r="AA69" i="111"/>
  <c r="M77" i="111"/>
  <c r="AB69" i="111"/>
  <c r="N69" i="111"/>
  <c r="AB76" i="111"/>
  <c r="AA76" i="111"/>
  <c r="N76" i="111"/>
  <c r="AA13" i="111"/>
  <c r="N13" i="111"/>
  <c r="AB13" i="111"/>
  <c r="M18" i="111"/>
  <c r="AA74" i="111"/>
  <c r="AB74" i="111"/>
  <c r="N74" i="111"/>
  <c r="Q71" i="111"/>
  <c r="P71" i="111"/>
  <c r="I3" i="110"/>
  <c r="F2" i="111"/>
  <c r="AB67" i="111"/>
  <c r="N67" i="111"/>
  <c r="AA67" i="111"/>
  <c r="P42" i="111"/>
  <c r="Q42" i="111"/>
  <c r="AB45" i="111"/>
  <c r="N45" i="111"/>
  <c r="AA45" i="111"/>
  <c r="AB52" i="111"/>
  <c r="AA52" i="111"/>
  <c r="N52" i="111"/>
  <c r="N14" i="111"/>
  <c r="AB14" i="111"/>
  <c r="AA14" i="111"/>
  <c r="AA29" i="111"/>
  <c r="AB29" i="111"/>
  <c r="M38" i="111"/>
  <c r="N29" i="111"/>
  <c r="P60" i="111"/>
  <c r="Q60" i="111"/>
  <c r="AA22" i="111"/>
  <c r="AB22" i="111"/>
  <c r="N22" i="111"/>
  <c r="Q33" i="111"/>
  <c r="P33" i="111"/>
  <c r="N72" i="111"/>
  <c r="AB72" i="111"/>
  <c r="AA72" i="111"/>
  <c r="AA36" i="111"/>
  <c r="AB36" i="111"/>
  <c r="N36" i="111"/>
  <c r="AB7" i="111"/>
  <c r="AA7" i="111"/>
  <c r="N7" i="111"/>
  <c r="Q23" i="111"/>
  <c r="P23" i="111"/>
  <c r="N43" i="111"/>
  <c r="AB43" i="111"/>
  <c r="AA43" i="111"/>
  <c r="AB65" i="111"/>
  <c r="AA65" i="111"/>
  <c r="N65" i="111"/>
  <c r="AB11" i="111"/>
  <c r="AA11" i="111"/>
  <c r="N11" i="111"/>
  <c r="M12" i="111"/>
  <c r="N50" i="111"/>
  <c r="AB50" i="111"/>
  <c r="AA50" i="111"/>
  <c r="N61" i="111"/>
  <c r="AA61" i="111"/>
  <c r="AB61" i="111"/>
  <c r="Q70" i="111"/>
  <c r="P70" i="111"/>
  <c r="AA20" i="111"/>
  <c r="AB20" i="111"/>
  <c r="N20" i="111"/>
  <c r="AA34" i="111"/>
  <c r="N34" i="111"/>
  <c r="AB34" i="111"/>
  <c r="AA54" i="111"/>
  <c r="AB54" i="111"/>
  <c r="N54" i="111"/>
  <c r="AA8" i="111"/>
  <c r="AA30" i="111"/>
  <c r="AA46" i="111"/>
  <c r="AB24" i="111"/>
  <c r="AA33" i="111"/>
  <c r="AB40" i="111"/>
  <c r="AA49" i="111"/>
  <c r="AB56" i="111"/>
  <c r="AA71" i="111"/>
  <c r="N8" i="111"/>
  <c r="N30" i="111"/>
  <c r="AB33" i="111"/>
  <c r="AA42" i="111"/>
  <c r="N46" i="111"/>
  <c r="AB49" i="111"/>
  <c r="AA60" i="111"/>
  <c r="AB71" i="111"/>
  <c r="P10" i="111"/>
  <c r="P21" i="111"/>
  <c r="P37" i="111"/>
  <c r="AB42" i="111"/>
  <c r="P48" i="111"/>
  <c r="N55" i="111"/>
  <c r="AB60" i="111"/>
  <c r="AA64" i="111"/>
  <c r="AA26" i="111"/>
  <c r="N32" i="111"/>
  <c r="AA62" i="111"/>
  <c r="AA23" i="111"/>
  <c r="AA55" i="111"/>
  <c r="AB15" i="111"/>
  <c r="AB23" i="111"/>
  <c r="AA32" i="111"/>
  <c r="AA70" i="111"/>
  <c r="N15" i="111"/>
  <c r="Q24" i="111"/>
  <c r="Q40" i="111"/>
  <c r="N51" i="111"/>
  <c r="Q56" i="111"/>
  <c r="N64" i="111"/>
  <c r="N73" i="111"/>
  <c r="M57" i="111"/>
  <c r="AA73" i="111"/>
  <c r="AA25" i="111"/>
  <c r="AA41" i="111"/>
  <c r="M47" i="111"/>
  <c r="AA59" i="111"/>
  <c r="AB70" i="111"/>
  <c r="AA51" i="111"/>
  <c r="P75" i="111"/>
  <c r="AB25" i="111"/>
  <c r="AB41" i="111"/>
  <c r="AB59" i="111"/>
  <c r="N26" i="111"/>
  <c r="N17" i="111"/>
  <c r="N35" i="111"/>
  <c r="N53" i="111"/>
  <c r="N44" i="111"/>
  <c r="N66" i="111"/>
  <c r="M68" i="111"/>
  <c r="N6" i="111"/>
  <c r="N19" i="111"/>
  <c r="AB6" i="111"/>
  <c r="AA17" i="111"/>
  <c r="AB19" i="111"/>
  <c r="AA35" i="111"/>
  <c r="AA53" i="111"/>
  <c r="AB62" i="111"/>
  <c r="AA44" i="111"/>
  <c r="AA66" i="111"/>
  <c r="M28" i="111"/>
  <c r="E6" i="110"/>
  <c r="F6" i="110"/>
  <c r="O66" i="109"/>
  <c r="K66" i="109"/>
  <c r="V65" i="109"/>
  <c r="U65" i="109"/>
  <c r="O65" i="109"/>
  <c r="N65" i="109"/>
  <c r="M65" i="109"/>
  <c r="K65" i="109"/>
  <c r="G65" i="109"/>
  <c r="AB64" i="109"/>
  <c r="AA64" i="109"/>
  <c r="V64" i="109"/>
  <c r="U64" i="109"/>
  <c r="O64" i="109"/>
  <c r="N64" i="109"/>
  <c r="P64" i="109" s="1"/>
  <c r="M64" i="109"/>
  <c r="K64" i="109"/>
  <c r="G64" i="109"/>
  <c r="V63" i="109"/>
  <c r="U63" i="109"/>
  <c r="O63" i="109"/>
  <c r="N63" i="109"/>
  <c r="Q63" i="109" s="1"/>
  <c r="M63" i="109"/>
  <c r="K63" i="109"/>
  <c r="G63" i="109"/>
  <c r="AB62" i="109"/>
  <c r="AA62" i="109"/>
  <c r="V62" i="109"/>
  <c r="U62" i="109"/>
  <c r="O62" i="109"/>
  <c r="N62" i="109"/>
  <c r="Q62" i="109" s="1"/>
  <c r="M62" i="109"/>
  <c r="K62" i="109"/>
  <c r="G62" i="109"/>
  <c r="V61" i="109"/>
  <c r="M61" i="109" s="1"/>
  <c r="U61" i="109"/>
  <c r="Q61" i="109"/>
  <c r="P61" i="109"/>
  <c r="O61" i="109"/>
  <c r="N61" i="109"/>
  <c r="K61" i="109"/>
  <c r="G61" i="109"/>
  <c r="X60" i="109"/>
  <c r="W60" i="109"/>
  <c r="V60" i="109"/>
  <c r="O60" i="109"/>
  <c r="M60" i="109"/>
  <c r="K60" i="109"/>
  <c r="G60" i="109"/>
  <c r="O59" i="109"/>
  <c r="K59" i="109"/>
  <c r="V58" i="109"/>
  <c r="U58" i="109"/>
  <c r="O58" i="109"/>
  <c r="M58" i="109"/>
  <c r="AB58" i="109" s="1"/>
  <c r="K58" i="109"/>
  <c r="G58" i="109"/>
  <c r="AB57" i="109"/>
  <c r="AA57" i="109"/>
  <c r="V57" i="109"/>
  <c r="M57" i="109" s="1"/>
  <c r="N57" i="109" s="1"/>
  <c r="U57" i="109"/>
  <c r="O57" i="109"/>
  <c r="K57" i="109"/>
  <c r="G57" i="109"/>
  <c r="V56" i="109"/>
  <c r="U56" i="109"/>
  <c r="O56" i="109"/>
  <c r="N56" i="109"/>
  <c r="M56" i="109"/>
  <c r="K56" i="109"/>
  <c r="G56" i="109"/>
  <c r="AB55" i="109"/>
  <c r="AA55" i="109"/>
  <c r="V55" i="109"/>
  <c r="O55" i="109"/>
  <c r="N55" i="109"/>
  <c r="P55" i="109" s="1"/>
  <c r="M55" i="109"/>
  <c r="K55" i="109"/>
  <c r="G55" i="109"/>
  <c r="O54" i="109"/>
  <c r="M54" i="109"/>
  <c r="N54" i="109" s="1"/>
  <c r="K54" i="109"/>
  <c r="AB53" i="109"/>
  <c r="AA53" i="109"/>
  <c r="V53" i="109"/>
  <c r="U53" i="109"/>
  <c r="O53" i="109"/>
  <c r="N53" i="109"/>
  <c r="Q53" i="109" s="1"/>
  <c r="M53" i="109"/>
  <c r="K53" i="109"/>
  <c r="G53" i="109"/>
  <c r="V52" i="109"/>
  <c r="U52" i="109"/>
  <c r="O52" i="109"/>
  <c r="N52" i="109"/>
  <c r="Q52" i="109" s="1"/>
  <c r="M52" i="109"/>
  <c r="K52" i="109"/>
  <c r="G52" i="109"/>
  <c r="AB51" i="109"/>
  <c r="AA51" i="109"/>
  <c r="V51" i="109"/>
  <c r="U51" i="109"/>
  <c r="Q51" i="109"/>
  <c r="P51" i="109"/>
  <c r="O51" i="109"/>
  <c r="N51" i="109"/>
  <c r="M51" i="109"/>
  <c r="K51" i="109"/>
  <c r="G51" i="109"/>
  <c r="V50" i="109"/>
  <c r="U50" i="109"/>
  <c r="Q50" i="109"/>
  <c r="O50" i="109"/>
  <c r="N50" i="109"/>
  <c r="P50" i="109" s="1"/>
  <c r="M50" i="109"/>
  <c r="K50" i="109"/>
  <c r="G50" i="109"/>
  <c r="AB49" i="109"/>
  <c r="AA49" i="109"/>
  <c r="V49" i="109"/>
  <c r="O49" i="109"/>
  <c r="N49" i="109"/>
  <c r="Q49" i="109" s="1"/>
  <c r="M49" i="109"/>
  <c r="K49" i="109"/>
  <c r="G49" i="109"/>
  <c r="O48" i="109"/>
  <c r="K48" i="109"/>
  <c r="AB47" i="109"/>
  <c r="AA47" i="109"/>
  <c r="V47" i="109"/>
  <c r="U47" i="109"/>
  <c r="O47" i="109"/>
  <c r="N47" i="109"/>
  <c r="Q47" i="109" s="1"/>
  <c r="M47" i="109"/>
  <c r="K47" i="109"/>
  <c r="G47" i="109"/>
  <c r="AA46" i="109"/>
  <c r="V46" i="109"/>
  <c r="M46" i="109" s="1"/>
  <c r="U46" i="109"/>
  <c r="O46" i="109"/>
  <c r="K46" i="109"/>
  <c r="G46" i="109"/>
  <c r="V45" i="109"/>
  <c r="U45" i="109"/>
  <c r="O45" i="109"/>
  <c r="M45" i="109"/>
  <c r="AB45" i="109" s="1"/>
  <c r="K45" i="109"/>
  <c r="G45" i="109"/>
  <c r="AB44" i="109"/>
  <c r="AA44" i="109"/>
  <c r="V44" i="109"/>
  <c r="M44" i="109" s="1"/>
  <c r="N44" i="109" s="1"/>
  <c r="P44" i="109" s="1"/>
  <c r="U44" i="109"/>
  <c r="Q44" i="109"/>
  <c r="O44" i="109"/>
  <c r="K44" i="109"/>
  <c r="G44" i="109"/>
  <c r="V43" i="109"/>
  <c r="U43" i="109"/>
  <c r="O43" i="109"/>
  <c r="M43" i="109"/>
  <c r="K43" i="109"/>
  <c r="G43" i="109"/>
  <c r="AB42" i="109"/>
  <c r="AA42" i="109"/>
  <c r="V42" i="109"/>
  <c r="M42" i="109" s="1"/>
  <c r="N42" i="109" s="1"/>
  <c r="U42" i="109"/>
  <c r="O42" i="109"/>
  <c r="K42" i="109"/>
  <c r="G42" i="109"/>
  <c r="X41" i="109"/>
  <c r="W41" i="109"/>
  <c r="V41" i="109"/>
  <c r="O41" i="109"/>
  <c r="N41" i="109"/>
  <c r="Q41" i="109" s="1"/>
  <c r="M41" i="109"/>
  <c r="K41" i="109"/>
  <c r="G41" i="109"/>
  <c r="O40" i="109"/>
  <c r="K40" i="109"/>
  <c r="V39" i="109"/>
  <c r="U39" i="109"/>
  <c r="O39" i="109"/>
  <c r="N39" i="109"/>
  <c r="Q39" i="109" s="1"/>
  <c r="M39" i="109"/>
  <c r="K39" i="109"/>
  <c r="G39" i="109"/>
  <c r="AB38" i="109"/>
  <c r="AA38" i="109"/>
  <c r="V38" i="109"/>
  <c r="U38" i="109"/>
  <c r="O38" i="109"/>
  <c r="N38" i="109"/>
  <c r="Q38" i="109" s="1"/>
  <c r="M38" i="109"/>
  <c r="K38" i="109"/>
  <c r="G38" i="109"/>
  <c r="V37" i="109"/>
  <c r="M37" i="109" s="1"/>
  <c r="U37" i="109"/>
  <c r="Q37" i="109"/>
  <c r="P37" i="109"/>
  <c r="O37" i="109"/>
  <c r="N37" i="109"/>
  <c r="K37" i="109"/>
  <c r="G37" i="109"/>
  <c r="AB36" i="109"/>
  <c r="AA36" i="109"/>
  <c r="V36" i="109"/>
  <c r="U36" i="109"/>
  <c r="O36" i="109"/>
  <c r="N36" i="109"/>
  <c r="Q36" i="109" s="1"/>
  <c r="M36" i="109"/>
  <c r="K36" i="109"/>
  <c r="G36" i="109"/>
  <c r="AB35" i="109"/>
  <c r="AA35" i="109"/>
  <c r="X35" i="109"/>
  <c r="W35" i="109"/>
  <c r="V35" i="109"/>
  <c r="M35" i="109" s="1"/>
  <c r="O35" i="109"/>
  <c r="K35" i="109"/>
  <c r="G35" i="109"/>
  <c r="O34" i="109"/>
  <c r="M34" i="109"/>
  <c r="K34" i="109"/>
  <c r="K13" i="108" s="1"/>
  <c r="I6" i="108" s="1"/>
  <c r="AB33" i="109"/>
  <c r="AA33" i="109"/>
  <c r="V33" i="109"/>
  <c r="M33" i="109" s="1"/>
  <c r="N33" i="109" s="1"/>
  <c r="U33" i="109"/>
  <c r="O33" i="109"/>
  <c r="K33" i="109"/>
  <c r="G33" i="109"/>
  <c r="X32" i="109"/>
  <c r="W32" i="109"/>
  <c r="V32" i="109"/>
  <c r="U32" i="109"/>
  <c r="O32" i="109"/>
  <c r="N32" i="109"/>
  <c r="Q32" i="109" s="1"/>
  <c r="M32" i="109"/>
  <c r="K32" i="109"/>
  <c r="G32" i="109"/>
  <c r="AB31" i="109"/>
  <c r="AA31" i="109"/>
  <c r="V31" i="109"/>
  <c r="U31" i="109"/>
  <c r="Q31" i="109"/>
  <c r="P31" i="109"/>
  <c r="O31" i="109"/>
  <c r="N31" i="109"/>
  <c r="M31" i="109"/>
  <c r="K31" i="109"/>
  <c r="G31" i="109"/>
  <c r="V30" i="109"/>
  <c r="U30" i="109"/>
  <c r="O30" i="109"/>
  <c r="N30" i="109"/>
  <c r="Q30" i="109" s="1"/>
  <c r="M30" i="109"/>
  <c r="K30" i="109"/>
  <c r="G30" i="109"/>
  <c r="AB29" i="109"/>
  <c r="AA29" i="109"/>
  <c r="V29" i="109"/>
  <c r="U29" i="109"/>
  <c r="O29" i="109"/>
  <c r="N29" i="109"/>
  <c r="Q29" i="109" s="1"/>
  <c r="M29" i="109"/>
  <c r="K29" i="109"/>
  <c r="G29" i="109"/>
  <c r="AA28" i="109"/>
  <c r="V28" i="109"/>
  <c r="M28" i="109" s="1"/>
  <c r="U28" i="109"/>
  <c r="O28" i="109"/>
  <c r="K28" i="109"/>
  <c r="G28" i="109"/>
  <c r="X27" i="109"/>
  <c r="W27" i="109"/>
  <c r="V27" i="109"/>
  <c r="O27" i="109"/>
  <c r="N27" i="109"/>
  <c r="M27" i="109"/>
  <c r="K27" i="109"/>
  <c r="G27" i="109"/>
  <c r="O26" i="109"/>
  <c r="K26" i="109"/>
  <c r="V25" i="109"/>
  <c r="U25" i="109"/>
  <c r="O25" i="109"/>
  <c r="M25" i="109"/>
  <c r="K25" i="109"/>
  <c r="G25" i="109"/>
  <c r="AB24" i="109"/>
  <c r="AA24" i="109"/>
  <c r="V24" i="109"/>
  <c r="M24" i="109" s="1"/>
  <c r="N24" i="109" s="1"/>
  <c r="U24" i="109"/>
  <c r="O24" i="109"/>
  <c r="K24" i="109"/>
  <c r="G24" i="109"/>
  <c r="V23" i="109"/>
  <c r="U23" i="109"/>
  <c r="O23" i="109"/>
  <c r="N23" i="109"/>
  <c r="M23" i="109"/>
  <c r="K23" i="109"/>
  <c r="G23" i="109"/>
  <c r="AB22" i="109"/>
  <c r="AA22" i="109"/>
  <c r="V22" i="109"/>
  <c r="U22" i="109"/>
  <c r="O22" i="109"/>
  <c r="N22" i="109"/>
  <c r="P22" i="109" s="1"/>
  <c r="M22" i="109"/>
  <c r="K22" i="109"/>
  <c r="G22" i="109"/>
  <c r="V21" i="109"/>
  <c r="U21" i="109"/>
  <c r="O21" i="109"/>
  <c r="N21" i="109"/>
  <c r="Q21" i="109" s="1"/>
  <c r="M21" i="109"/>
  <c r="K21" i="109"/>
  <c r="G21" i="109"/>
  <c r="AB20" i="109"/>
  <c r="AA20" i="109"/>
  <c r="V20" i="109"/>
  <c r="U20" i="109"/>
  <c r="O20" i="109"/>
  <c r="N20" i="109"/>
  <c r="Q20" i="109" s="1"/>
  <c r="M20" i="109"/>
  <c r="K20" i="109"/>
  <c r="G20" i="109"/>
  <c r="V19" i="109"/>
  <c r="M19" i="109" s="1"/>
  <c r="U19" i="109"/>
  <c r="O19" i="109"/>
  <c r="N19" i="109"/>
  <c r="Q19" i="109" s="1"/>
  <c r="K19" i="109"/>
  <c r="G19" i="109"/>
  <c r="V18" i="109"/>
  <c r="O18" i="109"/>
  <c r="M18" i="109"/>
  <c r="M26" i="109" s="1"/>
  <c r="N26" i="109" s="1"/>
  <c r="K18" i="109"/>
  <c r="G18" i="109"/>
  <c r="O17" i="109"/>
  <c r="K17" i="109"/>
  <c r="AB16" i="109"/>
  <c r="AA16" i="109"/>
  <c r="V16" i="109"/>
  <c r="U16" i="109"/>
  <c r="O16" i="109"/>
  <c r="N16" i="109"/>
  <c r="Q16" i="109" s="1"/>
  <c r="M16" i="109"/>
  <c r="K16" i="109"/>
  <c r="G16" i="109"/>
  <c r="AB15" i="109"/>
  <c r="AA15" i="109"/>
  <c r="V15" i="109"/>
  <c r="M15" i="109" s="1"/>
  <c r="N15" i="109" s="1"/>
  <c r="U15" i="109"/>
  <c r="Q15" i="109"/>
  <c r="P15" i="109"/>
  <c r="O15" i="109"/>
  <c r="K15" i="109"/>
  <c r="G15" i="109"/>
  <c r="V14" i="109"/>
  <c r="U14" i="109"/>
  <c r="O14" i="109"/>
  <c r="M14" i="109"/>
  <c r="AB14" i="109" s="1"/>
  <c r="K14" i="109"/>
  <c r="G14" i="109"/>
  <c r="AB13" i="109"/>
  <c r="AA13" i="109"/>
  <c r="V13" i="109"/>
  <c r="M13" i="109" s="1"/>
  <c r="N13" i="109" s="1"/>
  <c r="U13" i="109"/>
  <c r="O13" i="109"/>
  <c r="K13" i="109"/>
  <c r="G13" i="109"/>
  <c r="X12" i="109"/>
  <c r="W12" i="109"/>
  <c r="V12" i="109"/>
  <c r="O12" i="109"/>
  <c r="N12" i="109"/>
  <c r="Q12" i="109" s="1"/>
  <c r="M12" i="109"/>
  <c r="K12" i="109"/>
  <c r="G12" i="109"/>
  <c r="O11" i="109"/>
  <c r="K11" i="109"/>
  <c r="V10" i="109"/>
  <c r="U10" i="109"/>
  <c r="O10" i="109"/>
  <c r="N10" i="109"/>
  <c r="Q10" i="109" s="1"/>
  <c r="M10" i="109"/>
  <c r="K10" i="109"/>
  <c r="G10" i="109"/>
  <c r="AB9" i="109"/>
  <c r="AA9" i="109"/>
  <c r="V9" i="109"/>
  <c r="O9" i="109"/>
  <c r="N9" i="109"/>
  <c r="Q9" i="109" s="1"/>
  <c r="M9" i="109"/>
  <c r="K9" i="109"/>
  <c r="G9" i="109"/>
  <c r="O8" i="109"/>
  <c r="N8" i="109"/>
  <c r="D14" i="108" s="1"/>
  <c r="D15" i="108" s="1"/>
  <c r="M8" i="109"/>
  <c r="K8" i="109"/>
  <c r="AB7" i="109"/>
  <c r="AA7" i="109"/>
  <c r="V7" i="109"/>
  <c r="U7" i="109"/>
  <c r="Q7" i="109"/>
  <c r="P7" i="109"/>
  <c r="O7" i="109"/>
  <c r="N7" i="109"/>
  <c r="M7" i="109"/>
  <c r="K7" i="109"/>
  <c r="G7" i="109"/>
  <c r="V6" i="109"/>
  <c r="U6" i="109"/>
  <c r="O6" i="109"/>
  <c r="N6" i="109"/>
  <c r="Q6" i="109" s="1"/>
  <c r="M6" i="109"/>
  <c r="K6" i="109"/>
  <c r="G6" i="109"/>
  <c r="AB5" i="109"/>
  <c r="AA5" i="109"/>
  <c r="V5" i="109"/>
  <c r="O5" i="109"/>
  <c r="N5" i="109"/>
  <c r="Q5" i="109" s="1"/>
  <c r="M5" i="109"/>
  <c r="K5" i="109"/>
  <c r="G5" i="109"/>
  <c r="H2" i="109"/>
  <c r="H1" i="109"/>
  <c r="F1" i="109"/>
  <c r="I3" i="108" s="1"/>
  <c r="D1" i="109"/>
  <c r="M18" i="108"/>
  <c r="L18" i="108"/>
  <c r="K18" i="108"/>
  <c r="J18" i="108"/>
  <c r="I18" i="108"/>
  <c r="H18" i="108"/>
  <c r="G18" i="108"/>
  <c r="F18" i="108"/>
  <c r="E18" i="108"/>
  <c r="D18" i="108"/>
  <c r="M17" i="108"/>
  <c r="L17" i="108"/>
  <c r="K17" i="108"/>
  <c r="J17" i="108"/>
  <c r="I17" i="108"/>
  <c r="H17" i="108"/>
  <c r="G17" i="108"/>
  <c r="F17" i="108"/>
  <c r="E17" i="108"/>
  <c r="D17" i="108"/>
  <c r="M16" i="108"/>
  <c r="L16" i="108"/>
  <c r="K16" i="108"/>
  <c r="J16" i="108"/>
  <c r="I16" i="108"/>
  <c r="H16" i="108"/>
  <c r="G16" i="108"/>
  <c r="F16" i="108"/>
  <c r="E16" i="108"/>
  <c r="D16" i="108"/>
  <c r="M13" i="108"/>
  <c r="L13" i="108"/>
  <c r="J13" i="108"/>
  <c r="I13" i="108"/>
  <c r="H13" i="108"/>
  <c r="G13" i="108"/>
  <c r="F13" i="108"/>
  <c r="E13" i="108"/>
  <c r="D13" i="108"/>
  <c r="F3" i="108"/>
  <c r="C3" i="108"/>
  <c r="G8" i="116" l="1"/>
  <c r="F8" i="116"/>
  <c r="E8" i="116"/>
  <c r="K15" i="114"/>
  <c r="I8" i="114" s="1"/>
  <c r="I7" i="114"/>
  <c r="E15" i="114"/>
  <c r="G7" i="114"/>
  <c r="F7" i="114"/>
  <c r="E7" i="114"/>
  <c r="D14" i="112"/>
  <c r="Q10" i="113"/>
  <c r="R5" i="113" s="1"/>
  <c r="P10" i="113"/>
  <c r="D2" i="113"/>
  <c r="Q79" i="113"/>
  <c r="R71" i="113" s="1"/>
  <c r="P79" i="113"/>
  <c r="M14" i="112"/>
  <c r="M15" i="112" s="1"/>
  <c r="H14" i="112"/>
  <c r="H15" i="112" s="1"/>
  <c r="Q58" i="113"/>
  <c r="R49" i="113" s="1"/>
  <c r="P58" i="113"/>
  <c r="Q70" i="113"/>
  <c r="R66" i="113" s="1"/>
  <c r="P70" i="113"/>
  <c r="J14" i="112"/>
  <c r="J15" i="112" s="1"/>
  <c r="P65" i="113"/>
  <c r="Q65" i="113"/>
  <c r="R59" i="113" s="1"/>
  <c r="I14" i="112"/>
  <c r="I15" i="112" s="1"/>
  <c r="Q39" i="113"/>
  <c r="R31" i="113" s="1"/>
  <c r="P39" i="113"/>
  <c r="K14" i="112"/>
  <c r="G14" i="112"/>
  <c r="G15" i="112" s="1"/>
  <c r="Q30" i="113"/>
  <c r="R21" i="113" s="1"/>
  <c r="P30" i="113"/>
  <c r="F14" i="112"/>
  <c r="F15" i="112" s="1"/>
  <c r="Q20" i="113"/>
  <c r="R14" i="113" s="1"/>
  <c r="P20" i="113"/>
  <c r="Q48" i="113"/>
  <c r="R40" i="113" s="1"/>
  <c r="P48" i="113"/>
  <c r="L14" i="112"/>
  <c r="L15" i="112" s="1"/>
  <c r="Q50" i="111"/>
  <c r="P50" i="111"/>
  <c r="Q14" i="111"/>
  <c r="P14" i="111"/>
  <c r="Q5" i="111"/>
  <c r="P5" i="111"/>
  <c r="P45" i="111"/>
  <c r="Q45" i="111"/>
  <c r="AB77" i="111"/>
  <c r="AC69" i="111" s="1"/>
  <c r="AA77" i="111"/>
  <c r="N77" i="111"/>
  <c r="Q54" i="111"/>
  <c r="P54" i="111"/>
  <c r="Q66" i="111"/>
  <c r="P66" i="111"/>
  <c r="Q65" i="111"/>
  <c r="P65" i="111"/>
  <c r="P67" i="111"/>
  <c r="Q67" i="111"/>
  <c r="AA18" i="111"/>
  <c r="AB18" i="111"/>
  <c r="AC13" i="111" s="1"/>
  <c r="N18" i="111"/>
  <c r="Q13" i="111"/>
  <c r="P13" i="111"/>
  <c r="AA12" i="111"/>
  <c r="AB12" i="111"/>
  <c r="AC10" i="111" s="1"/>
  <c r="N12" i="111"/>
  <c r="P19" i="111"/>
  <c r="Q19" i="111"/>
  <c r="Q73" i="111"/>
  <c r="P73" i="111"/>
  <c r="AB68" i="111"/>
  <c r="AC64" i="111" s="1"/>
  <c r="AA68" i="111"/>
  <c r="N68" i="111"/>
  <c r="Q64" i="111"/>
  <c r="P64" i="111"/>
  <c r="Q22" i="111"/>
  <c r="P22" i="111"/>
  <c r="Q44" i="111"/>
  <c r="P44" i="111"/>
  <c r="Q51" i="111"/>
  <c r="P51" i="111"/>
  <c r="AA9" i="111"/>
  <c r="N9" i="111"/>
  <c r="AB9" i="111"/>
  <c r="AC5" i="111" s="1"/>
  <c r="AA47" i="111"/>
  <c r="N47" i="111"/>
  <c r="AB47" i="111"/>
  <c r="AC39" i="111" s="1"/>
  <c r="Q11" i="111"/>
  <c r="P11" i="111"/>
  <c r="Q53" i="111"/>
  <c r="P53" i="111"/>
  <c r="Q58" i="111"/>
  <c r="P58" i="111"/>
  <c r="Q52" i="111"/>
  <c r="P52" i="111"/>
  <c r="Q76" i="111"/>
  <c r="P76" i="111"/>
  <c r="Q31" i="111"/>
  <c r="P31" i="111"/>
  <c r="N57" i="111"/>
  <c r="AB57" i="111"/>
  <c r="AC48" i="111" s="1"/>
  <c r="AA57" i="111"/>
  <c r="Q35" i="111"/>
  <c r="P35" i="111"/>
  <c r="Q34" i="111"/>
  <c r="P34" i="111"/>
  <c r="Q32" i="111"/>
  <c r="P32" i="111"/>
  <c r="Q55" i="111"/>
  <c r="P55" i="111"/>
  <c r="Q69" i="111"/>
  <c r="P69" i="111"/>
  <c r="Q17" i="111"/>
  <c r="P17" i="111"/>
  <c r="Q15" i="111"/>
  <c r="P15" i="111"/>
  <c r="Q29" i="111"/>
  <c r="P29" i="111"/>
  <c r="P26" i="111"/>
  <c r="Q26" i="111"/>
  <c r="P46" i="111"/>
  <c r="Q46" i="111"/>
  <c r="Q20" i="111"/>
  <c r="P20" i="111"/>
  <c r="Q43" i="111"/>
  <c r="P43" i="111"/>
  <c r="AB38" i="111"/>
  <c r="AC29" i="111" s="1"/>
  <c r="AA38" i="111"/>
  <c r="N38" i="111"/>
  <c r="AB63" i="111"/>
  <c r="AC58" i="111" s="1"/>
  <c r="AA63" i="111"/>
  <c r="N63" i="111"/>
  <c r="Q61" i="111"/>
  <c r="P61" i="111"/>
  <c r="P6" i="111"/>
  <c r="Q6" i="111"/>
  <c r="Q74" i="111"/>
  <c r="P74" i="111"/>
  <c r="Q16" i="111"/>
  <c r="P16" i="111"/>
  <c r="Q8" i="111"/>
  <c r="P8" i="111"/>
  <c r="Q36" i="111"/>
  <c r="P36" i="111"/>
  <c r="Q72" i="111"/>
  <c r="P72" i="111"/>
  <c r="AB28" i="111"/>
  <c r="AC19" i="111" s="1"/>
  <c r="N28" i="111"/>
  <c r="AA28" i="111"/>
  <c r="Q30" i="111"/>
  <c r="P30" i="111"/>
  <c r="Q7" i="111"/>
  <c r="P7" i="111"/>
  <c r="Q27" i="111"/>
  <c r="P27" i="111"/>
  <c r="P6" i="109"/>
  <c r="P8" i="109"/>
  <c r="Q8" i="109"/>
  <c r="R5" i="109" s="1"/>
  <c r="P30" i="109"/>
  <c r="P32" i="109"/>
  <c r="P12" i="109"/>
  <c r="F2" i="109"/>
  <c r="P41" i="109"/>
  <c r="AA26" i="109"/>
  <c r="AB26" i="109"/>
  <c r="AC18" i="109" s="1"/>
  <c r="P21" i="109"/>
  <c r="P10" i="109"/>
  <c r="P19" i="109"/>
  <c r="P39" i="109"/>
  <c r="P63" i="109"/>
  <c r="P52" i="109"/>
  <c r="G6" i="108"/>
  <c r="F6" i="108"/>
  <c r="E6" i="108"/>
  <c r="AB6" i="109"/>
  <c r="AA6" i="109"/>
  <c r="AA8" i="109"/>
  <c r="AB8" i="109"/>
  <c r="AC5" i="109" s="1"/>
  <c r="AB10" i="109"/>
  <c r="M11" i="109"/>
  <c r="AA10" i="109"/>
  <c r="M17" i="109"/>
  <c r="AA12" i="109"/>
  <c r="AB12" i="109"/>
  <c r="Q13" i="109"/>
  <c r="P13" i="109"/>
  <c r="Q26" i="109"/>
  <c r="R18" i="109" s="1"/>
  <c r="P26" i="109"/>
  <c r="G14" i="108"/>
  <c r="G15" i="108" s="1"/>
  <c r="AA19" i="109"/>
  <c r="AB19" i="109"/>
  <c r="AB21" i="109"/>
  <c r="AA21" i="109"/>
  <c r="AA23" i="109"/>
  <c r="AB23" i="109"/>
  <c r="Q23" i="109"/>
  <c r="P23" i="109"/>
  <c r="Q24" i="109"/>
  <c r="P24" i="109"/>
  <c r="AB25" i="109"/>
  <c r="N25" i="109"/>
  <c r="AA25" i="109"/>
  <c r="AB27" i="109"/>
  <c r="AA27" i="109"/>
  <c r="Q27" i="109"/>
  <c r="P27" i="109"/>
  <c r="N28" i="109"/>
  <c r="AB28" i="109"/>
  <c r="AB30" i="109"/>
  <c r="AA30" i="109"/>
  <c r="AB32" i="109"/>
  <c r="AA32" i="109"/>
  <c r="Q33" i="109"/>
  <c r="P33" i="109"/>
  <c r="AA34" i="109"/>
  <c r="N34" i="109"/>
  <c r="AB34" i="109"/>
  <c r="AC27" i="109" s="1"/>
  <c r="N35" i="109"/>
  <c r="M40" i="109"/>
  <c r="AB37" i="109"/>
  <c r="AA37" i="109"/>
  <c r="AB39" i="109"/>
  <c r="AA39" i="109"/>
  <c r="M48" i="109"/>
  <c r="AB41" i="109"/>
  <c r="AA41" i="109"/>
  <c r="Q42" i="109"/>
  <c r="P42" i="109"/>
  <c r="AB43" i="109"/>
  <c r="N43" i="109"/>
  <c r="AA43" i="109"/>
  <c r="N46" i="109"/>
  <c r="AB46" i="109"/>
  <c r="AB50" i="109"/>
  <c r="AA50" i="109"/>
  <c r="AB52" i="109"/>
  <c r="AA52" i="109"/>
  <c r="AB54" i="109"/>
  <c r="AC49" i="109" s="1"/>
  <c r="AA54" i="109"/>
  <c r="I14" i="108"/>
  <c r="I15" i="108" s="1"/>
  <c r="Q54" i="109"/>
  <c r="R49" i="109" s="1"/>
  <c r="P54" i="109"/>
  <c r="M59" i="109"/>
  <c r="AB56" i="109"/>
  <c r="AA56" i="109"/>
  <c r="Q56" i="109"/>
  <c r="P56" i="109"/>
  <c r="Q57" i="109"/>
  <c r="P57" i="109"/>
  <c r="AB60" i="109"/>
  <c r="AA60" i="109"/>
  <c r="M66" i="109"/>
  <c r="N60" i="109"/>
  <c r="AB61" i="109"/>
  <c r="AA61" i="109"/>
  <c r="AB63" i="109"/>
  <c r="AA63" i="109"/>
  <c r="AA65" i="109"/>
  <c r="AB65" i="109"/>
  <c r="P65" i="109"/>
  <c r="Q65" i="109"/>
  <c r="N58" i="109"/>
  <c r="P5" i="109"/>
  <c r="P16" i="109"/>
  <c r="P36" i="109"/>
  <c r="P49" i="109"/>
  <c r="P29" i="109"/>
  <c r="P47" i="109"/>
  <c r="N14" i="109"/>
  <c r="P9" i="109"/>
  <c r="AA14" i="109"/>
  <c r="P20" i="109"/>
  <c r="P38" i="109"/>
  <c r="AA58" i="109"/>
  <c r="P62" i="109"/>
  <c r="AA18" i="109"/>
  <c r="AA45" i="109"/>
  <c r="Q22" i="109"/>
  <c r="P53" i="109"/>
  <c r="Q55" i="109"/>
  <c r="Q64" i="109"/>
  <c r="N18" i="109"/>
  <c r="N45" i="109"/>
  <c r="AB18" i="109"/>
  <c r="O68" i="107"/>
  <c r="K68" i="107"/>
  <c r="V67" i="107"/>
  <c r="M67" i="107" s="1"/>
  <c r="U67" i="107"/>
  <c r="O67" i="107"/>
  <c r="K67" i="107"/>
  <c r="G67" i="107"/>
  <c r="AA66" i="107"/>
  <c r="V66" i="107"/>
  <c r="U66" i="107"/>
  <c r="O66" i="107"/>
  <c r="M66" i="107"/>
  <c r="N66" i="107" s="1"/>
  <c r="K66" i="107"/>
  <c r="G66" i="107"/>
  <c r="V65" i="107"/>
  <c r="M65" i="107" s="1"/>
  <c r="U65" i="107"/>
  <c r="O65" i="107"/>
  <c r="K65" i="107"/>
  <c r="G65" i="107"/>
  <c r="V64" i="107"/>
  <c r="M64" i="107" s="1"/>
  <c r="U64" i="107"/>
  <c r="O64" i="107"/>
  <c r="K64" i="107"/>
  <c r="G64" i="107"/>
  <c r="V63" i="107"/>
  <c r="M63" i="107" s="1"/>
  <c r="U63" i="107"/>
  <c r="O63" i="107"/>
  <c r="K63" i="107"/>
  <c r="G63" i="107"/>
  <c r="X62" i="107"/>
  <c r="W62" i="107"/>
  <c r="V62" i="107"/>
  <c r="M62" i="107" s="1"/>
  <c r="O62" i="107"/>
  <c r="K62" i="107"/>
  <c r="G62" i="107"/>
  <c r="O61" i="107"/>
  <c r="K61" i="107"/>
  <c r="V60" i="107"/>
  <c r="M60" i="107" s="1"/>
  <c r="U60" i="107"/>
  <c r="O60" i="107"/>
  <c r="K60" i="107"/>
  <c r="G60" i="107"/>
  <c r="V59" i="107"/>
  <c r="U59" i="107"/>
  <c r="O59" i="107"/>
  <c r="M59" i="107"/>
  <c r="AB59" i="107" s="1"/>
  <c r="K59" i="107"/>
  <c r="G59" i="107"/>
  <c r="AB58" i="107"/>
  <c r="V58" i="107"/>
  <c r="U58" i="107"/>
  <c r="O58" i="107"/>
  <c r="N58" i="107"/>
  <c r="Q58" i="107" s="1"/>
  <c r="M58" i="107"/>
  <c r="AA58" i="107" s="1"/>
  <c r="K58" i="107"/>
  <c r="G58" i="107"/>
  <c r="AB57" i="107"/>
  <c r="V57" i="107"/>
  <c r="O57" i="107"/>
  <c r="N57" i="107"/>
  <c r="Q57" i="107" s="1"/>
  <c r="M57" i="107"/>
  <c r="AA57" i="107" s="1"/>
  <c r="K57" i="107"/>
  <c r="G57" i="107"/>
  <c r="O56" i="107"/>
  <c r="K56" i="107"/>
  <c r="V55" i="107"/>
  <c r="M55" i="107" s="1"/>
  <c r="U55" i="107"/>
  <c r="O55" i="107"/>
  <c r="K55" i="107"/>
  <c r="G55" i="107"/>
  <c r="V54" i="107"/>
  <c r="M54" i="107" s="1"/>
  <c r="U54" i="107"/>
  <c r="O54" i="107"/>
  <c r="K54" i="107"/>
  <c r="G54" i="107"/>
  <c r="V53" i="107"/>
  <c r="M53" i="107" s="1"/>
  <c r="U53" i="107"/>
  <c r="O53" i="107"/>
  <c r="K53" i="107"/>
  <c r="G53" i="107"/>
  <c r="V52" i="107"/>
  <c r="U52" i="107"/>
  <c r="O52" i="107"/>
  <c r="M52" i="107"/>
  <c r="AB52" i="107" s="1"/>
  <c r="K52" i="107"/>
  <c r="G52" i="107"/>
  <c r="V51" i="107"/>
  <c r="O51" i="107"/>
  <c r="M51" i="107"/>
  <c r="AB51" i="107" s="1"/>
  <c r="K51" i="107"/>
  <c r="G51" i="107"/>
  <c r="O50" i="107"/>
  <c r="K50" i="107"/>
  <c r="AA49" i="107"/>
  <c r="V49" i="107"/>
  <c r="U49" i="107"/>
  <c r="O49" i="107"/>
  <c r="M49" i="107"/>
  <c r="N49" i="107" s="1"/>
  <c r="K49" i="107"/>
  <c r="G49" i="107"/>
  <c r="V48" i="107"/>
  <c r="M48" i="107" s="1"/>
  <c r="U48" i="107"/>
  <c r="O48" i="107"/>
  <c r="K48" i="107"/>
  <c r="G48" i="107"/>
  <c r="AB47" i="107"/>
  <c r="AA47" i="107"/>
  <c r="V47" i="107"/>
  <c r="U47" i="107"/>
  <c r="O47" i="107"/>
  <c r="M47" i="107"/>
  <c r="N47" i="107" s="1"/>
  <c r="K47" i="107"/>
  <c r="G47" i="107"/>
  <c r="V46" i="107"/>
  <c r="M46" i="107" s="1"/>
  <c r="U46" i="107"/>
  <c r="O46" i="107"/>
  <c r="K46" i="107"/>
  <c r="G46" i="107"/>
  <c r="V45" i="107"/>
  <c r="M45" i="107" s="1"/>
  <c r="U45" i="107"/>
  <c r="O45" i="107"/>
  <c r="K45" i="107"/>
  <c r="G45" i="107"/>
  <c r="V44" i="107"/>
  <c r="M44" i="107" s="1"/>
  <c r="U44" i="107"/>
  <c r="O44" i="107"/>
  <c r="K44" i="107"/>
  <c r="G44" i="107"/>
  <c r="X43" i="107"/>
  <c r="W43" i="107"/>
  <c r="V43" i="107"/>
  <c r="M43" i="107" s="1"/>
  <c r="O43" i="107"/>
  <c r="K43" i="107"/>
  <c r="G43" i="107"/>
  <c r="O42" i="107"/>
  <c r="K42" i="107"/>
  <c r="V41" i="107"/>
  <c r="M41" i="107" s="1"/>
  <c r="U41" i="107"/>
  <c r="O41" i="107"/>
  <c r="K41" i="107"/>
  <c r="G41" i="107"/>
  <c r="X40" i="107"/>
  <c r="W40" i="107"/>
  <c r="V40" i="107"/>
  <c r="U40" i="107"/>
  <c r="O40" i="107"/>
  <c r="M40" i="107"/>
  <c r="AB40" i="107" s="1"/>
  <c r="K40" i="107"/>
  <c r="G40" i="107"/>
  <c r="V39" i="107"/>
  <c r="M39" i="107" s="1"/>
  <c r="U39" i="107"/>
  <c r="O39" i="107"/>
  <c r="K39" i="107"/>
  <c r="G39" i="107"/>
  <c r="V38" i="107"/>
  <c r="U38" i="107"/>
  <c r="O38" i="107"/>
  <c r="N38" i="107"/>
  <c r="Q38" i="107" s="1"/>
  <c r="M38" i="107"/>
  <c r="AB38" i="107" s="1"/>
  <c r="K38" i="107"/>
  <c r="G38" i="107"/>
  <c r="V37" i="107"/>
  <c r="U37" i="107"/>
  <c r="O37" i="107"/>
  <c r="N37" i="107"/>
  <c r="Q37" i="107" s="1"/>
  <c r="M37" i="107"/>
  <c r="AB37" i="107" s="1"/>
  <c r="K37" i="107"/>
  <c r="G37" i="107"/>
  <c r="X36" i="107"/>
  <c r="W36" i="107"/>
  <c r="V36" i="107"/>
  <c r="M36" i="107" s="1"/>
  <c r="O36" i="107"/>
  <c r="K36" i="107"/>
  <c r="G36" i="107"/>
  <c r="O35" i="107"/>
  <c r="K35" i="107"/>
  <c r="V34" i="107"/>
  <c r="M34" i="107" s="1"/>
  <c r="U34" i="107"/>
  <c r="O34" i="107"/>
  <c r="K34" i="107"/>
  <c r="G34" i="107"/>
  <c r="AB33" i="107"/>
  <c r="AA33" i="107"/>
  <c r="X33" i="107"/>
  <c r="W33" i="107"/>
  <c r="V33" i="107"/>
  <c r="U33" i="107"/>
  <c r="O33" i="107"/>
  <c r="M33" i="107"/>
  <c r="N33" i="107" s="1"/>
  <c r="K33" i="107"/>
  <c r="G33" i="107"/>
  <c r="V32" i="107"/>
  <c r="M32" i="107" s="1"/>
  <c r="U32" i="107"/>
  <c r="O32" i="107"/>
  <c r="K32" i="107"/>
  <c r="G32" i="107"/>
  <c r="AB31" i="107"/>
  <c r="AA31" i="107"/>
  <c r="V31" i="107"/>
  <c r="U31" i="107"/>
  <c r="O31" i="107"/>
  <c r="M31" i="107"/>
  <c r="N31" i="107" s="1"/>
  <c r="K31" i="107"/>
  <c r="G31" i="107"/>
  <c r="V30" i="107"/>
  <c r="M30" i="107" s="1"/>
  <c r="U30" i="107"/>
  <c r="O30" i="107"/>
  <c r="K30" i="107"/>
  <c r="G30" i="107"/>
  <c r="V29" i="107"/>
  <c r="M29" i="107" s="1"/>
  <c r="U29" i="107"/>
  <c r="O29" i="107"/>
  <c r="K29" i="107"/>
  <c r="G29" i="107"/>
  <c r="AB28" i="107"/>
  <c r="AA28" i="107"/>
  <c r="X28" i="107"/>
  <c r="W28" i="107"/>
  <c r="V28" i="107"/>
  <c r="O28" i="107"/>
  <c r="M28" i="107"/>
  <c r="N28" i="107" s="1"/>
  <c r="K28" i="107"/>
  <c r="G28" i="107"/>
  <c r="O27" i="107"/>
  <c r="K27" i="107"/>
  <c r="V26" i="107"/>
  <c r="U26" i="107"/>
  <c r="O26" i="107"/>
  <c r="M26" i="107"/>
  <c r="AB26" i="107" s="1"/>
  <c r="K26" i="107"/>
  <c r="G26" i="107"/>
  <c r="V25" i="107"/>
  <c r="M25" i="107" s="1"/>
  <c r="U25" i="107"/>
  <c r="O25" i="107"/>
  <c r="K25" i="107"/>
  <c r="G25" i="107"/>
  <c r="V24" i="107"/>
  <c r="U24" i="107"/>
  <c r="O24" i="107"/>
  <c r="N24" i="107"/>
  <c r="Q24" i="107" s="1"/>
  <c r="M24" i="107"/>
  <c r="AB24" i="107" s="1"/>
  <c r="K24" i="107"/>
  <c r="G24" i="107"/>
  <c r="V23" i="107"/>
  <c r="U23" i="107"/>
  <c r="O23" i="107"/>
  <c r="N23" i="107"/>
  <c r="Q23" i="107" s="1"/>
  <c r="M23" i="107"/>
  <c r="AB23" i="107" s="1"/>
  <c r="K23" i="107"/>
  <c r="G23" i="107"/>
  <c r="AB22" i="107"/>
  <c r="V22" i="107"/>
  <c r="U22" i="107"/>
  <c r="O22" i="107"/>
  <c r="M22" i="107"/>
  <c r="AA22" i="107" s="1"/>
  <c r="K22" i="107"/>
  <c r="G22" i="107"/>
  <c r="AA21" i="107"/>
  <c r="V21" i="107"/>
  <c r="U21" i="107"/>
  <c r="O21" i="107"/>
  <c r="M21" i="107"/>
  <c r="N21" i="107" s="1"/>
  <c r="K21" i="107"/>
  <c r="G21" i="107"/>
  <c r="V20" i="107"/>
  <c r="M20" i="107" s="1"/>
  <c r="U20" i="107"/>
  <c r="O20" i="107"/>
  <c r="K20" i="107"/>
  <c r="G20" i="107"/>
  <c r="V19" i="107"/>
  <c r="M19" i="107" s="1"/>
  <c r="O19" i="107"/>
  <c r="K19" i="107"/>
  <c r="G19" i="107"/>
  <c r="O18" i="107"/>
  <c r="K18" i="107"/>
  <c r="V17" i="107"/>
  <c r="M17" i="107" s="1"/>
  <c r="U17" i="107"/>
  <c r="O17" i="107"/>
  <c r="K17" i="107"/>
  <c r="G17" i="107"/>
  <c r="V16" i="107"/>
  <c r="U16" i="107"/>
  <c r="O16" i="107"/>
  <c r="M16" i="107"/>
  <c r="AB16" i="107" s="1"/>
  <c r="K16" i="107"/>
  <c r="G16" i="107"/>
  <c r="V15" i="107"/>
  <c r="M15" i="107" s="1"/>
  <c r="U15" i="107"/>
  <c r="O15" i="107"/>
  <c r="K15" i="107"/>
  <c r="G15" i="107"/>
  <c r="V14" i="107"/>
  <c r="U14" i="107"/>
  <c r="O14" i="107"/>
  <c r="N14" i="107"/>
  <c r="Q14" i="107" s="1"/>
  <c r="M14" i="107"/>
  <c r="AB14" i="107" s="1"/>
  <c r="K14" i="107"/>
  <c r="G14" i="107"/>
  <c r="V13" i="107"/>
  <c r="U13" i="107"/>
  <c r="O13" i="107"/>
  <c r="N13" i="107"/>
  <c r="Q13" i="107" s="1"/>
  <c r="M13" i="107"/>
  <c r="AB13" i="107" s="1"/>
  <c r="K13" i="107"/>
  <c r="G13" i="107"/>
  <c r="X12" i="107"/>
  <c r="W12" i="107"/>
  <c r="V12" i="107"/>
  <c r="M12" i="107" s="1"/>
  <c r="O12" i="107"/>
  <c r="K12" i="107"/>
  <c r="G12" i="107"/>
  <c r="O11" i="107"/>
  <c r="K11" i="107"/>
  <c r="V10" i="107"/>
  <c r="M10" i="107" s="1"/>
  <c r="U10" i="107"/>
  <c r="O10" i="107"/>
  <c r="K10" i="107"/>
  <c r="G10" i="107"/>
  <c r="V9" i="107"/>
  <c r="M9" i="107" s="1"/>
  <c r="O9" i="107"/>
  <c r="K9" i="107"/>
  <c r="G9" i="107"/>
  <c r="F1" i="107" s="1"/>
  <c r="O8" i="107"/>
  <c r="K8" i="107"/>
  <c r="V7" i="107"/>
  <c r="M7" i="107" s="1"/>
  <c r="U7" i="107"/>
  <c r="O7" i="107"/>
  <c r="K7" i="107"/>
  <c r="G7" i="107"/>
  <c r="V6" i="107"/>
  <c r="U6" i="107"/>
  <c r="O6" i="107"/>
  <c r="M6" i="107"/>
  <c r="AB6" i="107" s="1"/>
  <c r="K6" i="107"/>
  <c r="G6" i="107"/>
  <c r="V5" i="107"/>
  <c r="O5" i="107"/>
  <c r="M5" i="107"/>
  <c r="M8" i="107" s="1"/>
  <c r="K5" i="107"/>
  <c r="G5" i="107"/>
  <c r="H2" i="107"/>
  <c r="H1" i="107"/>
  <c r="D1" i="107"/>
  <c r="M18" i="106"/>
  <c r="L18" i="106"/>
  <c r="K18" i="106"/>
  <c r="J18" i="106"/>
  <c r="I18" i="106"/>
  <c r="H18" i="106"/>
  <c r="G18" i="106"/>
  <c r="F18" i="106"/>
  <c r="E18" i="106"/>
  <c r="D18" i="106"/>
  <c r="M17" i="106"/>
  <c r="L17" i="106"/>
  <c r="K17" i="106"/>
  <c r="J17" i="106"/>
  <c r="I17" i="106"/>
  <c r="H17" i="106"/>
  <c r="G17" i="106"/>
  <c r="F17" i="106"/>
  <c r="E17" i="106"/>
  <c r="D17" i="106"/>
  <c r="M16" i="106"/>
  <c r="L16" i="106"/>
  <c r="K16" i="106"/>
  <c r="J16" i="106"/>
  <c r="I16" i="106"/>
  <c r="H16" i="106"/>
  <c r="G16" i="106"/>
  <c r="F16" i="106"/>
  <c r="E16" i="106"/>
  <c r="D16" i="106"/>
  <c r="M13" i="106"/>
  <c r="L13" i="106"/>
  <c r="K13" i="106"/>
  <c r="I6" i="106" s="1"/>
  <c r="J13" i="106"/>
  <c r="I13" i="106"/>
  <c r="H13" i="106"/>
  <c r="G13" i="106"/>
  <c r="F13" i="106"/>
  <c r="E13" i="106"/>
  <c r="D13" i="106"/>
  <c r="F6" i="106" s="1"/>
  <c r="F3" i="106"/>
  <c r="C3" i="106"/>
  <c r="E8" i="114" l="1"/>
  <c r="F8" i="114"/>
  <c r="G8" i="114"/>
  <c r="K15" i="112"/>
  <c r="I8" i="112" s="1"/>
  <c r="I7" i="112"/>
  <c r="G7" i="112"/>
  <c r="F7" i="112"/>
  <c r="E7" i="112"/>
  <c r="D15" i="112"/>
  <c r="I14" i="110"/>
  <c r="I15" i="110" s="1"/>
  <c r="Q63" i="111"/>
  <c r="R58" i="111" s="1"/>
  <c r="P63" i="111"/>
  <c r="G14" i="110"/>
  <c r="G15" i="110" s="1"/>
  <c r="Q28" i="111"/>
  <c r="R19" i="111" s="1"/>
  <c r="P28" i="111"/>
  <c r="L14" i="110"/>
  <c r="L15" i="110" s="1"/>
  <c r="Q47" i="111"/>
  <c r="R39" i="111" s="1"/>
  <c r="P47" i="111"/>
  <c r="Q12" i="111"/>
  <c r="R10" i="111" s="1"/>
  <c r="P12" i="111"/>
  <c r="E14" i="110"/>
  <c r="E15" i="110" s="1"/>
  <c r="K14" i="110"/>
  <c r="P38" i="111"/>
  <c r="Q38" i="111"/>
  <c r="R29" i="111" s="1"/>
  <c r="D14" i="110"/>
  <c r="D2" i="111"/>
  <c r="Q9" i="111"/>
  <c r="R5" i="111" s="1"/>
  <c r="P9" i="111"/>
  <c r="Q68" i="111"/>
  <c r="R64" i="111" s="1"/>
  <c r="J14" i="110"/>
  <c r="J15" i="110" s="1"/>
  <c r="P68" i="111"/>
  <c r="Q18" i="111"/>
  <c r="R13" i="111" s="1"/>
  <c r="P18" i="111"/>
  <c r="F14" i="110"/>
  <c r="F15" i="110" s="1"/>
  <c r="P77" i="111"/>
  <c r="M14" i="110"/>
  <c r="M15" i="110" s="1"/>
  <c r="Q77" i="111"/>
  <c r="R69" i="111" s="1"/>
  <c r="Q57" i="111"/>
  <c r="R48" i="111" s="1"/>
  <c r="P57" i="111"/>
  <c r="H14" i="110"/>
  <c r="H15" i="110" s="1"/>
  <c r="Q46" i="109"/>
  <c r="P46" i="109"/>
  <c r="Q28" i="109"/>
  <c r="P28" i="109"/>
  <c r="AB48" i="109"/>
  <c r="AC41" i="109" s="1"/>
  <c r="AA48" i="109"/>
  <c r="N48" i="109"/>
  <c r="N59" i="109"/>
  <c r="Q59" i="109" s="1"/>
  <c r="R55" i="109" s="1"/>
  <c r="AB59" i="109"/>
  <c r="AC55" i="109" s="1"/>
  <c r="AA59" i="109"/>
  <c r="N17" i="109"/>
  <c r="AB17" i="109"/>
  <c r="AC12" i="109" s="1"/>
  <c r="AA17" i="109"/>
  <c r="P45" i="109"/>
  <c r="Q45" i="109"/>
  <c r="P18" i="109"/>
  <c r="Q18" i="109"/>
  <c r="Q14" i="109"/>
  <c r="P14" i="109"/>
  <c r="Q58" i="109"/>
  <c r="P58" i="109"/>
  <c r="P60" i="109"/>
  <c r="Q60" i="109"/>
  <c r="AB66" i="109"/>
  <c r="AC60" i="109" s="1"/>
  <c r="AA66" i="109"/>
  <c r="N66" i="109"/>
  <c r="J14" i="108"/>
  <c r="J15" i="108" s="1"/>
  <c r="Q43" i="109"/>
  <c r="P43" i="109"/>
  <c r="AB40" i="109"/>
  <c r="AC35" i="109" s="1"/>
  <c r="AA40" i="109"/>
  <c r="N40" i="109"/>
  <c r="Q35" i="109"/>
  <c r="P35" i="109"/>
  <c r="K14" i="108"/>
  <c r="Q34" i="109"/>
  <c r="R27" i="109" s="1"/>
  <c r="P34" i="109"/>
  <c r="Q25" i="109"/>
  <c r="P25" i="109"/>
  <c r="AB11" i="109"/>
  <c r="AC9" i="109" s="1"/>
  <c r="AA11" i="109"/>
  <c r="N11" i="109"/>
  <c r="P66" i="107"/>
  <c r="Q66" i="107"/>
  <c r="N54" i="107"/>
  <c r="AB54" i="107"/>
  <c r="AA54" i="107"/>
  <c r="N64" i="107"/>
  <c r="AB64" i="107"/>
  <c r="AA64" i="107"/>
  <c r="Q47" i="107"/>
  <c r="P47" i="107"/>
  <c r="N65" i="107"/>
  <c r="AB65" i="107"/>
  <c r="AA65" i="107"/>
  <c r="AB17" i="107"/>
  <c r="AA17" i="107"/>
  <c r="N17" i="107"/>
  <c r="N32" i="107"/>
  <c r="AB32" i="107"/>
  <c r="AA32" i="107"/>
  <c r="F2" i="107"/>
  <c r="I3" i="106"/>
  <c r="Q21" i="107"/>
  <c r="P21" i="107"/>
  <c r="Q31" i="107"/>
  <c r="P31" i="107"/>
  <c r="Q33" i="107"/>
  <c r="P33" i="107"/>
  <c r="AB12" i="107"/>
  <c r="AA12" i="107"/>
  <c r="M18" i="107"/>
  <c r="N12" i="107"/>
  <c r="N62" i="107"/>
  <c r="AB62" i="107"/>
  <c r="AA62" i="107"/>
  <c r="M68" i="107"/>
  <c r="M27" i="107"/>
  <c r="N19" i="107"/>
  <c r="AB19" i="107"/>
  <c r="AA19" i="107"/>
  <c r="N29" i="107"/>
  <c r="AB29" i="107"/>
  <c r="M35" i="107"/>
  <c r="AA29" i="107"/>
  <c r="AB39" i="107"/>
  <c r="AA39" i="107"/>
  <c r="N39" i="107"/>
  <c r="N46" i="107"/>
  <c r="AB46" i="107"/>
  <c r="AA46" i="107"/>
  <c r="N55" i="107"/>
  <c r="AB55" i="107"/>
  <c r="AA55" i="107"/>
  <c r="N44" i="107"/>
  <c r="AB44" i="107"/>
  <c r="AA44" i="107"/>
  <c r="N8" i="107"/>
  <c r="AB8" i="107"/>
  <c r="AC5" i="107" s="1"/>
  <c r="AA8" i="107"/>
  <c r="AB15" i="107"/>
  <c r="AA15" i="107"/>
  <c r="N15" i="107"/>
  <c r="N43" i="107"/>
  <c r="AB43" i="107"/>
  <c r="AA43" i="107"/>
  <c r="M50" i="107"/>
  <c r="N45" i="107"/>
  <c r="AB45" i="107"/>
  <c r="AA45" i="107"/>
  <c r="N34" i="107"/>
  <c r="AB34" i="107"/>
  <c r="AA34" i="107"/>
  <c r="N9" i="107"/>
  <c r="M11" i="107"/>
  <c r="AB9" i="107"/>
  <c r="AA9" i="107"/>
  <c r="Q28" i="107"/>
  <c r="P28" i="107"/>
  <c r="AB41" i="107"/>
  <c r="AA41" i="107"/>
  <c r="N41" i="107"/>
  <c r="N48" i="107"/>
  <c r="AB48" i="107"/>
  <c r="AA48" i="107"/>
  <c r="AB53" i="107"/>
  <c r="AA53" i="107"/>
  <c r="N53" i="107"/>
  <c r="N67" i="107"/>
  <c r="AB67" i="107"/>
  <c r="AA67" i="107"/>
  <c r="AB60" i="107"/>
  <c r="AA60" i="107"/>
  <c r="N60" i="107"/>
  <c r="M61" i="107"/>
  <c r="AB25" i="107"/>
  <c r="AA25" i="107"/>
  <c r="N25" i="107"/>
  <c r="M42" i="107"/>
  <c r="AB36" i="107"/>
  <c r="AA36" i="107"/>
  <c r="N36" i="107"/>
  <c r="N10" i="107"/>
  <c r="AB10" i="107"/>
  <c r="AA10" i="107"/>
  <c r="Q49" i="107"/>
  <c r="P49" i="107"/>
  <c r="AB7" i="107"/>
  <c r="AA7" i="107"/>
  <c r="N7" i="107"/>
  <c r="N20" i="107"/>
  <c r="AB20" i="107"/>
  <c r="AA20" i="107"/>
  <c r="N30" i="107"/>
  <c r="AB30" i="107"/>
  <c r="AA30" i="107"/>
  <c r="AB63" i="107"/>
  <c r="AA63" i="107"/>
  <c r="N63" i="107"/>
  <c r="N5" i="107"/>
  <c r="N6" i="107"/>
  <c r="N16" i="107"/>
  <c r="AB21" i="107"/>
  <c r="N26" i="107"/>
  <c r="N40" i="107"/>
  <c r="AB49" i="107"/>
  <c r="N51" i="107"/>
  <c r="N52" i="107"/>
  <c r="N59" i="107"/>
  <c r="AB66" i="107"/>
  <c r="P14" i="107"/>
  <c r="N22" i="107"/>
  <c r="P24" i="107"/>
  <c r="P38" i="107"/>
  <c r="G6" i="106"/>
  <c r="P13" i="107"/>
  <c r="P23" i="107"/>
  <c r="P37" i="107"/>
  <c r="E6" i="106"/>
  <c r="AA5" i="107"/>
  <c r="AA6" i="107"/>
  <c r="AA16" i="107"/>
  <c r="AA26" i="107"/>
  <c r="AA51" i="107"/>
  <c r="AA52" i="107"/>
  <c r="M56" i="107"/>
  <c r="P57" i="107"/>
  <c r="P58" i="107"/>
  <c r="AB5" i="107"/>
  <c r="AA14" i="107"/>
  <c r="AA24" i="107"/>
  <c r="AA38" i="107"/>
  <c r="AA40" i="107"/>
  <c r="AA13" i="107"/>
  <c r="AA23" i="107"/>
  <c r="AA37" i="107"/>
  <c r="AA59" i="107"/>
  <c r="O76" i="105"/>
  <c r="K76" i="105"/>
  <c r="V75" i="105"/>
  <c r="M75" i="105" s="1"/>
  <c r="U75" i="105"/>
  <c r="O75" i="105"/>
  <c r="K75" i="105"/>
  <c r="G75" i="105"/>
  <c r="V74" i="105"/>
  <c r="M74" i="105" s="1"/>
  <c r="U74" i="105"/>
  <c r="O74" i="105"/>
  <c r="K74" i="105"/>
  <c r="G74" i="105"/>
  <c r="X73" i="105"/>
  <c r="W73" i="105"/>
  <c r="V73" i="105"/>
  <c r="M73" i="105" s="1"/>
  <c r="U73" i="105"/>
  <c r="O73" i="105"/>
  <c r="K73" i="105"/>
  <c r="G73" i="105"/>
  <c r="V72" i="105"/>
  <c r="M72" i="105" s="1"/>
  <c r="U72" i="105"/>
  <c r="O72" i="105"/>
  <c r="K72" i="105"/>
  <c r="G72" i="105"/>
  <c r="V71" i="105"/>
  <c r="M71" i="105" s="1"/>
  <c r="U71" i="105"/>
  <c r="O71" i="105"/>
  <c r="K71" i="105"/>
  <c r="G71" i="105"/>
  <c r="V70" i="105"/>
  <c r="M70" i="105" s="1"/>
  <c r="U70" i="105"/>
  <c r="O70" i="105"/>
  <c r="K70" i="105"/>
  <c r="G70" i="105"/>
  <c r="V69" i="105"/>
  <c r="M69" i="105" s="1"/>
  <c r="U69" i="105"/>
  <c r="O69" i="105"/>
  <c r="K69" i="105"/>
  <c r="G69" i="105"/>
  <c r="X68" i="105"/>
  <c r="W68" i="105"/>
  <c r="V68" i="105"/>
  <c r="M68" i="105" s="1"/>
  <c r="O68" i="105"/>
  <c r="K68" i="105"/>
  <c r="G68" i="105"/>
  <c r="O67" i="105"/>
  <c r="M67" i="105"/>
  <c r="AB67" i="105" s="1"/>
  <c r="AC63" i="105" s="1"/>
  <c r="K67" i="105"/>
  <c r="V66" i="105"/>
  <c r="U66" i="105"/>
  <c r="O66" i="105"/>
  <c r="M66" i="105"/>
  <c r="AB66" i="105" s="1"/>
  <c r="K66" i="105"/>
  <c r="G66" i="105"/>
  <c r="V65" i="105"/>
  <c r="U65" i="105"/>
  <c r="O65" i="105"/>
  <c r="M65" i="105"/>
  <c r="AB65" i="105" s="1"/>
  <c r="K65" i="105"/>
  <c r="G65" i="105"/>
  <c r="AB64" i="105"/>
  <c r="V64" i="105"/>
  <c r="U64" i="105"/>
  <c r="O64" i="105"/>
  <c r="M64" i="105"/>
  <c r="AA64" i="105" s="1"/>
  <c r="K64" i="105"/>
  <c r="G64" i="105"/>
  <c r="AB63" i="105"/>
  <c r="V63" i="105"/>
  <c r="O63" i="105"/>
  <c r="M63" i="105"/>
  <c r="AA63" i="105" s="1"/>
  <c r="K63" i="105"/>
  <c r="G63" i="105"/>
  <c r="O62" i="105"/>
  <c r="K62" i="105"/>
  <c r="V61" i="105"/>
  <c r="M61" i="105" s="1"/>
  <c r="U61" i="105"/>
  <c r="O61" i="105"/>
  <c r="K61" i="105"/>
  <c r="G61" i="105"/>
  <c r="V60" i="105"/>
  <c r="M60" i="105" s="1"/>
  <c r="U60" i="105"/>
  <c r="O60" i="105"/>
  <c r="K60" i="105"/>
  <c r="G60" i="105"/>
  <c r="V59" i="105"/>
  <c r="M59" i="105" s="1"/>
  <c r="U59" i="105"/>
  <c r="O59" i="105"/>
  <c r="K59" i="105"/>
  <c r="G59" i="105"/>
  <c r="V58" i="105"/>
  <c r="U58" i="105"/>
  <c r="O58" i="105"/>
  <c r="M58" i="105"/>
  <c r="AB58" i="105" s="1"/>
  <c r="K58" i="105"/>
  <c r="G58" i="105"/>
  <c r="V57" i="105"/>
  <c r="O57" i="105"/>
  <c r="M57" i="105"/>
  <c r="AB57" i="105" s="1"/>
  <c r="K57" i="105"/>
  <c r="G57" i="105"/>
  <c r="O56" i="105"/>
  <c r="K56" i="105"/>
  <c r="AA55" i="105"/>
  <c r="V55" i="105"/>
  <c r="U55" i="105"/>
  <c r="O55" i="105"/>
  <c r="M55" i="105"/>
  <c r="N55" i="105" s="1"/>
  <c r="K55" i="105"/>
  <c r="G55" i="105"/>
  <c r="V54" i="105"/>
  <c r="M54" i="105" s="1"/>
  <c r="U54" i="105"/>
  <c r="O54" i="105"/>
  <c r="K54" i="105"/>
  <c r="G54" i="105"/>
  <c r="AB53" i="105"/>
  <c r="AA53" i="105"/>
  <c r="X53" i="105"/>
  <c r="W53" i="105"/>
  <c r="V53" i="105"/>
  <c r="U53" i="105"/>
  <c r="O53" i="105"/>
  <c r="M53" i="105"/>
  <c r="N53" i="105" s="1"/>
  <c r="K53" i="105"/>
  <c r="G53" i="105"/>
  <c r="V52" i="105"/>
  <c r="M52" i="105" s="1"/>
  <c r="U52" i="105"/>
  <c r="O52" i="105"/>
  <c r="K52" i="105"/>
  <c r="G52" i="105"/>
  <c r="V51" i="105"/>
  <c r="M51" i="105" s="1"/>
  <c r="U51" i="105"/>
  <c r="O51" i="105"/>
  <c r="K51" i="105"/>
  <c r="G51" i="105"/>
  <c r="V50" i="105"/>
  <c r="M50" i="105" s="1"/>
  <c r="U50" i="105"/>
  <c r="O50" i="105"/>
  <c r="K50" i="105"/>
  <c r="G50" i="105"/>
  <c r="V49" i="105"/>
  <c r="M49" i="105" s="1"/>
  <c r="U49" i="105"/>
  <c r="O49" i="105"/>
  <c r="K49" i="105"/>
  <c r="G49" i="105"/>
  <c r="V48" i="105"/>
  <c r="M48" i="105" s="1"/>
  <c r="U48" i="105"/>
  <c r="O48" i="105"/>
  <c r="K48" i="105"/>
  <c r="G48" i="105"/>
  <c r="X47" i="105"/>
  <c r="W47" i="105"/>
  <c r="V47" i="105"/>
  <c r="M47" i="105" s="1"/>
  <c r="O47" i="105"/>
  <c r="K47" i="105"/>
  <c r="G47" i="105"/>
  <c r="O46" i="105"/>
  <c r="K46" i="105"/>
  <c r="V45" i="105"/>
  <c r="U45" i="105"/>
  <c r="O45" i="105"/>
  <c r="N45" i="105"/>
  <c r="Q45" i="105" s="1"/>
  <c r="M45" i="105"/>
  <c r="AB45" i="105" s="1"/>
  <c r="K45" i="105"/>
  <c r="G45" i="105"/>
  <c r="V44" i="105"/>
  <c r="U44" i="105"/>
  <c r="O44" i="105"/>
  <c r="M44" i="105"/>
  <c r="AB44" i="105" s="1"/>
  <c r="K44" i="105"/>
  <c r="G44" i="105"/>
  <c r="V43" i="105"/>
  <c r="U43" i="105"/>
  <c r="O43" i="105"/>
  <c r="N43" i="105"/>
  <c r="Q43" i="105" s="1"/>
  <c r="M43" i="105"/>
  <c r="AB43" i="105" s="1"/>
  <c r="K43" i="105"/>
  <c r="G43" i="105"/>
  <c r="AB42" i="105"/>
  <c r="X42" i="105"/>
  <c r="W42" i="105"/>
  <c r="V42" i="105"/>
  <c r="U42" i="105"/>
  <c r="O42" i="105"/>
  <c r="M42" i="105"/>
  <c r="AA42" i="105" s="1"/>
  <c r="K42" i="105"/>
  <c r="G42" i="105"/>
  <c r="V41" i="105"/>
  <c r="U41" i="105"/>
  <c r="O41" i="105"/>
  <c r="N41" i="105"/>
  <c r="Q41" i="105" s="1"/>
  <c r="M41" i="105"/>
  <c r="AB41" i="105" s="1"/>
  <c r="K41" i="105"/>
  <c r="G41" i="105"/>
  <c r="AB40" i="105"/>
  <c r="V40" i="105"/>
  <c r="U40" i="105"/>
  <c r="O40" i="105"/>
  <c r="M40" i="105"/>
  <c r="AA40" i="105" s="1"/>
  <c r="K40" i="105"/>
  <c r="G40" i="105"/>
  <c r="AA39" i="105"/>
  <c r="V39" i="105"/>
  <c r="U39" i="105"/>
  <c r="O39" i="105"/>
  <c r="M39" i="105"/>
  <c r="N39" i="105" s="1"/>
  <c r="K39" i="105"/>
  <c r="G39" i="105"/>
  <c r="AA38" i="105"/>
  <c r="X38" i="105"/>
  <c r="W38" i="105"/>
  <c r="V38" i="105"/>
  <c r="O38" i="105"/>
  <c r="N38" i="105"/>
  <c r="Q38" i="105" s="1"/>
  <c r="M38" i="105"/>
  <c r="M46" i="105" s="1"/>
  <c r="K38" i="105"/>
  <c r="G38" i="105"/>
  <c r="O37" i="105"/>
  <c r="K37" i="105"/>
  <c r="V36" i="105"/>
  <c r="M36" i="105" s="1"/>
  <c r="U36" i="105"/>
  <c r="O36" i="105"/>
  <c r="K36" i="105"/>
  <c r="G36" i="105"/>
  <c r="V35" i="105"/>
  <c r="M35" i="105" s="1"/>
  <c r="U35" i="105"/>
  <c r="O35" i="105"/>
  <c r="K35" i="105"/>
  <c r="G35" i="105"/>
  <c r="V34" i="105"/>
  <c r="M34" i="105" s="1"/>
  <c r="U34" i="105"/>
  <c r="O34" i="105"/>
  <c r="K34" i="105"/>
  <c r="G34" i="105"/>
  <c r="X33" i="105"/>
  <c r="W33" i="105"/>
  <c r="V33" i="105"/>
  <c r="M33" i="105" s="1"/>
  <c r="U33" i="105"/>
  <c r="O33" i="105"/>
  <c r="K33" i="105"/>
  <c r="G33" i="105"/>
  <c r="V32" i="105"/>
  <c r="M32" i="105" s="1"/>
  <c r="U32" i="105"/>
  <c r="O32" i="105"/>
  <c r="K32" i="105"/>
  <c r="G32" i="105"/>
  <c r="V31" i="105"/>
  <c r="M31" i="105" s="1"/>
  <c r="U31" i="105"/>
  <c r="O31" i="105"/>
  <c r="K31" i="105"/>
  <c r="G31" i="105"/>
  <c r="V30" i="105"/>
  <c r="U30" i="105"/>
  <c r="O30" i="105"/>
  <c r="M30" i="105"/>
  <c r="AB30" i="105" s="1"/>
  <c r="K30" i="105"/>
  <c r="G30" i="105"/>
  <c r="V29" i="105"/>
  <c r="U29" i="105"/>
  <c r="O29" i="105"/>
  <c r="N29" i="105"/>
  <c r="Q29" i="105" s="1"/>
  <c r="M29" i="105"/>
  <c r="AB29" i="105" s="1"/>
  <c r="K29" i="105"/>
  <c r="G29" i="105"/>
  <c r="X28" i="105"/>
  <c r="W28" i="105"/>
  <c r="V28" i="105"/>
  <c r="M28" i="105" s="1"/>
  <c r="O28" i="105"/>
  <c r="K28" i="105"/>
  <c r="G28" i="105"/>
  <c r="O27" i="105"/>
  <c r="K27" i="105"/>
  <c r="AB26" i="105"/>
  <c r="V26" i="105"/>
  <c r="U26" i="105"/>
  <c r="O26" i="105"/>
  <c r="M26" i="105"/>
  <c r="AA26" i="105" s="1"/>
  <c r="K26" i="105"/>
  <c r="G26" i="105"/>
  <c r="AA25" i="105"/>
  <c r="V25" i="105"/>
  <c r="U25" i="105"/>
  <c r="O25" i="105"/>
  <c r="M25" i="105"/>
  <c r="N25" i="105" s="1"/>
  <c r="K25" i="105"/>
  <c r="G25" i="105"/>
  <c r="V24" i="105"/>
  <c r="M24" i="105" s="1"/>
  <c r="U24" i="105"/>
  <c r="O24" i="105"/>
  <c r="K24" i="105"/>
  <c r="G24" i="105"/>
  <c r="V23" i="105"/>
  <c r="M23" i="105" s="1"/>
  <c r="U23" i="105"/>
  <c r="O23" i="105"/>
  <c r="K23" i="105"/>
  <c r="G23" i="105"/>
  <c r="V22" i="105"/>
  <c r="M22" i="105" s="1"/>
  <c r="U22" i="105"/>
  <c r="O22" i="105"/>
  <c r="K22" i="105"/>
  <c r="G22" i="105"/>
  <c r="V21" i="105"/>
  <c r="M21" i="105" s="1"/>
  <c r="U21" i="105"/>
  <c r="O21" i="105"/>
  <c r="K21" i="105"/>
  <c r="G21" i="105"/>
  <c r="V20" i="105"/>
  <c r="M20" i="105" s="1"/>
  <c r="U20" i="105"/>
  <c r="O20" i="105"/>
  <c r="K20" i="105"/>
  <c r="G20" i="105"/>
  <c r="V19" i="105"/>
  <c r="M19" i="105" s="1"/>
  <c r="O19" i="105"/>
  <c r="K19" i="105"/>
  <c r="G19" i="105"/>
  <c r="O18" i="105"/>
  <c r="K18" i="105"/>
  <c r="F13" i="104" s="1"/>
  <c r="V17" i="105"/>
  <c r="U17" i="105"/>
  <c r="O17" i="105"/>
  <c r="N17" i="105"/>
  <c r="Q17" i="105" s="1"/>
  <c r="M17" i="105"/>
  <c r="AB17" i="105" s="1"/>
  <c r="K17" i="105"/>
  <c r="G17" i="105"/>
  <c r="AB16" i="105"/>
  <c r="V16" i="105"/>
  <c r="U16" i="105"/>
  <c r="O16" i="105"/>
  <c r="M16" i="105"/>
  <c r="AA16" i="105" s="1"/>
  <c r="K16" i="105"/>
  <c r="G16" i="105"/>
  <c r="V15" i="105"/>
  <c r="M15" i="105" s="1"/>
  <c r="U15" i="105"/>
  <c r="O15" i="105"/>
  <c r="K15" i="105"/>
  <c r="G15" i="105"/>
  <c r="V14" i="105"/>
  <c r="M14" i="105" s="1"/>
  <c r="U14" i="105"/>
  <c r="O14" i="105"/>
  <c r="K14" i="105"/>
  <c r="G14" i="105"/>
  <c r="AB13" i="105"/>
  <c r="X13" i="105"/>
  <c r="W13" i="105"/>
  <c r="V13" i="105"/>
  <c r="O13" i="105"/>
  <c r="M13" i="105"/>
  <c r="N13" i="105" s="1"/>
  <c r="K13" i="105"/>
  <c r="G13" i="105"/>
  <c r="O12" i="105"/>
  <c r="K12" i="105"/>
  <c r="V11" i="105"/>
  <c r="U11" i="105"/>
  <c r="O11" i="105"/>
  <c r="M11" i="105"/>
  <c r="N11" i="105" s="1"/>
  <c r="K11" i="105"/>
  <c r="G11" i="105"/>
  <c r="V10" i="105"/>
  <c r="O10" i="105"/>
  <c r="M10" i="105"/>
  <c r="N10" i="105" s="1"/>
  <c r="K10" i="105"/>
  <c r="G10" i="105"/>
  <c r="O9" i="105"/>
  <c r="K9" i="105"/>
  <c r="V8" i="105"/>
  <c r="U8" i="105"/>
  <c r="O8" i="105"/>
  <c r="M8" i="105"/>
  <c r="AB8" i="105" s="1"/>
  <c r="K8" i="105"/>
  <c r="G8" i="105"/>
  <c r="X7" i="105"/>
  <c r="W7" i="105"/>
  <c r="V7" i="105"/>
  <c r="M7" i="105" s="1"/>
  <c r="U7" i="105"/>
  <c r="O7" i="105"/>
  <c r="K7" i="105"/>
  <c r="G7" i="105"/>
  <c r="V6" i="105"/>
  <c r="U6" i="105"/>
  <c r="O6" i="105"/>
  <c r="M6" i="105"/>
  <c r="AB6" i="105" s="1"/>
  <c r="K6" i="105"/>
  <c r="G6" i="105"/>
  <c r="V5" i="105"/>
  <c r="O5" i="105"/>
  <c r="M5" i="105"/>
  <c r="AB5" i="105" s="1"/>
  <c r="K5" i="105"/>
  <c r="G5" i="105"/>
  <c r="F1" i="105" s="1"/>
  <c r="H2" i="105"/>
  <c r="H1" i="105"/>
  <c r="D1" i="105"/>
  <c r="M18" i="104"/>
  <c r="L18" i="104"/>
  <c r="K18" i="104"/>
  <c r="J18" i="104"/>
  <c r="I18" i="104"/>
  <c r="H18" i="104"/>
  <c r="G18" i="104"/>
  <c r="F18" i="104"/>
  <c r="E18" i="104"/>
  <c r="D18" i="104"/>
  <c r="M17" i="104"/>
  <c r="L17" i="104"/>
  <c r="K17" i="104"/>
  <c r="J17" i="104"/>
  <c r="I17" i="104"/>
  <c r="H17" i="104"/>
  <c r="G17" i="104"/>
  <c r="F17" i="104"/>
  <c r="E17" i="104"/>
  <c r="D17" i="104"/>
  <c r="M16" i="104"/>
  <c r="L16" i="104"/>
  <c r="K16" i="104"/>
  <c r="J16" i="104"/>
  <c r="I16" i="104"/>
  <c r="H16" i="104"/>
  <c r="G16" i="104"/>
  <c r="F16" i="104"/>
  <c r="E16" i="104"/>
  <c r="D16" i="104"/>
  <c r="M13" i="104"/>
  <c r="L13" i="104"/>
  <c r="K13" i="104"/>
  <c r="I6" i="104" s="1"/>
  <c r="J13" i="104"/>
  <c r="I13" i="104"/>
  <c r="H13" i="104"/>
  <c r="G13" i="104"/>
  <c r="E13" i="104"/>
  <c r="D13" i="104"/>
  <c r="F3" i="104"/>
  <c r="C3" i="104"/>
  <c r="G8" i="112" l="1"/>
  <c r="F8" i="112"/>
  <c r="E8" i="112"/>
  <c r="D15" i="110"/>
  <c r="G7" i="110"/>
  <c r="F7" i="110"/>
  <c r="E7" i="110"/>
  <c r="I7" i="110"/>
  <c r="K15" i="110"/>
  <c r="I8" i="110" s="1"/>
  <c r="F14" i="108"/>
  <c r="F15" i="108" s="1"/>
  <c r="Q17" i="109"/>
  <c r="R12" i="109" s="1"/>
  <c r="P17" i="109"/>
  <c r="P59" i="109"/>
  <c r="H14" i="108"/>
  <c r="H15" i="108" s="1"/>
  <c r="Q48" i="109"/>
  <c r="R41" i="109" s="1"/>
  <c r="P48" i="109"/>
  <c r="D2" i="109"/>
  <c r="P11" i="109"/>
  <c r="Q11" i="109"/>
  <c r="R9" i="109" s="1"/>
  <c r="E14" i="108"/>
  <c r="K15" i="108"/>
  <c r="L14" i="108"/>
  <c r="L15" i="108" s="1"/>
  <c r="Q40" i="109"/>
  <c r="R35" i="109" s="1"/>
  <c r="P40" i="109"/>
  <c r="M14" i="108"/>
  <c r="M15" i="108" s="1"/>
  <c r="P66" i="109"/>
  <c r="Q66" i="109"/>
  <c r="R60" i="109" s="1"/>
  <c r="Q6" i="107"/>
  <c r="P6" i="107"/>
  <c r="P46" i="107"/>
  <c r="Q46" i="107"/>
  <c r="AB68" i="107"/>
  <c r="AC62" i="107" s="1"/>
  <c r="AA68" i="107"/>
  <c r="N68" i="107"/>
  <c r="Q65" i="107"/>
  <c r="P65" i="107"/>
  <c r="Q22" i="107"/>
  <c r="P22" i="107"/>
  <c r="Q5" i="107"/>
  <c r="P5" i="107"/>
  <c r="Q39" i="107"/>
  <c r="P39" i="107"/>
  <c r="Q63" i="107"/>
  <c r="P63" i="107"/>
  <c r="AB61" i="107"/>
  <c r="AC57" i="107" s="1"/>
  <c r="AA61" i="107"/>
  <c r="N61" i="107"/>
  <c r="Q48" i="107"/>
  <c r="P48" i="107"/>
  <c r="Q34" i="107"/>
  <c r="P34" i="107"/>
  <c r="N27" i="107"/>
  <c r="AB27" i="107"/>
  <c r="AC19" i="107" s="1"/>
  <c r="AA27" i="107"/>
  <c r="Q60" i="107"/>
  <c r="P60" i="107"/>
  <c r="Q41" i="107"/>
  <c r="P41" i="107"/>
  <c r="D14" i="106"/>
  <c r="Q8" i="107"/>
  <c r="R5" i="107" s="1"/>
  <c r="P8" i="107"/>
  <c r="Q62" i="107"/>
  <c r="P62" i="107"/>
  <c r="Q59" i="107"/>
  <c r="P59" i="107"/>
  <c r="Q12" i="107"/>
  <c r="P12" i="107"/>
  <c r="Q52" i="107"/>
  <c r="P52" i="107"/>
  <c r="Q45" i="107"/>
  <c r="P45" i="107"/>
  <c r="AB35" i="107"/>
  <c r="AC28" i="107" s="1"/>
  <c r="AA35" i="107"/>
  <c r="N35" i="107"/>
  <c r="N18" i="107"/>
  <c r="AB18" i="107"/>
  <c r="AC12" i="107" s="1"/>
  <c r="AA18" i="107"/>
  <c r="Q64" i="107"/>
  <c r="P64" i="107"/>
  <c r="Q9" i="107"/>
  <c r="P9" i="107"/>
  <c r="Q51" i="107"/>
  <c r="P51" i="107"/>
  <c r="Q10" i="107"/>
  <c r="P10" i="107"/>
  <c r="AB50" i="107"/>
  <c r="AC43" i="107" s="1"/>
  <c r="AA50" i="107"/>
  <c r="N50" i="107"/>
  <c r="Q44" i="107"/>
  <c r="P44" i="107"/>
  <c r="Q32" i="107"/>
  <c r="P32" i="107"/>
  <c r="Q7" i="107"/>
  <c r="P7" i="107"/>
  <c r="P30" i="107"/>
  <c r="Q30" i="107"/>
  <c r="Q36" i="107"/>
  <c r="P36" i="107"/>
  <c r="Q29" i="107"/>
  <c r="P29" i="107"/>
  <c r="Q17" i="107"/>
  <c r="P17" i="107"/>
  <c r="Q25" i="107"/>
  <c r="P25" i="107"/>
  <c r="Q40" i="107"/>
  <c r="P40" i="107"/>
  <c r="Q67" i="107"/>
  <c r="P67" i="107"/>
  <c r="Q54" i="107"/>
  <c r="P54" i="107"/>
  <c r="N56" i="107"/>
  <c r="AB56" i="107"/>
  <c r="AC51" i="107" s="1"/>
  <c r="AA56" i="107"/>
  <c r="Q16" i="107"/>
  <c r="P16" i="107"/>
  <c r="Q26" i="107"/>
  <c r="P26" i="107"/>
  <c r="Q53" i="107"/>
  <c r="P53" i="107"/>
  <c r="P43" i="107"/>
  <c r="Q43" i="107"/>
  <c r="Q55" i="107"/>
  <c r="P55" i="107"/>
  <c r="Q20" i="107"/>
  <c r="P20" i="107"/>
  <c r="AB42" i="107"/>
  <c r="AC36" i="107" s="1"/>
  <c r="AA42" i="107"/>
  <c r="N42" i="107"/>
  <c r="AB11" i="107"/>
  <c r="AC9" i="107" s="1"/>
  <c r="AA11" i="107"/>
  <c r="N11" i="107"/>
  <c r="D2" i="107" s="1"/>
  <c r="Q15" i="107"/>
  <c r="P15" i="107"/>
  <c r="Q19" i="107"/>
  <c r="P19" i="107"/>
  <c r="AB7" i="105"/>
  <c r="AA7" i="105"/>
  <c r="M9" i="105"/>
  <c r="N7" i="105"/>
  <c r="N14" i="105"/>
  <c r="AB14" i="105"/>
  <c r="AA14" i="105"/>
  <c r="N71" i="105"/>
  <c r="AB71" i="105"/>
  <c r="AA71" i="105"/>
  <c r="P10" i="105"/>
  <c r="Q10" i="105"/>
  <c r="N19" i="105"/>
  <c r="AB19" i="105"/>
  <c r="AA19" i="105"/>
  <c r="M27" i="105"/>
  <c r="Q55" i="105"/>
  <c r="P55" i="105"/>
  <c r="Q13" i="105"/>
  <c r="P13" i="105"/>
  <c r="N24" i="105"/>
  <c r="AB24" i="105"/>
  <c r="AA24" i="105"/>
  <c r="N46" i="105"/>
  <c r="AB46" i="105"/>
  <c r="AC38" i="105" s="1"/>
  <c r="AA46" i="105"/>
  <c r="N51" i="105"/>
  <c r="AB51" i="105"/>
  <c r="AA51" i="105"/>
  <c r="N69" i="105"/>
  <c r="AB69" i="105"/>
  <c r="AA69" i="105"/>
  <c r="N60" i="105"/>
  <c r="AB60" i="105"/>
  <c r="AA60" i="105"/>
  <c r="AA15" i="105"/>
  <c r="N15" i="105"/>
  <c r="AB15" i="105"/>
  <c r="Q25" i="105"/>
  <c r="P25" i="105"/>
  <c r="N72" i="105"/>
  <c r="AB72" i="105"/>
  <c r="AA72" i="105"/>
  <c r="N74" i="105"/>
  <c r="AB74" i="105"/>
  <c r="AA74" i="105"/>
  <c r="N22" i="105"/>
  <c r="AB22" i="105"/>
  <c r="AA22" i="105"/>
  <c r="N33" i="105"/>
  <c r="AB33" i="105"/>
  <c r="AA33" i="105"/>
  <c r="N35" i="105"/>
  <c r="AB35" i="105"/>
  <c r="AA35" i="105"/>
  <c r="N47" i="105"/>
  <c r="AB47" i="105"/>
  <c r="AA47" i="105"/>
  <c r="M56" i="105"/>
  <c r="N49" i="105"/>
  <c r="AB49" i="105"/>
  <c r="AA49" i="105"/>
  <c r="P11" i="105"/>
  <c r="Q11" i="105"/>
  <c r="N20" i="105"/>
  <c r="AB20" i="105"/>
  <c r="AA20" i="105"/>
  <c r="N31" i="105"/>
  <c r="AB31" i="105"/>
  <c r="AA31" i="105"/>
  <c r="N52" i="105"/>
  <c r="AB52" i="105"/>
  <c r="AA52" i="105"/>
  <c r="N68" i="105"/>
  <c r="AB68" i="105"/>
  <c r="AA68" i="105"/>
  <c r="M76" i="105"/>
  <c r="N70" i="105"/>
  <c r="AB70" i="105"/>
  <c r="AA70" i="105"/>
  <c r="N75" i="105"/>
  <c r="AB75" i="105"/>
  <c r="AA75" i="105"/>
  <c r="G6" i="104"/>
  <c r="F2" i="105"/>
  <c r="I3" i="104"/>
  <c r="N23" i="105"/>
  <c r="AB23" i="105"/>
  <c r="AA23" i="105"/>
  <c r="N36" i="105"/>
  <c r="AB36" i="105"/>
  <c r="AA36" i="105"/>
  <c r="N50" i="105"/>
  <c r="AB50" i="105"/>
  <c r="AA50" i="105"/>
  <c r="N61" i="105"/>
  <c r="AB61" i="105"/>
  <c r="AA61" i="105"/>
  <c r="AB28" i="105"/>
  <c r="N28" i="105"/>
  <c r="AA28" i="105"/>
  <c r="M37" i="105"/>
  <c r="Q53" i="105"/>
  <c r="P53" i="105"/>
  <c r="N54" i="105"/>
  <c r="AB54" i="105"/>
  <c r="AA54" i="105"/>
  <c r="N73" i="105"/>
  <c r="AB73" i="105"/>
  <c r="AA73" i="105"/>
  <c r="N21" i="105"/>
  <c r="AB21" i="105"/>
  <c r="AA21" i="105"/>
  <c r="N32" i="105"/>
  <c r="AB32" i="105"/>
  <c r="AA32" i="105"/>
  <c r="N34" i="105"/>
  <c r="AB34" i="105"/>
  <c r="AA34" i="105"/>
  <c r="Q39" i="105"/>
  <c r="P39" i="105"/>
  <c r="N48" i="105"/>
  <c r="AB48" i="105"/>
  <c r="AA48" i="105"/>
  <c r="N59" i="105"/>
  <c r="AB59" i="105"/>
  <c r="AA59" i="105"/>
  <c r="AA13" i="105"/>
  <c r="M18" i="105"/>
  <c r="AB25" i="105"/>
  <c r="N30" i="105"/>
  <c r="AB38" i="105"/>
  <c r="AB39" i="105"/>
  <c r="AB55" i="105"/>
  <c r="N57" i="105"/>
  <c r="N58" i="105"/>
  <c r="N67" i="105"/>
  <c r="N5" i="105"/>
  <c r="N6" i="105"/>
  <c r="N8" i="105"/>
  <c r="N42" i="105"/>
  <c r="N44" i="105"/>
  <c r="N66" i="105"/>
  <c r="AA10" i="105"/>
  <c r="AA11" i="105"/>
  <c r="P29" i="105"/>
  <c r="P45" i="105"/>
  <c r="N65" i="105"/>
  <c r="AB10" i="105"/>
  <c r="AB11" i="105"/>
  <c r="N16" i="105"/>
  <c r="N26" i="105"/>
  <c r="N40" i="105"/>
  <c r="N63" i="105"/>
  <c r="N64" i="105"/>
  <c r="AA67" i="105"/>
  <c r="P17" i="105"/>
  <c r="P38" i="105"/>
  <c r="P41" i="105"/>
  <c r="P43" i="105"/>
  <c r="M12" i="105"/>
  <c r="AA30" i="105"/>
  <c r="AA57" i="105"/>
  <c r="AA58" i="105"/>
  <c r="M62" i="105"/>
  <c r="E6" i="104"/>
  <c r="F6" i="104"/>
  <c r="AA29" i="105"/>
  <c r="AA45" i="105"/>
  <c r="AA5" i="105"/>
  <c r="AA6" i="105"/>
  <c r="AA8" i="105"/>
  <c r="AA44" i="105"/>
  <c r="AA66" i="105"/>
  <c r="AA17" i="105"/>
  <c r="AA41" i="105"/>
  <c r="AA43" i="105"/>
  <c r="AA65" i="105"/>
  <c r="O80" i="103"/>
  <c r="K80" i="103"/>
  <c r="V79" i="103"/>
  <c r="U79" i="103"/>
  <c r="O79" i="103"/>
  <c r="M79" i="103"/>
  <c r="K79" i="103"/>
  <c r="G79" i="103"/>
  <c r="AB78" i="103"/>
  <c r="AA78" i="103"/>
  <c r="V78" i="103"/>
  <c r="U78" i="103"/>
  <c r="O78" i="103"/>
  <c r="N78" i="103"/>
  <c r="Q78" i="103" s="1"/>
  <c r="M78" i="103"/>
  <c r="K78" i="103"/>
  <c r="G78" i="103"/>
  <c r="X77" i="103"/>
  <c r="W77" i="103"/>
  <c r="V77" i="103"/>
  <c r="M77" i="103" s="1"/>
  <c r="U77" i="103"/>
  <c r="O77" i="103"/>
  <c r="N77" i="103"/>
  <c r="Q77" i="103" s="1"/>
  <c r="K77" i="103"/>
  <c r="G77" i="103"/>
  <c r="V76" i="103"/>
  <c r="U76" i="103"/>
  <c r="O76" i="103"/>
  <c r="M76" i="103"/>
  <c r="AB76" i="103" s="1"/>
  <c r="K76" i="103"/>
  <c r="G76" i="103"/>
  <c r="V75" i="103"/>
  <c r="M75" i="103" s="1"/>
  <c r="AA75" i="103" s="1"/>
  <c r="U75" i="103"/>
  <c r="O75" i="103"/>
  <c r="K75" i="103"/>
  <c r="G75" i="103"/>
  <c r="V74" i="103"/>
  <c r="U74" i="103"/>
  <c r="O74" i="103"/>
  <c r="M74" i="103"/>
  <c r="AB74" i="103" s="1"/>
  <c r="K74" i="103"/>
  <c r="G74" i="103"/>
  <c r="V73" i="103"/>
  <c r="M73" i="103" s="1"/>
  <c r="N73" i="103" s="1"/>
  <c r="U73" i="103"/>
  <c r="O73" i="103"/>
  <c r="K73" i="103"/>
  <c r="G73" i="103"/>
  <c r="X72" i="103"/>
  <c r="W72" i="103"/>
  <c r="V72" i="103"/>
  <c r="O72" i="103"/>
  <c r="M72" i="103"/>
  <c r="K72" i="103"/>
  <c r="G72" i="103"/>
  <c r="O71" i="103"/>
  <c r="K71" i="103"/>
  <c r="V70" i="103"/>
  <c r="U70" i="103"/>
  <c r="O70" i="103"/>
  <c r="M70" i="103"/>
  <c r="N70" i="103" s="1"/>
  <c r="K70" i="103"/>
  <c r="G70" i="103"/>
  <c r="AB69" i="103"/>
  <c r="AA69" i="103"/>
  <c r="V69" i="103"/>
  <c r="U69" i="103"/>
  <c r="Q69" i="103"/>
  <c r="P69" i="103"/>
  <c r="O69" i="103"/>
  <c r="N69" i="103"/>
  <c r="M69" i="103"/>
  <c r="K69" i="103"/>
  <c r="G69" i="103"/>
  <c r="V68" i="103"/>
  <c r="U68" i="103"/>
  <c r="O68" i="103"/>
  <c r="M68" i="103"/>
  <c r="N68" i="103" s="1"/>
  <c r="K68" i="103"/>
  <c r="G68" i="103"/>
  <c r="V67" i="103"/>
  <c r="O67" i="103"/>
  <c r="M67" i="103"/>
  <c r="AB67" i="103" s="1"/>
  <c r="K67" i="103"/>
  <c r="G67" i="103"/>
  <c r="O66" i="103"/>
  <c r="K66" i="103"/>
  <c r="V65" i="103"/>
  <c r="U65" i="103"/>
  <c r="O65" i="103"/>
  <c r="M65" i="103"/>
  <c r="AB65" i="103" s="1"/>
  <c r="K65" i="103"/>
  <c r="G65" i="103"/>
  <c r="V64" i="103"/>
  <c r="M64" i="103" s="1"/>
  <c r="U64" i="103"/>
  <c r="O64" i="103"/>
  <c r="K64" i="103"/>
  <c r="G64" i="103"/>
  <c r="V63" i="103"/>
  <c r="U63" i="103"/>
  <c r="O63" i="103"/>
  <c r="M63" i="103"/>
  <c r="AA63" i="103" s="1"/>
  <c r="K63" i="103"/>
  <c r="G63" i="103"/>
  <c r="V62" i="103"/>
  <c r="M62" i="103" s="1"/>
  <c r="N62" i="103" s="1"/>
  <c r="P62" i="103" s="1"/>
  <c r="U62" i="103"/>
  <c r="O62" i="103"/>
  <c r="K62" i="103"/>
  <c r="G62" i="103"/>
  <c r="V61" i="103"/>
  <c r="O61" i="103"/>
  <c r="M61" i="103"/>
  <c r="K61" i="103"/>
  <c r="G61" i="103"/>
  <c r="O60" i="103"/>
  <c r="K60" i="103"/>
  <c r="V59" i="103"/>
  <c r="U59" i="103"/>
  <c r="O59" i="103"/>
  <c r="M59" i="103"/>
  <c r="AB59" i="103" s="1"/>
  <c r="K59" i="103"/>
  <c r="G59" i="103"/>
  <c r="AB58" i="103"/>
  <c r="V58" i="103"/>
  <c r="M58" i="103" s="1"/>
  <c r="N58" i="103" s="1"/>
  <c r="U58" i="103"/>
  <c r="O58" i="103"/>
  <c r="K58" i="103"/>
  <c r="G58" i="103"/>
  <c r="V57" i="103"/>
  <c r="U57" i="103"/>
  <c r="O57" i="103"/>
  <c r="M57" i="103"/>
  <c r="K57" i="103"/>
  <c r="G57" i="103"/>
  <c r="AB56" i="103"/>
  <c r="AA56" i="103"/>
  <c r="X56" i="103"/>
  <c r="W56" i="103"/>
  <c r="V56" i="103"/>
  <c r="U56" i="103"/>
  <c r="Q56" i="103"/>
  <c r="P56" i="103"/>
  <c r="O56" i="103"/>
  <c r="N56" i="103"/>
  <c r="M56" i="103"/>
  <c r="K56" i="103"/>
  <c r="G56" i="103"/>
  <c r="V55" i="103"/>
  <c r="M55" i="103" s="1"/>
  <c r="U55" i="103"/>
  <c r="O55" i="103"/>
  <c r="N55" i="103"/>
  <c r="Q55" i="103" s="1"/>
  <c r="K55" i="103"/>
  <c r="G55" i="103"/>
  <c r="V54" i="103"/>
  <c r="U54" i="103"/>
  <c r="O54" i="103"/>
  <c r="M54" i="103"/>
  <c r="AB54" i="103" s="1"/>
  <c r="K54" i="103"/>
  <c r="G54" i="103"/>
  <c r="V53" i="103"/>
  <c r="M53" i="103" s="1"/>
  <c r="U53" i="103"/>
  <c r="O53" i="103"/>
  <c r="K53" i="103"/>
  <c r="G53" i="103"/>
  <c r="V52" i="103"/>
  <c r="U52" i="103"/>
  <c r="O52" i="103"/>
  <c r="M52" i="103"/>
  <c r="AB52" i="103" s="1"/>
  <c r="K52" i="103"/>
  <c r="G52" i="103"/>
  <c r="V51" i="103"/>
  <c r="M51" i="103" s="1"/>
  <c r="N51" i="103" s="1"/>
  <c r="U51" i="103"/>
  <c r="O51" i="103"/>
  <c r="K51" i="103"/>
  <c r="G51" i="103"/>
  <c r="X50" i="103"/>
  <c r="W50" i="103"/>
  <c r="V50" i="103"/>
  <c r="O50" i="103"/>
  <c r="M50" i="103"/>
  <c r="K50" i="103"/>
  <c r="G50" i="103"/>
  <c r="O49" i="103"/>
  <c r="K49" i="103"/>
  <c r="V48" i="103"/>
  <c r="U48" i="103"/>
  <c r="O48" i="103"/>
  <c r="M48" i="103"/>
  <c r="K48" i="103"/>
  <c r="G48" i="103"/>
  <c r="AB47" i="103"/>
  <c r="AA47" i="103"/>
  <c r="V47" i="103"/>
  <c r="U47" i="103"/>
  <c r="Q47" i="103"/>
  <c r="P47" i="103"/>
  <c r="O47" i="103"/>
  <c r="N47" i="103"/>
  <c r="M47" i="103"/>
  <c r="K47" i="103"/>
  <c r="G47" i="103"/>
  <c r="V46" i="103"/>
  <c r="U46" i="103"/>
  <c r="O46" i="103"/>
  <c r="M46" i="103"/>
  <c r="K46" i="103"/>
  <c r="G46" i="103"/>
  <c r="X45" i="103"/>
  <c r="W45" i="103"/>
  <c r="V45" i="103"/>
  <c r="U45" i="103"/>
  <c r="O45" i="103"/>
  <c r="M45" i="103"/>
  <c r="AB45" i="103" s="1"/>
  <c r="K45" i="103"/>
  <c r="G45" i="103"/>
  <c r="V44" i="103"/>
  <c r="M44" i="103" s="1"/>
  <c r="N44" i="103" s="1"/>
  <c r="P44" i="103" s="1"/>
  <c r="U44" i="103"/>
  <c r="Q44" i="103"/>
  <c r="O44" i="103"/>
  <c r="K44" i="103"/>
  <c r="G44" i="103"/>
  <c r="V43" i="103"/>
  <c r="U43" i="103"/>
  <c r="O43" i="103"/>
  <c r="M43" i="103"/>
  <c r="AB43" i="103" s="1"/>
  <c r="K43" i="103"/>
  <c r="G43" i="103"/>
  <c r="V42" i="103"/>
  <c r="M42" i="103" s="1"/>
  <c r="N42" i="103" s="1"/>
  <c r="U42" i="103"/>
  <c r="O42" i="103"/>
  <c r="K42" i="103"/>
  <c r="G42" i="103"/>
  <c r="X41" i="103"/>
  <c r="W41" i="103"/>
  <c r="V41" i="103"/>
  <c r="O41" i="103"/>
  <c r="M41" i="103"/>
  <c r="K41" i="103"/>
  <c r="G41" i="103"/>
  <c r="O40" i="103"/>
  <c r="K40" i="103"/>
  <c r="V39" i="103"/>
  <c r="U39" i="103"/>
  <c r="O39" i="103"/>
  <c r="M39" i="103"/>
  <c r="K39" i="103"/>
  <c r="G39" i="103"/>
  <c r="AB38" i="103"/>
  <c r="AA38" i="103"/>
  <c r="V38" i="103"/>
  <c r="U38" i="103"/>
  <c r="P38" i="103"/>
  <c r="O38" i="103"/>
  <c r="N38" i="103"/>
  <c r="M38" i="103"/>
  <c r="K38" i="103"/>
  <c r="Q38" i="103" s="1"/>
  <c r="G38" i="103"/>
  <c r="V37" i="103"/>
  <c r="M37" i="103" s="1"/>
  <c r="U37" i="103"/>
  <c r="O37" i="103"/>
  <c r="N37" i="103"/>
  <c r="Q37" i="103" s="1"/>
  <c r="K37" i="103"/>
  <c r="G37" i="103"/>
  <c r="X36" i="103"/>
  <c r="W36" i="103"/>
  <c r="V36" i="103"/>
  <c r="U36" i="103"/>
  <c r="O36" i="103"/>
  <c r="M36" i="103"/>
  <c r="N36" i="103" s="1"/>
  <c r="K36" i="103"/>
  <c r="G36" i="103"/>
  <c r="V35" i="103"/>
  <c r="M35" i="103" s="1"/>
  <c r="N35" i="103" s="1"/>
  <c r="U35" i="103"/>
  <c r="O35" i="103"/>
  <c r="K35" i="103"/>
  <c r="G35" i="103"/>
  <c r="V34" i="103"/>
  <c r="U34" i="103"/>
  <c r="O34" i="103"/>
  <c r="M34" i="103"/>
  <c r="K34" i="103"/>
  <c r="G34" i="103"/>
  <c r="AB33" i="103"/>
  <c r="AA33" i="103"/>
  <c r="V33" i="103"/>
  <c r="U33" i="103"/>
  <c r="O33" i="103"/>
  <c r="M33" i="103"/>
  <c r="N33" i="103" s="1"/>
  <c r="K33" i="103"/>
  <c r="G33" i="103"/>
  <c r="V32" i="103"/>
  <c r="U32" i="103"/>
  <c r="O32" i="103"/>
  <c r="M32" i="103"/>
  <c r="K32" i="103"/>
  <c r="G32" i="103"/>
  <c r="X31" i="103"/>
  <c r="W31" i="103"/>
  <c r="V31" i="103"/>
  <c r="O31" i="103"/>
  <c r="M31" i="103"/>
  <c r="AB31" i="103" s="1"/>
  <c r="K31" i="103"/>
  <c r="G31" i="103"/>
  <c r="AA30" i="103"/>
  <c r="O30" i="103"/>
  <c r="K30" i="103"/>
  <c r="V29" i="103"/>
  <c r="U29" i="103"/>
  <c r="O29" i="103"/>
  <c r="M29" i="103"/>
  <c r="AB29" i="103" s="1"/>
  <c r="K29" i="103"/>
  <c r="G29" i="103"/>
  <c r="V28" i="103"/>
  <c r="M28" i="103" s="1"/>
  <c r="U28" i="103"/>
  <c r="O28" i="103"/>
  <c r="K28" i="103"/>
  <c r="G28" i="103"/>
  <c r="X27" i="103"/>
  <c r="W27" i="103"/>
  <c r="V27" i="103"/>
  <c r="U27" i="103"/>
  <c r="O27" i="103"/>
  <c r="M27" i="103"/>
  <c r="AA27" i="103" s="1"/>
  <c r="K27" i="103"/>
  <c r="G27" i="103"/>
  <c r="V26" i="103"/>
  <c r="M26" i="103" s="1"/>
  <c r="N26" i="103" s="1"/>
  <c r="U26" i="103"/>
  <c r="O26" i="103"/>
  <c r="K26" i="103"/>
  <c r="G26" i="103"/>
  <c r="V25" i="103"/>
  <c r="U25" i="103"/>
  <c r="O25" i="103"/>
  <c r="M25" i="103"/>
  <c r="K25" i="103"/>
  <c r="G25" i="103"/>
  <c r="AB24" i="103"/>
  <c r="AA24" i="103"/>
  <c r="V24" i="103"/>
  <c r="U24" i="103"/>
  <c r="O24" i="103"/>
  <c r="N24" i="103"/>
  <c r="Q24" i="103" s="1"/>
  <c r="M24" i="103"/>
  <c r="K24" i="103"/>
  <c r="G24" i="103"/>
  <c r="V23" i="103"/>
  <c r="U23" i="103"/>
  <c r="O23" i="103"/>
  <c r="M23" i="103"/>
  <c r="N23" i="103" s="1"/>
  <c r="K23" i="103"/>
  <c r="G23" i="103"/>
  <c r="AB22" i="103"/>
  <c r="AA22" i="103"/>
  <c r="V22" i="103"/>
  <c r="U22" i="103"/>
  <c r="P22" i="103"/>
  <c r="O22" i="103"/>
  <c r="N22" i="103"/>
  <c r="M22" i="103"/>
  <c r="K22" i="103"/>
  <c r="Q22" i="103" s="1"/>
  <c r="G22" i="103"/>
  <c r="V21" i="103"/>
  <c r="M21" i="103" s="1"/>
  <c r="N21" i="103" s="1"/>
  <c r="U21" i="103"/>
  <c r="O21" i="103"/>
  <c r="K21" i="103"/>
  <c r="G21" i="103"/>
  <c r="V20" i="103"/>
  <c r="O20" i="103"/>
  <c r="M20" i="103"/>
  <c r="M30" i="103" s="1"/>
  <c r="AB30" i="103" s="1"/>
  <c r="AC20" i="103" s="1"/>
  <c r="K20" i="103"/>
  <c r="G20" i="103"/>
  <c r="O19" i="103"/>
  <c r="K19" i="103"/>
  <c r="V18" i="103"/>
  <c r="U18" i="103"/>
  <c r="O18" i="103"/>
  <c r="M18" i="103"/>
  <c r="AA18" i="103" s="1"/>
  <c r="K18" i="103"/>
  <c r="G18" i="103"/>
  <c r="X17" i="103"/>
  <c r="W17" i="103"/>
  <c r="V17" i="103"/>
  <c r="M17" i="103" s="1"/>
  <c r="N17" i="103" s="1"/>
  <c r="U17" i="103"/>
  <c r="O17" i="103"/>
  <c r="K17" i="103"/>
  <c r="G17" i="103"/>
  <c r="V16" i="103"/>
  <c r="U16" i="103"/>
  <c r="O16" i="103"/>
  <c r="M16" i="103"/>
  <c r="K16" i="103"/>
  <c r="G16" i="103"/>
  <c r="AB15" i="103"/>
  <c r="AA15" i="103"/>
  <c r="V15" i="103"/>
  <c r="U15" i="103"/>
  <c r="O15" i="103"/>
  <c r="M15" i="103"/>
  <c r="N15" i="103" s="1"/>
  <c r="K15" i="103"/>
  <c r="G15" i="103"/>
  <c r="V14" i="103"/>
  <c r="U14" i="103"/>
  <c r="O14" i="103"/>
  <c r="M14" i="103"/>
  <c r="K14" i="103"/>
  <c r="G14" i="103"/>
  <c r="X13" i="103"/>
  <c r="W13" i="103"/>
  <c r="V13" i="103"/>
  <c r="O13" i="103"/>
  <c r="M13" i="103"/>
  <c r="K13" i="103"/>
  <c r="G13" i="103"/>
  <c r="O12" i="103"/>
  <c r="K12" i="103"/>
  <c r="V11" i="103"/>
  <c r="U11" i="103"/>
  <c r="O11" i="103"/>
  <c r="M11" i="103"/>
  <c r="AB11" i="103" s="1"/>
  <c r="K11" i="103"/>
  <c r="G11" i="103"/>
  <c r="AA10" i="103"/>
  <c r="V10" i="103"/>
  <c r="M10" i="103" s="1"/>
  <c r="O10" i="103"/>
  <c r="K10" i="103"/>
  <c r="G10" i="103"/>
  <c r="O9" i="103"/>
  <c r="K9" i="103"/>
  <c r="D13" i="102" s="1"/>
  <c r="G6" i="102" s="1"/>
  <c r="V8" i="103"/>
  <c r="M8" i="103" s="1"/>
  <c r="U8" i="103"/>
  <c r="O8" i="103"/>
  <c r="K8" i="103"/>
  <c r="G8" i="103"/>
  <c r="X7" i="103"/>
  <c r="W7" i="103"/>
  <c r="V7" i="103"/>
  <c r="U7" i="103"/>
  <c r="O7" i="103"/>
  <c r="M7" i="103"/>
  <c r="K7" i="103"/>
  <c r="G7" i="103"/>
  <c r="V6" i="103"/>
  <c r="M6" i="103" s="1"/>
  <c r="N6" i="103" s="1"/>
  <c r="U6" i="103"/>
  <c r="O6" i="103"/>
  <c r="K6" i="103"/>
  <c r="G6" i="103"/>
  <c r="V5" i="103"/>
  <c r="O5" i="103"/>
  <c r="M5" i="103"/>
  <c r="N5" i="103" s="1"/>
  <c r="K5" i="103"/>
  <c r="G5" i="103"/>
  <c r="H2" i="103"/>
  <c r="H1" i="103"/>
  <c r="D1" i="103"/>
  <c r="M18" i="102"/>
  <c r="L18" i="102"/>
  <c r="K18" i="102"/>
  <c r="J18" i="102"/>
  <c r="I18" i="102"/>
  <c r="H18" i="102"/>
  <c r="G18" i="102"/>
  <c r="F18" i="102"/>
  <c r="E18" i="102"/>
  <c r="D18" i="102"/>
  <c r="M17" i="102"/>
  <c r="L17" i="102"/>
  <c r="K17" i="102"/>
  <c r="J17" i="102"/>
  <c r="I17" i="102"/>
  <c r="H17" i="102"/>
  <c r="G17" i="102"/>
  <c r="F17" i="102"/>
  <c r="E17" i="102"/>
  <c r="D17" i="102"/>
  <c r="M16" i="102"/>
  <c r="L16" i="102"/>
  <c r="K16" i="102"/>
  <c r="J16" i="102"/>
  <c r="I16" i="102"/>
  <c r="H16" i="102"/>
  <c r="G16" i="102"/>
  <c r="F16" i="102"/>
  <c r="E16" i="102"/>
  <c r="D16" i="102"/>
  <c r="M13" i="102"/>
  <c r="L13" i="102"/>
  <c r="K13" i="102"/>
  <c r="I6" i="102" s="1"/>
  <c r="J13" i="102"/>
  <c r="I13" i="102"/>
  <c r="H13" i="102"/>
  <c r="G13" i="102"/>
  <c r="F13" i="102"/>
  <c r="E13" i="102"/>
  <c r="F6" i="102"/>
  <c r="F3" i="102"/>
  <c r="C3" i="102"/>
  <c r="G8" i="110" l="1"/>
  <c r="E8" i="110"/>
  <c r="F8" i="110"/>
  <c r="I8" i="108"/>
  <c r="I7" i="108"/>
  <c r="E15" i="108"/>
  <c r="F7" i="108"/>
  <c r="G7" i="108"/>
  <c r="E7" i="108"/>
  <c r="Q35" i="107"/>
  <c r="R28" i="107" s="1"/>
  <c r="P35" i="107"/>
  <c r="K14" i="106"/>
  <c r="D15" i="106"/>
  <c r="J14" i="106"/>
  <c r="J15" i="106" s="1"/>
  <c r="Q61" i="107"/>
  <c r="R57" i="107" s="1"/>
  <c r="P61" i="107"/>
  <c r="Q68" i="107"/>
  <c r="R62" i="107" s="1"/>
  <c r="P68" i="107"/>
  <c r="M14" i="106"/>
  <c r="M15" i="106" s="1"/>
  <c r="L14" i="106"/>
  <c r="L15" i="106" s="1"/>
  <c r="Q42" i="107"/>
  <c r="R36" i="107" s="1"/>
  <c r="P42" i="107"/>
  <c r="Q11" i="107"/>
  <c r="R9" i="107" s="1"/>
  <c r="P11" i="107"/>
  <c r="E14" i="106"/>
  <c r="E15" i="106" s="1"/>
  <c r="Q50" i="107"/>
  <c r="R43" i="107" s="1"/>
  <c r="P50" i="107"/>
  <c r="H14" i="106"/>
  <c r="H15" i="106" s="1"/>
  <c r="Q56" i="107"/>
  <c r="R51" i="107" s="1"/>
  <c r="P56" i="107"/>
  <c r="I14" i="106"/>
  <c r="I15" i="106" s="1"/>
  <c r="F14" i="106"/>
  <c r="F15" i="106" s="1"/>
  <c r="Q18" i="107"/>
  <c r="R12" i="107" s="1"/>
  <c r="P18" i="107"/>
  <c r="G14" i="106"/>
  <c r="G15" i="106" s="1"/>
  <c r="Q27" i="107"/>
  <c r="R19" i="107" s="1"/>
  <c r="P27" i="107"/>
  <c r="Q64" i="105"/>
  <c r="P64" i="105"/>
  <c r="Q66" i="105"/>
  <c r="P66" i="105"/>
  <c r="Q30" i="105"/>
  <c r="P30" i="105"/>
  <c r="Q52" i="105"/>
  <c r="P52" i="105"/>
  <c r="AB56" i="105"/>
  <c r="AC47" i="105" s="1"/>
  <c r="AA56" i="105"/>
  <c r="N56" i="105"/>
  <c r="P22" i="105"/>
  <c r="Q22" i="105"/>
  <c r="P61" i="105"/>
  <c r="Q61" i="105"/>
  <c r="P49" i="105"/>
  <c r="Q49" i="105"/>
  <c r="L14" i="104"/>
  <c r="L15" i="104" s="1"/>
  <c r="Q46" i="105"/>
  <c r="R38" i="105" s="1"/>
  <c r="P46" i="105"/>
  <c r="Q63" i="105"/>
  <c r="P63" i="105"/>
  <c r="Q44" i="105"/>
  <c r="P44" i="105"/>
  <c r="Q73" i="105"/>
  <c r="P73" i="105"/>
  <c r="AA62" i="105"/>
  <c r="N62" i="105"/>
  <c r="AB62" i="105"/>
  <c r="AC57" i="105" s="1"/>
  <c r="Q40" i="105"/>
  <c r="P40" i="105"/>
  <c r="Q42" i="105"/>
  <c r="P42" i="105"/>
  <c r="AB18" i="105"/>
  <c r="AC13" i="105" s="1"/>
  <c r="AA18" i="105"/>
  <c r="N18" i="105"/>
  <c r="Q34" i="105"/>
  <c r="P34" i="105"/>
  <c r="Q54" i="105"/>
  <c r="P54" i="105"/>
  <c r="P50" i="105"/>
  <c r="Q50" i="105"/>
  <c r="Q75" i="105"/>
  <c r="P75" i="105"/>
  <c r="Q60" i="105"/>
  <c r="P60" i="105"/>
  <c r="Q24" i="105"/>
  <c r="P24" i="105"/>
  <c r="Q26" i="105"/>
  <c r="P26" i="105"/>
  <c r="Q8" i="105"/>
  <c r="P8" i="105"/>
  <c r="Q31" i="105"/>
  <c r="P31" i="105"/>
  <c r="P47" i="105"/>
  <c r="Q47" i="105"/>
  <c r="P74" i="105"/>
  <c r="Q74" i="105"/>
  <c r="P71" i="105"/>
  <c r="Q71" i="105"/>
  <c r="Q5" i="105"/>
  <c r="P5" i="105"/>
  <c r="Q32" i="105"/>
  <c r="P32" i="105"/>
  <c r="AA37" i="105"/>
  <c r="AB37" i="105"/>
  <c r="AC28" i="105" s="1"/>
  <c r="N37" i="105"/>
  <c r="P36" i="105"/>
  <c r="Q36" i="105"/>
  <c r="Q70" i="105"/>
  <c r="P70" i="105"/>
  <c r="Q69" i="105"/>
  <c r="P69" i="105"/>
  <c r="AA12" i="105"/>
  <c r="N12" i="105"/>
  <c r="AB12" i="105"/>
  <c r="AC10" i="105" s="1"/>
  <c r="J14" i="104"/>
  <c r="J15" i="104" s="1"/>
  <c r="Q67" i="105"/>
  <c r="R63" i="105" s="1"/>
  <c r="P67" i="105"/>
  <c r="Q59" i="105"/>
  <c r="P59" i="105"/>
  <c r="AB76" i="105"/>
  <c r="AC68" i="105" s="1"/>
  <c r="AA76" i="105"/>
  <c r="N76" i="105"/>
  <c r="Q20" i="105"/>
  <c r="P20" i="105"/>
  <c r="P35" i="105"/>
  <c r="Q35" i="105"/>
  <c r="P72" i="105"/>
  <c r="Q72" i="105"/>
  <c r="Q14" i="105"/>
  <c r="P14" i="105"/>
  <c r="Q6" i="105"/>
  <c r="P6" i="105"/>
  <c r="Q65" i="105"/>
  <c r="P65" i="105"/>
  <c r="Q58" i="105"/>
  <c r="P58" i="105"/>
  <c r="Q28" i="105"/>
  <c r="P28" i="105"/>
  <c r="AB27" i="105"/>
  <c r="AC19" i="105" s="1"/>
  <c r="AA27" i="105"/>
  <c r="N27" i="105"/>
  <c r="Q7" i="105"/>
  <c r="P7" i="105"/>
  <c r="Q57" i="105"/>
  <c r="P57" i="105"/>
  <c r="P21" i="105"/>
  <c r="Q21" i="105"/>
  <c r="Q23" i="105"/>
  <c r="P23" i="105"/>
  <c r="Q51" i="105"/>
  <c r="P51" i="105"/>
  <c r="AB9" i="105"/>
  <c r="AC5" i="105" s="1"/>
  <c r="AA9" i="105"/>
  <c r="N9" i="105"/>
  <c r="Q48" i="105"/>
  <c r="P48" i="105"/>
  <c r="P68" i="105"/>
  <c r="Q68" i="105"/>
  <c r="P33" i="105"/>
  <c r="Q33" i="105"/>
  <c r="Q16" i="105"/>
  <c r="P16" i="105"/>
  <c r="Q15" i="105"/>
  <c r="P15" i="105"/>
  <c r="Q19" i="105"/>
  <c r="P19" i="105"/>
  <c r="P70" i="103"/>
  <c r="Q70" i="103"/>
  <c r="Q68" i="103"/>
  <c r="P68" i="103"/>
  <c r="Q5" i="103"/>
  <c r="P5" i="103"/>
  <c r="Q23" i="103"/>
  <c r="P23" i="103"/>
  <c r="Q21" i="103"/>
  <c r="P21" i="103"/>
  <c r="Q33" i="103"/>
  <c r="P33" i="103"/>
  <c r="F1" i="103"/>
  <c r="AB57" i="103"/>
  <c r="AA57" i="103"/>
  <c r="P55" i="103"/>
  <c r="N57" i="103"/>
  <c r="Q36" i="103"/>
  <c r="P36" i="103"/>
  <c r="AB14" i="103"/>
  <c r="AA14" i="103"/>
  <c r="N14" i="103"/>
  <c r="E6" i="102"/>
  <c r="N8" i="103"/>
  <c r="AA8" i="103"/>
  <c r="AB8" i="103"/>
  <c r="Q15" i="103"/>
  <c r="P15" i="103"/>
  <c r="AB17" i="103"/>
  <c r="AA42" i="103"/>
  <c r="AA73" i="103"/>
  <c r="N28" i="103"/>
  <c r="AB28" i="103"/>
  <c r="AA28" i="103"/>
  <c r="P37" i="103"/>
  <c r="AB42" i="103"/>
  <c r="N53" i="103"/>
  <c r="AB53" i="103"/>
  <c r="Q58" i="103"/>
  <c r="P58" i="103"/>
  <c r="AB73" i="103"/>
  <c r="AA53" i="103"/>
  <c r="AA58" i="103"/>
  <c r="Q62" i="103"/>
  <c r="AB5" i="103"/>
  <c r="AA5" i="103"/>
  <c r="M9" i="103"/>
  <c r="AA44" i="103"/>
  <c r="N75" i="103"/>
  <c r="AB75" i="103"/>
  <c r="AB25" i="103"/>
  <c r="AA25" i="103"/>
  <c r="AB44" i="103"/>
  <c r="M60" i="103"/>
  <c r="AB50" i="103"/>
  <c r="AA50" i="103"/>
  <c r="N25" i="103"/>
  <c r="N50" i="103"/>
  <c r="AB55" i="103"/>
  <c r="AA55" i="103"/>
  <c r="AA68" i="103"/>
  <c r="AB68" i="103"/>
  <c r="Q26" i="103"/>
  <c r="P26" i="103"/>
  <c r="M19" i="103"/>
  <c r="AB48" i="103"/>
  <c r="AA48" i="103"/>
  <c r="Q17" i="103"/>
  <c r="P17" i="103"/>
  <c r="M66" i="103"/>
  <c r="N61" i="103"/>
  <c r="AB61" i="103"/>
  <c r="AA61" i="103"/>
  <c r="AB39" i="103"/>
  <c r="AA39" i="103"/>
  <c r="AA17" i="103"/>
  <c r="N64" i="103"/>
  <c r="AA64" i="103"/>
  <c r="AB64" i="103"/>
  <c r="AB32" i="103"/>
  <c r="AA32" i="103"/>
  <c r="AA6" i="103"/>
  <c r="AB23" i="103"/>
  <c r="AA23" i="103"/>
  <c r="N34" i="103"/>
  <c r="AB34" i="103"/>
  <c r="AA34" i="103"/>
  <c r="N39" i="103"/>
  <c r="Q73" i="103"/>
  <c r="P73" i="103"/>
  <c r="Q6" i="103"/>
  <c r="P6" i="103"/>
  <c r="AB79" i="103"/>
  <c r="AA79" i="103"/>
  <c r="N32" i="103"/>
  <c r="Q42" i="103"/>
  <c r="P42" i="103"/>
  <c r="AB70" i="103"/>
  <c r="AA70" i="103"/>
  <c r="AB37" i="103"/>
  <c r="AA37" i="103"/>
  <c r="N79" i="103"/>
  <c r="AB6" i="103"/>
  <c r="AB21" i="103"/>
  <c r="AA21" i="103"/>
  <c r="AA26" i="103"/>
  <c r="AA62" i="103"/>
  <c r="AB26" i="103"/>
  <c r="Q35" i="103"/>
  <c r="P35" i="103"/>
  <c r="AA46" i="103"/>
  <c r="AB46" i="103"/>
  <c r="Q51" i="103"/>
  <c r="P51" i="103"/>
  <c r="AB62" i="103"/>
  <c r="P77" i="103"/>
  <c r="AA35" i="103"/>
  <c r="M49" i="103"/>
  <c r="AB41" i="103"/>
  <c r="AA41" i="103"/>
  <c r="N46" i="103"/>
  <c r="N48" i="103"/>
  <c r="AA51" i="103"/>
  <c r="AB7" i="103"/>
  <c r="AA7" i="103"/>
  <c r="N7" i="103"/>
  <c r="N16" i="103"/>
  <c r="AB16" i="103"/>
  <c r="AA16" i="103"/>
  <c r="AB35" i="103"/>
  <c r="N41" i="103"/>
  <c r="AB51" i="103"/>
  <c r="M80" i="103"/>
  <c r="AB72" i="103"/>
  <c r="AA72" i="103"/>
  <c r="M12" i="103"/>
  <c r="N10" i="103"/>
  <c r="AB10" i="103"/>
  <c r="N30" i="103"/>
  <c r="N72" i="103"/>
  <c r="AA77" i="103"/>
  <c r="AB77" i="103"/>
  <c r="N76" i="103"/>
  <c r="N27" i="103"/>
  <c r="N43" i="103"/>
  <c r="N59" i="103"/>
  <c r="N20" i="103"/>
  <c r="N45" i="103"/>
  <c r="N13" i="103"/>
  <c r="N18" i="103"/>
  <c r="N31" i="103"/>
  <c r="N54" i="103"/>
  <c r="N67" i="103"/>
  <c r="N11" i="103"/>
  <c r="N29" i="103"/>
  <c r="N65" i="103"/>
  <c r="M40" i="103"/>
  <c r="AA43" i="103"/>
  <c r="AA59" i="103"/>
  <c r="M71" i="103"/>
  <c r="N63" i="103"/>
  <c r="AA52" i="103"/>
  <c r="AA74" i="103"/>
  <c r="P24" i="103"/>
  <c r="AB27" i="103"/>
  <c r="AA36" i="103"/>
  <c r="AA54" i="103"/>
  <c r="AB63" i="103"/>
  <c r="AA67" i="103"/>
  <c r="AA76" i="103"/>
  <c r="P78" i="103"/>
  <c r="AA11" i="103"/>
  <c r="AB18" i="103"/>
  <c r="AA29" i="103"/>
  <c r="AB36" i="103"/>
  <c r="AA45" i="103"/>
  <c r="AA65" i="103"/>
  <c r="N52" i="103"/>
  <c r="N74" i="103"/>
  <c r="AA13" i="103"/>
  <c r="AA31" i="103"/>
  <c r="AA20" i="103"/>
  <c r="AB13" i="103"/>
  <c r="AB20" i="103"/>
  <c r="O83" i="101"/>
  <c r="K83" i="101"/>
  <c r="M13" i="100" s="1"/>
  <c r="V82" i="101"/>
  <c r="M82" i="101" s="1"/>
  <c r="U82" i="101"/>
  <c r="O82" i="101"/>
  <c r="K82" i="101"/>
  <c r="G82" i="101"/>
  <c r="V81" i="101"/>
  <c r="U81" i="101"/>
  <c r="O81" i="101"/>
  <c r="M81" i="101"/>
  <c r="K81" i="101"/>
  <c r="G81" i="101"/>
  <c r="AB80" i="101"/>
  <c r="AA80" i="101"/>
  <c r="V80" i="101"/>
  <c r="U80" i="101"/>
  <c r="O80" i="101"/>
  <c r="N80" i="101"/>
  <c r="M80" i="101"/>
  <c r="K80" i="101"/>
  <c r="G80" i="101"/>
  <c r="X79" i="101"/>
  <c r="W79" i="101"/>
  <c r="V79" i="101"/>
  <c r="U79" i="101"/>
  <c r="O79" i="101"/>
  <c r="M79" i="101"/>
  <c r="AB79" i="101" s="1"/>
  <c r="K79" i="101"/>
  <c r="G79" i="101"/>
  <c r="V78" i="101"/>
  <c r="M78" i="101" s="1"/>
  <c r="U78" i="101"/>
  <c r="O78" i="101"/>
  <c r="K78" i="101"/>
  <c r="G78" i="101"/>
  <c r="V77" i="101"/>
  <c r="M77" i="101" s="1"/>
  <c r="U77" i="101"/>
  <c r="O77" i="101"/>
  <c r="K77" i="101"/>
  <c r="G77" i="101"/>
  <c r="AA76" i="101"/>
  <c r="V76" i="101"/>
  <c r="U76" i="101"/>
  <c r="O76" i="101"/>
  <c r="M76" i="101"/>
  <c r="N76" i="101" s="1"/>
  <c r="K76" i="101"/>
  <c r="G76" i="101"/>
  <c r="AB75" i="101"/>
  <c r="V75" i="101"/>
  <c r="U75" i="101"/>
  <c r="O75" i="101"/>
  <c r="M75" i="101"/>
  <c r="K75" i="101"/>
  <c r="G75" i="101"/>
  <c r="X74" i="101"/>
  <c r="W74" i="101"/>
  <c r="V74" i="101"/>
  <c r="O74" i="101"/>
  <c r="M74" i="101"/>
  <c r="AA74" i="101" s="1"/>
  <c r="K74" i="101"/>
  <c r="G74" i="101"/>
  <c r="O73" i="101"/>
  <c r="K73" i="101"/>
  <c r="AA72" i="101"/>
  <c r="V72" i="101"/>
  <c r="U72" i="101"/>
  <c r="O72" i="101"/>
  <c r="N72" i="101"/>
  <c r="M72" i="101"/>
  <c r="AB72" i="101" s="1"/>
  <c r="K72" i="101"/>
  <c r="G72" i="101"/>
  <c r="AB71" i="101"/>
  <c r="V71" i="101"/>
  <c r="U71" i="101"/>
  <c r="O71" i="101"/>
  <c r="M71" i="101"/>
  <c r="AA71" i="101" s="1"/>
  <c r="K71" i="101"/>
  <c r="G71" i="101"/>
  <c r="V70" i="101"/>
  <c r="O70" i="101"/>
  <c r="M70" i="101"/>
  <c r="AB70" i="101" s="1"/>
  <c r="K70" i="101"/>
  <c r="G70" i="101"/>
  <c r="O69" i="101"/>
  <c r="K69" i="101"/>
  <c r="V68" i="101"/>
  <c r="U68" i="101"/>
  <c r="O68" i="101"/>
  <c r="M68" i="101"/>
  <c r="AB68" i="101" s="1"/>
  <c r="K68" i="101"/>
  <c r="G68" i="101"/>
  <c r="X67" i="101"/>
  <c r="W67" i="101"/>
  <c r="V67" i="101"/>
  <c r="M67" i="101" s="1"/>
  <c r="U67" i="101"/>
  <c r="O67" i="101"/>
  <c r="K67" i="101"/>
  <c r="G67" i="101"/>
  <c r="AB66" i="101"/>
  <c r="AA66" i="101"/>
  <c r="V66" i="101"/>
  <c r="U66" i="101"/>
  <c r="O66" i="101"/>
  <c r="M66" i="101"/>
  <c r="N66" i="101" s="1"/>
  <c r="K66" i="101"/>
  <c r="G66" i="101"/>
  <c r="AB65" i="101"/>
  <c r="V65" i="101"/>
  <c r="U65" i="101"/>
  <c r="O65" i="101"/>
  <c r="M65" i="101"/>
  <c r="N65" i="101" s="1"/>
  <c r="K65" i="101"/>
  <c r="G65" i="101"/>
  <c r="V64" i="101"/>
  <c r="M64" i="101" s="1"/>
  <c r="U64" i="101"/>
  <c r="O64" i="101"/>
  <c r="K64" i="101"/>
  <c r="G64" i="101"/>
  <c r="AA63" i="101"/>
  <c r="V63" i="101"/>
  <c r="O63" i="101"/>
  <c r="N63" i="101"/>
  <c r="M63" i="101"/>
  <c r="M69" i="101" s="1"/>
  <c r="K63" i="101"/>
  <c r="G63" i="101"/>
  <c r="O62" i="101"/>
  <c r="K62" i="101"/>
  <c r="V61" i="101"/>
  <c r="U61" i="101"/>
  <c r="O61" i="101"/>
  <c r="M61" i="101"/>
  <c r="K61" i="101"/>
  <c r="G61" i="101"/>
  <c r="AB60" i="101"/>
  <c r="AA60" i="101"/>
  <c r="V60" i="101"/>
  <c r="U60" i="101"/>
  <c r="O60" i="101"/>
  <c r="N60" i="101"/>
  <c r="M60" i="101"/>
  <c r="K60" i="101"/>
  <c r="G60" i="101"/>
  <c r="V59" i="101"/>
  <c r="U59" i="101"/>
  <c r="O59" i="101"/>
  <c r="M59" i="101"/>
  <c r="AB59" i="101" s="1"/>
  <c r="K59" i="101"/>
  <c r="G59" i="101"/>
  <c r="X58" i="101"/>
  <c r="W58" i="101"/>
  <c r="V58" i="101"/>
  <c r="M58" i="101" s="1"/>
  <c r="U58" i="101"/>
  <c r="O58" i="101"/>
  <c r="K58" i="101"/>
  <c r="G58" i="101"/>
  <c r="V57" i="101"/>
  <c r="M57" i="101" s="1"/>
  <c r="U57" i="101"/>
  <c r="O57" i="101"/>
  <c r="K57" i="101"/>
  <c r="G57" i="101"/>
  <c r="AA56" i="101"/>
  <c r="V56" i="101"/>
  <c r="U56" i="101"/>
  <c r="O56" i="101"/>
  <c r="M56" i="101"/>
  <c r="N56" i="101" s="1"/>
  <c r="K56" i="101"/>
  <c r="G56" i="101"/>
  <c r="AB55" i="101"/>
  <c r="V55" i="101"/>
  <c r="U55" i="101"/>
  <c r="O55" i="101"/>
  <c r="M55" i="101"/>
  <c r="AA55" i="101" s="1"/>
  <c r="K55" i="101"/>
  <c r="G55" i="101"/>
  <c r="V54" i="101"/>
  <c r="U54" i="101"/>
  <c r="O54" i="101"/>
  <c r="M54" i="101"/>
  <c r="N54" i="101" s="1"/>
  <c r="K54" i="101"/>
  <c r="G54" i="101"/>
  <c r="V53" i="101"/>
  <c r="U53" i="101"/>
  <c r="O53" i="101"/>
  <c r="M53" i="101"/>
  <c r="M62" i="101" s="1"/>
  <c r="K53" i="101"/>
  <c r="G53" i="101"/>
  <c r="X52" i="101"/>
  <c r="W52" i="101"/>
  <c r="V52" i="101"/>
  <c r="O52" i="101"/>
  <c r="M52" i="101"/>
  <c r="AB52" i="101" s="1"/>
  <c r="K52" i="101"/>
  <c r="G52" i="101"/>
  <c r="O51" i="101"/>
  <c r="K51" i="101"/>
  <c r="V50" i="101"/>
  <c r="U50" i="101"/>
  <c r="O50" i="101"/>
  <c r="M50" i="101"/>
  <c r="AB50" i="101" s="1"/>
  <c r="K50" i="101"/>
  <c r="G50" i="101"/>
  <c r="V49" i="101"/>
  <c r="M49" i="101" s="1"/>
  <c r="U49" i="101"/>
  <c r="O49" i="101"/>
  <c r="K49" i="101"/>
  <c r="G49" i="101"/>
  <c r="V48" i="101"/>
  <c r="M48" i="101" s="1"/>
  <c r="U48" i="101"/>
  <c r="O48" i="101"/>
  <c r="K48" i="101"/>
  <c r="G48" i="101"/>
  <c r="V47" i="101"/>
  <c r="M47" i="101" s="1"/>
  <c r="U47" i="101"/>
  <c r="O47" i="101"/>
  <c r="K47" i="101"/>
  <c r="G47" i="101"/>
  <c r="X46" i="101"/>
  <c r="W46" i="101"/>
  <c r="V46" i="101"/>
  <c r="M46" i="101" s="1"/>
  <c r="AA46" i="101" s="1"/>
  <c r="U46" i="101"/>
  <c r="O46" i="101"/>
  <c r="K46" i="101"/>
  <c r="G46" i="101"/>
  <c r="V45" i="101"/>
  <c r="U45" i="101"/>
  <c r="O45" i="101"/>
  <c r="M45" i="101"/>
  <c r="K45" i="101"/>
  <c r="G45" i="101"/>
  <c r="AB44" i="101"/>
  <c r="AA44" i="101"/>
  <c r="V44" i="101"/>
  <c r="U44" i="101"/>
  <c r="O44" i="101"/>
  <c r="N44" i="101"/>
  <c r="M44" i="101"/>
  <c r="K44" i="101"/>
  <c r="G44" i="101"/>
  <c r="V43" i="101"/>
  <c r="U43" i="101"/>
  <c r="O43" i="101"/>
  <c r="M43" i="101"/>
  <c r="AB43" i="101" s="1"/>
  <c r="K43" i="101"/>
  <c r="G43" i="101"/>
  <c r="V42" i="101"/>
  <c r="M42" i="101" s="1"/>
  <c r="U42" i="101"/>
  <c r="O42" i="101"/>
  <c r="K42" i="101"/>
  <c r="G42" i="101"/>
  <c r="AA41" i="101"/>
  <c r="X41" i="101"/>
  <c r="W41" i="101"/>
  <c r="V41" i="101"/>
  <c r="O41" i="101"/>
  <c r="M41" i="101"/>
  <c r="K41" i="101"/>
  <c r="G41" i="101"/>
  <c r="O40" i="101"/>
  <c r="K40" i="101"/>
  <c r="V39" i="101"/>
  <c r="M39" i="101" s="1"/>
  <c r="U39" i="101"/>
  <c r="O39" i="101"/>
  <c r="K39" i="101"/>
  <c r="G39" i="101"/>
  <c r="AA38" i="101"/>
  <c r="V38" i="101"/>
  <c r="U38" i="101"/>
  <c r="O38" i="101"/>
  <c r="M38" i="101"/>
  <c r="N38" i="101" s="1"/>
  <c r="K38" i="101"/>
  <c r="G38" i="101"/>
  <c r="AB37" i="101"/>
  <c r="V37" i="101"/>
  <c r="U37" i="101"/>
  <c r="O37" i="101"/>
  <c r="M37" i="101"/>
  <c r="AA37" i="101" s="1"/>
  <c r="K37" i="101"/>
  <c r="G37" i="101"/>
  <c r="AB36" i="101"/>
  <c r="AA36" i="101"/>
  <c r="X36" i="101"/>
  <c r="W36" i="101"/>
  <c r="V36" i="101"/>
  <c r="U36" i="101"/>
  <c r="O36" i="101"/>
  <c r="N36" i="101"/>
  <c r="M36" i="101"/>
  <c r="K36" i="101"/>
  <c r="G36" i="101"/>
  <c r="AB35" i="101"/>
  <c r="V35" i="101"/>
  <c r="U35" i="101"/>
  <c r="O35" i="101"/>
  <c r="M35" i="101"/>
  <c r="AA35" i="101" s="1"/>
  <c r="K35" i="101"/>
  <c r="G35" i="101"/>
  <c r="V34" i="101"/>
  <c r="U34" i="101"/>
  <c r="O34" i="101"/>
  <c r="M34" i="101"/>
  <c r="AB34" i="101" s="1"/>
  <c r="K34" i="101"/>
  <c r="G34" i="101"/>
  <c r="V33" i="101"/>
  <c r="M33" i="101" s="1"/>
  <c r="U33" i="101"/>
  <c r="O33" i="101"/>
  <c r="K33" i="101"/>
  <c r="G33" i="101"/>
  <c r="X32" i="101"/>
  <c r="W32" i="101"/>
  <c r="V32" i="101"/>
  <c r="O32" i="101"/>
  <c r="M32" i="101"/>
  <c r="K32" i="101"/>
  <c r="G32" i="101"/>
  <c r="O31" i="101"/>
  <c r="K31" i="101"/>
  <c r="AB30" i="101"/>
  <c r="AA30" i="101"/>
  <c r="V30" i="101"/>
  <c r="U30" i="101"/>
  <c r="O30" i="101"/>
  <c r="M30" i="101"/>
  <c r="N30" i="101" s="1"/>
  <c r="K30" i="101"/>
  <c r="G30" i="101"/>
  <c r="AB29" i="101"/>
  <c r="V29" i="101"/>
  <c r="U29" i="101"/>
  <c r="O29" i="101"/>
  <c r="M29" i="101"/>
  <c r="N29" i="101" s="1"/>
  <c r="K29" i="101"/>
  <c r="G29" i="101"/>
  <c r="AA28" i="101"/>
  <c r="X28" i="101"/>
  <c r="W28" i="101"/>
  <c r="V28" i="101"/>
  <c r="U28" i="101"/>
  <c r="O28" i="101"/>
  <c r="N28" i="101"/>
  <c r="M28" i="101"/>
  <c r="AB28" i="101" s="1"/>
  <c r="K28" i="101"/>
  <c r="G28" i="101"/>
  <c r="V27" i="101"/>
  <c r="U27" i="101"/>
  <c r="O27" i="101"/>
  <c r="M27" i="101"/>
  <c r="AB27" i="101" s="1"/>
  <c r="K27" i="101"/>
  <c r="G27" i="101"/>
  <c r="V26" i="101"/>
  <c r="M26" i="101" s="1"/>
  <c r="U26" i="101"/>
  <c r="O26" i="101"/>
  <c r="K26" i="101"/>
  <c r="G26" i="101"/>
  <c r="V25" i="101"/>
  <c r="U25" i="101"/>
  <c r="O25" i="101"/>
  <c r="M25" i="101"/>
  <c r="AB25" i="101" s="1"/>
  <c r="K25" i="101"/>
  <c r="G25" i="101"/>
  <c r="V24" i="101"/>
  <c r="M24" i="101" s="1"/>
  <c r="U24" i="101"/>
  <c r="O24" i="101"/>
  <c r="K24" i="101"/>
  <c r="G24" i="101"/>
  <c r="V23" i="101"/>
  <c r="M23" i="101" s="1"/>
  <c r="U23" i="101"/>
  <c r="O23" i="101"/>
  <c r="K23" i="101"/>
  <c r="G23" i="101"/>
  <c r="AB22" i="101"/>
  <c r="V22" i="101"/>
  <c r="O22" i="101"/>
  <c r="M22" i="101"/>
  <c r="M31" i="101" s="1"/>
  <c r="K22" i="101"/>
  <c r="G22" i="101"/>
  <c r="O21" i="101"/>
  <c r="K21" i="101"/>
  <c r="AA20" i="101"/>
  <c r="V20" i="101"/>
  <c r="U20" i="101"/>
  <c r="O20" i="101"/>
  <c r="M20" i="101"/>
  <c r="N20" i="101" s="1"/>
  <c r="K20" i="101"/>
  <c r="G20" i="101"/>
  <c r="X19" i="101"/>
  <c r="W19" i="101"/>
  <c r="V19" i="101"/>
  <c r="U19" i="101"/>
  <c r="O19" i="101"/>
  <c r="M19" i="101"/>
  <c r="K19" i="101"/>
  <c r="G19" i="101"/>
  <c r="AA18" i="101"/>
  <c r="V18" i="101"/>
  <c r="U18" i="101"/>
  <c r="O18" i="101"/>
  <c r="N18" i="101"/>
  <c r="M18" i="101"/>
  <c r="AB18" i="101" s="1"/>
  <c r="K18" i="101"/>
  <c r="G18" i="101"/>
  <c r="AB17" i="101"/>
  <c r="V17" i="101"/>
  <c r="U17" i="101"/>
  <c r="O17" i="101"/>
  <c r="M17" i="101"/>
  <c r="AA17" i="101" s="1"/>
  <c r="K17" i="101"/>
  <c r="G17" i="101"/>
  <c r="V16" i="101"/>
  <c r="U16" i="101"/>
  <c r="O16" i="101"/>
  <c r="M16" i="101"/>
  <c r="AB16" i="101" s="1"/>
  <c r="K16" i="101"/>
  <c r="G16" i="101"/>
  <c r="AB15" i="101"/>
  <c r="AA15" i="101"/>
  <c r="X15" i="101"/>
  <c r="W15" i="101"/>
  <c r="V15" i="101"/>
  <c r="O15" i="101"/>
  <c r="M15" i="101"/>
  <c r="N15" i="101" s="1"/>
  <c r="K15" i="101"/>
  <c r="G15" i="101"/>
  <c r="O14" i="101"/>
  <c r="K14" i="101"/>
  <c r="V13" i="101"/>
  <c r="M13" i="101" s="1"/>
  <c r="U13" i="101"/>
  <c r="O13" i="101"/>
  <c r="K13" i="101"/>
  <c r="G13" i="101"/>
  <c r="AB12" i="101"/>
  <c r="X12" i="101"/>
  <c r="W12" i="101"/>
  <c r="V12" i="101"/>
  <c r="O12" i="101"/>
  <c r="M12" i="101"/>
  <c r="K12" i="101"/>
  <c r="G12" i="101"/>
  <c r="O11" i="101"/>
  <c r="K11" i="101"/>
  <c r="V10" i="101"/>
  <c r="M10" i="101" s="1"/>
  <c r="U10" i="101"/>
  <c r="O10" i="101"/>
  <c r="K10" i="101"/>
  <c r="G10" i="101"/>
  <c r="X9" i="101"/>
  <c r="W9" i="101"/>
  <c r="V9" i="101"/>
  <c r="U9" i="101"/>
  <c r="O9" i="101"/>
  <c r="M9" i="101"/>
  <c r="AA9" i="101" s="1"/>
  <c r="K9" i="101"/>
  <c r="G9" i="101"/>
  <c r="V8" i="101"/>
  <c r="M8" i="101" s="1"/>
  <c r="U8" i="101"/>
  <c r="O8" i="101"/>
  <c r="K8" i="101"/>
  <c r="G8" i="101"/>
  <c r="V7" i="101"/>
  <c r="U7" i="101"/>
  <c r="O7" i="101"/>
  <c r="M7" i="101"/>
  <c r="AB7" i="101" s="1"/>
  <c r="K7" i="101"/>
  <c r="G7" i="101"/>
  <c r="V6" i="101"/>
  <c r="M6" i="101" s="1"/>
  <c r="U6" i="101"/>
  <c r="O6" i="101"/>
  <c r="K6" i="101"/>
  <c r="G6" i="101"/>
  <c r="AB5" i="101"/>
  <c r="AA5" i="101"/>
  <c r="V5" i="101"/>
  <c r="O5" i="101"/>
  <c r="M5" i="101"/>
  <c r="N5" i="101" s="1"/>
  <c r="K5" i="101"/>
  <c r="G5" i="101"/>
  <c r="H2" i="101"/>
  <c r="H1" i="101"/>
  <c r="D1" i="101"/>
  <c r="M18" i="100"/>
  <c r="L18" i="100"/>
  <c r="K18" i="100"/>
  <c r="J18" i="100"/>
  <c r="I18" i="100"/>
  <c r="H18" i="100"/>
  <c r="G18" i="100"/>
  <c r="F18" i="100"/>
  <c r="E18" i="100"/>
  <c r="D18" i="100"/>
  <c r="M17" i="100"/>
  <c r="L17" i="100"/>
  <c r="K17" i="100"/>
  <c r="J17" i="100"/>
  <c r="I17" i="100"/>
  <c r="H17" i="100"/>
  <c r="G17" i="100"/>
  <c r="F17" i="100"/>
  <c r="E17" i="100"/>
  <c r="D17" i="100"/>
  <c r="M16" i="100"/>
  <c r="L16" i="100"/>
  <c r="K16" i="100"/>
  <c r="J16" i="100"/>
  <c r="I16" i="100"/>
  <c r="H16" i="100"/>
  <c r="G16" i="100"/>
  <c r="F16" i="100"/>
  <c r="E16" i="100"/>
  <c r="D16" i="100"/>
  <c r="L13" i="100"/>
  <c r="K13" i="100"/>
  <c r="I6" i="100" s="1"/>
  <c r="J13" i="100"/>
  <c r="I13" i="100"/>
  <c r="H13" i="100"/>
  <c r="G13" i="100"/>
  <c r="F13" i="100"/>
  <c r="E13" i="100"/>
  <c r="D13" i="100"/>
  <c r="F3" i="100"/>
  <c r="C3" i="100"/>
  <c r="G8" i="108" l="1"/>
  <c r="E8" i="108"/>
  <c r="F8" i="108"/>
  <c r="E7" i="106"/>
  <c r="F7" i="106"/>
  <c r="G7" i="106"/>
  <c r="G8" i="106"/>
  <c r="F8" i="106"/>
  <c r="K15" i="106"/>
  <c r="I8" i="106" s="1"/>
  <c r="I7" i="106"/>
  <c r="Q76" i="105"/>
  <c r="R68" i="105" s="1"/>
  <c r="M14" i="104"/>
  <c r="M15" i="104" s="1"/>
  <c r="P76" i="105"/>
  <c r="F14" i="104"/>
  <c r="F15" i="104" s="1"/>
  <c r="Q18" i="105"/>
  <c r="R13" i="105" s="1"/>
  <c r="P18" i="105"/>
  <c r="H14" i="104"/>
  <c r="H15" i="104" s="1"/>
  <c r="Q56" i="105"/>
  <c r="R47" i="105" s="1"/>
  <c r="P56" i="105"/>
  <c r="D2" i="105"/>
  <c r="D14" i="104"/>
  <c r="Q9" i="105"/>
  <c r="R5" i="105" s="1"/>
  <c r="P9" i="105"/>
  <c r="G14" i="104"/>
  <c r="G15" i="104" s="1"/>
  <c r="Q27" i="105"/>
  <c r="R19" i="105" s="1"/>
  <c r="P27" i="105"/>
  <c r="Q37" i="105"/>
  <c r="R28" i="105" s="1"/>
  <c r="P37" i="105"/>
  <c r="K14" i="104"/>
  <c r="Q12" i="105"/>
  <c r="R10" i="105" s="1"/>
  <c r="P12" i="105"/>
  <c r="E14" i="104"/>
  <c r="E15" i="104" s="1"/>
  <c r="Q62" i="105"/>
  <c r="R57" i="105" s="1"/>
  <c r="P62" i="105"/>
  <c r="I14" i="104"/>
  <c r="I15" i="104" s="1"/>
  <c r="Q52" i="103"/>
  <c r="P52" i="103"/>
  <c r="Q64" i="103"/>
  <c r="P64" i="103"/>
  <c r="Q53" i="103"/>
  <c r="P53" i="103"/>
  <c r="AB12" i="103"/>
  <c r="AC10" i="103" s="1"/>
  <c r="N12" i="103"/>
  <c r="AA12" i="103"/>
  <c r="N60" i="103"/>
  <c r="AB60" i="103"/>
  <c r="AC50" i="103" s="1"/>
  <c r="AA60" i="103"/>
  <c r="Q72" i="103"/>
  <c r="P72" i="103"/>
  <c r="Q74" i="103"/>
  <c r="P74" i="103"/>
  <c r="AB49" i="103"/>
  <c r="AC41" i="103" s="1"/>
  <c r="AA49" i="103"/>
  <c r="N49" i="103"/>
  <c r="Q10" i="103"/>
  <c r="P10" i="103"/>
  <c r="Q57" i="103"/>
  <c r="P57" i="103"/>
  <c r="Q65" i="103"/>
  <c r="P65" i="103"/>
  <c r="Q29" i="103"/>
  <c r="P29" i="103"/>
  <c r="Q32" i="103"/>
  <c r="P32" i="103"/>
  <c r="Q11" i="103"/>
  <c r="P11" i="103"/>
  <c r="Q67" i="103"/>
  <c r="P67" i="103"/>
  <c r="F2" i="103"/>
  <c r="I3" i="102"/>
  <c r="Q54" i="103"/>
  <c r="P54" i="103"/>
  <c r="Q41" i="103"/>
  <c r="P41" i="103"/>
  <c r="P61" i="103"/>
  <c r="Q61" i="103"/>
  <c r="Q18" i="103"/>
  <c r="P18" i="103"/>
  <c r="AB66" i="103"/>
  <c r="AC61" i="103" s="1"/>
  <c r="N66" i="103"/>
  <c r="AA66" i="103"/>
  <c r="Q13" i="103"/>
  <c r="P13" i="103"/>
  <c r="Q75" i="103"/>
  <c r="P75" i="103"/>
  <c r="Q39" i="103"/>
  <c r="P39" i="103"/>
  <c r="P16" i="103"/>
  <c r="Q16" i="103"/>
  <c r="AB9" i="103"/>
  <c r="AC5" i="103" s="1"/>
  <c r="AA9" i="103"/>
  <c r="N9" i="103"/>
  <c r="Q7" i="103"/>
  <c r="P7" i="103"/>
  <c r="N19" i="103"/>
  <c r="AB19" i="103"/>
  <c r="AC13" i="103" s="1"/>
  <c r="AA19" i="103"/>
  <c r="P48" i="103"/>
  <c r="Q48" i="103"/>
  <c r="Q79" i="103"/>
  <c r="P79" i="103"/>
  <c r="Q14" i="103"/>
  <c r="P14" i="103"/>
  <c r="AB71" i="103"/>
  <c r="AC67" i="103" s="1"/>
  <c r="AA71" i="103"/>
  <c r="N71" i="103"/>
  <c r="G14" i="102"/>
  <c r="G15" i="102" s="1"/>
  <c r="Q30" i="103"/>
  <c r="R20" i="103" s="1"/>
  <c r="P30" i="103"/>
  <c r="Q50" i="103"/>
  <c r="P50" i="103"/>
  <c r="AB40" i="103"/>
  <c r="AC31" i="103" s="1"/>
  <c r="AA40" i="103"/>
  <c r="N40" i="103"/>
  <c r="Q25" i="103"/>
  <c r="P25" i="103"/>
  <c r="AB80" i="103"/>
  <c r="AC72" i="103" s="1"/>
  <c r="AA80" i="103"/>
  <c r="N80" i="103"/>
  <c r="P28" i="103"/>
  <c r="Q28" i="103"/>
  <c r="Q31" i="103"/>
  <c r="P31" i="103"/>
  <c r="Q45" i="103"/>
  <c r="P45" i="103"/>
  <c r="Q20" i="103"/>
  <c r="P20" i="103"/>
  <c r="Q59" i="103"/>
  <c r="P59" i="103"/>
  <c r="Q43" i="103"/>
  <c r="P43" i="103"/>
  <c r="P34" i="103"/>
  <c r="Q34" i="103"/>
  <c r="Q27" i="103"/>
  <c r="P27" i="103"/>
  <c r="P8" i="103"/>
  <c r="Q8" i="103"/>
  <c r="Q76" i="103"/>
  <c r="P76" i="103"/>
  <c r="Q63" i="103"/>
  <c r="P63" i="103"/>
  <c r="P46" i="103"/>
  <c r="Q46" i="103"/>
  <c r="AB62" i="101"/>
  <c r="AC52" i="101" s="1"/>
  <c r="AA62" i="101"/>
  <c r="N62" i="101"/>
  <c r="Q80" i="101"/>
  <c r="P80" i="101"/>
  <c r="Q15" i="101"/>
  <c r="P15" i="101"/>
  <c r="Q20" i="101"/>
  <c r="P20" i="101"/>
  <c r="Q36" i="101"/>
  <c r="P36" i="101"/>
  <c r="AB64" i="101"/>
  <c r="AA64" i="101"/>
  <c r="N64" i="101"/>
  <c r="N67" i="101"/>
  <c r="AA67" i="101"/>
  <c r="AB67" i="101"/>
  <c r="AA45" i="101"/>
  <c r="N45" i="101"/>
  <c r="AB45" i="101"/>
  <c r="AB10" i="101"/>
  <c r="AA10" i="101"/>
  <c r="N10" i="101"/>
  <c r="F1" i="101"/>
  <c r="N24" i="101"/>
  <c r="AB24" i="101"/>
  <c r="Q30" i="101"/>
  <c r="P30" i="101"/>
  <c r="N33" i="101"/>
  <c r="AA33" i="101"/>
  <c r="AB33" i="101"/>
  <c r="AB48" i="101"/>
  <c r="AA48" i="101"/>
  <c r="N48" i="101"/>
  <c r="N58" i="101"/>
  <c r="AB58" i="101"/>
  <c r="AA58" i="101"/>
  <c r="AA61" i="101"/>
  <c r="N61" i="101"/>
  <c r="AB61" i="101"/>
  <c r="AB77" i="101"/>
  <c r="AA77" i="101"/>
  <c r="N77" i="101"/>
  <c r="AA24" i="101"/>
  <c r="AB42" i="101"/>
  <c r="AA42" i="101"/>
  <c r="N42" i="101"/>
  <c r="Q65" i="101"/>
  <c r="P65" i="101"/>
  <c r="Q5" i="101"/>
  <c r="P5" i="101"/>
  <c r="AA12" i="101"/>
  <c r="M14" i="101"/>
  <c r="N12" i="101"/>
  <c r="Q18" i="101"/>
  <c r="P18" i="101"/>
  <c r="P28" i="101"/>
  <c r="Q28" i="101"/>
  <c r="AB8" i="101"/>
  <c r="AA8" i="101"/>
  <c r="N8" i="101"/>
  <c r="AB39" i="101"/>
  <c r="AA39" i="101"/>
  <c r="N39" i="101"/>
  <c r="M83" i="101"/>
  <c r="N78" i="101"/>
  <c r="AB78" i="101"/>
  <c r="AA78" i="101"/>
  <c r="N49" i="101"/>
  <c r="AA49" i="101"/>
  <c r="AB49" i="101"/>
  <c r="Q56" i="101"/>
  <c r="P56" i="101"/>
  <c r="AA81" i="101"/>
  <c r="N81" i="101"/>
  <c r="AB81" i="101"/>
  <c r="AB53" i="101"/>
  <c r="AA53" i="101"/>
  <c r="N53" i="101"/>
  <c r="Q72" i="101"/>
  <c r="P72" i="101"/>
  <c r="E6" i="100"/>
  <c r="G6" i="100"/>
  <c r="F6" i="100"/>
  <c r="AA19" i="101"/>
  <c r="N19" i="101"/>
  <c r="AB69" i="101"/>
  <c r="AC63" i="101" s="1"/>
  <c r="AA69" i="101"/>
  <c r="N69" i="101"/>
  <c r="M40" i="101"/>
  <c r="M51" i="101"/>
  <c r="Q63" i="101"/>
  <c r="P63" i="101"/>
  <c r="N6" i="101"/>
  <c r="M11" i="101"/>
  <c r="AA6" i="101"/>
  <c r="AB6" i="101"/>
  <c r="P44" i="101"/>
  <c r="Q44" i="101"/>
  <c r="Q76" i="101"/>
  <c r="P76" i="101"/>
  <c r="N13" i="101"/>
  <c r="AB13" i="101"/>
  <c r="AA13" i="101"/>
  <c r="P60" i="101"/>
  <c r="Q60" i="101"/>
  <c r="Q29" i="101"/>
  <c r="P29" i="101"/>
  <c r="Q54" i="101"/>
  <c r="P54" i="101"/>
  <c r="AB26" i="101"/>
  <c r="AA26" i="101"/>
  <c r="N26" i="101"/>
  <c r="AB82" i="101"/>
  <c r="AA82" i="101"/>
  <c r="N82" i="101"/>
  <c r="N31" i="101"/>
  <c r="AB31" i="101"/>
  <c r="AC22" i="101" s="1"/>
  <c r="AA31" i="101"/>
  <c r="AB46" i="101"/>
  <c r="N46" i="101"/>
  <c r="Q66" i="101"/>
  <c r="P66" i="101"/>
  <c r="AB19" i="101"/>
  <c r="AB23" i="101"/>
  <c r="AA23" i="101"/>
  <c r="N23" i="101"/>
  <c r="Q38" i="101"/>
  <c r="P38" i="101"/>
  <c r="N47" i="101"/>
  <c r="AB47" i="101"/>
  <c r="AA47" i="101"/>
  <c r="AB57" i="101"/>
  <c r="AA57" i="101"/>
  <c r="N57" i="101"/>
  <c r="AB9" i="101"/>
  <c r="AA54" i="101"/>
  <c r="AB74" i="101"/>
  <c r="N17" i="101"/>
  <c r="AA22" i="101"/>
  <c r="AA29" i="101"/>
  <c r="N35" i="101"/>
  <c r="AB54" i="101"/>
  <c r="AA65" i="101"/>
  <c r="N71" i="101"/>
  <c r="M73" i="101"/>
  <c r="AB20" i="101"/>
  <c r="AB38" i="101"/>
  <c r="AB56" i="101"/>
  <c r="AB76" i="101"/>
  <c r="N41" i="101"/>
  <c r="M21" i="101"/>
  <c r="N32" i="101"/>
  <c r="N37" i="101"/>
  <c r="N55" i="101"/>
  <c r="N75" i="101"/>
  <c r="N7" i="101"/>
  <c r="N25" i="101"/>
  <c r="N52" i="101"/>
  <c r="N70" i="101"/>
  <c r="N79" i="101"/>
  <c r="N16" i="101"/>
  <c r="N34" i="101"/>
  <c r="N50" i="101"/>
  <c r="N68" i="101"/>
  <c r="N9" i="101"/>
  <c r="N27" i="101"/>
  <c r="N43" i="101"/>
  <c r="N59" i="101"/>
  <c r="N74" i="101"/>
  <c r="AA75" i="101"/>
  <c r="AA32" i="101"/>
  <c r="AB32" i="101"/>
  <c r="AA7" i="101"/>
  <c r="N22" i="101"/>
  <c r="AA25" i="101"/>
  <c r="AB41" i="101"/>
  <c r="AA70" i="101"/>
  <c r="AA16" i="101"/>
  <c r="AA34" i="101"/>
  <c r="AA50" i="101"/>
  <c r="AA68" i="101"/>
  <c r="AA27" i="101"/>
  <c r="AA43" i="101"/>
  <c r="AA52" i="101"/>
  <c r="AA59" i="101"/>
  <c r="AA79" i="101"/>
  <c r="AB63" i="101"/>
  <c r="O75" i="99"/>
  <c r="K75" i="99"/>
  <c r="AB74" i="99"/>
  <c r="AA74" i="99"/>
  <c r="V74" i="99"/>
  <c r="U74" i="99"/>
  <c r="P74" i="99"/>
  <c r="O74" i="99"/>
  <c r="N74" i="99"/>
  <c r="Q74" i="99" s="1"/>
  <c r="M74" i="99"/>
  <c r="K74" i="99"/>
  <c r="G74" i="99"/>
  <c r="AB73" i="99"/>
  <c r="AA73" i="99"/>
  <c r="X73" i="99"/>
  <c r="W73" i="99"/>
  <c r="V73" i="99"/>
  <c r="U73" i="99"/>
  <c r="Q73" i="99"/>
  <c r="P73" i="99"/>
  <c r="O73" i="99"/>
  <c r="N73" i="99"/>
  <c r="M73" i="99"/>
  <c r="K73" i="99"/>
  <c r="G73" i="99"/>
  <c r="AB72" i="99"/>
  <c r="AA72" i="99"/>
  <c r="V72" i="99"/>
  <c r="U72" i="99"/>
  <c r="P72" i="99"/>
  <c r="O72" i="99"/>
  <c r="N72" i="99"/>
  <c r="Q72" i="99" s="1"/>
  <c r="M72" i="99"/>
  <c r="K72" i="99"/>
  <c r="G72" i="99"/>
  <c r="AB71" i="99"/>
  <c r="AA71" i="99"/>
  <c r="V71" i="99"/>
  <c r="U71" i="99"/>
  <c r="O71" i="99"/>
  <c r="N71" i="99"/>
  <c r="Q71" i="99" s="1"/>
  <c r="M71" i="99"/>
  <c r="K71" i="99"/>
  <c r="G71" i="99"/>
  <c r="AB70" i="99"/>
  <c r="AA70" i="99"/>
  <c r="V70" i="99"/>
  <c r="U70" i="99"/>
  <c r="O70" i="99"/>
  <c r="M70" i="99"/>
  <c r="N70" i="99" s="1"/>
  <c r="K70" i="99"/>
  <c r="G70" i="99"/>
  <c r="V69" i="99"/>
  <c r="U69" i="99"/>
  <c r="O69" i="99"/>
  <c r="M69" i="99"/>
  <c r="AB69" i="99" s="1"/>
  <c r="K69" i="99"/>
  <c r="G69" i="99"/>
  <c r="AB68" i="99"/>
  <c r="AA68" i="99"/>
  <c r="X68" i="99"/>
  <c r="W68" i="99"/>
  <c r="V68" i="99"/>
  <c r="Q68" i="99"/>
  <c r="P68" i="99"/>
  <c r="O68" i="99"/>
  <c r="N68" i="99"/>
  <c r="M68" i="99"/>
  <c r="K68" i="99"/>
  <c r="G68" i="99"/>
  <c r="O67" i="99"/>
  <c r="M67" i="99"/>
  <c r="AA67" i="99" s="1"/>
  <c r="K67" i="99"/>
  <c r="AB66" i="99"/>
  <c r="AA66" i="99"/>
  <c r="V66" i="99"/>
  <c r="U66" i="99"/>
  <c r="O66" i="99"/>
  <c r="N66" i="99"/>
  <c r="Q66" i="99" s="1"/>
  <c r="M66" i="99"/>
  <c r="K66" i="99"/>
  <c r="G66" i="99"/>
  <c r="AB65" i="99"/>
  <c r="AA65" i="99"/>
  <c r="V65" i="99"/>
  <c r="U65" i="99"/>
  <c r="O65" i="99"/>
  <c r="N65" i="99"/>
  <c r="Q65" i="99" s="1"/>
  <c r="M65" i="99"/>
  <c r="K65" i="99"/>
  <c r="G65" i="99"/>
  <c r="AB64" i="99"/>
  <c r="AA64" i="99"/>
  <c r="V64" i="99"/>
  <c r="U64" i="99"/>
  <c r="Q64" i="99"/>
  <c r="P64" i="99"/>
  <c r="O64" i="99"/>
  <c r="N64" i="99"/>
  <c r="M64" i="99"/>
  <c r="K64" i="99"/>
  <c r="G64" i="99"/>
  <c r="AB63" i="99"/>
  <c r="AA63" i="99"/>
  <c r="V63" i="99"/>
  <c r="O63" i="99"/>
  <c r="N63" i="99"/>
  <c r="Q63" i="99" s="1"/>
  <c r="M63" i="99"/>
  <c r="K63" i="99"/>
  <c r="G63" i="99"/>
  <c r="O62" i="99"/>
  <c r="K62" i="99"/>
  <c r="V61" i="99"/>
  <c r="U61" i="99"/>
  <c r="O61" i="99"/>
  <c r="N61" i="99"/>
  <c r="Q61" i="99" s="1"/>
  <c r="M61" i="99"/>
  <c r="AA61" i="99" s="1"/>
  <c r="K61" i="99"/>
  <c r="G61" i="99"/>
  <c r="AB60" i="99"/>
  <c r="AA60" i="99"/>
  <c r="V60" i="99"/>
  <c r="U60" i="99"/>
  <c r="Q60" i="99"/>
  <c r="O60" i="99"/>
  <c r="N60" i="99"/>
  <c r="P60" i="99" s="1"/>
  <c r="M60" i="99"/>
  <c r="K60" i="99"/>
  <c r="G60" i="99"/>
  <c r="AB59" i="99"/>
  <c r="AA59" i="99"/>
  <c r="V59" i="99"/>
  <c r="U59" i="99"/>
  <c r="O59" i="99"/>
  <c r="M59" i="99"/>
  <c r="N59" i="99" s="1"/>
  <c r="K59" i="99"/>
  <c r="G59" i="99"/>
  <c r="V58" i="99"/>
  <c r="U58" i="99"/>
  <c r="O58" i="99"/>
  <c r="M58" i="99"/>
  <c r="AB58" i="99" s="1"/>
  <c r="K58" i="99"/>
  <c r="G58" i="99"/>
  <c r="V57" i="99"/>
  <c r="M57" i="99" s="1"/>
  <c r="O57" i="99"/>
  <c r="K57" i="99"/>
  <c r="G57" i="99"/>
  <c r="O56" i="99"/>
  <c r="K56" i="99"/>
  <c r="AB55" i="99"/>
  <c r="AA55" i="99"/>
  <c r="V55" i="99"/>
  <c r="U55" i="99"/>
  <c r="Q55" i="99"/>
  <c r="O55" i="99"/>
  <c r="N55" i="99"/>
  <c r="P55" i="99" s="1"/>
  <c r="M55" i="99"/>
  <c r="K55" i="99"/>
  <c r="G55" i="99"/>
  <c r="AB54" i="99"/>
  <c r="AA54" i="99"/>
  <c r="V54" i="99"/>
  <c r="U54" i="99"/>
  <c r="O54" i="99"/>
  <c r="N54" i="99"/>
  <c r="P54" i="99" s="1"/>
  <c r="M54" i="99"/>
  <c r="K54" i="99"/>
  <c r="G54" i="99"/>
  <c r="V53" i="99"/>
  <c r="M53" i="99" s="1"/>
  <c r="U53" i="99"/>
  <c r="O53" i="99"/>
  <c r="K53" i="99"/>
  <c r="G53" i="99"/>
  <c r="X52" i="99"/>
  <c r="W52" i="99"/>
  <c r="V52" i="99"/>
  <c r="U52" i="99"/>
  <c r="O52" i="99"/>
  <c r="M52" i="99"/>
  <c r="N52" i="99" s="1"/>
  <c r="K52" i="99"/>
  <c r="G52" i="99"/>
  <c r="AB51" i="99"/>
  <c r="AA51" i="99"/>
  <c r="V51" i="99"/>
  <c r="U51" i="99"/>
  <c r="Q51" i="99"/>
  <c r="P51" i="99"/>
  <c r="O51" i="99"/>
  <c r="N51" i="99"/>
  <c r="M51" i="99"/>
  <c r="K51" i="99"/>
  <c r="G51" i="99"/>
  <c r="AB50" i="99"/>
  <c r="AA50" i="99"/>
  <c r="V50" i="99"/>
  <c r="U50" i="99"/>
  <c r="O50" i="99"/>
  <c r="N50" i="99"/>
  <c r="Q50" i="99" s="1"/>
  <c r="M50" i="99"/>
  <c r="K50" i="99"/>
  <c r="G50" i="99"/>
  <c r="AB49" i="99"/>
  <c r="AA49" i="99"/>
  <c r="V49" i="99"/>
  <c r="U49" i="99"/>
  <c r="O49" i="99"/>
  <c r="N49" i="99"/>
  <c r="Q49" i="99" s="1"/>
  <c r="M49" i="99"/>
  <c r="K49" i="99"/>
  <c r="G49" i="99"/>
  <c r="AB48" i="99"/>
  <c r="AA48" i="99"/>
  <c r="V48" i="99"/>
  <c r="U48" i="99"/>
  <c r="O48" i="99"/>
  <c r="M48" i="99"/>
  <c r="N48" i="99" s="1"/>
  <c r="K48" i="99"/>
  <c r="G48" i="99"/>
  <c r="V47" i="99"/>
  <c r="U47" i="99"/>
  <c r="O47" i="99"/>
  <c r="M47" i="99"/>
  <c r="AB47" i="99" s="1"/>
  <c r="K47" i="99"/>
  <c r="G47" i="99"/>
  <c r="AB46" i="99"/>
  <c r="AA46" i="99"/>
  <c r="X46" i="99"/>
  <c r="W46" i="99"/>
  <c r="V46" i="99"/>
  <c r="Q46" i="99"/>
  <c r="P46" i="99"/>
  <c r="O46" i="99"/>
  <c r="N46" i="99"/>
  <c r="M46" i="99"/>
  <c r="K46" i="99"/>
  <c r="G46" i="99"/>
  <c r="O45" i="99"/>
  <c r="M45" i="99"/>
  <c r="AA45" i="99" s="1"/>
  <c r="K45" i="99"/>
  <c r="AB44" i="99"/>
  <c r="AA44" i="99"/>
  <c r="V44" i="99"/>
  <c r="U44" i="99"/>
  <c r="O44" i="99"/>
  <c r="N44" i="99"/>
  <c r="Q44" i="99" s="1"/>
  <c r="M44" i="99"/>
  <c r="K44" i="99"/>
  <c r="G44" i="99"/>
  <c r="AB43" i="99"/>
  <c r="AA43" i="99"/>
  <c r="V43" i="99"/>
  <c r="U43" i="99"/>
  <c r="O43" i="99"/>
  <c r="N43" i="99"/>
  <c r="Q43" i="99" s="1"/>
  <c r="M43" i="99"/>
  <c r="K43" i="99"/>
  <c r="G43" i="99"/>
  <c r="AB42" i="99"/>
  <c r="AA42" i="99"/>
  <c r="V42" i="99"/>
  <c r="U42" i="99"/>
  <c r="Q42" i="99"/>
  <c r="P42" i="99"/>
  <c r="O42" i="99"/>
  <c r="N42" i="99"/>
  <c r="M42" i="99"/>
  <c r="K42" i="99"/>
  <c r="G42" i="99"/>
  <c r="AB41" i="99"/>
  <c r="AA41" i="99"/>
  <c r="X41" i="99"/>
  <c r="W41" i="99"/>
  <c r="V41" i="99"/>
  <c r="U41" i="99"/>
  <c r="O41" i="99"/>
  <c r="M41" i="99"/>
  <c r="N41" i="99" s="1"/>
  <c r="K41" i="99"/>
  <c r="G41" i="99"/>
  <c r="V40" i="99"/>
  <c r="U40" i="99"/>
  <c r="O40" i="99"/>
  <c r="M40" i="99"/>
  <c r="AB40" i="99" s="1"/>
  <c r="K40" i="99"/>
  <c r="G40" i="99"/>
  <c r="AB39" i="99"/>
  <c r="AA39" i="99"/>
  <c r="V39" i="99"/>
  <c r="U39" i="99"/>
  <c r="Q39" i="99"/>
  <c r="O39" i="99"/>
  <c r="N39" i="99"/>
  <c r="P39" i="99" s="1"/>
  <c r="M39" i="99"/>
  <c r="K39" i="99"/>
  <c r="G39" i="99"/>
  <c r="AB38" i="99"/>
  <c r="AA38" i="99"/>
  <c r="V38" i="99"/>
  <c r="U38" i="99"/>
  <c r="O38" i="99"/>
  <c r="N38" i="99"/>
  <c r="Q38" i="99" s="1"/>
  <c r="M38" i="99"/>
  <c r="K38" i="99"/>
  <c r="G38" i="99"/>
  <c r="AB37" i="99"/>
  <c r="AA37" i="99"/>
  <c r="X37" i="99"/>
  <c r="W37" i="99"/>
  <c r="V37" i="99"/>
  <c r="Q37" i="99"/>
  <c r="P37" i="99"/>
  <c r="O37" i="99"/>
  <c r="N37" i="99"/>
  <c r="M37" i="99"/>
  <c r="K37" i="99"/>
  <c r="G37" i="99"/>
  <c r="O36" i="99"/>
  <c r="K36" i="99"/>
  <c r="K13" i="98" s="1"/>
  <c r="I6" i="98" s="1"/>
  <c r="AB35" i="99"/>
  <c r="AA35" i="99"/>
  <c r="V35" i="99"/>
  <c r="U35" i="99"/>
  <c r="Q35" i="99"/>
  <c r="P35" i="99"/>
  <c r="O35" i="99"/>
  <c r="N35" i="99"/>
  <c r="M35" i="99"/>
  <c r="K35" i="99"/>
  <c r="G35" i="99"/>
  <c r="V34" i="99"/>
  <c r="U34" i="99"/>
  <c r="O34" i="99"/>
  <c r="M34" i="99"/>
  <c r="AA34" i="99" s="1"/>
  <c r="K34" i="99"/>
  <c r="G34" i="99"/>
  <c r="AB33" i="99"/>
  <c r="AA33" i="99"/>
  <c r="X33" i="99"/>
  <c r="W33" i="99"/>
  <c r="V33" i="99"/>
  <c r="U33" i="99"/>
  <c r="O33" i="99"/>
  <c r="N33" i="99"/>
  <c r="Q33" i="99" s="1"/>
  <c r="M33" i="99"/>
  <c r="K33" i="99"/>
  <c r="G33" i="99"/>
  <c r="AB32" i="99"/>
  <c r="AA32" i="99"/>
  <c r="V32" i="99"/>
  <c r="U32" i="99"/>
  <c r="O32" i="99"/>
  <c r="M32" i="99"/>
  <c r="N32" i="99" s="1"/>
  <c r="K32" i="99"/>
  <c r="G32" i="99"/>
  <c r="V31" i="99"/>
  <c r="U31" i="99"/>
  <c r="O31" i="99"/>
  <c r="M31" i="99"/>
  <c r="AB31" i="99" s="1"/>
  <c r="K31" i="99"/>
  <c r="G31" i="99"/>
  <c r="V30" i="99"/>
  <c r="M30" i="99" s="1"/>
  <c r="U30" i="99"/>
  <c r="O30" i="99"/>
  <c r="K30" i="99"/>
  <c r="G30" i="99"/>
  <c r="X29" i="99"/>
  <c r="W29" i="99"/>
  <c r="V29" i="99"/>
  <c r="O29" i="99"/>
  <c r="M29" i="99"/>
  <c r="K29" i="99"/>
  <c r="G29" i="99"/>
  <c r="O28" i="99"/>
  <c r="K28" i="99"/>
  <c r="AB27" i="99"/>
  <c r="AA27" i="99"/>
  <c r="V27" i="99"/>
  <c r="U27" i="99"/>
  <c r="O27" i="99"/>
  <c r="N27" i="99"/>
  <c r="Q27" i="99" s="1"/>
  <c r="M27" i="99"/>
  <c r="K27" i="99"/>
  <c r="G27" i="99"/>
  <c r="AB26" i="99"/>
  <c r="AA26" i="99"/>
  <c r="V26" i="99"/>
  <c r="U26" i="99"/>
  <c r="Q26" i="99"/>
  <c r="P26" i="99"/>
  <c r="O26" i="99"/>
  <c r="N26" i="99"/>
  <c r="M26" i="99"/>
  <c r="K26" i="99"/>
  <c r="G26" i="99"/>
  <c r="AB25" i="99"/>
  <c r="AA25" i="99"/>
  <c r="X25" i="99"/>
  <c r="W25" i="99"/>
  <c r="V25" i="99"/>
  <c r="U25" i="99"/>
  <c r="O25" i="99"/>
  <c r="M25" i="99"/>
  <c r="N25" i="99" s="1"/>
  <c r="K25" i="99"/>
  <c r="G25" i="99"/>
  <c r="V24" i="99"/>
  <c r="U24" i="99"/>
  <c r="O24" i="99"/>
  <c r="M24" i="99"/>
  <c r="AB24" i="99" s="1"/>
  <c r="K24" i="99"/>
  <c r="G24" i="99"/>
  <c r="AB23" i="99"/>
  <c r="AA23" i="99"/>
  <c r="V23" i="99"/>
  <c r="U23" i="99"/>
  <c r="Q23" i="99"/>
  <c r="O23" i="99"/>
  <c r="N23" i="99"/>
  <c r="P23" i="99" s="1"/>
  <c r="M23" i="99"/>
  <c r="K23" i="99"/>
  <c r="G23" i="99"/>
  <c r="AB22" i="99"/>
  <c r="AA22" i="99"/>
  <c r="V22" i="99"/>
  <c r="U22" i="99"/>
  <c r="O22" i="99"/>
  <c r="N22" i="99"/>
  <c r="P22" i="99" s="1"/>
  <c r="M22" i="99"/>
  <c r="K22" i="99"/>
  <c r="G22" i="99"/>
  <c r="V21" i="99"/>
  <c r="M21" i="99" s="1"/>
  <c r="U21" i="99"/>
  <c r="O21" i="99"/>
  <c r="K21" i="99"/>
  <c r="G21" i="99"/>
  <c r="AB20" i="99"/>
  <c r="AA20" i="99"/>
  <c r="V20" i="99"/>
  <c r="O20" i="99"/>
  <c r="N20" i="99"/>
  <c r="Q20" i="99" s="1"/>
  <c r="M20" i="99"/>
  <c r="K20" i="99"/>
  <c r="G20" i="99"/>
  <c r="O19" i="99"/>
  <c r="M19" i="99"/>
  <c r="AB19" i="99" s="1"/>
  <c r="AC13" i="99" s="1"/>
  <c r="K19" i="99"/>
  <c r="AB18" i="99"/>
  <c r="AA18" i="99"/>
  <c r="V18" i="99"/>
  <c r="U18" i="99"/>
  <c r="O18" i="99"/>
  <c r="N18" i="99"/>
  <c r="Q18" i="99" s="1"/>
  <c r="M18" i="99"/>
  <c r="K18" i="99"/>
  <c r="G18" i="99"/>
  <c r="AB17" i="99"/>
  <c r="AA17" i="99"/>
  <c r="X17" i="99"/>
  <c r="W17" i="99"/>
  <c r="V17" i="99"/>
  <c r="U17" i="99"/>
  <c r="Q17" i="99"/>
  <c r="P17" i="99"/>
  <c r="O17" i="99"/>
  <c r="N17" i="99"/>
  <c r="M17" i="99"/>
  <c r="K17" i="99"/>
  <c r="G17" i="99"/>
  <c r="AB16" i="99"/>
  <c r="AA16" i="99"/>
  <c r="V16" i="99"/>
  <c r="U16" i="99"/>
  <c r="O16" i="99"/>
  <c r="N16" i="99"/>
  <c r="P16" i="99" s="1"/>
  <c r="M16" i="99"/>
  <c r="K16" i="99"/>
  <c r="G16" i="99"/>
  <c r="AB15" i="99"/>
  <c r="AA15" i="99"/>
  <c r="V15" i="99"/>
  <c r="U15" i="99"/>
  <c r="O15" i="99"/>
  <c r="N15" i="99"/>
  <c r="Q15" i="99" s="1"/>
  <c r="M15" i="99"/>
  <c r="K15" i="99"/>
  <c r="G15" i="99"/>
  <c r="AB14" i="99"/>
  <c r="AA14" i="99"/>
  <c r="V14" i="99"/>
  <c r="U14" i="99"/>
  <c r="O14" i="99"/>
  <c r="M14" i="99"/>
  <c r="N14" i="99" s="1"/>
  <c r="K14" i="99"/>
  <c r="G14" i="99"/>
  <c r="AB13" i="99"/>
  <c r="AA13" i="99"/>
  <c r="X13" i="99"/>
  <c r="W13" i="99"/>
  <c r="V13" i="99"/>
  <c r="O13" i="99"/>
  <c r="N13" i="99"/>
  <c r="Q13" i="99" s="1"/>
  <c r="M13" i="99"/>
  <c r="K13" i="99"/>
  <c r="G13" i="99"/>
  <c r="AB12" i="99"/>
  <c r="O12" i="99"/>
  <c r="M12" i="99"/>
  <c r="AA12" i="99" s="1"/>
  <c r="K12" i="99"/>
  <c r="AB11" i="99"/>
  <c r="AA11" i="99"/>
  <c r="V11" i="99"/>
  <c r="U11" i="99"/>
  <c r="P11" i="99"/>
  <c r="O11" i="99"/>
  <c r="N11" i="99"/>
  <c r="Q11" i="99" s="1"/>
  <c r="M11" i="99"/>
  <c r="K11" i="99"/>
  <c r="G11" i="99"/>
  <c r="AC10" i="99"/>
  <c r="AB10" i="99"/>
  <c r="AA10" i="99"/>
  <c r="V10" i="99"/>
  <c r="Q10" i="99"/>
  <c r="P10" i="99"/>
  <c r="O10" i="99"/>
  <c r="N10" i="99"/>
  <c r="M10" i="99"/>
  <c r="K10" i="99"/>
  <c r="G10" i="99"/>
  <c r="O9" i="99"/>
  <c r="K9" i="99"/>
  <c r="AB8" i="99"/>
  <c r="AA8" i="99"/>
  <c r="V8" i="99"/>
  <c r="U8" i="99"/>
  <c r="O8" i="99"/>
  <c r="N8" i="99"/>
  <c r="Q8" i="99" s="1"/>
  <c r="M8" i="99"/>
  <c r="K8" i="99"/>
  <c r="G8" i="99"/>
  <c r="X7" i="99"/>
  <c r="W7" i="99"/>
  <c r="V7" i="99"/>
  <c r="U7" i="99"/>
  <c r="O7" i="99"/>
  <c r="M7" i="99"/>
  <c r="M9" i="99" s="1"/>
  <c r="K7" i="99"/>
  <c r="G7" i="99"/>
  <c r="AB6" i="99"/>
  <c r="AA6" i="99"/>
  <c r="V6" i="99"/>
  <c r="U6" i="99"/>
  <c r="Q6" i="99"/>
  <c r="O6" i="99"/>
  <c r="N6" i="99"/>
  <c r="P6" i="99" s="1"/>
  <c r="M6" i="99"/>
  <c r="K6" i="99"/>
  <c r="G6" i="99"/>
  <c r="F1" i="99" s="1"/>
  <c r="AB5" i="99"/>
  <c r="AA5" i="99"/>
  <c r="V5" i="99"/>
  <c r="O5" i="99"/>
  <c r="M5" i="99"/>
  <c r="N5" i="99" s="1"/>
  <c r="K5" i="99"/>
  <c r="G5" i="99"/>
  <c r="H2" i="99"/>
  <c r="H1" i="99"/>
  <c r="D1" i="99"/>
  <c r="M18" i="98"/>
  <c r="L18" i="98"/>
  <c r="K18" i="98"/>
  <c r="J18" i="98"/>
  <c r="I18" i="98"/>
  <c r="H18" i="98"/>
  <c r="G18" i="98"/>
  <c r="F18" i="98"/>
  <c r="E18" i="98"/>
  <c r="D18" i="98"/>
  <c r="M17" i="98"/>
  <c r="L17" i="98"/>
  <c r="K17" i="98"/>
  <c r="J17" i="98"/>
  <c r="I17" i="98"/>
  <c r="H17" i="98"/>
  <c r="G17" i="98"/>
  <c r="F17" i="98"/>
  <c r="E17" i="98"/>
  <c r="D17" i="98"/>
  <c r="M16" i="98"/>
  <c r="L16" i="98"/>
  <c r="K16" i="98"/>
  <c r="J16" i="98"/>
  <c r="I16" i="98"/>
  <c r="H16" i="98"/>
  <c r="G16" i="98"/>
  <c r="F16" i="98"/>
  <c r="E16" i="98"/>
  <c r="D16" i="98"/>
  <c r="M13" i="98"/>
  <c r="L13" i="98"/>
  <c r="J13" i="98"/>
  <c r="I13" i="98"/>
  <c r="H13" i="98"/>
  <c r="G13" i="98"/>
  <c r="F13" i="98"/>
  <c r="E13" i="98"/>
  <c r="D13" i="98"/>
  <c r="G6" i="98" s="1"/>
  <c r="F3" i="98"/>
  <c r="C3" i="98"/>
  <c r="E8" i="106" l="1"/>
  <c r="D15" i="104"/>
  <c r="G7" i="104"/>
  <c r="F7" i="104"/>
  <c r="E7" i="104"/>
  <c r="K15" i="104"/>
  <c r="I8" i="104" s="1"/>
  <c r="I7" i="104"/>
  <c r="P40" i="103"/>
  <c r="Q40" i="103"/>
  <c r="R31" i="103" s="1"/>
  <c r="K14" i="102"/>
  <c r="Q49" i="103"/>
  <c r="R41" i="103" s="1"/>
  <c r="P49" i="103"/>
  <c r="L14" i="102"/>
  <c r="L15" i="102" s="1"/>
  <c r="D2" i="103"/>
  <c r="Q9" i="103"/>
  <c r="R5" i="103" s="1"/>
  <c r="P9" i="103"/>
  <c r="D14" i="102"/>
  <c r="Q60" i="103"/>
  <c r="R50" i="103" s="1"/>
  <c r="P60" i="103"/>
  <c r="H14" i="102"/>
  <c r="H15" i="102" s="1"/>
  <c r="M14" i="102"/>
  <c r="M15" i="102" s="1"/>
  <c r="Q80" i="103"/>
  <c r="R72" i="103" s="1"/>
  <c r="P80" i="103"/>
  <c r="F14" i="102"/>
  <c r="F15" i="102" s="1"/>
  <c r="P19" i="103"/>
  <c r="Q19" i="103"/>
  <c r="R13" i="103" s="1"/>
  <c r="Q71" i="103"/>
  <c r="R67" i="103" s="1"/>
  <c r="P71" i="103"/>
  <c r="J14" i="102"/>
  <c r="J15" i="102" s="1"/>
  <c r="E14" i="102"/>
  <c r="E15" i="102" s="1"/>
  <c r="Q12" i="103"/>
  <c r="R10" i="103" s="1"/>
  <c r="P12" i="103"/>
  <c r="I14" i="102"/>
  <c r="I15" i="102" s="1"/>
  <c r="P66" i="103"/>
  <c r="Q66" i="103"/>
  <c r="R61" i="103" s="1"/>
  <c r="Q17" i="101"/>
  <c r="P17" i="101"/>
  <c r="P25" i="101"/>
  <c r="Q25" i="101"/>
  <c r="P7" i="101"/>
  <c r="Q7" i="101"/>
  <c r="Q31" i="101"/>
  <c r="R22" i="101" s="1"/>
  <c r="P31" i="101"/>
  <c r="G14" i="100"/>
  <c r="G15" i="100" s="1"/>
  <c r="Q82" i="101"/>
  <c r="P82" i="101"/>
  <c r="Q57" i="101"/>
  <c r="P57" i="101"/>
  <c r="P67" i="101"/>
  <c r="Q67" i="101"/>
  <c r="Q6" i="101"/>
  <c r="P6" i="101"/>
  <c r="Q48" i="101"/>
  <c r="P48" i="101"/>
  <c r="Q26" i="101"/>
  <c r="P26" i="101"/>
  <c r="AA14" i="101"/>
  <c r="N14" i="101"/>
  <c r="AB14" i="101"/>
  <c r="AC12" i="101" s="1"/>
  <c r="AB21" i="101"/>
  <c r="AC15" i="101" s="1"/>
  <c r="AA21" i="101"/>
  <c r="N21" i="101"/>
  <c r="Q41" i="101"/>
  <c r="P41" i="101"/>
  <c r="AA51" i="101"/>
  <c r="AB51" i="101"/>
  <c r="AC41" i="101" s="1"/>
  <c r="N51" i="101"/>
  <c r="Q74" i="101"/>
  <c r="P74" i="101"/>
  <c r="P47" i="101"/>
  <c r="Q47" i="101"/>
  <c r="N40" i="101"/>
  <c r="AA40" i="101"/>
  <c r="AB40" i="101"/>
  <c r="AC32" i="101" s="1"/>
  <c r="Q59" i="101"/>
  <c r="P59" i="101"/>
  <c r="Q69" i="101"/>
  <c r="R63" i="101" s="1"/>
  <c r="P69" i="101"/>
  <c r="I14" i="100"/>
  <c r="I15" i="100" s="1"/>
  <c r="P49" i="101"/>
  <c r="Q49" i="101"/>
  <c r="P33" i="101"/>
  <c r="Q33" i="101"/>
  <c r="P70" i="101"/>
  <c r="Q70" i="101"/>
  <c r="P52" i="101"/>
  <c r="Q52" i="101"/>
  <c r="Q45" i="101"/>
  <c r="P45" i="101"/>
  <c r="Q75" i="101"/>
  <c r="P75" i="101"/>
  <c r="AB11" i="101"/>
  <c r="AC5" i="101" s="1"/>
  <c r="AA11" i="101"/>
  <c r="N11" i="101"/>
  <c r="Q64" i="101"/>
  <c r="P64" i="101"/>
  <c r="Q43" i="101"/>
  <c r="P43" i="101"/>
  <c r="AB73" i="101"/>
  <c r="AC70" i="101" s="1"/>
  <c r="AA73" i="101"/>
  <c r="N73" i="101"/>
  <c r="P19" i="101"/>
  <c r="Q19" i="101"/>
  <c r="AB83" i="101"/>
  <c r="AC74" i="101" s="1"/>
  <c r="AA83" i="101"/>
  <c r="N83" i="101"/>
  <c r="Q39" i="101"/>
  <c r="P39" i="101"/>
  <c r="Q34" i="101"/>
  <c r="P34" i="101"/>
  <c r="Q77" i="101"/>
  <c r="P77" i="101"/>
  <c r="Q10" i="101"/>
  <c r="P10" i="101"/>
  <c r="H14" i="100"/>
  <c r="H15" i="100" s="1"/>
  <c r="P62" i="101"/>
  <c r="Q62" i="101"/>
  <c r="R52" i="101" s="1"/>
  <c r="Q61" i="101"/>
  <c r="P61" i="101"/>
  <c r="Q22" i="101"/>
  <c r="P22" i="101"/>
  <c r="Q81" i="101"/>
  <c r="P81" i="101"/>
  <c r="Q37" i="101"/>
  <c r="P37" i="101"/>
  <c r="P12" i="101"/>
  <c r="Q12" i="101"/>
  <c r="Q32" i="101"/>
  <c r="P32" i="101"/>
  <c r="Q23" i="101"/>
  <c r="P23" i="101"/>
  <c r="Q68" i="101"/>
  <c r="P68" i="101"/>
  <c r="Q71" i="101"/>
  <c r="P71" i="101"/>
  <c r="Q50" i="101"/>
  <c r="P50" i="101"/>
  <c r="F2" i="101"/>
  <c r="I3" i="100"/>
  <c r="Q16" i="101"/>
  <c r="P16" i="101"/>
  <c r="Q35" i="101"/>
  <c r="P35" i="101"/>
  <c r="P13" i="101"/>
  <c r="Q13" i="101"/>
  <c r="P53" i="101"/>
  <c r="Q53" i="101"/>
  <c r="Q55" i="101"/>
  <c r="P55" i="101"/>
  <c r="Q58" i="101"/>
  <c r="P58" i="101"/>
  <c r="Q27" i="101"/>
  <c r="P27" i="101"/>
  <c r="Q42" i="101"/>
  <c r="P42" i="101"/>
  <c r="Q9" i="101"/>
  <c r="P9" i="101"/>
  <c r="Q78" i="101"/>
  <c r="P78" i="101"/>
  <c r="Q24" i="101"/>
  <c r="P24" i="101"/>
  <c r="P79" i="101"/>
  <c r="Q79" i="101"/>
  <c r="Q46" i="101"/>
  <c r="P46" i="101"/>
  <c r="Q8" i="101"/>
  <c r="P8" i="101"/>
  <c r="I3" i="98"/>
  <c r="F2" i="99"/>
  <c r="Q41" i="99"/>
  <c r="P41" i="99"/>
  <c r="Q48" i="99"/>
  <c r="P48" i="99"/>
  <c r="Q59" i="99"/>
  <c r="P59" i="99"/>
  <c r="Q32" i="99"/>
  <c r="P32" i="99"/>
  <c r="Q14" i="99"/>
  <c r="P14" i="99"/>
  <c r="Q70" i="99"/>
  <c r="P70" i="99"/>
  <c r="N21" i="99"/>
  <c r="AB21" i="99"/>
  <c r="AA21" i="99"/>
  <c r="M28" i="99"/>
  <c r="M36" i="99"/>
  <c r="N53" i="99"/>
  <c r="AB53" i="99"/>
  <c r="AA53" i="99"/>
  <c r="AB30" i="99"/>
  <c r="N30" i="99"/>
  <c r="AA30" i="99"/>
  <c r="P52" i="99"/>
  <c r="Q52" i="99"/>
  <c r="N9" i="99"/>
  <c r="AA9" i="99"/>
  <c r="AB9" i="99"/>
  <c r="AC5" i="99" s="1"/>
  <c r="AB57" i="99"/>
  <c r="AA57" i="99"/>
  <c r="N57" i="99"/>
  <c r="M62" i="99"/>
  <c r="Q5" i="99"/>
  <c r="P5" i="99"/>
  <c r="Q25" i="99"/>
  <c r="P25" i="99"/>
  <c r="N7" i="99"/>
  <c r="P20" i="99"/>
  <c r="P27" i="99"/>
  <c r="P43" i="99"/>
  <c r="P65" i="99"/>
  <c r="Q16" i="99"/>
  <c r="N45" i="99"/>
  <c r="N67" i="99"/>
  <c r="P38" i="99"/>
  <c r="N31" i="99"/>
  <c r="AA7" i="99"/>
  <c r="Q22" i="99"/>
  <c r="AB34" i="99"/>
  <c r="AB45" i="99"/>
  <c r="AC37" i="99" s="1"/>
  <c r="Q54" i="99"/>
  <c r="AB67" i="99"/>
  <c r="AC63" i="99" s="1"/>
  <c r="AB7" i="99"/>
  <c r="AA29" i="99"/>
  <c r="AA52" i="99"/>
  <c r="P15" i="99"/>
  <c r="AB29" i="99"/>
  <c r="P33" i="99"/>
  <c r="P49" i="99"/>
  <c r="AB52" i="99"/>
  <c r="P71" i="99"/>
  <c r="N29" i="99"/>
  <c r="AA69" i="99"/>
  <c r="M75" i="99"/>
  <c r="N34" i="99"/>
  <c r="P50" i="99"/>
  <c r="P63" i="99"/>
  <c r="N58" i="99"/>
  <c r="AB61" i="99"/>
  <c r="P8" i="99"/>
  <c r="P44" i="99"/>
  <c r="P66" i="99"/>
  <c r="P13" i="99"/>
  <c r="P18" i="99"/>
  <c r="M56" i="99"/>
  <c r="N47" i="99"/>
  <c r="N69" i="99"/>
  <c r="AA31" i="99"/>
  <c r="AA47" i="99"/>
  <c r="N24" i="99"/>
  <c r="N40" i="99"/>
  <c r="F6" i="98"/>
  <c r="AA19" i="99"/>
  <c r="P61" i="99"/>
  <c r="N19" i="99"/>
  <c r="AA24" i="99"/>
  <c r="AA40" i="99"/>
  <c r="AA58" i="99"/>
  <c r="N12" i="99"/>
  <c r="E6" i="98"/>
  <c r="O66" i="97"/>
  <c r="K66" i="97"/>
  <c r="M13" i="96" s="1"/>
  <c r="I6" i="96" s="1"/>
  <c r="AB65" i="97"/>
  <c r="AA65" i="97"/>
  <c r="V65" i="97"/>
  <c r="U65" i="97"/>
  <c r="O65" i="97"/>
  <c r="M65" i="97"/>
  <c r="N65" i="97" s="1"/>
  <c r="K65" i="97"/>
  <c r="G65" i="97"/>
  <c r="AB64" i="97"/>
  <c r="AA64" i="97"/>
  <c r="V64" i="97"/>
  <c r="U64" i="97"/>
  <c r="O64" i="97"/>
  <c r="M64" i="97"/>
  <c r="N64" i="97" s="1"/>
  <c r="K64" i="97"/>
  <c r="G64" i="97"/>
  <c r="X63" i="97"/>
  <c r="W63" i="97"/>
  <c r="V63" i="97"/>
  <c r="U63" i="97"/>
  <c r="O63" i="97"/>
  <c r="M63" i="97"/>
  <c r="N63" i="97" s="1"/>
  <c r="K63" i="97"/>
  <c r="G63" i="97"/>
  <c r="AB62" i="97"/>
  <c r="AA62" i="97"/>
  <c r="V62" i="97"/>
  <c r="U62" i="97"/>
  <c r="O62" i="97"/>
  <c r="M62" i="97"/>
  <c r="N62" i="97" s="1"/>
  <c r="K62" i="97"/>
  <c r="G62" i="97"/>
  <c r="AA61" i="97"/>
  <c r="V61" i="97"/>
  <c r="U61" i="97"/>
  <c r="O61" i="97"/>
  <c r="M61" i="97"/>
  <c r="N61" i="97" s="1"/>
  <c r="K61" i="97"/>
  <c r="G61" i="97"/>
  <c r="V60" i="97"/>
  <c r="M60" i="97" s="1"/>
  <c r="U60" i="97"/>
  <c r="O60" i="97"/>
  <c r="K60" i="97"/>
  <c r="G60" i="97"/>
  <c r="V59" i="97"/>
  <c r="M59" i="97" s="1"/>
  <c r="U59" i="97"/>
  <c r="O59" i="97"/>
  <c r="K59" i="97"/>
  <c r="G59" i="97"/>
  <c r="AB58" i="97"/>
  <c r="X58" i="97"/>
  <c r="W58" i="97"/>
  <c r="V58" i="97"/>
  <c r="O58" i="97"/>
  <c r="M58" i="97"/>
  <c r="N58" i="97" s="1"/>
  <c r="K58" i="97"/>
  <c r="G58" i="97"/>
  <c r="O57" i="97"/>
  <c r="K57" i="97"/>
  <c r="V56" i="97"/>
  <c r="U56" i="97"/>
  <c r="O56" i="97"/>
  <c r="M56" i="97"/>
  <c r="AA56" i="97" s="1"/>
  <c r="K56" i="97"/>
  <c r="G56" i="97"/>
  <c r="AB55" i="97"/>
  <c r="AA55" i="97"/>
  <c r="V55" i="97"/>
  <c r="U55" i="97"/>
  <c r="Q55" i="97"/>
  <c r="O55" i="97"/>
  <c r="N55" i="97"/>
  <c r="P55" i="97" s="1"/>
  <c r="M55" i="97"/>
  <c r="K55" i="97"/>
  <c r="G55" i="97"/>
  <c r="V54" i="97"/>
  <c r="U54" i="97"/>
  <c r="O54" i="97"/>
  <c r="M54" i="97"/>
  <c r="AA54" i="97" s="1"/>
  <c r="K54" i="97"/>
  <c r="G54" i="97"/>
  <c r="V53" i="97"/>
  <c r="O53" i="97"/>
  <c r="M53" i="97"/>
  <c r="AA53" i="97" s="1"/>
  <c r="K53" i="97"/>
  <c r="G53" i="97"/>
  <c r="O52" i="97"/>
  <c r="K52" i="97"/>
  <c r="AA51" i="97"/>
  <c r="V51" i="97"/>
  <c r="U51" i="97"/>
  <c r="O51" i="97"/>
  <c r="M51" i="97"/>
  <c r="N51" i="97" s="1"/>
  <c r="K51" i="97"/>
  <c r="G51" i="97"/>
  <c r="V50" i="97"/>
  <c r="M50" i="97" s="1"/>
  <c r="U50" i="97"/>
  <c r="O50" i="97"/>
  <c r="K50" i="97"/>
  <c r="G50" i="97"/>
  <c r="V49" i="97"/>
  <c r="M49" i="97" s="1"/>
  <c r="U49" i="97"/>
  <c r="O49" i="97"/>
  <c r="K49" i="97"/>
  <c r="G49" i="97"/>
  <c r="V48" i="97"/>
  <c r="M48" i="97" s="1"/>
  <c r="O48" i="97"/>
  <c r="K48" i="97"/>
  <c r="G48" i="97"/>
  <c r="O47" i="97"/>
  <c r="K47" i="97"/>
  <c r="V46" i="97"/>
  <c r="U46" i="97"/>
  <c r="O46" i="97"/>
  <c r="M46" i="97"/>
  <c r="AA46" i="97" s="1"/>
  <c r="K46" i="97"/>
  <c r="G46" i="97"/>
  <c r="AB45" i="97"/>
  <c r="V45" i="97"/>
  <c r="U45" i="97"/>
  <c r="O45" i="97"/>
  <c r="M45" i="97"/>
  <c r="N45" i="97" s="1"/>
  <c r="K45" i="97"/>
  <c r="G45" i="97"/>
  <c r="V44" i="97"/>
  <c r="M44" i="97" s="1"/>
  <c r="U44" i="97"/>
  <c r="O44" i="97"/>
  <c r="K44" i="97"/>
  <c r="G44" i="97"/>
  <c r="AB43" i="97"/>
  <c r="AA43" i="97"/>
  <c r="X43" i="97"/>
  <c r="W43" i="97"/>
  <c r="V43" i="97"/>
  <c r="U43" i="97"/>
  <c r="O43" i="97"/>
  <c r="M43" i="97"/>
  <c r="N43" i="97" s="1"/>
  <c r="K43" i="97"/>
  <c r="G43" i="97"/>
  <c r="V42" i="97"/>
  <c r="M42" i="97" s="1"/>
  <c r="U42" i="97"/>
  <c r="O42" i="97"/>
  <c r="K42" i="97"/>
  <c r="G42" i="97"/>
  <c r="AB41" i="97"/>
  <c r="AA41" i="97"/>
  <c r="V41" i="97"/>
  <c r="U41" i="97"/>
  <c r="O41" i="97"/>
  <c r="M41" i="97"/>
  <c r="N41" i="97" s="1"/>
  <c r="K41" i="97"/>
  <c r="G41" i="97"/>
  <c r="AB40" i="97"/>
  <c r="AA40" i="97"/>
  <c r="V40" i="97"/>
  <c r="U40" i="97"/>
  <c r="O40" i="97"/>
  <c r="M40" i="97"/>
  <c r="N40" i="97" s="1"/>
  <c r="K40" i="97"/>
  <c r="G40" i="97"/>
  <c r="AA39" i="97"/>
  <c r="V39" i="97"/>
  <c r="U39" i="97"/>
  <c r="O39" i="97"/>
  <c r="M39" i="97"/>
  <c r="N39" i="97" s="1"/>
  <c r="K39" i="97"/>
  <c r="G39" i="97"/>
  <c r="V38" i="97"/>
  <c r="M38" i="97" s="1"/>
  <c r="U38" i="97"/>
  <c r="O38" i="97"/>
  <c r="K38" i="97"/>
  <c r="G38" i="97"/>
  <c r="X37" i="97"/>
  <c r="W37" i="97"/>
  <c r="V37" i="97"/>
  <c r="O37" i="97"/>
  <c r="M37" i="97"/>
  <c r="N37" i="97" s="1"/>
  <c r="K37" i="97"/>
  <c r="G37" i="97"/>
  <c r="O36" i="97"/>
  <c r="K36" i="97"/>
  <c r="V35" i="97"/>
  <c r="U35" i="97"/>
  <c r="O35" i="97"/>
  <c r="M35" i="97"/>
  <c r="AB35" i="97" s="1"/>
  <c r="K35" i="97"/>
  <c r="G35" i="97"/>
  <c r="V34" i="97"/>
  <c r="U34" i="97"/>
  <c r="O34" i="97"/>
  <c r="M34" i="97"/>
  <c r="AA34" i="97" s="1"/>
  <c r="K34" i="97"/>
  <c r="G34" i="97"/>
  <c r="AB33" i="97"/>
  <c r="AA33" i="97"/>
  <c r="V33" i="97"/>
  <c r="U33" i="97"/>
  <c r="O33" i="97"/>
  <c r="N33" i="97"/>
  <c r="Q33" i="97" s="1"/>
  <c r="M33" i="97"/>
  <c r="K33" i="97"/>
  <c r="G33" i="97"/>
  <c r="V32" i="97"/>
  <c r="U32" i="97"/>
  <c r="O32" i="97"/>
  <c r="M32" i="97"/>
  <c r="AA32" i="97" s="1"/>
  <c r="K32" i="97"/>
  <c r="G32" i="97"/>
  <c r="AB31" i="97"/>
  <c r="V31" i="97"/>
  <c r="U31" i="97"/>
  <c r="O31" i="97"/>
  <c r="M31" i="97"/>
  <c r="N31" i="97" s="1"/>
  <c r="K31" i="97"/>
  <c r="G31" i="97"/>
  <c r="V30" i="97"/>
  <c r="M30" i="97" s="1"/>
  <c r="U30" i="97"/>
  <c r="O30" i="97"/>
  <c r="K30" i="97"/>
  <c r="G30" i="97"/>
  <c r="AB29" i="97"/>
  <c r="AA29" i="97"/>
  <c r="X29" i="97"/>
  <c r="W29" i="97"/>
  <c r="V29" i="97"/>
  <c r="O29" i="97"/>
  <c r="M29" i="97"/>
  <c r="K29" i="97"/>
  <c r="G29" i="97"/>
  <c r="O28" i="97"/>
  <c r="K28" i="97"/>
  <c r="AA27" i="97"/>
  <c r="V27" i="97"/>
  <c r="U27" i="97"/>
  <c r="O27" i="97"/>
  <c r="M27" i="97"/>
  <c r="N27" i="97" s="1"/>
  <c r="K27" i="97"/>
  <c r="G27" i="97"/>
  <c r="V26" i="97"/>
  <c r="M26" i="97" s="1"/>
  <c r="U26" i="97"/>
  <c r="O26" i="97"/>
  <c r="K26" i="97"/>
  <c r="G26" i="97"/>
  <c r="AB25" i="97"/>
  <c r="X25" i="97"/>
  <c r="W25" i="97"/>
  <c r="V25" i="97"/>
  <c r="U25" i="97"/>
  <c r="O25" i="97"/>
  <c r="M25" i="97"/>
  <c r="N25" i="97" s="1"/>
  <c r="K25" i="97"/>
  <c r="G25" i="97"/>
  <c r="V24" i="97"/>
  <c r="M24" i="97" s="1"/>
  <c r="U24" i="97"/>
  <c r="O24" i="97"/>
  <c r="K24" i="97"/>
  <c r="G24" i="97"/>
  <c r="V23" i="97"/>
  <c r="M23" i="97" s="1"/>
  <c r="U23" i="97"/>
  <c r="O23" i="97"/>
  <c r="K23" i="97"/>
  <c r="G23" i="97"/>
  <c r="AB22" i="97"/>
  <c r="AA22" i="97"/>
  <c r="V22" i="97"/>
  <c r="U22" i="97"/>
  <c r="O22" i="97"/>
  <c r="N22" i="97"/>
  <c r="Q22" i="97" s="1"/>
  <c r="M22" i="97"/>
  <c r="K22" i="97"/>
  <c r="G22" i="97"/>
  <c r="X21" i="97"/>
  <c r="W21" i="97"/>
  <c r="V21" i="97"/>
  <c r="M21" i="97" s="1"/>
  <c r="O21" i="97"/>
  <c r="K21" i="97"/>
  <c r="G21" i="97"/>
  <c r="O20" i="97"/>
  <c r="M20" i="97"/>
  <c r="AB20" i="97" s="1"/>
  <c r="AC16" i="97" s="1"/>
  <c r="K20" i="97"/>
  <c r="AB19" i="97"/>
  <c r="AA19" i="97"/>
  <c r="V19" i="97"/>
  <c r="U19" i="97"/>
  <c r="O19" i="97"/>
  <c r="N19" i="97"/>
  <c r="Q19" i="97" s="1"/>
  <c r="M19" i="97"/>
  <c r="K19" i="97"/>
  <c r="G19" i="97"/>
  <c r="V18" i="97"/>
  <c r="U18" i="97"/>
  <c r="O18" i="97"/>
  <c r="M18" i="97"/>
  <c r="AA18" i="97" s="1"/>
  <c r="K18" i="97"/>
  <c r="G18" i="97"/>
  <c r="AB17" i="97"/>
  <c r="V17" i="97"/>
  <c r="U17" i="97"/>
  <c r="O17" i="97"/>
  <c r="M17" i="97"/>
  <c r="N17" i="97" s="1"/>
  <c r="K17" i="97"/>
  <c r="G17" i="97"/>
  <c r="AB16" i="97"/>
  <c r="V16" i="97"/>
  <c r="O16" i="97"/>
  <c r="M16" i="97"/>
  <c r="N16" i="97" s="1"/>
  <c r="K16" i="97"/>
  <c r="G16" i="97"/>
  <c r="O15" i="97"/>
  <c r="K15" i="97"/>
  <c r="V14" i="97"/>
  <c r="M14" i="97" s="1"/>
  <c r="U14" i="97"/>
  <c r="O14" i="97"/>
  <c r="K14" i="97"/>
  <c r="G14" i="97"/>
  <c r="V13" i="97"/>
  <c r="M13" i="97" s="1"/>
  <c r="U13" i="97"/>
  <c r="O13" i="97"/>
  <c r="K13" i="97"/>
  <c r="G13" i="97"/>
  <c r="AB12" i="97"/>
  <c r="AA12" i="97"/>
  <c r="V12" i="97"/>
  <c r="U12" i="97"/>
  <c r="O12" i="97"/>
  <c r="N12" i="97"/>
  <c r="Q12" i="97" s="1"/>
  <c r="M12" i="97"/>
  <c r="K12" i="97"/>
  <c r="G12" i="97"/>
  <c r="V11" i="97"/>
  <c r="U11" i="97"/>
  <c r="O11" i="97"/>
  <c r="M11" i="97"/>
  <c r="AB11" i="97" s="1"/>
  <c r="K11" i="97"/>
  <c r="G11" i="97"/>
  <c r="X10" i="97"/>
  <c r="W10" i="97"/>
  <c r="V10" i="97"/>
  <c r="M10" i="97" s="1"/>
  <c r="O10" i="97"/>
  <c r="K10" i="97"/>
  <c r="G10" i="97"/>
  <c r="O9" i="97"/>
  <c r="M9" i="97"/>
  <c r="AB9" i="97" s="1"/>
  <c r="AC7" i="97" s="1"/>
  <c r="K9" i="97"/>
  <c r="V8" i="97"/>
  <c r="U8" i="97"/>
  <c r="O8" i="97"/>
  <c r="M8" i="97"/>
  <c r="AA8" i="97" s="1"/>
  <c r="K8" i="97"/>
  <c r="G8" i="97"/>
  <c r="V7" i="97"/>
  <c r="O7" i="97"/>
  <c r="M7" i="97"/>
  <c r="AA7" i="97" s="1"/>
  <c r="K7" i="97"/>
  <c r="G7" i="97"/>
  <c r="AB6" i="97"/>
  <c r="AC5" i="97" s="1"/>
  <c r="O6" i="97"/>
  <c r="M6" i="97"/>
  <c r="N6" i="97" s="1"/>
  <c r="K6" i="97"/>
  <c r="AB5" i="97"/>
  <c r="AA5" i="97"/>
  <c r="V5" i="97"/>
  <c r="O5" i="97"/>
  <c r="M5" i="97"/>
  <c r="N5" i="97" s="1"/>
  <c r="K5" i="97"/>
  <c r="G5" i="97"/>
  <c r="H2" i="97"/>
  <c r="H1" i="97"/>
  <c r="F1" i="97"/>
  <c r="I3" i="96" s="1"/>
  <c r="D1" i="97"/>
  <c r="M18" i="96"/>
  <c r="L18" i="96"/>
  <c r="K18" i="96"/>
  <c r="J18" i="96"/>
  <c r="I18" i="96"/>
  <c r="H18" i="96"/>
  <c r="G18" i="96"/>
  <c r="F18" i="96"/>
  <c r="E18" i="96"/>
  <c r="D18" i="96"/>
  <c r="M17" i="96"/>
  <c r="L17" i="96"/>
  <c r="K17" i="96"/>
  <c r="J17" i="96"/>
  <c r="I17" i="96"/>
  <c r="H17" i="96"/>
  <c r="G17" i="96"/>
  <c r="F17" i="96"/>
  <c r="E17" i="96"/>
  <c r="D17" i="96"/>
  <c r="M16" i="96"/>
  <c r="L16" i="96"/>
  <c r="K16" i="96"/>
  <c r="J16" i="96"/>
  <c r="I16" i="96"/>
  <c r="H16" i="96"/>
  <c r="G16" i="96"/>
  <c r="F16" i="96"/>
  <c r="E16" i="96"/>
  <c r="D16" i="96"/>
  <c r="L13" i="96"/>
  <c r="K13" i="96"/>
  <c r="J13" i="96"/>
  <c r="I13" i="96"/>
  <c r="H13" i="96"/>
  <c r="G13" i="96"/>
  <c r="F13" i="96"/>
  <c r="E13" i="96"/>
  <c r="D13" i="96"/>
  <c r="G6" i="96" s="1"/>
  <c r="F3" i="96"/>
  <c r="C3" i="96"/>
  <c r="G8" i="104" l="1"/>
  <c r="E8" i="104"/>
  <c r="F8" i="104"/>
  <c r="G7" i="102"/>
  <c r="D15" i="102"/>
  <c r="E7" i="102"/>
  <c r="F7" i="102"/>
  <c r="I7" i="102"/>
  <c r="K15" i="102"/>
  <c r="I8" i="102" s="1"/>
  <c r="P40" i="101"/>
  <c r="K14" i="100"/>
  <c r="Q40" i="101"/>
  <c r="R32" i="101" s="1"/>
  <c r="Q83" i="101"/>
  <c r="R74" i="101" s="1"/>
  <c r="P83" i="101"/>
  <c r="M14" i="100"/>
  <c r="M15" i="100" s="1"/>
  <c r="Q21" i="101"/>
  <c r="R15" i="101" s="1"/>
  <c r="F14" i="100"/>
  <c r="F15" i="100" s="1"/>
  <c r="P21" i="101"/>
  <c r="Q14" i="101"/>
  <c r="R12" i="101" s="1"/>
  <c r="P14" i="101"/>
  <c r="E14" i="100"/>
  <c r="E15" i="100" s="1"/>
  <c r="Q11" i="101"/>
  <c r="R5" i="101" s="1"/>
  <c r="P11" i="101"/>
  <c r="D14" i="100"/>
  <c r="D2" i="101"/>
  <c r="L14" i="100"/>
  <c r="L15" i="100" s="1"/>
  <c r="Q51" i="101"/>
  <c r="R41" i="101" s="1"/>
  <c r="P51" i="101"/>
  <c r="J14" i="100"/>
  <c r="J15" i="100" s="1"/>
  <c r="Q73" i="101"/>
  <c r="R70" i="101" s="1"/>
  <c r="P73" i="101"/>
  <c r="Q53" i="99"/>
  <c r="P53" i="99"/>
  <c r="Q69" i="99"/>
  <c r="P69" i="99"/>
  <c r="P7" i="99"/>
  <c r="Q7" i="99"/>
  <c r="AA36" i="99"/>
  <c r="AB36" i="99"/>
  <c r="AC29" i="99" s="1"/>
  <c r="N36" i="99"/>
  <c r="Q47" i="99"/>
  <c r="P47" i="99"/>
  <c r="AB28" i="99"/>
  <c r="AC20" i="99" s="1"/>
  <c r="AA28" i="99"/>
  <c r="N28" i="99"/>
  <c r="N56" i="99"/>
  <c r="AB56" i="99"/>
  <c r="AC46" i="99" s="1"/>
  <c r="AA56" i="99"/>
  <c r="Q21" i="99"/>
  <c r="P21" i="99"/>
  <c r="AA62" i="99"/>
  <c r="AB62" i="99"/>
  <c r="AC57" i="99" s="1"/>
  <c r="N62" i="99"/>
  <c r="Q57" i="99"/>
  <c r="P57" i="99"/>
  <c r="Q12" i="99"/>
  <c r="R10" i="99" s="1"/>
  <c r="P12" i="99"/>
  <c r="E14" i="98"/>
  <c r="E15" i="98" s="1"/>
  <c r="Q58" i="99"/>
  <c r="P58" i="99"/>
  <c r="Q31" i="99"/>
  <c r="P31" i="99"/>
  <c r="D14" i="98"/>
  <c r="Q9" i="99"/>
  <c r="R5" i="99" s="1"/>
  <c r="P9" i="99"/>
  <c r="D2" i="99"/>
  <c r="Q19" i="99"/>
  <c r="R13" i="99" s="1"/>
  <c r="P19" i="99"/>
  <c r="F14" i="98"/>
  <c r="F15" i="98" s="1"/>
  <c r="P34" i="99"/>
  <c r="Q34" i="99"/>
  <c r="AB75" i="99"/>
  <c r="AC68" i="99" s="1"/>
  <c r="N75" i="99"/>
  <c r="AA75" i="99"/>
  <c r="Q67" i="99"/>
  <c r="R63" i="99" s="1"/>
  <c r="P67" i="99"/>
  <c r="J14" i="98"/>
  <c r="J15" i="98" s="1"/>
  <c r="Q45" i="99"/>
  <c r="R37" i="99" s="1"/>
  <c r="L14" i="98"/>
  <c r="L15" i="98" s="1"/>
  <c r="P45" i="99"/>
  <c r="P29" i="99"/>
  <c r="Q29" i="99"/>
  <c r="Q30" i="99"/>
  <c r="P30" i="99"/>
  <c r="Q40" i="99"/>
  <c r="P40" i="99"/>
  <c r="Q24" i="99"/>
  <c r="P24" i="99"/>
  <c r="Q25" i="97"/>
  <c r="P25" i="97"/>
  <c r="M52" i="97"/>
  <c r="AB48" i="97"/>
  <c r="AA48" i="97"/>
  <c r="N48" i="97"/>
  <c r="Q63" i="97"/>
  <c r="P63" i="97"/>
  <c r="Q39" i="97"/>
  <c r="P39" i="97"/>
  <c r="AB59" i="97"/>
  <c r="AA59" i="97"/>
  <c r="N59" i="97"/>
  <c r="AB42" i="97"/>
  <c r="N42" i="97"/>
  <c r="AA42" i="97"/>
  <c r="Q65" i="97"/>
  <c r="P65" i="97"/>
  <c r="Q6" i="97"/>
  <c r="R5" i="97" s="1"/>
  <c r="P6" i="97"/>
  <c r="D14" i="96"/>
  <c r="N21" i="97"/>
  <c r="AB21" i="97"/>
  <c r="M28" i="97"/>
  <c r="AA21" i="97"/>
  <c r="Q31" i="97"/>
  <c r="P31" i="97"/>
  <c r="Q27" i="97"/>
  <c r="P27" i="97"/>
  <c r="Q16" i="97"/>
  <c r="P16" i="97"/>
  <c r="AB23" i="97"/>
  <c r="AA23" i="97"/>
  <c r="N23" i="97"/>
  <c r="Q41" i="97"/>
  <c r="P41" i="97"/>
  <c r="Q43" i="97"/>
  <c r="P43" i="97"/>
  <c r="N60" i="97"/>
  <c r="AB60" i="97"/>
  <c r="AA60" i="97"/>
  <c r="AA10" i="97"/>
  <c r="AB10" i="97"/>
  <c r="M15" i="97"/>
  <c r="N10" i="97"/>
  <c r="P40" i="97"/>
  <c r="Q40" i="97"/>
  <c r="Q45" i="97"/>
  <c r="P45" i="97"/>
  <c r="P64" i="97"/>
  <c r="Q64" i="97"/>
  <c r="N24" i="97"/>
  <c r="AB24" i="97"/>
  <c r="AA24" i="97"/>
  <c r="Q61" i="97"/>
  <c r="P61" i="97"/>
  <c r="P37" i="97"/>
  <c r="Q37" i="97"/>
  <c r="Q51" i="97"/>
  <c r="P51" i="97"/>
  <c r="Q58" i="97"/>
  <c r="P58" i="97"/>
  <c r="P62" i="97"/>
  <c r="Q62" i="97"/>
  <c r="N44" i="97"/>
  <c r="AA44" i="97"/>
  <c r="AB44" i="97"/>
  <c r="AB49" i="97"/>
  <c r="AA49" i="97"/>
  <c r="N49" i="97"/>
  <c r="P5" i="97"/>
  <c r="Q5" i="97"/>
  <c r="AB13" i="97"/>
  <c r="AA13" i="97"/>
  <c r="N13" i="97"/>
  <c r="P17" i="97"/>
  <c r="Q17" i="97"/>
  <c r="N30" i="97"/>
  <c r="AA30" i="97"/>
  <c r="AB30" i="97"/>
  <c r="N38" i="97"/>
  <c r="M47" i="97"/>
  <c r="AB38" i="97"/>
  <c r="AA38" i="97"/>
  <c r="N50" i="97"/>
  <c r="AB50" i="97"/>
  <c r="AA50" i="97"/>
  <c r="N14" i="97"/>
  <c r="AB14" i="97"/>
  <c r="AA14" i="97"/>
  <c r="N26" i="97"/>
  <c r="AB26" i="97"/>
  <c r="AA26" i="97"/>
  <c r="M36" i="97"/>
  <c r="AA6" i="97"/>
  <c r="AB7" i="97"/>
  <c r="AB8" i="97"/>
  <c r="AA16" i="97"/>
  <c r="AA17" i="97"/>
  <c r="AB18" i="97"/>
  <c r="AA31" i="97"/>
  <c r="AB32" i="97"/>
  <c r="AA45" i="97"/>
  <c r="AB46" i="97"/>
  <c r="AB53" i="97"/>
  <c r="AB54" i="97"/>
  <c r="M57" i="97"/>
  <c r="E6" i="96"/>
  <c r="F6" i="96"/>
  <c r="N11" i="97"/>
  <c r="N20" i="97"/>
  <c r="N35" i="97"/>
  <c r="N9" i="97"/>
  <c r="P12" i="97"/>
  <c r="P22" i="97"/>
  <c r="N34" i="97"/>
  <c r="N56" i="97"/>
  <c r="F2" i="97"/>
  <c r="AA63" i="97"/>
  <c r="N7" i="97"/>
  <c r="N8" i="97"/>
  <c r="N18" i="97"/>
  <c r="AB27" i="97"/>
  <c r="N29" i="97"/>
  <c r="N32" i="97"/>
  <c r="AA37" i="97"/>
  <c r="AB39" i="97"/>
  <c r="N46" i="97"/>
  <c r="AB51" i="97"/>
  <c r="N53" i="97"/>
  <c r="N54" i="97"/>
  <c r="AB61" i="97"/>
  <c r="AB63" i="97"/>
  <c r="M66" i="97"/>
  <c r="P19" i="97"/>
  <c r="AA20" i="97"/>
  <c r="AA25" i="97"/>
  <c r="P33" i="97"/>
  <c r="AB37" i="97"/>
  <c r="AA58" i="97"/>
  <c r="AA9" i="97"/>
  <c r="AA35" i="97"/>
  <c r="AB34" i="97"/>
  <c r="AB56" i="97"/>
  <c r="AA11" i="97"/>
  <c r="O66" i="95"/>
  <c r="M66" i="95"/>
  <c r="N66" i="95" s="1"/>
  <c r="K66" i="95"/>
  <c r="V65" i="95"/>
  <c r="U65" i="95"/>
  <c r="O65" i="95"/>
  <c r="N65" i="95"/>
  <c r="Q65" i="95" s="1"/>
  <c r="M65" i="95"/>
  <c r="K65" i="95"/>
  <c r="G65" i="95"/>
  <c r="AB64" i="95"/>
  <c r="X64" i="95"/>
  <c r="W64" i="95"/>
  <c r="V64" i="95"/>
  <c r="M64" i="95" s="1"/>
  <c r="U64" i="95"/>
  <c r="O64" i="95"/>
  <c r="K64" i="95"/>
  <c r="G64" i="95"/>
  <c r="AB63" i="95"/>
  <c r="AA63" i="95"/>
  <c r="V63" i="95"/>
  <c r="M63" i="95" s="1"/>
  <c r="U63" i="95"/>
  <c r="O63" i="95"/>
  <c r="N63" i="95"/>
  <c r="P63" i="95" s="1"/>
  <c r="K63" i="95"/>
  <c r="G63" i="95"/>
  <c r="AB62" i="95"/>
  <c r="AA62" i="95"/>
  <c r="V62" i="95"/>
  <c r="U62" i="95"/>
  <c r="O62" i="95"/>
  <c r="M62" i="95"/>
  <c r="N62" i="95" s="1"/>
  <c r="K62" i="95"/>
  <c r="G62" i="95"/>
  <c r="AB61" i="95"/>
  <c r="AA61" i="95"/>
  <c r="V61" i="95"/>
  <c r="M61" i="95" s="1"/>
  <c r="N61" i="95" s="1"/>
  <c r="U61" i="95"/>
  <c r="Q61" i="95"/>
  <c r="P61" i="95"/>
  <c r="O61" i="95"/>
  <c r="K61" i="95"/>
  <c r="G61" i="95"/>
  <c r="AB60" i="95"/>
  <c r="AA60" i="95"/>
  <c r="V60" i="95"/>
  <c r="U60" i="95"/>
  <c r="O60" i="95"/>
  <c r="N60" i="95"/>
  <c r="M60" i="95"/>
  <c r="K60" i="95"/>
  <c r="G60" i="95"/>
  <c r="AB59" i="95"/>
  <c r="AA59" i="95"/>
  <c r="V59" i="95"/>
  <c r="U59" i="95"/>
  <c r="O59" i="95"/>
  <c r="N59" i="95"/>
  <c r="M59" i="95"/>
  <c r="K59" i="95"/>
  <c r="G59" i="95"/>
  <c r="X58" i="95"/>
  <c r="W58" i="95"/>
  <c r="V58" i="95"/>
  <c r="Q58" i="95"/>
  <c r="P58" i="95"/>
  <c r="O58" i="95"/>
  <c r="N58" i="95"/>
  <c r="M58" i="95"/>
  <c r="K58" i="95"/>
  <c r="G58" i="95"/>
  <c r="O57" i="95"/>
  <c r="K57" i="95"/>
  <c r="V56" i="95"/>
  <c r="U56" i="95"/>
  <c r="O56" i="95"/>
  <c r="N56" i="95"/>
  <c r="Q56" i="95" s="1"/>
  <c r="M56" i="95"/>
  <c r="K56" i="95"/>
  <c r="G56" i="95"/>
  <c r="V55" i="95"/>
  <c r="U55" i="95"/>
  <c r="O55" i="95"/>
  <c r="M55" i="95"/>
  <c r="AB55" i="95" s="1"/>
  <c r="K55" i="95"/>
  <c r="G55" i="95"/>
  <c r="AB54" i="95"/>
  <c r="AA54" i="95"/>
  <c r="V54" i="95"/>
  <c r="U54" i="95"/>
  <c r="O54" i="95"/>
  <c r="N54" i="95"/>
  <c r="P54" i="95" s="1"/>
  <c r="M54" i="95"/>
  <c r="K54" i="95"/>
  <c r="G54" i="95"/>
  <c r="AB53" i="95"/>
  <c r="AA53" i="95"/>
  <c r="V53" i="95"/>
  <c r="O53" i="95"/>
  <c r="M53" i="95"/>
  <c r="K53" i="95"/>
  <c r="G53" i="95"/>
  <c r="O52" i="95"/>
  <c r="K52" i="95"/>
  <c r="AA51" i="95"/>
  <c r="V51" i="95"/>
  <c r="M51" i="95" s="1"/>
  <c r="U51" i="95"/>
  <c r="O51" i="95"/>
  <c r="K51" i="95"/>
  <c r="G51" i="95"/>
  <c r="AB50" i="95"/>
  <c r="AA50" i="95"/>
  <c r="V50" i="95"/>
  <c r="M50" i="95" s="1"/>
  <c r="N50" i="95" s="1"/>
  <c r="U50" i="95"/>
  <c r="Q50" i="95"/>
  <c r="P50" i="95"/>
  <c r="O50" i="95"/>
  <c r="K50" i="95"/>
  <c r="G50" i="95"/>
  <c r="V49" i="95"/>
  <c r="U49" i="95"/>
  <c r="O49" i="95"/>
  <c r="M49" i="95"/>
  <c r="AB49" i="95" s="1"/>
  <c r="K49" i="95"/>
  <c r="G49" i="95"/>
  <c r="AB48" i="95"/>
  <c r="AA48" i="95"/>
  <c r="V48" i="95"/>
  <c r="O48" i="95"/>
  <c r="N48" i="95"/>
  <c r="M48" i="95"/>
  <c r="K48" i="95"/>
  <c r="G48" i="95"/>
  <c r="O47" i="95"/>
  <c r="K47" i="95"/>
  <c r="AB46" i="95"/>
  <c r="AA46" i="95"/>
  <c r="V46" i="95"/>
  <c r="U46" i="95"/>
  <c r="Q46" i="95"/>
  <c r="O46" i="95"/>
  <c r="M46" i="95"/>
  <c r="N46" i="95" s="1"/>
  <c r="P46" i="95" s="1"/>
  <c r="K46" i="95"/>
  <c r="G46" i="95"/>
  <c r="AB45" i="95"/>
  <c r="V45" i="95"/>
  <c r="U45" i="95"/>
  <c r="P45" i="95"/>
  <c r="O45" i="95"/>
  <c r="N45" i="95"/>
  <c r="Q45" i="95" s="1"/>
  <c r="M45" i="95"/>
  <c r="AA45" i="95" s="1"/>
  <c r="K45" i="95"/>
  <c r="G45" i="95"/>
  <c r="AB44" i="95"/>
  <c r="AA44" i="95"/>
  <c r="V44" i="95"/>
  <c r="U44" i="95"/>
  <c r="O44" i="95"/>
  <c r="N44" i="95"/>
  <c r="M44" i="95"/>
  <c r="K44" i="95"/>
  <c r="G44" i="95"/>
  <c r="X43" i="95"/>
  <c r="W43" i="95"/>
  <c r="V43" i="95"/>
  <c r="U43" i="95"/>
  <c r="O43" i="95"/>
  <c r="M43" i="95"/>
  <c r="N43" i="95" s="1"/>
  <c r="K43" i="95"/>
  <c r="G43" i="95"/>
  <c r="V42" i="95"/>
  <c r="M42" i="95" s="1"/>
  <c r="U42" i="95"/>
  <c r="O42" i="95"/>
  <c r="K42" i="95"/>
  <c r="G42" i="95"/>
  <c r="AB41" i="95"/>
  <c r="AA41" i="95"/>
  <c r="V41" i="95"/>
  <c r="M41" i="95" s="1"/>
  <c r="U41" i="95"/>
  <c r="Q41" i="95"/>
  <c r="P41" i="95"/>
  <c r="O41" i="95"/>
  <c r="N41" i="95"/>
  <c r="K41" i="95"/>
  <c r="G41" i="95"/>
  <c r="V40" i="95"/>
  <c r="U40" i="95"/>
  <c r="O40" i="95"/>
  <c r="M40" i="95"/>
  <c r="N40" i="95" s="1"/>
  <c r="K40" i="95"/>
  <c r="G40" i="95"/>
  <c r="AB39" i="95"/>
  <c r="AA39" i="95"/>
  <c r="V39" i="95"/>
  <c r="M39" i="95" s="1"/>
  <c r="N39" i="95" s="1"/>
  <c r="U39" i="95"/>
  <c r="Q39" i="95"/>
  <c r="P39" i="95"/>
  <c r="O39" i="95"/>
  <c r="K39" i="95"/>
  <c r="G39" i="95"/>
  <c r="AB38" i="95"/>
  <c r="AA38" i="95"/>
  <c r="V38" i="95"/>
  <c r="U38" i="95"/>
  <c r="O38" i="95"/>
  <c r="N38" i="95"/>
  <c r="M38" i="95"/>
  <c r="K38" i="95"/>
  <c r="G38" i="95"/>
  <c r="AB37" i="95"/>
  <c r="AA37" i="95"/>
  <c r="X37" i="95"/>
  <c r="W37" i="95"/>
  <c r="V37" i="95"/>
  <c r="M37" i="95" s="1"/>
  <c r="Q37" i="95"/>
  <c r="P37" i="95"/>
  <c r="O37" i="95"/>
  <c r="N37" i="95"/>
  <c r="K37" i="95"/>
  <c r="G37" i="95"/>
  <c r="O36" i="95"/>
  <c r="K36" i="95"/>
  <c r="AB35" i="95"/>
  <c r="AA35" i="95"/>
  <c r="V35" i="95"/>
  <c r="U35" i="95"/>
  <c r="O35" i="95"/>
  <c r="N35" i="95"/>
  <c r="Q35" i="95" s="1"/>
  <c r="M35" i="95"/>
  <c r="K35" i="95"/>
  <c r="G35" i="95"/>
  <c r="V34" i="95"/>
  <c r="U34" i="95"/>
  <c r="O34" i="95"/>
  <c r="M34" i="95"/>
  <c r="N34" i="95" s="1"/>
  <c r="K34" i="95"/>
  <c r="G34" i="95"/>
  <c r="X33" i="95"/>
  <c r="W33" i="95"/>
  <c r="V33" i="95"/>
  <c r="M33" i="95" s="1"/>
  <c r="U33" i="95"/>
  <c r="O33" i="95"/>
  <c r="K33" i="95"/>
  <c r="G33" i="95"/>
  <c r="AB32" i="95"/>
  <c r="AA32" i="95"/>
  <c r="V32" i="95"/>
  <c r="M32" i="95" s="1"/>
  <c r="N32" i="95" s="1"/>
  <c r="U32" i="95"/>
  <c r="Q32" i="95"/>
  <c r="P32" i="95"/>
  <c r="O32" i="95"/>
  <c r="K32" i="95"/>
  <c r="G32" i="95"/>
  <c r="V31" i="95"/>
  <c r="U31" i="95"/>
  <c r="O31" i="95"/>
  <c r="M31" i="95"/>
  <c r="AB31" i="95" s="1"/>
  <c r="K31" i="95"/>
  <c r="G31" i="95"/>
  <c r="AB30" i="95"/>
  <c r="AA30" i="95"/>
  <c r="V30" i="95"/>
  <c r="U30" i="95"/>
  <c r="Q30" i="95"/>
  <c r="O30" i="95"/>
  <c r="M30" i="95"/>
  <c r="N30" i="95" s="1"/>
  <c r="P30" i="95" s="1"/>
  <c r="K30" i="95"/>
  <c r="G30" i="95"/>
  <c r="X29" i="95"/>
  <c r="W29" i="95"/>
  <c r="V29" i="95"/>
  <c r="O29" i="95"/>
  <c r="N29" i="95"/>
  <c r="Q29" i="95" s="1"/>
  <c r="M29" i="95"/>
  <c r="K29" i="95"/>
  <c r="G29" i="95"/>
  <c r="O28" i="95"/>
  <c r="M28" i="95"/>
  <c r="N28" i="95" s="1"/>
  <c r="P28" i="95" s="1"/>
  <c r="K28" i="95"/>
  <c r="V27" i="95"/>
  <c r="U27" i="95"/>
  <c r="O27" i="95"/>
  <c r="N27" i="95"/>
  <c r="Q27" i="95" s="1"/>
  <c r="M27" i="95"/>
  <c r="K27" i="95"/>
  <c r="G27" i="95"/>
  <c r="AB26" i="95"/>
  <c r="V26" i="95"/>
  <c r="M26" i="95" s="1"/>
  <c r="AA26" i="95" s="1"/>
  <c r="U26" i="95"/>
  <c r="Q26" i="95"/>
  <c r="P26" i="95"/>
  <c r="O26" i="95"/>
  <c r="N26" i="95"/>
  <c r="K26" i="95"/>
  <c r="G26" i="95"/>
  <c r="AA25" i="95"/>
  <c r="X25" i="95"/>
  <c r="W25" i="95"/>
  <c r="V25" i="95"/>
  <c r="M25" i="95" s="1"/>
  <c r="AB25" i="95" s="1"/>
  <c r="U25" i="95"/>
  <c r="O25" i="95"/>
  <c r="N25" i="95"/>
  <c r="Q25" i="95" s="1"/>
  <c r="K25" i="95"/>
  <c r="G25" i="95"/>
  <c r="AB24" i="95"/>
  <c r="AA24" i="95"/>
  <c r="V24" i="95"/>
  <c r="U24" i="95"/>
  <c r="O24" i="95"/>
  <c r="M24" i="95"/>
  <c r="N24" i="95" s="1"/>
  <c r="K24" i="95"/>
  <c r="G24" i="95"/>
  <c r="AB23" i="95"/>
  <c r="AA23" i="95"/>
  <c r="V23" i="95"/>
  <c r="M23" i="95" s="1"/>
  <c r="N23" i="95" s="1"/>
  <c r="U23" i="95"/>
  <c r="Q23" i="95"/>
  <c r="P23" i="95"/>
  <c r="O23" i="95"/>
  <c r="K23" i="95"/>
  <c r="G23" i="95"/>
  <c r="AB22" i="95"/>
  <c r="AA22" i="95"/>
  <c r="V22" i="95"/>
  <c r="U22" i="95"/>
  <c r="O22" i="95"/>
  <c r="N22" i="95"/>
  <c r="M22" i="95"/>
  <c r="K22" i="95"/>
  <c r="G22" i="95"/>
  <c r="AB21" i="95"/>
  <c r="AA21" i="95"/>
  <c r="X21" i="95"/>
  <c r="W21" i="95"/>
  <c r="V21" i="95"/>
  <c r="M21" i="95" s="1"/>
  <c r="Q21" i="95"/>
  <c r="O21" i="95"/>
  <c r="N21" i="95"/>
  <c r="P21" i="95" s="1"/>
  <c r="K21" i="95"/>
  <c r="G21" i="95"/>
  <c r="O20" i="95"/>
  <c r="M20" i="95"/>
  <c r="AB20" i="95" s="1"/>
  <c r="K20" i="95"/>
  <c r="AB19" i="95"/>
  <c r="AA19" i="95"/>
  <c r="V19" i="95"/>
  <c r="U19" i="95"/>
  <c r="O19" i="95"/>
  <c r="N19" i="95"/>
  <c r="Q19" i="95" s="1"/>
  <c r="M19" i="95"/>
  <c r="K19" i="95"/>
  <c r="G19" i="95"/>
  <c r="V18" i="95"/>
  <c r="U18" i="95"/>
  <c r="O18" i="95"/>
  <c r="N18" i="95"/>
  <c r="Q18" i="95" s="1"/>
  <c r="M18" i="95"/>
  <c r="K18" i="95"/>
  <c r="G18" i="95"/>
  <c r="V17" i="95"/>
  <c r="U17" i="95"/>
  <c r="O17" i="95"/>
  <c r="M17" i="95"/>
  <c r="AB17" i="95" s="1"/>
  <c r="K17" i="95"/>
  <c r="G17" i="95"/>
  <c r="AC16" i="95"/>
  <c r="AB16" i="95"/>
  <c r="AA16" i="95"/>
  <c r="V16" i="95"/>
  <c r="M16" i="95" s="1"/>
  <c r="Q16" i="95"/>
  <c r="P16" i="95"/>
  <c r="O16" i="95"/>
  <c r="N16" i="95"/>
  <c r="K16" i="95"/>
  <c r="G16" i="95"/>
  <c r="O15" i="95"/>
  <c r="K15" i="95"/>
  <c r="AB14" i="95"/>
  <c r="AA14" i="95"/>
  <c r="V14" i="95"/>
  <c r="U14" i="95"/>
  <c r="O14" i="95"/>
  <c r="M14" i="95"/>
  <c r="N14" i="95" s="1"/>
  <c r="K14" i="95"/>
  <c r="G14" i="95"/>
  <c r="AA13" i="95"/>
  <c r="V13" i="95"/>
  <c r="M13" i="95" s="1"/>
  <c r="U13" i="95"/>
  <c r="O13" i="95"/>
  <c r="K13" i="95"/>
  <c r="G13" i="95"/>
  <c r="AB12" i="95"/>
  <c r="AA12" i="95"/>
  <c r="V12" i="95"/>
  <c r="M12" i="95" s="1"/>
  <c r="N12" i="95" s="1"/>
  <c r="U12" i="95"/>
  <c r="Q12" i="95"/>
  <c r="P12" i="95"/>
  <c r="O12" i="95"/>
  <c r="K12" i="95"/>
  <c r="G12" i="95"/>
  <c r="AB11" i="95"/>
  <c r="AA11" i="95"/>
  <c r="V11" i="95"/>
  <c r="U11" i="95"/>
  <c r="O11" i="95"/>
  <c r="N11" i="95"/>
  <c r="M11" i="95"/>
  <c r="K11" i="95"/>
  <c r="G11" i="95"/>
  <c r="AB10" i="95"/>
  <c r="AA10" i="95"/>
  <c r="X10" i="95"/>
  <c r="W10" i="95"/>
  <c r="V10" i="95"/>
  <c r="P10" i="95"/>
  <c r="O10" i="95"/>
  <c r="N10" i="95"/>
  <c r="Q10" i="95" s="1"/>
  <c r="M10" i="95"/>
  <c r="K10" i="95"/>
  <c r="G10" i="95"/>
  <c r="O9" i="95"/>
  <c r="M9" i="95"/>
  <c r="N9" i="95" s="1"/>
  <c r="K9" i="95"/>
  <c r="AB8" i="95"/>
  <c r="AA8" i="95"/>
  <c r="V8" i="95"/>
  <c r="U8" i="95"/>
  <c r="O8" i="95"/>
  <c r="N8" i="95"/>
  <c r="M8" i="95"/>
  <c r="K8" i="95"/>
  <c r="G8" i="95"/>
  <c r="V7" i="95"/>
  <c r="O7" i="95"/>
  <c r="M7" i="95"/>
  <c r="N7" i="95" s="1"/>
  <c r="K7" i="95"/>
  <c r="G7" i="95"/>
  <c r="O6" i="95"/>
  <c r="M6" i="95"/>
  <c r="N6" i="95" s="1"/>
  <c r="K6" i="95"/>
  <c r="V5" i="95"/>
  <c r="O5" i="95"/>
  <c r="N5" i="95"/>
  <c r="Q5" i="95" s="1"/>
  <c r="M5" i="95"/>
  <c r="K5" i="95"/>
  <c r="G5" i="95"/>
  <c r="H2" i="95"/>
  <c r="H1" i="95"/>
  <c r="F1" i="95"/>
  <c r="F2" i="95" s="1"/>
  <c r="D1" i="95"/>
  <c r="M18" i="94"/>
  <c r="L18" i="94"/>
  <c r="K18" i="94"/>
  <c r="J18" i="94"/>
  <c r="I18" i="94"/>
  <c r="H18" i="94"/>
  <c r="G18" i="94"/>
  <c r="F18" i="94"/>
  <c r="E18" i="94"/>
  <c r="D18" i="94"/>
  <c r="M17" i="94"/>
  <c r="L17" i="94"/>
  <c r="K17" i="94"/>
  <c r="J17" i="94"/>
  <c r="I17" i="94"/>
  <c r="H17" i="94"/>
  <c r="G17" i="94"/>
  <c r="F17" i="94"/>
  <c r="E17" i="94"/>
  <c r="D17" i="94"/>
  <c r="M16" i="94"/>
  <c r="L16" i="94"/>
  <c r="K16" i="94"/>
  <c r="J16" i="94"/>
  <c r="I16" i="94"/>
  <c r="H16" i="94"/>
  <c r="G16" i="94"/>
  <c r="F16" i="94"/>
  <c r="E16" i="94"/>
  <c r="D16" i="94"/>
  <c r="M13" i="94"/>
  <c r="L13" i="94"/>
  <c r="K13" i="94"/>
  <c r="J13" i="94"/>
  <c r="I13" i="94"/>
  <c r="H13" i="94"/>
  <c r="G13" i="94"/>
  <c r="F13" i="94"/>
  <c r="E13" i="94"/>
  <c r="D13" i="94"/>
  <c r="I6" i="94"/>
  <c r="G6" i="94"/>
  <c r="F6" i="94"/>
  <c r="E6" i="94"/>
  <c r="I3" i="94"/>
  <c r="F3" i="94"/>
  <c r="C3" i="94"/>
  <c r="G8" i="102" l="1"/>
  <c r="F8" i="102"/>
  <c r="E8" i="102"/>
  <c r="G7" i="100"/>
  <c r="F7" i="100"/>
  <c r="E7" i="100"/>
  <c r="D15" i="100"/>
  <c r="I7" i="100"/>
  <c r="K15" i="100"/>
  <c r="I8" i="100" s="1"/>
  <c r="P28" i="99"/>
  <c r="G14" i="98"/>
  <c r="G15" i="98" s="1"/>
  <c r="Q28" i="99"/>
  <c r="R20" i="99" s="1"/>
  <c r="D15" i="98"/>
  <c r="Q36" i="99"/>
  <c r="R29" i="99" s="1"/>
  <c r="K14" i="98"/>
  <c r="P36" i="99"/>
  <c r="H14" i="98"/>
  <c r="H15" i="98" s="1"/>
  <c r="Q56" i="99"/>
  <c r="R46" i="99" s="1"/>
  <c r="P56" i="99"/>
  <c r="Q75" i="99"/>
  <c r="R68" i="99" s="1"/>
  <c r="P75" i="99"/>
  <c r="M14" i="98"/>
  <c r="M15" i="98" s="1"/>
  <c r="Q62" i="99"/>
  <c r="R57" i="99" s="1"/>
  <c r="P62" i="99"/>
  <c r="I14" i="98"/>
  <c r="I15" i="98" s="1"/>
  <c r="Q54" i="97"/>
  <c r="P54" i="97"/>
  <c r="AB36" i="97"/>
  <c r="AC29" i="97" s="1"/>
  <c r="AA36" i="97"/>
  <c r="N36" i="97"/>
  <c r="AB47" i="97"/>
  <c r="AC37" i="97" s="1"/>
  <c r="AA47" i="97"/>
  <c r="N47" i="97"/>
  <c r="Q49" i="97"/>
  <c r="P49" i="97"/>
  <c r="Q23" i="97"/>
  <c r="P23" i="97"/>
  <c r="Q21" i="97"/>
  <c r="P21" i="97"/>
  <c r="Q56" i="97"/>
  <c r="P56" i="97"/>
  <c r="P38" i="97"/>
  <c r="Q38" i="97"/>
  <c r="P10" i="97"/>
  <c r="Q10" i="97"/>
  <c r="Q46" i="97"/>
  <c r="P46" i="97"/>
  <c r="P26" i="97"/>
  <c r="Q26" i="97"/>
  <c r="E14" i="96"/>
  <c r="E15" i="96" s="1"/>
  <c r="Q9" i="97"/>
  <c r="R7" i="97" s="1"/>
  <c r="P9" i="97"/>
  <c r="P44" i="97"/>
  <c r="Q44" i="97"/>
  <c r="Q20" i="97"/>
  <c r="R16" i="97" s="1"/>
  <c r="P20" i="97"/>
  <c r="G14" i="96"/>
  <c r="G15" i="96" s="1"/>
  <c r="Q13" i="97"/>
  <c r="P13" i="97"/>
  <c r="P60" i="97"/>
  <c r="Q60" i="97"/>
  <c r="AB66" i="97"/>
  <c r="AC58" i="97" s="1"/>
  <c r="AA66" i="97"/>
  <c r="N66" i="97"/>
  <c r="Q18" i="97"/>
  <c r="P18" i="97"/>
  <c r="Q11" i="97"/>
  <c r="P11" i="97"/>
  <c r="P42" i="97"/>
  <c r="Q42" i="97"/>
  <c r="N52" i="97"/>
  <c r="AB52" i="97"/>
  <c r="AC48" i="97" s="1"/>
  <c r="AA52" i="97"/>
  <c r="N57" i="97"/>
  <c r="AB57" i="97"/>
  <c r="AC53" i="97" s="1"/>
  <c r="AA57" i="97"/>
  <c r="Q53" i="97"/>
  <c r="P53" i="97"/>
  <c r="Q34" i="97"/>
  <c r="P34" i="97"/>
  <c r="N15" i="97"/>
  <c r="AB15" i="97"/>
  <c r="AC10" i="97" s="1"/>
  <c r="AA15" i="97"/>
  <c r="P48" i="97"/>
  <c r="Q48" i="97"/>
  <c r="Q29" i="97"/>
  <c r="P29" i="97"/>
  <c r="Q24" i="97"/>
  <c r="P24" i="97"/>
  <c r="Q8" i="97"/>
  <c r="P8" i="97"/>
  <c r="Q50" i="97"/>
  <c r="P50" i="97"/>
  <c r="D15" i="96"/>
  <c r="P30" i="97"/>
  <c r="Q30" i="97"/>
  <c r="Q32" i="97"/>
  <c r="P32" i="97"/>
  <c r="Q35" i="97"/>
  <c r="P35" i="97"/>
  <c r="Q14" i="97"/>
  <c r="P14" i="97"/>
  <c r="Q7" i="97"/>
  <c r="P7" i="97"/>
  <c r="N28" i="97"/>
  <c r="AB28" i="97"/>
  <c r="AC21" i="97" s="1"/>
  <c r="AA28" i="97"/>
  <c r="Q59" i="97"/>
  <c r="P59" i="97"/>
  <c r="Q7" i="95"/>
  <c r="P7" i="95"/>
  <c r="D14" i="94"/>
  <c r="P6" i="95"/>
  <c r="P34" i="95"/>
  <c r="Q34" i="95"/>
  <c r="Q43" i="95"/>
  <c r="P43" i="95"/>
  <c r="Q14" i="95"/>
  <c r="P14" i="95"/>
  <c r="Q9" i="95"/>
  <c r="R7" i="95" s="1"/>
  <c r="P9" i="95"/>
  <c r="E14" i="94"/>
  <c r="E15" i="94" s="1"/>
  <c r="Q66" i="95"/>
  <c r="R58" i="95" s="1"/>
  <c r="P66" i="95"/>
  <c r="M14" i="94"/>
  <c r="M15" i="94" s="1"/>
  <c r="P5" i="95"/>
  <c r="P35" i="95"/>
  <c r="N31" i="95"/>
  <c r="Q31" i="95" s="1"/>
  <c r="P56" i="95"/>
  <c r="Q63" i="95"/>
  <c r="P65" i="95"/>
  <c r="P29" i="95"/>
  <c r="Q54" i="95"/>
  <c r="AA20" i="95"/>
  <c r="M36" i="95"/>
  <c r="AA49" i="95"/>
  <c r="AA40" i="95"/>
  <c r="P19" i="95"/>
  <c r="N20" i="95"/>
  <c r="N49" i="95"/>
  <c r="P18" i="95"/>
  <c r="M47" i="95"/>
  <c r="N47" i="95" s="1"/>
  <c r="H14" i="94" s="1"/>
  <c r="H15" i="94" s="1"/>
  <c r="AA31" i="95"/>
  <c r="P25" i="95"/>
  <c r="AB40" i="95"/>
  <c r="M15" i="95"/>
  <c r="P27" i="95"/>
  <c r="M52" i="95"/>
  <c r="AB5" i="95"/>
  <c r="AA5" i="95"/>
  <c r="AB6" i="95"/>
  <c r="AC5" i="95" s="1"/>
  <c r="AA6" i="95"/>
  <c r="Q6" i="95"/>
  <c r="R5" i="95" s="1"/>
  <c r="AB7" i="95"/>
  <c r="AA7" i="95"/>
  <c r="Q8" i="95"/>
  <c r="P8" i="95"/>
  <c r="AB9" i="95"/>
  <c r="AC7" i="95" s="1"/>
  <c r="AA9" i="95"/>
  <c r="Q11" i="95"/>
  <c r="P11" i="95"/>
  <c r="AB13" i="95"/>
  <c r="N13" i="95"/>
  <c r="AB18" i="95"/>
  <c r="AA18" i="95"/>
  <c r="Q22" i="95"/>
  <c r="P22" i="95"/>
  <c r="Q24" i="95"/>
  <c r="P24" i="95"/>
  <c r="AB27" i="95"/>
  <c r="AA27" i="95"/>
  <c r="AB28" i="95"/>
  <c r="AC21" i="95" s="1"/>
  <c r="AA28" i="95"/>
  <c r="Q28" i="95"/>
  <c r="R21" i="95" s="1"/>
  <c r="K14" i="94"/>
  <c r="AB29" i="95"/>
  <c r="AA29" i="95"/>
  <c r="AB33" i="95"/>
  <c r="AA33" i="95"/>
  <c r="N33" i="95"/>
  <c r="AB34" i="95"/>
  <c r="AA34" i="95"/>
  <c r="Q38" i="95"/>
  <c r="P38" i="95"/>
  <c r="Q40" i="95"/>
  <c r="P40" i="95"/>
  <c r="AB42" i="95"/>
  <c r="AA42" i="95"/>
  <c r="N42" i="95"/>
  <c r="AB43" i="95"/>
  <c r="AA43" i="95"/>
  <c r="Q44" i="95"/>
  <c r="P44" i="95"/>
  <c r="P47" i="95"/>
  <c r="Q48" i="95"/>
  <c r="P48" i="95"/>
  <c r="Q49" i="95"/>
  <c r="P49" i="95"/>
  <c r="AB51" i="95"/>
  <c r="N51" i="95"/>
  <c r="M57" i="95"/>
  <c r="N57" i="95" s="1"/>
  <c r="N53" i="95"/>
  <c r="AB56" i="95"/>
  <c r="AA56" i="95"/>
  <c r="AB58" i="95"/>
  <c r="AA58" i="95"/>
  <c r="Q59" i="95"/>
  <c r="P59" i="95"/>
  <c r="Q60" i="95"/>
  <c r="P60" i="95"/>
  <c r="Q62" i="95"/>
  <c r="P62" i="95"/>
  <c r="AA64" i="95"/>
  <c r="N64" i="95"/>
  <c r="AB65" i="95"/>
  <c r="AA65" i="95"/>
  <c r="AB66" i="95"/>
  <c r="AC58" i="95" s="1"/>
  <c r="AA66" i="95"/>
  <c r="N17" i="95"/>
  <c r="N55" i="95"/>
  <c r="AA17" i="95"/>
  <c r="AA55" i="95"/>
  <c r="O66" i="93"/>
  <c r="K66" i="93"/>
  <c r="V65" i="93"/>
  <c r="M65" i="93" s="1"/>
  <c r="U65" i="93"/>
  <c r="O65" i="93"/>
  <c r="K65" i="93"/>
  <c r="G65" i="93"/>
  <c r="X64" i="93"/>
  <c r="W64" i="93"/>
  <c r="V64" i="93"/>
  <c r="M64" i="93" s="1"/>
  <c r="U64" i="93"/>
  <c r="O64" i="93"/>
  <c r="K64" i="93"/>
  <c r="G64" i="93"/>
  <c r="V63" i="93"/>
  <c r="M63" i="93" s="1"/>
  <c r="U63" i="93"/>
  <c r="O63" i="93"/>
  <c r="K63" i="93"/>
  <c r="G63" i="93"/>
  <c r="V62" i="93"/>
  <c r="M62" i="93" s="1"/>
  <c r="U62" i="93"/>
  <c r="O62" i="93"/>
  <c r="K62" i="93"/>
  <c r="G62" i="93"/>
  <c r="V61" i="93"/>
  <c r="M61" i="93" s="1"/>
  <c r="U61" i="93"/>
  <c r="O61" i="93"/>
  <c r="K61" i="93"/>
  <c r="G61" i="93"/>
  <c r="V60" i="93"/>
  <c r="M60" i="93" s="1"/>
  <c r="U60" i="93"/>
  <c r="O60" i="93"/>
  <c r="K60" i="93"/>
  <c r="G60" i="93"/>
  <c r="V59" i="93"/>
  <c r="M59" i="93" s="1"/>
  <c r="U59" i="93"/>
  <c r="O59" i="93"/>
  <c r="K59" i="93"/>
  <c r="G59" i="93"/>
  <c r="X58" i="93"/>
  <c r="W58" i="93"/>
  <c r="V58" i="93"/>
  <c r="M58" i="93" s="1"/>
  <c r="O58" i="93"/>
  <c r="K58" i="93"/>
  <c r="G58" i="93"/>
  <c r="O57" i="93"/>
  <c r="K57" i="93"/>
  <c r="V56" i="93"/>
  <c r="U56" i="93"/>
  <c r="O56" i="93"/>
  <c r="M56" i="93"/>
  <c r="AB56" i="93" s="1"/>
  <c r="K56" i="93"/>
  <c r="G56" i="93"/>
  <c r="V55" i="93"/>
  <c r="U55" i="93"/>
  <c r="O55" i="93"/>
  <c r="M55" i="93"/>
  <c r="AB55" i="93" s="1"/>
  <c r="K55" i="93"/>
  <c r="G55" i="93"/>
  <c r="AB54" i="93"/>
  <c r="V54" i="93"/>
  <c r="U54" i="93"/>
  <c r="O54" i="93"/>
  <c r="N54" i="93"/>
  <c r="Q54" i="93" s="1"/>
  <c r="M54" i="93"/>
  <c r="AA54" i="93" s="1"/>
  <c r="K54" i="93"/>
  <c r="G54" i="93"/>
  <c r="AB53" i="93"/>
  <c r="V53" i="93"/>
  <c r="O53" i="93"/>
  <c r="N53" i="93"/>
  <c r="Q53" i="93" s="1"/>
  <c r="M53" i="93"/>
  <c r="AA53" i="93" s="1"/>
  <c r="K53" i="93"/>
  <c r="G53" i="93"/>
  <c r="O52" i="93"/>
  <c r="K52" i="93"/>
  <c r="V51" i="93"/>
  <c r="M51" i="93" s="1"/>
  <c r="U51" i="93"/>
  <c r="O51" i="93"/>
  <c r="K51" i="93"/>
  <c r="G51" i="93"/>
  <c r="V50" i="93"/>
  <c r="M50" i="93" s="1"/>
  <c r="U50" i="93"/>
  <c r="O50" i="93"/>
  <c r="K50" i="93"/>
  <c r="G50" i="93"/>
  <c r="V49" i="93"/>
  <c r="M49" i="93" s="1"/>
  <c r="U49" i="93"/>
  <c r="O49" i="93"/>
  <c r="K49" i="93"/>
  <c r="G49" i="93"/>
  <c r="V48" i="93"/>
  <c r="M48" i="93" s="1"/>
  <c r="O48" i="93"/>
  <c r="K48" i="93"/>
  <c r="G48" i="93"/>
  <c r="O47" i="93"/>
  <c r="K47" i="93"/>
  <c r="V46" i="93"/>
  <c r="U46" i="93"/>
  <c r="O46" i="93"/>
  <c r="M46" i="93"/>
  <c r="AA46" i="93" s="1"/>
  <c r="K46" i="93"/>
  <c r="G46" i="93"/>
  <c r="AB45" i="93"/>
  <c r="AA45" i="93"/>
  <c r="V45" i="93"/>
  <c r="U45" i="93"/>
  <c r="O45" i="93"/>
  <c r="M45" i="93"/>
  <c r="N45" i="93" s="1"/>
  <c r="K45" i="93"/>
  <c r="G45" i="93"/>
  <c r="V44" i="93"/>
  <c r="M44" i="93" s="1"/>
  <c r="U44" i="93"/>
  <c r="O44" i="93"/>
  <c r="K44" i="93"/>
  <c r="G44" i="93"/>
  <c r="AB43" i="93"/>
  <c r="AA43" i="93"/>
  <c r="X43" i="93"/>
  <c r="W43" i="93"/>
  <c r="V43" i="93"/>
  <c r="U43" i="93"/>
  <c r="O43" i="93"/>
  <c r="M43" i="93"/>
  <c r="N43" i="93" s="1"/>
  <c r="K43" i="93"/>
  <c r="G43" i="93"/>
  <c r="V42" i="93"/>
  <c r="M42" i="93" s="1"/>
  <c r="U42" i="93"/>
  <c r="O42" i="93"/>
  <c r="K42" i="93"/>
  <c r="G42" i="93"/>
  <c r="V41" i="93"/>
  <c r="M41" i="93" s="1"/>
  <c r="U41" i="93"/>
  <c r="O41" i="93"/>
  <c r="K41" i="93"/>
  <c r="G41" i="93"/>
  <c r="V40" i="93"/>
  <c r="M40" i="93" s="1"/>
  <c r="U40" i="93"/>
  <c r="O40" i="93"/>
  <c r="K40" i="93"/>
  <c r="G40" i="93"/>
  <c r="V39" i="93"/>
  <c r="M39" i="93" s="1"/>
  <c r="U39" i="93"/>
  <c r="O39" i="93"/>
  <c r="K39" i="93"/>
  <c r="G39" i="93"/>
  <c r="V38" i="93"/>
  <c r="M38" i="93" s="1"/>
  <c r="U38" i="93"/>
  <c r="O38" i="93"/>
  <c r="K38" i="93"/>
  <c r="G38" i="93"/>
  <c r="X37" i="93"/>
  <c r="W37" i="93"/>
  <c r="V37" i="93"/>
  <c r="M37" i="93" s="1"/>
  <c r="O37" i="93"/>
  <c r="K37" i="93"/>
  <c r="G37" i="93"/>
  <c r="O36" i="93"/>
  <c r="K36" i="93"/>
  <c r="V35" i="93"/>
  <c r="U35" i="93"/>
  <c r="O35" i="93"/>
  <c r="M35" i="93"/>
  <c r="AB35" i="93" s="1"/>
  <c r="K35" i="93"/>
  <c r="G35" i="93"/>
  <c r="V34" i="93"/>
  <c r="U34" i="93"/>
  <c r="O34" i="93"/>
  <c r="N34" i="93"/>
  <c r="Q34" i="93" s="1"/>
  <c r="M34" i="93"/>
  <c r="AB34" i="93" s="1"/>
  <c r="K34" i="93"/>
  <c r="G34" i="93"/>
  <c r="X33" i="93"/>
  <c r="W33" i="93"/>
  <c r="V33" i="93"/>
  <c r="U33" i="93"/>
  <c r="O33" i="93"/>
  <c r="M33" i="93"/>
  <c r="AB33" i="93" s="1"/>
  <c r="K33" i="93"/>
  <c r="G33" i="93"/>
  <c r="V32" i="93"/>
  <c r="U32" i="93"/>
  <c r="O32" i="93"/>
  <c r="N32" i="93"/>
  <c r="Q32" i="93" s="1"/>
  <c r="M32" i="93"/>
  <c r="AB32" i="93" s="1"/>
  <c r="K32" i="93"/>
  <c r="G32" i="93"/>
  <c r="V31" i="93"/>
  <c r="U31" i="93"/>
  <c r="O31" i="93"/>
  <c r="M31" i="93"/>
  <c r="AB31" i="93" s="1"/>
  <c r="K31" i="93"/>
  <c r="G31" i="93"/>
  <c r="V30" i="93"/>
  <c r="U30" i="93"/>
  <c r="O30" i="93"/>
  <c r="M30" i="93"/>
  <c r="AA30" i="93" s="1"/>
  <c r="K30" i="93"/>
  <c r="G30" i="93"/>
  <c r="X29" i="93"/>
  <c r="W29" i="93"/>
  <c r="V29" i="93"/>
  <c r="O29" i="93"/>
  <c r="N29" i="93"/>
  <c r="Q29" i="93" s="1"/>
  <c r="M29" i="93"/>
  <c r="M36" i="93" s="1"/>
  <c r="K29" i="93"/>
  <c r="G29" i="93"/>
  <c r="O28" i="93"/>
  <c r="K28" i="93"/>
  <c r="V27" i="93"/>
  <c r="M27" i="93" s="1"/>
  <c r="U27" i="93"/>
  <c r="O27" i="93"/>
  <c r="K27" i="93"/>
  <c r="G27" i="93"/>
  <c r="V26" i="93"/>
  <c r="M26" i="93" s="1"/>
  <c r="U26" i="93"/>
  <c r="O26" i="93"/>
  <c r="K26" i="93"/>
  <c r="G26" i="93"/>
  <c r="X25" i="93"/>
  <c r="W25" i="93"/>
  <c r="V25" i="93"/>
  <c r="M25" i="93" s="1"/>
  <c r="U25" i="93"/>
  <c r="O25" i="93"/>
  <c r="K25" i="93"/>
  <c r="G25" i="93"/>
  <c r="V24" i="93"/>
  <c r="M24" i="93" s="1"/>
  <c r="U24" i="93"/>
  <c r="O24" i="93"/>
  <c r="K24" i="93"/>
  <c r="G24" i="93"/>
  <c r="V23" i="93"/>
  <c r="M23" i="93" s="1"/>
  <c r="U23" i="93"/>
  <c r="O23" i="93"/>
  <c r="K23" i="93"/>
  <c r="G23" i="93"/>
  <c r="V22" i="93"/>
  <c r="M22" i="93" s="1"/>
  <c r="U22" i="93"/>
  <c r="O22" i="93"/>
  <c r="K22" i="93"/>
  <c r="G22" i="93"/>
  <c r="X21" i="93"/>
  <c r="W21" i="93"/>
  <c r="V21" i="93"/>
  <c r="M21" i="93" s="1"/>
  <c r="O21" i="93"/>
  <c r="K21" i="93"/>
  <c r="G21" i="93"/>
  <c r="O20" i="93"/>
  <c r="K20" i="93"/>
  <c r="V19" i="93"/>
  <c r="U19" i="93"/>
  <c r="O19" i="93"/>
  <c r="M19" i="93"/>
  <c r="AB19" i="93" s="1"/>
  <c r="K19" i="93"/>
  <c r="G19" i="93"/>
  <c r="V18" i="93"/>
  <c r="U18" i="93"/>
  <c r="O18" i="93"/>
  <c r="M18" i="93"/>
  <c r="AB18" i="93" s="1"/>
  <c r="K18" i="93"/>
  <c r="G18" i="93"/>
  <c r="V17" i="93"/>
  <c r="U17" i="93"/>
  <c r="O17" i="93"/>
  <c r="M17" i="93"/>
  <c r="AB17" i="93" s="1"/>
  <c r="K17" i="93"/>
  <c r="G17" i="93"/>
  <c r="V16" i="93"/>
  <c r="O16" i="93"/>
  <c r="M16" i="93"/>
  <c r="M20" i="93" s="1"/>
  <c r="K16" i="93"/>
  <c r="G16" i="93"/>
  <c r="O15" i="93"/>
  <c r="K15" i="93"/>
  <c r="V14" i="93"/>
  <c r="M14" i="93" s="1"/>
  <c r="U14" i="93"/>
  <c r="O14" i="93"/>
  <c r="K14" i="93"/>
  <c r="G14" i="93"/>
  <c r="V13" i="93"/>
  <c r="M13" i="93" s="1"/>
  <c r="U13" i="93"/>
  <c r="O13" i="93"/>
  <c r="K13" i="93"/>
  <c r="G13" i="93"/>
  <c r="V12" i="93"/>
  <c r="M12" i="93" s="1"/>
  <c r="U12" i="93"/>
  <c r="O12" i="93"/>
  <c r="K12" i="93"/>
  <c r="G12" i="93"/>
  <c r="V11" i="93"/>
  <c r="M11" i="93" s="1"/>
  <c r="U11" i="93"/>
  <c r="O11" i="93"/>
  <c r="K11" i="93"/>
  <c r="G11" i="93"/>
  <c r="X10" i="93"/>
  <c r="W10" i="93"/>
  <c r="V10" i="93"/>
  <c r="M10" i="93" s="1"/>
  <c r="O10" i="93"/>
  <c r="K10" i="93"/>
  <c r="G10" i="93"/>
  <c r="O9" i="93"/>
  <c r="K9" i="93"/>
  <c r="V8" i="93"/>
  <c r="U8" i="93"/>
  <c r="O8" i="93"/>
  <c r="M8" i="93"/>
  <c r="AB8" i="93" s="1"/>
  <c r="K8" i="93"/>
  <c r="G8" i="93"/>
  <c r="V7" i="93"/>
  <c r="O7" i="93"/>
  <c r="M7" i="93"/>
  <c r="AB7" i="93" s="1"/>
  <c r="K7" i="93"/>
  <c r="G7" i="93"/>
  <c r="O6" i="93"/>
  <c r="K6" i="93"/>
  <c r="AB5" i="93"/>
  <c r="AA5" i="93"/>
  <c r="V5" i="93"/>
  <c r="O5" i="93"/>
  <c r="M5" i="93"/>
  <c r="N5" i="93" s="1"/>
  <c r="K5" i="93"/>
  <c r="G5" i="93"/>
  <c r="F1" i="93" s="1"/>
  <c r="H2" i="93"/>
  <c r="H1" i="93"/>
  <c r="D1" i="93"/>
  <c r="M18" i="92"/>
  <c r="L18" i="92"/>
  <c r="K18" i="92"/>
  <c r="J18" i="92"/>
  <c r="I18" i="92"/>
  <c r="H18" i="92"/>
  <c r="G18" i="92"/>
  <c r="F18" i="92"/>
  <c r="E18" i="92"/>
  <c r="D18" i="92"/>
  <c r="M17" i="92"/>
  <c r="L17" i="92"/>
  <c r="K17" i="92"/>
  <c r="J17" i="92"/>
  <c r="I17" i="92"/>
  <c r="H17" i="92"/>
  <c r="G17" i="92"/>
  <c r="F17" i="92"/>
  <c r="E17" i="92"/>
  <c r="D17" i="92"/>
  <c r="M16" i="92"/>
  <c r="L16" i="92"/>
  <c r="K16" i="92"/>
  <c r="J16" i="92"/>
  <c r="I16" i="92"/>
  <c r="H16" i="92"/>
  <c r="G16" i="92"/>
  <c r="F16" i="92"/>
  <c r="E16" i="92"/>
  <c r="D16" i="92"/>
  <c r="M13" i="92"/>
  <c r="L13" i="92"/>
  <c r="K13" i="92"/>
  <c r="I6" i="92" s="1"/>
  <c r="J13" i="92"/>
  <c r="I13" i="92"/>
  <c r="H13" i="92"/>
  <c r="G13" i="92"/>
  <c r="F13" i="92"/>
  <c r="E13" i="92"/>
  <c r="D13" i="92"/>
  <c r="G6" i="92" s="1"/>
  <c r="F3" i="92"/>
  <c r="C3" i="92"/>
  <c r="G8" i="100" l="1"/>
  <c r="F8" i="100"/>
  <c r="E8" i="100"/>
  <c r="I7" i="98"/>
  <c r="K15" i="98"/>
  <c r="I8" i="98" s="1"/>
  <c r="G7" i="98"/>
  <c r="G8" i="98"/>
  <c r="F8" i="98"/>
  <c r="E8" i="98"/>
  <c r="E7" i="98"/>
  <c r="F7" i="98"/>
  <c r="Q52" i="97"/>
  <c r="R48" i="97" s="1"/>
  <c r="P52" i="97"/>
  <c r="I14" i="96"/>
  <c r="I15" i="96" s="1"/>
  <c r="P15" i="97"/>
  <c r="F14" i="96"/>
  <c r="F15" i="96" s="1"/>
  <c r="Q15" i="97"/>
  <c r="R10" i="97" s="1"/>
  <c r="J14" i="96"/>
  <c r="J15" i="96" s="1"/>
  <c r="Q57" i="97"/>
  <c r="R53" i="97" s="1"/>
  <c r="P57" i="97"/>
  <c r="Q28" i="97"/>
  <c r="R21" i="97" s="1"/>
  <c r="P28" i="97"/>
  <c r="K14" i="96"/>
  <c r="H14" i="96"/>
  <c r="H15" i="96" s="1"/>
  <c r="Q47" i="97"/>
  <c r="R37" i="97" s="1"/>
  <c r="P47" i="97"/>
  <c r="D2" i="97"/>
  <c r="P36" i="97"/>
  <c r="L14" i="96"/>
  <c r="L15" i="96" s="1"/>
  <c r="Q36" i="97"/>
  <c r="R29" i="97" s="1"/>
  <c r="Q66" i="97"/>
  <c r="R58" i="97" s="1"/>
  <c r="P66" i="97"/>
  <c r="M14" i="96"/>
  <c r="M15" i="96" s="1"/>
  <c r="K15" i="94"/>
  <c r="P20" i="95"/>
  <c r="G14" i="94"/>
  <c r="G15" i="94" s="1"/>
  <c r="Q20" i="95"/>
  <c r="R16" i="95" s="1"/>
  <c r="P51" i="95"/>
  <c r="Q51" i="95"/>
  <c r="AB52" i="95"/>
  <c r="AC48" i="95" s="1"/>
  <c r="N52" i="95"/>
  <c r="AA52" i="95"/>
  <c r="P33" i="95"/>
  <c r="Q33" i="95"/>
  <c r="P64" i="95"/>
  <c r="Q64" i="95"/>
  <c r="P31" i="95"/>
  <c r="Q47" i="95"/>
  <c r="R37" i="95" s="1"/>
  <c r="D2" i="95"/>
  <c r="Q42" i="95"/>
  <c r="P42" i="95"/>
  <c r="AB36" i="95"/>
  <c r="AC29" i="95" s="1"/>
  <c r="AA36" i="95"/>
  <c r="N36" i="95"/>
  <c r="P13" i="95"/>
  <c r="Q13" i="95"/>
  <c r="AA47" i="95"/>
  <c r="AB47" i="95"/>
  <c r="AC37" i="95" s="1"/>
  <c r="P17" i="95"/>
  <c r="Q17" i="95"/>
  <c r="P55" i="95"/>
  <c r="Q55" i="95"/>
  <c r="N15" i="95"/>
  <c r="AB15" i="95"/>
  <c r="AC10" i="95" s="1"/>
  <c r="AA15" i="95"/>
  <c r="D15" i="94"/>
  <c r="J14" i="94"/>
  <c r="J15" i="94" s="1"/>
  <c r="Q57" i="95"/>
  <c r="R53" i="95" s="1"/>
  <c r="P57" i="95"/>
  <c r="Q53" i="95"/>
  <c r="P53" i="95"/>
  <c r="AB57" i="95"/>
  <c r="AC53" i="95" s="1"/>
  <c r="AA57" i="95"/>
  <c r="N41" i="93"/>
  <c r="AB41" i="93"/>
  <c r="AA41" i="93"/>
  <c r="N14" i="93"/>
  <c r="AB14" i="93"/>
  <c r="AA14" i="93"/>
  <c r="N24" i="93"/>
  <c r="AB24" i="93"/>
  <c r="AA24" i="93"/>
  <c r="N26" i="93"/>
  <c r="AB26" i="93"/>
  <c r="AA26" i="93"/>
  <c r="AB59" i="93"/>
  <c r="AA59" i="93"/>
  <c r="N59" i="93"/>
  <c r="F2" i="93"/>
  <c r="I3" i="92"/>
  <c r="N37" i="93"/>
  <c r="AB37" i="93"/>
  <c r="AA37" i="93"/>
  <c r="M47" i="93"/>
  <c r="N64" i="93"/>
  <c r="AB64" i="93"/>
  <c r="AA64" i="93"/>
  <c r="N12" i="93"/>
  <c r="AB12" i="93"/>
  <c r="AA12" i="93"/>
  <c r="N22" i="93"/>
  <c r="AB22" i="93"/>
  <c r="AA22" i="93"/>
  <c r="M52" i="93"/>
  <c r="AB48" i="93"/>
  <c r="AA48" i="93"/>
  <c r="N48" i="93"/>
  <c r="N62" i="93"/>
  <c r="AB62" i="93"/>
  <c r="AA62" i="93"/>
  <c r="N42" i="93"/>
  <c r="AB42" i="93"/>
  <c r="AA42" i="93"/>
  <c r="N39" i="93"/>
  <c r="AB39" i="93"/>
  <c r="AA39" i="93"/>
  <c r="N50" i="93"/>
  <c r="AB50" i="93"/>
  <c r="AA50" i="93"/>
  <c r="N10" i="93"/>
  <c r="AB10" i="93"/>
  <c r="M15" i="93"/>
  <c r="AA10" i="93"/>
  <c r="Q5" i="93"/>
  <c r="P5" i="93"/>
  <c r="AB20" i="93"/>
  <c r="AC16" i="93" s="1"/>
  <c r="AA20" i="93"/>
  <c r="N20" i="93"/>
  <c r="N25" i="93"/>
  <c r="AB25" i="93"/>
  <c r="AA25" i="93"/>
  <c r="N27" i="93"/>
  <c r="AB27" i="93"/>
  <c r="AA27" i="93"/>
  <c r="N58" i="93"/>
  <c r="AB58" i="93"/>
  <c r="AA58" i="93"/>
  <c r="M66" i="93"/>
  <c r="N60" i="93"/>
  <c r="AB60" i="93"/>
  <c r="AA60" i="93"/>
  <c r="N13" i="93"/>
  <c r="AB13" i="93"/>
  <c r="AA13" i="93"/>
  <c r="N21" i="93"/>
  <c r="AB21" i="93"/>
  <c r="M28" i="93"/>
  <c r="AA21" i="93"/>
  <c r="N23" i="93"/>
  <c r="AB23" i="93"/>
  <c r="AA23" i="93"/>
  <c r="Q43" i="93"/>
  <c r="P43" i="93"/>
  <c r="N44" i="93"/>
  <c r="AB44" i="93"/>
  <c r="AA44" i="93"/>
  <c r="N38" i="93"/>
  <c r="AB38" i="93"/>
  <c r="AA38" i="93"/>
  <c r="AB49" i="93"/>
  <c r="AA49" i="93"/>
  <c r="N49" i="93"/>
  <c r="N63" i="93"/>
  <c r="AB63" i="93"/>
  <c r="AA63" i="93"/>
  <c r="N65" i="93"/>
  <c r="AB65" i="93"/>
  <c r="AA65" i="93"/>
  <c r="N40" i="93"/>
  <c r="AB40" i="93"/>
  <c r="AA40" i="93"/>
  <c r="N51" i="93"/>
  <c r="AB51" i="93"/>
  <c r="AA51" i="93"/>
  <c r="AB11" i="93"/>
  <c r="AA11" i="93"/>
  <c r="N11" i="93"/>
  <c r="AB36" i="93"/>
  <c r="AC29" i="93" s="1"/>
  <c r="AA36" i="93"/>
  <c r="N36" i="93"/>
  <c r="Q45" i="93"/>
  <c r="P45" i="93"/>
  <c r="N61" i="93"/>
  <c r="AB61" i="93"/>
  <c r="AA61" i="93"/>
  <c r="E6" i="92"/>
  <c r="F6" i="92"/>
  <c r="M9" i="93"/>
  <c r="AB29" i="93"/>
  <c r="AB30" i="93"/>
  <c r="AB46" i="93"/>
  <c r="M57" i="93"/>
  <c r="N19" i="93"/>
  <c r="N33" i="93"/>
  <c r="N35" i="93"/>
  <c r="N7" i="93"/>
  <c r="N8" i="93"/>
  <c r="N18" i="93"/>
  <c r="N56" i="93"/>
  <c r="N16" i="93"/>
  <c r="N17" i="93"/>
  <c r="N31" i="93"/>
  <c r="N55" i="93"/>
  <c r="M6" i="93"/>
  <c r="P29" i="93"/>
  <c r="N30" i="93"/>
  <c r="P32" i="93"/>
  <c r="P34" i="93"/>
  <c r="N46" i="93"/>
  <c r="P53" i="93"/>
  <c r="P54" i="93"/>
  <c r="AA19" i="93"/>
  <c r="AA35" i="93"/>
  <c r="AA7" i="93"/>
  <c r="AA8" i="93"/>
  <c r="AA18" i="93"/>
  <c r="AA32" i="93"/>
  <c r="AA34" i="93"/>
  <c r="AA56" i="93"/>
  <c r="AA16" i="93"/>
  <c r="AA17" i="93"/>
  <c r="AA31" i="93"/>
  <c r="AA33" i="93"/>
  <c r="AA55" i="93"/>
  <c r="AB16" i="93"/>
  <c r="AA29" i="93"/>
  <c r="O80" i="91"/>
  <c r="K80" i="91"/>
  <c r="V79" i="91"/>
  <c r="M79" i="91" s="1"/>
  <c r="U79" i="91"/>
  <c r="O79" i="91"/>
  <c r="K79" i="91"/>
  <c r="G79" i="91"/>
  <c r="V78" i="91"/>
  <c r="U78" i="91"/>
  <c r="O78" i="91"/>
  <c r="M78" i="91"/>
  <c r="N78" i="91" s="1"/>
  <c r="K78" i="91"/>
  <c r="G78" i="91"/>
  <c r="V77" i="91"/>
  <c r="M77" i="91" s="1"/>
  <c r="U77" i="91"/>
  <c r="O77" i="91"/>
  <c r="K77" i="91"/>
  <c r="G77" i="91"/>
  <c r="X76" i="91"/>
  <c r="W76" i="91"/>
  <c r="V76" i="91"/>
  <c r="U76" i="91"/>
  <c r="O76" i="91"/>
  <c r="M76" i="91"/>
  <c r="N76" i="91" s="1"/>
  <c r="K76" i="91"/>
  <c r="G76" i="91"/>
  <c r="V75" i="91"/>
  <c r="M75" i="91" s="1"/>
  <c r="U75" i="91"/>
  <c r="O75" i="91"/>
  <c r="K75" i="91"/>
  <c r="G75" i="91"/>
  <c r="AA74" i="91"/>
  <c r="V74" i="91"/>
  <c r="U74" i="91"/>
  <c r="O74" i="91"/>
  <c r="M74" i="91"/>
  <c r="N74" i="91" s="1"/>
  <c r="K74" i="91"/>
  <c r="G74" i="91"/>
  <c r="V73" i="91"/>
  <c r="M73" i="91" s="1"/>
  <c r="U73" i="91"/>
  <c r="O73" i="91"/>
  <c r="K73" i="91"/>
  <c r="G73" i="91"/>
  <c r="AB72" i="91"/>
  <c r="V72" i="91"/>
  <c r="U72" i="91"/>
  <c r="O72" i="91"/>
  <c r="M72" i="91"/>
  <c r="AA72" i="91" s="1"/>
  <c r="K72" i="91"/>
  <c r="G72" i="91"/>
  <c r="AA71" i="91"/>
  <c r="V71" i="91"/>
  <c r="U71" i="91"/>
  <c r="O71" i="91"/>
  <c r="N71" i="91"/>
  <c r="P71" i="91" s="1"/>
  <c r="M71" i="91"/>
  <c r="AB71" i="91" s="1"/>
  <c r="K71" i="91"/>
  <c r="Q71" i="91" s="1"/>
  <c r="G71" i="91"/>
  <c r="X70" i="91"/>
  <c r="W70" i="91"/>
  <c r="V70" i="91"/>
  <c r="M70" i="91" s="1"/>
  <c r="O70" i="91"/>
  <c r="K70" i="91"/>
  <c r="G70" i="91"/>
  <c r="O69" i="91"/>
  <c r="K69" i="91"/>
  <c r="AB68" i="91"/>
  <c r="V68" i="91"/>
  <c r="U68" i="91"/>
  <c r="Q68" i="91"/>
  <c r="O68" i="91"/>
  <c r="N68" i="91"/>
  <c r="P68" i="91" s="1"/>
  <c r="M68" i="91"/>
  <c r="AA68" i="91" s="1"/>
  <c r="K68" i="91"/>
  <c r="G68" i="91"/>
  <c r="AA67" i="91"/>
  <c r="V67" i="91"/>
  <c r="U67" i="91"/>
  <c r="O67" i="91"/>
  <c r="M67" i="91"/>
  <c r="N67" i="91" s="1"/>
  <c r="K67" i="91"/>
  <c r="G67" i="91"/>
  <c r="V66" i="91"/>
  <c r="M66" i="91" s="1"/>
  <c r="U66" i="91"/>
  <c r="O66" i="91"/>
  <c r="K66" i="91"/>
  <c r="G66" i="91"/>
  <c r="V65" i="91"/>
  <c r="M65" i="91" s="1"/>
  <c r="O65" i="91"/>
  <c r="K65" i="91"/>
  <c r="G65" i="91"/>
  <c r="O64" i="91"/>
  <c r="K64" i="91"/>
  <c r="V63" i="91"/>
  <c r="M63" i="91" s="1"/>
  <c r="U63" i="91"/>
  <c r="O63" i="91"/>
  <c r="K63" i="91"/>
  <c r="G63" i="91"/>
  <c r="X62" i="91"/>
  <c r="W62" i="91"/>
  <c r="V62" i="91"/>
  <c r="M62" i="91" s="1"/>
  <c r="U62" i="91"/>
  <c r="O62" i="91"/>
  <c r="K62" i="91"/>
  <c r="G62" i="91"/>
  <c r="V61" i="91"/>
  <c r="M61" i="91" s="1"/>
  <c r="U61" i="91"/>
  <c r="O61" i="91"/>
  <c r="K61" i="91"/>
  <c r="G61" i="91"/>
  <c r="AB60" i="91"/>
  <c r="V60" i="91"/>
  <c r="U60" i="91"/>
  <c r="O60" i="91"/>
  <c r="M60" i="91"/>
  <c r="AA60" i="91" s="1"/>
  <c r="K60" i="91"/>
  <c r="G60" i="91"/>
  <c r="AA59" i="91"/>
  <c r="V59" i="91"/>
  <c r="U59" i="91"/>
  <c r="O59" i="91"/>
  <c r="N59" i="91"/>
  <c r="M59" i="91"/>
  <c r="AB59" i="91" s="1"/>
  <c r="K59" i="91"/>
  <c r="Q59" i="91" s="1"/>
  <c r="G59" i="91"/>
  <c r="AA58" i="91"/>
  <c r="V58" i="91"/>
  <c r="O58" i="91"/>
  <c r="N58" i="91"/>
  <c r="M58" i="91"/>
  <c r="K58" i="91"/>
  <c r="Q58" i="91" s="1"/>
  <c r="G58" i="91"/>
  <c r="O57" i="91"/>
  <c r="K57" i="91"/>
  <c r="V56" i="91"/>
  <c r="M56" i="91" s="1"/>
  <c r="U56" i="91"/>
  <c r="O56" i="91"/>
  <c r="K56" i="91"/>
  <c r="G56" i="91"/>
  <c r="V55" i="91"/>
  <c r="M55" i="91" s="1"/>
  <c r="U55" i="91"/>
  <c r="O55" i="91"/>
  <c r="K55" i="91"/>
  <c r="G55" i="91"/>
  <c r="V54" i="91"/>
  <c r="U54" i="91"/>
  <c r="O54" i="91"/>
  <c r="M54" i="91"/>
  <c r="N54" i="91" s="1"/>
  <c r="K54" i="91"/>
  <c r="G54" i="91"/>
  <c r="V53" i="91"/>
  <c r="M53" i="91" s="1"/>
  <c r="U53" i="91"/>
  <c r="O53" i="91"/>
  <c r="K53" i="91"/>
  <c r="G53" i="91"/>
  <c r="X52" i="91"/>
  <c r="W52" i="91"/>
  <c r="V52" i="91"/>
  <c r="U52" i="91"/>
  <c r="O52" i="91"/>
  <c r="M52" i="91"/>
  <c r="N52" i="91" s="1"/>
  <c r="K52" i="91"/>
  <c r="G52" i="91"/>
  <c r="V51" i="91"/>
  <c r="M51" i="91" s="1"/>
  <c r="U51" i="91"/>
  <c r="O51" i="91"/>
  <c r="K51" i="91"/>
  <c r="G51" i="91"/>
  <c r="V50" i="91"/>
  <c r="M50" i="91" s="1"/>
  <c r="U50" i="91"/>
  <c r="O50" i="91"/>
  <c r="K50" i="91"/>
  <c r="G50" i="91"/>
  <c r="V49" i="91"/>
  <c r="M49" i="91" s="1"/>
  <c r="U49" i="91"/>
  <c r="O49" i="91"/>
  <c r="K49" i="91"/>
  <c r="G49" i="91"/>
  <c r="AB48" i="91"/>
  <c r="V48" i="91"/>
  <c r="U48" i="91"/>
  <c r="O48" i="91"/>
  <c r="M48" i="91"/>
  <c r="AA48" i="91" s="1"/>
  <c r="K48" i="91"/>
  <c r="G48" i="91"/>
  <c r="AA47" i="91"/>
  <c r="V47" i="91"/>
  <c r="U47" i="91"/>
  <c r="O47" i="91"/>
  <c r="N47" i="91"/>
  <c r="M47" i="91"/>
  <c r="AB47" i="91" s="1"/>
  <c r="K47" i="91"/>
  <c r="Q47" i="91" s="1"/>
  <c r="G47" i="91"/>
  <c r="X46" i="91"/>
  <c r="W46" i="91"/>
  <c r="V46" i="91"/>
  <c r="M46" i="91" s="1"/>
  <c r="O46" i="91"/>
  <c r="K46" i="91"/>
  <c r="G46" i="91"/>
  <c r="O45" i="91"/>
  <c r="K45" i="91"/>
  <c r="AB44" i="91"/>
  <c r="V44" i="91"/>
  <c r="U44" i="91"/>
  <c r="Q44" i="91"/>
  <c r="O44" i="91"/>
  <c r="N44" i="91"/>
  <c r="P44" i="91" s="1"/>
  <c r="M44" i="91"/>
  <c r="AA44" i="91" s="1"/>
  <c r="K44" i="91"/>
  <c r="G44" i="91"/>
  <c r="AA43" i="91"/>
  <c r="V43" i="91"/>
  <c r="U43" i="91"/>
  <c r="O43" i="91"/>
  <c r="M43" i="91"/>
  <c r="N43" i="91" s="1"/>
  <c r="K43" i="91"/>
  <c r="G43" i="91"/>
  <c r="V42" i="91"/>
  <c r="M42" i="91" s="1"/>
  <c r="U42" i="91"/>
  <c r="O42" i="91"/>
  <c r="K42" i="91"/>
  <c r="G42" i="91"/>
  <c r="X41" i="91"/>
  <c r="W41" i="91"/>
  <c r="V41" i="91"/>
  <c r="U41" i="91"/>
  <c r="O41" i="91"/>
  <c r="M41" i="91"/>
  <c r="N41" i="91" s="1"/>
  <c r="K41" i="91"/>
  <c r="G41" i="91"/>
  <c r="V40" i="91"/>
  <c r="M40" i="91" s="1"/>
  <c r="U40" i="91"/>
  <c r="O40" i="91"/>
  <c r="K40" i="91"/>
  <c r="G40" i="91"/>
  <c r="V39" i="91"/>
  <c r="M39" i="91" s="1"/>
  <c r="U39" i="91"/>
  <c r="O39" i="91"/>
  <c r="K39" i="91"/>
  <c r="G39" i="91"/>
  <c r="V38" i="91"/>
  <c r="U38" i="91"/>
  <c r="O38" i="91"/>
  <c r="M38" i="91"/>
  <c r="N38" i="91" s="1"/>
  <c r="K38" i="91"/>
  <c r="G38" i="91"/>
  <c r="X37" i="91"/>
  <c r="W37" i="91"/>
  <c r="V37" i="91"/>
  <c r="M37" i="91" s="1"/>
  <c r="O37" i="91"/>
  <c r="K37" i="91"/>
  <c r="G37" i="91"/>
  <c r="O36" i="91"/>
  <c r="K36" i="91"/>
  <c r="V35" i="91"/>
  <c r="M35" i="91" s="1"/>
  <c r="U35" i="91"/>
  <c r="O35" i="91"/>
  <c r="K35" i="91"/>
  <c r="G35" i="91"/>
  <c r="AB34" i="91"/>
  <c r="V34" i="91"/>
  <c r="U34" i="91"/>
  <c r="O34" i="91"/>
  <c r="M34" i="91"/>
  <c r="AA34" i="91" s="1"/>
  <c r="K34" i="91"/>
  <c r="G34" i="91"/>
  <c r="V33" i="91"/>
  <c r="M33" i="91" s="1"/>
  <c r="U33" i="91"/>
  <c r="O33" i="91"/>
  <c r="K33" i="91"/>
  <c r="G33" i="91"/>
  <c r="X32" i="91"/>
  <c r="W32" i="91"/>
  <c r="V32" i="91"/>
  <c r="U32" i="91"/>
  <c r="O32" i="91"/>
  <c r="M32" i="91"/>
  <c r="AB32" i="91" s="1"/>
  <c r="K32" i="91"/>
  <c r="G32" i="91"/>
  <c r="V31" i="91"/>
  <c r="M31" i="91" s="1"/>
  <c r="U31" i="91"/>
  <c r="O31" i="91"/>
  <c r="K31" i="91"/>
  <c r="G31" i="91"/>
  <c r="V30" i="91"/>
  <c r="M30" i="91" s="1"/>
  <c r="U30" i="91"/>
  <c r="O30" i="91"/>
  <c r="K30" i="91"/>
  <c r="G30" i="91"/>
  <c r="V29" i="91"/>
  <c r="U29" i="91"/>
  <c r="O29" i="91"/>
  <c r="N29" i="91"/>
  <c r="Q29" i="91" s="1"/>
  <c r="M29" i="91"/>
  <c r="AB29" i="91" s="1"/>
  <c r="K29" i="91"/>
  <c r="G29" i="91"/>
  <c r="X28" i="91"/>
  <c r="W28" i="91"/>
  <c r="V28" i="91"/>
  <c r="M28" i="91" s="1"/>
  <c r="O28" i="91"/>
  <c r="K28" i="91"/>
  <c r="G28" i="91"/>
  <c r="O27" i="91"/>
  <c r="K27" i="91"/>
  <c r="V26" i="91"/>
  <c r="M26" i="91" s="1"/>
  <c r="U26" i="91"/>
  <c r="O26" i="91"/>
  <c r="K26" i="91"/>
  <c r="G26" i="91"/>
  <c r="X25" i="91"/>
  <c r="W25" i="91"/>
  <c r="V25" i="91"/>
  <c r="U25" i="91"/>
  <c r="O25" i="91"/>
  <c r="M25" i="91"/>
  <c r="N25" i="91" s="1"/>
  <c r="K25" i="91"/>
  <c r="G25" i="91"/>
  <c r="V24" i="91"/>
  <c r="M24" i="91" s="1"/>
  <c r="U24" i="91"/>
  <c r="O24" i="91"/>
  <c r="K24" i="91"/>
  <c r="G24" i="91"/>
  <c r="AB23" i="91"/>
  <c r="AA23" i="91"/>
  <c r="V23" i="91"/>
  <c r="U23" i="91"/>
  <c r="O23" i="91"/>
  <c r="N23" i="91"/>
  <c r="Q23" i="91" s="1"/>
  <c r="M23" i="91"/>
  <c r="K23" i="91"/>
  <c r="G23" i="91"/>
  <c r="V22" i="91"/>
  <c r="U22" i="91"/>
  <c r="O22" i="91"/>
  <c r="M22" i="91"/>
  <c r="N22" i="91" s="1"/>
  <c r="K22" i="91"/>
  <c r="G22" i="91"/>
  <c r="V21" i="91"/>
  <c r="O21" i="91"/>
  <c r="M21" i="91"/>
  <c r="N21" i="91" s="1"/>
  <c r="K21" i="91"/>
  <c r="G21" i="91"/>
  <c r="O20" i="91"/>
  <c r="K20" i="91"/>
  <c r="AA19" i="91"/>
  <c r="V19" i="91"/>
  <c r="U19" i="91"/>
  <c r="O19" i="91"/>
  <c r="N19" i="91"/>
  <c r="M19" i="91"/>
  <c r="AB19" i="91" s="1"/>
  <c r="K19" i="91"/>
  <c r="Q19" i="91" s="1"/>
  <c r="G19" i="91"/>
  <c r="V18" i="91"/>
  <c r="M18" i="91" s="1"/>
  <c r="U18" i="91"/>
  <c r="O18" i="91"/>
  <c r="K18" i="91"/>
  <c r="G18" i="91"/>
  <c r="AB17" i="91"/>
  <c r="X17" i="91"/>
  <c r="W17" i="91"/>
  <c r="V17" i="91"/>
  <c r="U17" i="91"/>
  <c r="O17" i="91"/>
  <c r="N17" i="91"/>
  <c r="M17" i="91"/>
  <c r="AA17" i="91" s="1"/>
  <c r="K17" i="91"/>
  <c r="Q17" i="91" s="1"/>
  <c r="G17" i="91"/>
  <c r="V16" i="91"/>
  <c r="M16" i="91" s="1"/>
  <c r="U16" i="91"/>
  <c r="O16" i="91"/>
  <c r="K16" i="91"/>
  <c r="G16" i="91"/>
  <c r="AB15" i="91"/>
  <c r="V15" i="91"/>
  <c r="U15" i="91"/>
  <c r="O15" i="91"/>
  <c r="N15" i="91"/>
  <c r="Q15" i="91" s="1"/>
  <c r="M15" i="91"/>
  <c r="AA15" i="91" s="1"/>
  <c r="K15" i="91"/>
  <c r="G15" i="91"/>
  <c r="AB14" i="91"/>
  <c r="AA14" i="91"/>
  <c r="V14" i="91"/>
  <c r="U14" i="91"/>
  <c r="Q14" i="91"/>
  <c r="O14" i="91"/>
  <c r="N14" i="91"/>
  <c r="P14" i="91" s="1"/>
  <c r="M14" i="91"/>
  <c r="K14" i="91"/>
  <c r="G14" i="91"/>
  <c r="X13" i="91"/>
  <c r="W13" i="91"/>
  <c r="V13" i="91"/>
  <c r="M13" i="91" s="1"/>
  <c r="O13" i="91"/>
  <c r="K13" i="91"/>
  <c r="G13" i="91"/>
  <c r="F1" i="91" s="1"/>
  <c r="O12" i="91"/>
  <c r="M12" i="91"/>
  <c r="AB12" i="91" s="1"/>
  <c r="AC10" i="91" s="1"/>
  <c r="K12" i="91"/>
  <c r="V11" i="91"/>
  <c r="U11" i="91"/>
  <c r="O11" i="91"/>
  <c r="N11" i="91"/>
  <c r="Q11" i="91" s="1"/>
  <c r="M11" i="91"/>
  <c r="AB11" i="91" s="1"/>
  <c r="K11" i="91"/>
  <c r="G11" i="91"/>
  <c r="V10" i="91"/>
  <c r="O10" i="91"/>
  <c r="N10" i="91"/>
  <c r="Q10" i="91" s="1"/>
  <c r="M10" i="91"/>
  <c r="AB10" i="91" s="1"/>
  <c r="K10" i="91"/>
  <c r="G10" i="91"/>
  <c r="O9" i="91"/>
  <c r="K9" i="91"/>
  <c r="AB8" i="91"/>
  <c r="V8" i="91"/>
  <c r="U8" i="91"/>
  <c r="O8" i="91"/>
  <c r="M8" i="91"/>
  <c r="AA8" i="91" s="1"/>
  <c r="K8" i="91"/>
  <c r="G8" i="91"/>
  <c r="X7" i="91"/>
  <c r="W7" i="91"/>
  <c r="V7" i="91"/>
  <c r="M7" i="91" s="1"/>
  <c r="U7" i="91"/>
  <c r="O7" i="91"/>
  <c r="K7" i="91"/>
  <c r="G7" i="91"/>
  <c r="AB6" i="91"/>
  <c r="V6" i="91"/>
  <c r="U6" i="91"/>
  <c r="O6" i="91"/>
  <c r="M6" i="91"/>
  <c r="AA6" i="91" s="1"/>
  <c r="K6" i="91"/>
  <c r="G6" i="91"/>
  <c r="AB5" i="91"/>
  <c r="V5" i="91"/>
  <c r="O5" i="91"/>
  <c r="M5" i="91"/>
  <c r="K5" i="91"/>
  <c r="G5" i="91"/>
  <c r="H2" i="91"/>
  <c r="H1" i="91"/>
  <c r="D1" i="91"/>
  <c r="M18" i="90"/>
  <c r="L18" i="90"/>
  <c r="K18" i="90"/>
  <c r="J18" i="90"/>
  <c r="I18" i="90"/>
  <c r="H18" i="90"/>
  <c r="G18" i="90"/>
  <c r="F18" i="90"/>
  <c r="E18" i="90"/>
  <c r="D18" i="90"/>
  <c r="M17" i="90"/>
  <c r="L17" i="90"/>
  <c r="K17" i="90"/>
  <c r="J17" i="90"/>
  <c r="I17" i="90"/>
  <c r="H17" i="90"/>
  <c r="G17" i="90"/>
  <c r="F17" i="90"/>
  <c r="E17" i="90"/>
  <c r="D17" i="90"/>
  <c r="M16" i="90"/>
  <c r="L16" i="90"/>
  <c r="K16" i="90"/>
  <c r="J16" i="90"/>
  <c r="I16" i="90"/>
  <c r="H16" i="90"/>
  <c r="G16" i="90"/>
  <c r="F16" i="90"/>
  <c r="E16" i="90"/>
  <c r="D16" i="90"/>
  <c r="M13" i="90"/>
  <c r="L13" i="90"/>
  <c r="K13" i="90"/>
  <c r="I6" i="90" s="1"/>
  <c r="J13" i="90"/>
  <c r="I13" i="90"/>
  <c r="H13" i="90"/>
  <c r="G13" i="90"/>
  <c r="F13" i="90"/>
  <c r="E13" i="90"/>
  <c r="D13" i="90"/>
  <c r="G6" i="90" s="1"/>
  <c r="F3" i="90"/>
  <c r="C3" i="90"/>
  <c r="G8" i="96" l="1"/>
  <c r="I7" i="96"/>
  <c r="K15" i="96"/>
  <c r="I8" i="96" s="1"/>
  <c r="F8" i="96"/>
  <c r="E7" i="96"/>
  <c r="G7" i="96"/>
  <c r="F7" i="96"/>
  <c r="Q15" i="95"/>
  <c r="R10" i="95" s="1"/>
  <c r="P15" i="95"/>
  <c r="F14" i="94"/>
  <c r="P52" i="95"/>
  <c r="I14" i="94"/>
  <c r="I15" i="94" s="1"/>
  <c r="Q52" i="95"/>
  <c r="R48" i="95" s="1"/>
  <c r="L14" i="94"/>
  <c r="Q36" i="95"/>
  <c r="R29" i="95" s="1"/>
  <c r="P36" i="95"/>
  <c r="Q64" i="93"/>
  <c r="P64" i="93"/>
  <c r="Q49" i="93"/>
  <c r="P49" i="93"/>
  <c r="Q35" i="93"/>
  <c r="P35" i="93"/>
  <c r="Q19" i="93"/>
  <c r="P19" i="93"/>
  <c r="P40" i="93"/>
  <c r="Q40" i="93"/>
  <c r="Q38" i="93"/>
  <c r="P38" i="93"/>
  <c r="P21" i="93"/>
  <c r="Q21" i="93"/>
  <c r="Q48" i="93"/>
  <c r="P48" i="93"/>
  <c r="Q61" i="93"/>
  <c r="P61" i="93"/>
  <c r="AB28" i="93"/>
  <c r="AC21" i="93" s="1"/>
  <c r="AA28" i="93"/>
  <c r="N28" i="93"/>
  <c r="Q58" i="93"/>
  <c r="P58" i="93"/>
  <c r="Q42" i="93"/>
  <c r="P42" i="93"/>
  <c r="AB6" i="93"/>
  <c r="AC5" i="93" s="1"/>
  <c r="AA6" i="93"/>
  <c r="N6" i="93"/>
  <c r="AB57" i="93"/>
  <c r="AC53" i="93" s="1"/>
  <c r="AA57" i="93"/>
  <c r="N57" i="93"/>
  <c r="Q36" i="93"/>
  <c r="R29" i="93" s="1"/>
  <c r="P36" i="93"/>
  <c r="L14" i="92"/>
  <c r="L15" i="92" s="1"/>
  <c r="Q27" i="93"/>
  <c r="P27" i="93"/>
  <c r="Q10" i="93"/>
  <c r="P10" i="93"/>
  <c r="P62" i="93"/>
  <c r="Q62" i="93"/>
  <c r="P26" i="93"/>
  <c r="Q26" i="93"/>
  <c r="Q31" i="93"/>
  <c r="P31" i="93"/>
  <c r="Q65" i="93"/>
  <c r="P65" i="93"/>
  <c r="Q25" i="93"/>
  <c r="P25" i="93"/>
  <c r="Q16" i="93"/>
  <c r="P16" i="93"/>
  <c r="AB9" i="93"/>
  <c r="AC7" i="93" s="1"/>
  <c r="AA9" i="93"/>
  <c r="N9" i="93"/>
  <c r="Q20" i="93"/>
  <c r="R16" i="93" s="1"/>
  <c r="P20" i="93"/>
  <c r="G14" i="92"/>
  <c r="G15" i="92" s="1"/>
  <c r="N52" i="93"/>
  <c r="AB52" i="93"/>
  <c r="AC48" i="93" s="1"/>
  <c r="AA52" i="93"/>
  <c r="P24" i="93"/>
  <c r="Q24" i="93"/>
  <c r="Q55" i="93"/>
  <c r="P55" i="93"/>
  <c r="AB47" i="93"/>
  <c r="AC37" i="93" s="1"/>
  <c r="AA47" i="93"/>
  <c r="N47" i="93"/>
  <c r="Q17" i="93"/>
  <c r="P17" i="93"/>
  <c r="Q11" i="93"/>
  <c r="P11" i="93"/>
  <c r="Q50" i="93"/>
  <c r="P50" i="93"/>
  <c r="Q56" i="93"/>
  <c r="P56" i="93"/>
  <c r="Q63" i="93"/>
  <c r="P63" i="93"/>
  <c r="Q60" i="93"/>
  <c r="P60" i="93"/>
  <c r="P37" i="93"/>
  <c r="Q37" i="93"/>
  <c r="Q44" i="93"/>
  <c r="P44" i="93"/>
  <c r="Q18" i="93"/>
  <c r="P18" i="93"/>
  <c r="AB66" i="93"/>
  <c r="AC58" i="93" s="1"/>
  <c r="AA66" i="93"/>
  <c r="N66" i="93"/>
  <c r="Q39" i="93"/>
  <c r="P39" i="93"/>
  <c r="Q46" i="93"/>
  <c r="P46" i="93"/>
  <c r="Q8" i="93"/>
  <c r="P8" i="93"/>
  <c r="Q23" i="93"/>
  <c r="P23" i="93"/>
  <c r="Q22" i="93"/>
  <c r="P22" i="93"/>
  <c r="P14" i="93"/>
  <c r="Q14" i="93"/>
  <c r="Q7" i="93"/>
  <c r="P7" i="93"/>
  <c r="Q51" i="93"/>
  <c r="P51" i="93"/>
  <c r="Q59" i="93"/>
  <c r="P59" i="93"/>
  <c r="Q13" i="93"/>
  <c r="P13" i="93"/>
  <c r="Q30" i="93"/>
  <c r="P30" i="93"/>
  <c r="Q33" i="93"/>
  <c r="P33" i="93"/>
  <c r="AA15" i="93"/>
  <c r="N15" i="93"/>
  <c r="AB15" i="93"/>
  <c r="AC10" i="93" s="1"/>
  <c r="Q12" i="93"/>
  <c r="P12" i="93"/>
  <c r="Q41" i="93"/>
  <c r="P41" i="93"/>
  <c r="P76" i="91"/>
  <c r="Q76" i="91"/>
  <c r="P78" i="91"/>
  <c r="Q78" i="91"/>
  <c r="AB7" i="91"/>
  <c r="AA7" i="91"/>
  <c r="N7" i="91"/>
  <c r="Q43" i="91"/>
  <c r="P43" i="91"/>
  <c r="AB63" i="91"/>
  <c r="AA63" i="91"/>
  <c r="N63" i="91"/>
  <c r="F2" i="91"/>
  <c r="I3" i="90"/>
  <c r="Q41" i="91"/>
  <c r="P41" i="91"/>
  <c r="Q74" i="91"/>
  <c r="P74" i="91"/>
  <c r="AB28" i="91"/>
  <c r="AA28" i="91"/>
  <c r="M36" i="91"/>
  <c r="N28" i="91"/>
  <c r="N66" i="91"/>
  <c r="AB66" i="91"/>
  <c r="AA66" i="91"/>
  <c r="M64" i="91"/>
  <c r="AB30" i="91"/>
  <c r="AA30" i="91"/>
  <c r="N30" i="91"/>
  <c r="M9" i="91"/>
  <c r="N53" i="91"/>
  <c r="AB53" i="91"/>
  <c r="AA53" i="91"/>
  <c r="N24" i="91"/>
  <c r="AB24" i="91"/>
  <c r="AA24" i="91"/>
  <c r="AB49" i="91"/>
  <c r="AA49" i="91"/>
  <c r="N49" i="91"/>
  <c r="P21" i="91"/>
  <c r="Q21" i="91"/>
  <c r="P22" i="91"/>
  <c r="Q22" i="91"/>
  <c r="AB61" i="91"/>
  <c r="AA61" i="91"/>
  <c r="N61" i="91"/>
  <c r="M20" i="91"/>
  <c r="AA13" i="91"/>
  <c r="N13" i="91"/>
  <c r="AB13" i="91"/>
  <c r="N37" i="91"/>
  <c r="AB37" i="91"/>
  <c r="AA37" i="91"/>
  <c r="M45" i="91"/>
  <c r="AB16" i="91"/>
  <c r="AA16" i="91"/>
  <c r="N16" i="91"/>
  <c r="N39" i="91"/>
  <c r="AB39" i="91"/>
  <c r="AA39" i="91"/>
  <c r="N51" i="91"/>
  <c r="AB51" i="91"/>
  <c r="AA51" i="91"/>
  <c r="N55" i="91"/>
  <c r="AB55" i="91"/>
  <c r="AA55" i="91"/>
  <c r="Q67" i="91"/>
  <c r="P67" i="91"/>
  <c r="AB18" i="91"/>
  <c r="AA18" i="91"/>
  <c r="N18" i="91"/>
  <c r="N26" i="91"/>
  <c r="AB26" i="91"/>
  <c r="AA26" i="91"/>
  <c r="P52" i="91"/>
  <c r="Q52" i="91"/>
  <c r="N62" i="91"/>
  <c r="AB62" i="91"/>
  <c r="AA62" i="91"/>
  <c r="N65" i="91"/>
  <c r="M69" i="91"/>
  <c r="AB65" i="91"/>
  <c r="AA65" i="91"/>
  <c r="N79" i="91"/>
  <c r="AB79" i="91"/>
  <c r="AA79" i="91"/>
  <c r="N77" i="91"/>
  <c r="AB77" i="91"/>
  <c r="AA77" i="91"/>
  <c r="AB31" i="91"/>
  <c r="AA31" i="91"/>
  <c r="N31" i="91"/>
  <c r="P38" i="91"/>
  <c r="Q38" i="91"/>
  <c r="AB46" i="91"/>
  <c r="AA46" i="91"/>
  <c r="M57" i="91"/>
  <c r="N46" i="91"/>
  <c r="P54" i="91"/>
  <c r="Q54" i="91"/>
  <c r="Q25" i="91"/>
  <c r="P25" i="91"/>
  <c r="AB33" i="91"/>
  <c r="AA33" i="91"/>
  <c r="N33" i="91"/>
  <c r="AB35" i="91"/>
  <c r="AA35" i="91"/>
  <c r="N35" i="91"/>
  <c r="N40" i="91"/>
  <c r="AB40" i="91"/>
  <c r="AA40" i="91"/>
  <c r="N56" i="91"/>
  <c r="AB56" i="91"/>
  <c r="AA56" i="91"/>
  <c r="AB73" i="91"/>
  <c r="AA73" i="91"/>
  <c r="N73" i="91"/>
  <c r="N75" i="91"/>
  <c r="AB75" i="91"/>
  <c r="AA75" i="91"/>
  <c r="N42" i="91"/>
  <c r="AB42" i="91"/>
  <c r="AA42" i="91"/>
  <c r="N50" i="91"/>
  <c r="AB50" i="91"/>
  <c r="AA50" i="91"/>
  <c r="AB70" i="91"/>
  <c r="AA70" i="91"/>
  <c r="M80" i="91"/>
  <c r="N70" i="91"/>
  <c r="N5" i="91"/>
  <c r="N6" i="91"/>
  <c r="N8" i="91"/>
  <c r="N32" i="91"/>
  <c r="N34" i="91"/>
  <c r="AB43" i="91"/>
  <c r="N48" i="91"/>
  <c r="N60" i="91"/>
  <c r="AB67" i="91"/>
  <c r="N72" i="91"/>
  <c r="AA10" i="91"/>
  <c r="AA11" i="91"/>
  <c r="AA25" i="91"/>
  <c r="AA41" i="91"/>
  <c r="AA21" i="91"/>
  <c r="AA22" i="91"/>
  <c r="AB25" i="91"/>
  <c r="AA38" i="91"/>
  <c r="AB41" i="91"/>
  <c r="AA54" i="91"/>
  <c r="AA78" i="91"/>
  <c r="P17" i="91"/>
  <c r="P19" i="91"/>
  <c r="AB21" i="91"/>
  <c r="AB22" i="91"/>
  <c r="M27" i="91"/>
  <c r="AB38" i="91"/>
  <c r="P47" i="91"/>
  <c r="AB54" i="91"/>
  <c r="P58" i="91"/>
  <c r="P59" i="91"/>
  <c r="AB78" i="91"/>
  <c r="AA52" i="91"/>
  <c r="AA76" i="91"/>
  <c r="E6" i="90"/>
  <c r="F6" i="90"/>
  <c r="N12" i="91"/>
  <c r="P15" i="91"/>
  <c r="P29" i="91"/>
  <c r="AB52" i="91"/>
  <c r="AB74" i="91"/>
  <c r="AB76" i="91"/>
  <c r="AA5" i="91"/>
  <c r="AA32" i="91"/>
  <c r="AB58" i="91"/>
  <c r="P10" i="91"/>
  <c r="P11" i="91"/>
  <c r="AA12" i="91"/>
  <c r="P23" i="91"/>
  <c r="AA29" i="91"/>
  <c r="O76" i="89"/>
  <c r="K76" i="89"/>
  <c r="V75" i="89"/>
  <c r="U75" i="89"/>
  <c r="O75" i="89"/>
  <c r="N75" i="89"/>
  <c r="Q75" i="89" s="1"/>
  <c r="M75" i="89"/>
  <c r="K75" i="89"/>
  <c r="G75" i="89"/>
  <c r="AB74" i="89"/>
  <c r="AA74" i="89"/>
  <c r="V74" i="89"/>
  <c r="U74" i="89"/>
  <c r="O74" i="89"/>
  <c r="N74" i="89"/>
  <c r="P74" i="89" s="1"/>
  <c r="M74" i="89"/>
  <c r="K74" i="89"/>
  <c r="G74" i="89"/>
  <c r="V73" i="89"/>
  <c r="M73" i="89" s="1"/>
  <c r="U73" i="89"/>
  <c r="O73" i="89"/>
  <c r="K73" i="89"/>
  <c r="G73" i="89"/>
  <c r="X72" i="89"/>
  <c r="W72" i="89"/>
  <c r="V72" i="89"/>
  <c r="M72" i="89" s="1"/>
  <c r="U72" i="89"/>
  <c r="O72" i="89"/>
  <c r="K72" i="89"/>
  <c r="G72" i="89"/>
  <c r="V71" i="89"/>
  <c r="M71" i="89" s="1"/>
  <c r="N71" i="89" s="1"/>
  <c r="P71" i="89" s="1"/>
  <c r="U71" i="89"/>
  <c r="Q71" i="89"/>
  <c r="O71" i="89"/>
  <c r="K71" i="89"/>
  <c r="G71" i="89"/>
  <c r="V70" i="89"/>
  <c r="U70" i="89"/>
  <c r="O70" i="89"/>
  <c r="M70" i="89"/>
  <c r="K70" i="89"/>
  <c r="G70" i="89"/>
  <c r="V69" i="89"/>
  <c r="M69" i="89" s="1"/>
  <c r="N69" i="89" s="1"/>
  <c r="U69" i="89"/>
  <c r="O69" i="89"/>
  <c r="K69" i="89"/>
  <c r="G69" i="89"/>
  <c r="V68" i="89"/>
  <c r="U68" i="89"/>
  <c r="O68" i="89"/>
  <c r="N68" i="89"/>
  <c r="M68" i="89"/>
  <c r="K68" i="89"/>
  <c r="G68" i="89"/>
  <c r="AB67" i="89"/>
  <c r="AA67" i="89"/>
  <c r="V67" i="89"/>
  <c r="U67" i="89"/>
  <c r="O67" i="89"/>
  <c r="M67" i="89"/>
  <c r="N67" i="89" s="1"/>
  <c r="K67" i="89"/>
  <c r="G67" i="89"/>
  <c r="X66" i="89"/>
  <c r="W66" i="89"/>
  <c r="V66" i="89"/>
  <c r="M66" i="89" s="1"/>
  <c r="O66" i="89"/>
  <c r="K66" i="89"/>
  <c r="G66" i="89"/>
  <c r="O65" i="89"/>
  <c r="K65" i="89"/>
  <c r="V64" i="89"/>
  <c r="M64" i="89" s="1"/>
  <c r="N64" i="89" s="1"/>
  <c r="U64" i="89"/>
  <c r="O64" i="89"/>
  <c r="K64" i="89"/>
  <c r="G64" i="89"/>
  <c r="V63" i="89"/>
  <c r="U63" i="89"/>
  <c r="O63" i="89"/>
  <c r="M63" i="89"/>
  <c r="AB63" i="89" s="1"/>
  <c r="K63" i="89"/>
  <c r="G63" i="89"/>
  <c r="V62" i="89"/>
  <c r="M62" i="89" s="1"/>
  <c r="N62" i="89" s="1"/>
  <c r="Q62" i="89" s="1"/>
  <c r="U62" i="89"/>
  <c r="O62" i="89"/>
  <c r="K62" i="89"/>
  <c r="G62" i="89"/>
  <c r="V61" i="89"/>
  <c r="O61" i="89"/>
  <c r="M61" i="89"/>
  <c r="K61" i="89"/>
  <c r="G61" i="89"/>
  <c r="O60" i="89"/>
  <c r="K60" i="89"/>
  <c r="V59" i="89"/>
  <c r="U59" i="89"/>
  <c r="O59" i="89"/>
  <c r="M59" i="89"/>
  <c r="AB59" i="89" s="1"/>
  <c r="K59" i="89"/>
  <c r="G59" i="89"/>
  <c r="X58" i="89"/>
  <c r="W58" i="89"/>
  <c r="V58" i="89"/>
  <c r="M58" i="89" s="1"/>
  <c r="N58" i="89" s="1"/>
  <c r="U58" i="89"/>
  <c r="O58" i="89"/>
  <c r="K58" i="89"/>
  <c r="G58" i="89"/>
  <c r="V57" i="89"/>
  <c r="U57" i="89"/>
  <c r="O57" i="89"/>
  <c r="M57" i="89"/>
  <c r="K57" i="89"/>
  <c r="G57" i="89"/>
  <c r="AB56" i="89"/>
  <c r="AA56" i="89"/>
  <c r="V56" i="89"/>
  <c r="U56" i="89"/>
  <c r="O56" i="89"/>
  <c r="N56" i="89"/>
  <c r="P56" i="89" s="1"/>
  <c r="M56" i="89"/>
  <c r="K56" i="89"/>
  <c r="G56" i="89"/>
  <c r="V55" i="89"/>
  <c r="U55" i="89"/>
  <c r="O55" i="89"/>
  <c r="M55" i="89"/>
  <c r="N55" i="89" s="1"/>
  <c r="K55" i="89"/>
  <c r="G55" i="89"/>
  <c r="V54" i="89"/>
  <c r="O54" i="89"/>
  <c r="M54" i="89"/>
  <c r="M60" i="89" s="1"/>
  <c r="N60" i="89" s="1"/>
  <c r="Q60" i="89" s="1"/>
  <c r="R54" i="89" s="1"/>
  <c r="K54" i="89"/>
  <c r="G54" i="89"/>
  <c r="O53" i="89"/>
  <c r="K53" i="89"/>
  <c r="V52" i="89"/>
  <c r="U52" i="89"/>
  <c r="O52" i="89"/>
  <c r="N52" i="89"/>
  <c r="Q52" i="89" s="1"/>
  <c r="M52" i="89"/>
  <c r="AB52" i="89" s="1"/>
  <c r="K52" i="89"/>
  <c r="G52" i="89"/>
  <c r="V51" i="89"/>
  <c r="M51" i="89" s="1"/>
  <c r="U51" i="89"/>
  <c r="O51" i="89"/>
  <c r="K51" i="89"/>
  <c r="G51" i="89"/>
  <c r="V50" i="89"/>
  <c r="M50" i="89" s="1"/>
  <c r="U50" i="89"/>
  <c r="O50" i="89"/>
  <c r="K50" i="89"/>
  <c r="G50" i="89"/>
  <c r="V49" i="89"/>
  <c r="M49" i="89" s="1"/>
  <c r="N49" i="89" s="1"/>
  <c r="P49" i="89" s="1"/>
  <c r="U49" i="89"/>
  <c r="Q49" i="89"/>
  <c r="O49" i="89"/>
  <c r="K49" i="89"/>
  <c r="G49" i="89"/>
  <c r="X48" i="89"/>
  <c r="W48" i="89"/>
  <c r="V48" i="89"/>
  <c r="U48" i="89"/>
  <c r="O48" i="89"/>
  <c r="M48" i="89"/>
  <c r="K48" i="89"/>
  <c r="G48" i="89"/>
  <c r="AB47" i="89"/>
  <c r="AA47" i="89"/>
  <c r="V47" i="89"/>
  <c r="U47" i="89"/>
  <c r="O47" i="89"/>
  <c r="M47" i="89"/>
  <c r="N47" i="89" s="1"/>
  <c r="K47" i="89"/>
  <c r="G47" i="89"/>
  <c r="V46" i="89"/>
  <c r="U46" i="89"/>
  <c r="O46" i="89"/>
  <c r="N46" i="89"/>
  <c r="Q46" i="89" s="1"/>
  <c r="M46" i="89"/>
  <c r="K46" i="89"/>
  <c r="G46" i="89"/>
  <c r="AB45" i="89"/>
  <c r="AA45" i="89"/>
  <c r="V45" i="89"/>
  <c r="U45" i="89"/>
  <c r="O45" i="89"/>
  <c r="N45" i="89"/>
  <c r="Q45" i="89" s="1"/>
  <c r="M45" i="89"/>
  <c r="K45" i="89"/>
  <c r="G45" i="89"/>
  <c r="V44" i="89"/>
  <c r="M44" i="89" s="1"/>
  <c r="AB44" i="89" s="1"/>
  <c r="U44" i="89"/>
  <c r="O44" i="89"/>
  <c r="N44" i="89"/>
  <c r="Q44" i="89" s="1"/>
  <c r="K44" i="89"/>
  <c r="G44" i="89"/>
  <c r="V43" i="89"/>
  <c r="U43" i="89"/>
  <c r="O43" i="89"/>
  <c r="M43" i="89"/>
  <c r="AB43" i="89" s="1"/>
  <c r="K43" i="89"/>
  <c r="G43" i="89"/>
  <c r="X42" i="89"/>
  <c r="W42" i="89"/>
  <c r="V42" i="89"/>
  <c r="M42" i="89" s="1"/>
  <c r="O42" i="89"/>
  <c r="K42" i="89"/>
  <c r="G42" i="89"/>
  <c r="O41" i="89"/>
  <c r="M41" i="89"/>
  <c r="K41" i="89"/>
  <c r="L13" i="88" s="1"/>
  <c r="V40" i="89"/>
  <c r="M40" i="89" s="1"/>
  <c r="N40" i="89" s="1"/>
  <c r="P40" i="89" s="1"/>
  <c r="U40" i="89"/>
  <c r="Q40" i="89"/>
  <c r="O40" i="89"/>
  <c r="K40" i="89"/>
  <c r="G40" i="89"/>
  <c r="V39" i="89"/>
  <c r="U39" i="89"/>
  <c r="O39" i="89"/>
  <c r="M39" i="89"/>
  <c r="K39" i="89"/>
  <c r="G39" i="89"/>
  <c r="V38" i="89"/>
  <c r="M38" i="89" s="1"/>
  <c r="N38" i="89" s="1"/>
  <c r="U38" i="89"/>
  <c r="O38" i="89"/>
  <c r="K38" i="89"/>
  <c r="G38" i="89"/>
  <c r="X37" i="89"/>
  <c r="W37" i="89"/>
  <c r="V37" i="89"/>
  <c r="U37" i="89"/>
  <c r="O37" i="89"/>
  <c r="M37" i="89"/>
  <c r="K37" i="89"/>
  <c r="G37" i="89"/>
  <c r="V36" i="89"/>
  <c r="U36" i="89"/>
  <c r="O36" i="89"/>
  <c r="N36" i="89"/>
  <c r="Q36" i="89" s="1"/>
  <c r="M36" i="89"/>
  <c r="AB36" i="89" s="1"/>
  <c r="K36" i="89"/>
  <c r="G36" i="89"/>
  <c r="V35" i="89"/>
  <c r="M35" i="89" s="1"/>
  <c r="AB35" i="89" s="1"/>
  <c r="U35" i="89"/>
  <c r="O35" i="89"/>
  <c r="K35" i="89"/>
  <c r="G35" i="89"/>
  <c r="V34" i="89"/>
  <c r="M34" i="89" s="1"/>
  <c r="U34" i="89"/>
  <c r="O34" i="89"/>
  <c r="K34" i="89"/>
  <c r="G34" i="89"/>
  <c r="AB33" i="89"/>
  <c r="AA33" i="89"/>
  <c r="X33" i="89"/>
  <c r="W33" i="89"/>
  <c r="V33" i="89"/>
  <c r="M33" i="89" s="1"/>
  <c r="N33" i="89" s="1"/>
  <c r="O33" i="89"/>
  <c r="K33" i="89"/>
  <c r="G33" i="89"/>
  <c r="O32" i="89"/>
  <c r="K32" i="89"/>
  <c r="K13" i="88" s="1"/>
  <c r="V31" i="89"/>
  <c r="M31" i="89" s="1"/>
  <c r="N31" i="89" s="1"/>
  <c r="U31" i="89"/>
  <c r="O31" i="89"/>
  <c r="K31" i="89"/>
  <c r="G31" i="89"/>
  <c r="V30" i="89"/>
  <c r="U30" i="89"/>
  <c r="P30" i="89"/>
  <c r="O30" i="89"/>
  <c r="N30" i="89"/>
  <c r="Q30" i="89" s="1"/>
  <c r="M30" i="89"/>
  <c r="K30" i="89"/>
  <c r="G30" i="89"/>
  <c r="AB29" i="89"/>
  <c r="AA29" i="89"/>
  <c r="V29" i="89"/>
  <c r="U29" i="89"/>
  <c r="O29" i="89"/>
  <c r="M29" i="89"/>
  <c r="N29" i="89" s="1"/>
  <c r="K29" i="89"/>
  <c r="G29" i="89"/>
  <c r="X28" i="89"/>
  <c r="W28" i="89"/>
  <c r="V28" i="89"/>
  <c r="M28" i="89" s="1"/>
  <c r="U28" i="89"/>
  <c r="O28" i="89"/>
  <c r="K28" i="89"/>
  <c r="G28" i="89"/>
  <c r="V27" i="89"/>
  <c r="U27" i="89"/>
  <c r="O27" i="89"/>
  <c r="M27" i="89"/>
  <c r="AB27" i="89" s="1"/>
  <c r="K27" i="89"/>
  <c r="G27" i="89"/>
  <c r="V26" i="89"/>
  <c r="M26" i="89" s="1"/>
  <c r="N26" i="89" s="1"/>
  <c r="U26" i="89"/>
  <c r="Q26" i="89"/>
  <c r="P26" i="89"/>
  <c r="O26" i="89"/>
  <c r="K26" i="89"/>
  <c r="G26" i="89"/>
  <c r="V25" i="89"/>
  <c r="U25" i="89"/>
  <c r="O25" i="89"/>
  <c r="M25" i="89"/>
  <c r="K25" i="89"/>
  <c r="G25" i="89"/>
  <c r="AB24" i="89"/>
  <c r="AA24" i="89"/>
  <c r="X24" i="89"/>
  <c r="W24" i="89"/>
  <c r="V24" i="89"/>
  <c r="O24" i="89"/>
  <c r="M24" i="89"/>
  <c r="N24" i="89" s="1"/>
  <c r="K24" i="89"/>
  <c r="G24" i="89"/>
  <c r="O23" i="89"/>
  <c r="M23" i="89"/>
  <c r="K23" i="89"/>
  <c r="G13" i="88" s="1"/>
  <c r="AB22" i="89"/>
  <c r="AA22" i="89"/>
  <c r="V22" i="89"/>
  <c r="M22" i="89" s="1"/>
  <c r="N22" i="89" s="1"/>
  <c r="U22" i="89"/>
  <c r="O22" i="89"/>
  <c r="K22" i="89"/>
  <c r="G22" i="89"/>
  <c r="V21" i="89"/>
  <c r="U21" i="89"/>
  <c r="O21" i="89"/>
  <c r="M21" i="89"/>
  <c r="K21" i="89"/>
  <c r="G21" i="89"/>
  <c r="AB20" i="89"/>
  <c r="AA20" i="89"/>
  <c r="V20" i="89"/>
  <c r="U20" i="89"/>
  <c r="O20" i="89"/>
  <c r="N20" i="89"/>
  <c r="P20" i="89" s="1"/>
  <c r="M20" i="89"/>
  <c r="K20" i="89"/>
  <c r="G20" i="89"/>
  <c r="V19" i="89"/>
  <c r="U19" i="89"/>
  <c r="O19" i="89"/>
  <c r="M19" i="89"/>
  <c r="K19" i="89"/>
  <c r="G19" i="89"/>
  <c r="V18" i="89"/>
  <c r="O18" i="89"/>
  <c r="M18" i="89"/>
  <c r="AB18" i="89" s="1"/>
  <c r="K18" i="89"/>
  <c r="G18" i="89"/>
  <c r="O17" i="89"/>
  <c r="K17" i="89"/>
  <c r="V16" i="89"/>
  <c r="U16" i="89"/>
  <c r="O16" i="89"/>
  <c r="N16" i="89"/>
  <c r="Q16" i="89" s="1"/>
  <c r="M16" i="89"/>
  <c r="AB16" i="89" s="1"/>
  <c r="K16" i="89"/>
  <c r="G16" i="89"/>
  <c r="V15" i="89"/>
  <c r="M15" i="89" s="1"/>
  <c r="N15" i="89" s="1"/>
  <c r="U15" i="89"/>
  <c r="O15" i="89"/>
  <c r="K15" i="89"/>
  <c r="G15" i="89"/>
  <c r="V14" i="89"/>
  <c r="M14" i="89" s="1"/>
  <c r="U14" i="89"/>
  <c r="O14" i="89"/>
  <c r="K14" i="89"/>
  <c r="G14" i="89"/>
  <c r="V13" i="89"/>
  <c r="M13" i="89" s="1"/>
  <c r="N13" i="89" s="1"/>
  <c r="U13" i="89"/>
  <c r="Q13" i="89"/>
  <c r="P13" i="89"/>
  <c r="O13" i="89"/>
  <c r="K13" i="89"/>
  <c r="G13" i="89"/>
  <c r="X12" i="89"/>
  <c r="W12" i="89"/>
  <c r="V12" i="89"/>
  <c r="O12" i="89"/>
  <c r="M12" i="89"/>
  <c r="M17" i="89" s="1"/>
  <c r="K12" i="89"/>
  <c r="G12" i="89"/>
  <c r="O11" i="89"/>
  <c r="K11" i="89"/>
  <c r="V10" i="89"/>
  <c r="U10" i="89"/>
  <c r="O10" i="89"/>
  <c r="M10" i="89"/>
  <c r="K10" i="89"/>
  <c r="G10" i="89"/>
  <c r="AB9" i="89"/>
  <c r="AA9" i="89"/>
  <c r="V9" i="89"/>
  <c r="O9" i="89"/>
  <c r="N9" i="89"/>
  <c r="P9" i="89" s="1"/>
  <c r="M9" i="89"/>
  <c r="K9" i="89"/>
  <c r="G9" i="89"/>
  <c r="O8" i="89"/>
  <c r="M8" i="89"/>
  <c r="K8" i="89"/>
  <c r="AB7" i="89"/>
  <c r="AA7" i="89"/>
  <c r="V7" i="89"/>
  <c r="U7" i="89"/>
  <c r="O7" i="89"/>
  <c r="M7" i="89"/>
  <c r="N7" i="89" s="1"/>
  <c r="K7" i="89"/>
  <c r="G7" i="89"/>
  <c r="V6" i="89"/>
  <c r="U6" i="89"/>
  <c r="O6" i="89"/>
  <c r="N6" i="89"/>
  <c r="Q6" i="89" s="1"/>
  <c r="M6" i="89"/>
  <c r="K6" i="89"/>
  <c r="G6" i="89"/>
  <c r="V5" i="89"/>
  <c r="O5" i="89"/>
  <c r="M5" i="89"/>
  <c r="AB5" i="89" s="1"/>
  <c r="K5" i="89"/>
  <c r="G5" i="89"/>
  <c r="H2" i="89"/>
  <c r="H1" i="89"/>
  <c r="F1" i="89"/>
  <c r="I3" i="88" s="1"/>
  <c r="D1" i="89"/>
  <c r="F3" i="88" s="1"/>
  <c r="M18" i="88"/>
  <c r="L18" i="88"/>
  <c r="K18" i="88"/>
  <c r="J18" i="88"/>
  <c r="I18" i="88"/>
  <c r="H18" i="88"/>
  <c r="G18" i="88"/>
  <c r="F18" i="88"/>
  <c r="E18" i="88"/>
  <c r="D18" i="88"/>
  <c r="M17" i="88"/>
  <c r="L17" i="88"/>
  <c r="K17" i="88"/>
  <c r="J17" i="88"/>
  <c r="I17" i="88"/>
  <c r="H17" i="88"/>
  <c r="G17" i="88"/>
  <c r="F17" i="88"/>
  <c r="E17" i="88"/>
  <c r="D17" i="88"/>
  <c r="M16" i="88"/>
  <c r="L16" i="88"/>
  <c r="K16" i="88"/>
  <c r="J16" i="88"/>
  <c r="I16" i="88"/>
  <c r="H16" i="88"/>
  <c r="G16" i="88"/>
  <c r="F16" i="88"/>
  <c r="E16" i="88"/>
  <c r="D16" i="88"/>
  <c r="M13" i="88"/>
  <c r="J13" i="88"/>
  <c r="I13" i="88"/>
  <c r="H13" i="88"/>
  <c r="F13" i="88"/>
  <c r="E13" i="88"/>
  <c r="D13" i="88"/>
  <c r="C3" i="88"/>
  <c r="E8" i="96" l="1"/>
  <c r="L15" i="94"/>
  <c r="I8" i="94" s="1"/>
  <c r="I7" i="94"/>
  <c r="F15" i="94"/>
  <c r="E7" i="94"/>
  <c r="F7" i="94"/>
  <c r="G7" i="94"/>
  <c r="Q15" i="93"/>
  <c r="R10" i="93" s="1"/>
  <c r="P15" i="93"/>
  <c r="F14" i="92"/>
  <c r="F15" i="92" s="1"/>
  <c r="Q9" i="93"/>
  <c r="R7" i="93" s="1"/>
  <c r="P9" i="93"/>
  <c r="E14" i="92"/>
  <c r="E15" i="92" s="1"/>
  <c r="Q52" i="93"/>
  <c r="R48" i="93" s="1"/>
  <c r="P52" i="93"/>
  <c r="I14" i="92"/>
  <c r="I15" i="92" s="1"/>
  <c r="Q28" i="93"/>
  <c r="R21" i="93" s="1"/>
  <c r="P28" i="93"/>
  <c r="K14" i="92"/>
  <c r="Q57" i="93"/>
  <c r="R53" i="93" s="1"/>
  <c r="P57" i="93"/>
  <c r="J14" i="92"/>
  <c r="J15" i="92" s="1"/>
  <c r="Q47" i="93"/>
  <c r="R37" i="93" s="1"/>
  <c r="P47" i="93"/>
  <c r="H14" i="92"/>
  <c r="H15" i="92" s="1"/>
  <c r="Q6" i="93"/>
  <c r="R5" i="93" s="1"/>
  <c r="P6" i="93"/>
  <c r="D2" i="93"/>
  <c r="D14" i="92"/>
  <c r="Q66" i="93"/>
  <c r="R58" i="93" s="1"/>
  <c r="P66" i="93"/>
  <c r="M14" i="92"/>
  <c r="M15" i="92" s="1"/>
  <c r="Q12" i="91"/>
  <c r="R10" i="91" s="1"/>
  <c r="P12" i="91"/>
  <c r="E14" i="90"/>
  <c r="E15" i="90" s="1"/>
  <c r="Q5" i="91"/>
  <c r="P5" i="91"/>
  <c r="AB27" i="91"/>
  <c r="AC21" i="91" s="1"/>
  <c r="AA27" i="91"/>
  <c r="N27" i="91"/>
  <c r="Q6" i="91"/>
  <c r="P6" i="91"/>
  <c r="Q35" i="91"/>
  <c r="P35" i="91"/>
  <c r="Q79" i="91"/>
  <c r="P79" i="91"/>
  <c r="Q26" i="91"/>
  <c r="P26" i="91"/>
  <c r="Q63" i="91"/>
  <c r="P63" i="91"/>
  <c r="Q70" i="91"/>
  <c r="P70" i="91"/>
  <c r="Q75" i="91"/>
  <c r="P75" i="91"/>
  <c r="Q39" i="91"/>
  <c r="P39" i="91"/>
  <c r="Q61" i="91"/>
  <c r="P61" i="91"/>
  <c r="Q24" i="91"/>
  <c r="P24" i="91"/>
  <c r="Q28" i="91"/>
  <c r="P28" i="91"/>
  <c r="AB80" i="91"/>
  <c r="AC70" i="91" s="1"/>
  <c r="AA80" i="91"/>
  <c r="N80" i="91"/>
  <c r="Q73" i="91"/>
  <c r="P73" i="91"/>
  <c r="Q33" i="91"/>
  <c r="P33" i="91"/>
  <c r="AB69" i="91"/>
  <c r="AC65" i="91" s="1"/>
  <c r="AA69" i="91"/>
  <c r="N69" i="91"/>
  <c r="Q16" i="91"/>
  <c r="P16" i="91"/>
  <c r="N36" i="91"/>
  <c r="AB36" i="91"/>
  <c r="AC28" i="91" s="1"/>
  <c r="AA36" i="91"/>
  <c r="AB20" i="91"/>
  <c r="AC13" i="91" s="1"/>
  <c r="AA20" i="91"/>
  <c r="N20" i="91"/>
  <c r="Q72" i="91"/>
  <c r="P72" i="91"/>
  <c r="Q31" i="91"/>
  <c r="P31" i="91"/>
  <c r="Q65" i="91"/>
  <c r="P65" i="91"/>
  <c r="Q53" i="91"/>
  <c r="P53" i="91"/>
  <c r="Q7" i="91"/>
  <c r="P7" i="91"/>
  <c r="Q60" i="91"/>
  <c r="P60" i="91"/>
  <c r="AB45" i="91"/>
  <c r="AC37" i="91" s="1"/>
  <c r="AA45" i="91"/>
  <c r="N45" i="91"/>
  <c r="N9" i="91"/>
  <c r="AB9" i="91"/>
  <c r="AC5" i="91" s="1"/>
  <c r="AA9" i="91"/>
  <c r="Q66" i="91"/>
  <c r="P66" i="91"/>
  <c r="Q48" i="91"/>
  <c r="P48" i="91"/>
  <c r="Q62" i="91"/>
  <c r="P62" i="91"/>
  <c r="Q30" i="91"/>
  <c r="P30" i="91"/>
  <c r="Q18" i="91"/>
  <c r="P18" i="91"/>
  <c r="Q50" i="91"/>
  <c r="P50" i="91"/>
  <c r="Q56" i="91"/>
  <c r="P56" i="91"/>
  <c r="Q55" i="91"/>
  <c r="P55" i="91"/>
  <c r="Q34" i="91"/>
  <c r="P34" i="91"/>
  <c r="Q77" i="91"/>
  <c r="P77" i="91"/>
  <c r="Q37" i="91"/>
  <c r="P37" i="91"/>
  <c r="Q49" i="91"/>
  <c r="P49" i="91"/>
  <c r="Q32" i="91"/>
  <c r="P32" i="91"/>
  <c r="Q46" i="91"/>
  <c r="P46" i="91"/>
  <c r="N64" i="91"/>
  <c r="AB64" i="91"/>
  <c r="AC58" i="91" s="1"/>
  <c r="AA64" i="91"/>
  <c r="Q8" i="91"/>
  <c r="P8" i="91"/>
  <c r="Q42" i="91"/>
  <c r="P42" i="91"/>
  <c r="Q40" i="91"/>
  <c r="P40" i="91"/>
  <c r="AB57" i="91"/>
  <c r="AC46" i="91" s="1"/>
  <c r="AA57" i="91"/>
  <c r="N57" i="91"/>
  <c r="Q51" i="91"/>
  <c r="P51" i="91"/>
  <c r="Q13" i="91"/>
  <c r="P13" i="91"/>
  <c r="P15" i="89"/>
  <c r="Q15" i="89"/>
  <c r="AB73" i="89"/>
  <c r="AA73" i="89"/>
  <c r="N73" i="89"/>
  <c r="P64" i="89"/>
  <c r="Q64" i="89"/>
  <c r="AA28" i="89"/>
  <c r="AB28" i="89"/>
  <c r="N28" i="89"/>
  <c r="N17" i="89"/>
  <c r="AB17" i="89"/>
  <c r="AC12" i="89" s="1"/>
  <c r="AA17" i="89"/>
  <c r="Q55" i="89"/>
  <c r="P55" i="89"/>
  <c r="M11" i="89"/>
  <c r="AB10" i="89"/>
  <c r="AA10" i="89"/>
  <c r="AB57" i="89"/>
  <c r="AA57" i="89"/>
  <c r="N57" i="89"/>
  <c r="AB21" i="89"/>
  <c r="AA21" i="89"/>
  <c r="N42" i="89"/>
  <c r="M53" i="89"/>
  <c r="AA44" i="89"/>
  <c r="AB8" i="89"/>
  <c r="AC5" i="89" s="1"/>
  <c r="AA8" i="89"/>
  <c r="N21" i="89"/>
  <c r="Q24" i="89"/>
  <c r="P24" i="89"/>
  <c r="Q31" i="89"/>
  <c r="P31" i="89"/>
  <c r="AA34" i="89"/>
  <c r="AB34" i="89"/>
  <c r="N34" i="89"/>
  <c r="AB37" i="89"/>
  <c r="AA37" i="89"/>
  <c r="Q47" i="89"/>
  <c r="P47" i="89"/>
  <c r="AA60" i="89"/>
  <c r="Q69" i="89"/>
  <c r="P69" i="89"/>
  <c r="N8" i="89"/>
  <c r="AB19" i="89"/>
  <c r="AA19" i="89"/>
  <c r="AA26" i="89"/>
  <c r="AA31" i="89"/>
  <c r="N37" i="89"/>
  <c r="AB60" i="89"/>
  <c r="AC54" i="89" s="1"/>
  <c r="AA69" i="89"/>
  <c r="AB72" i="89"/>
  <c r="AA72" i="89"/>
  <c r="N72" i="89"/>
  <c r="AA13" i="89"/>
  <c r="N19" i="89"/>
  <c r="AB26" i="89"/>
  <c r="Q29" i="89"/>
  <c r="P29" i="89"/>
  <c r="AB31" i="89"/>
  <c r="AA42" i="89"/>
  <c r="AA49" i="89"/>
  <c r="AB69" i="89"/>
  <c r="AB13" i="89"/>
  <c r="I6" i="88"/>
  <c r="N35" i="89"/>
  <c r="AB42" i="89"/>
  <c r="AB49" i="89"/>
  <c r="Q67" i="89"/>
  <c r="P67" i="89"/>
  <c r="AA6" i="89"/>
  <c r="AB6" i="89"/>
  <c r="M32" i="89"/>
  <c r="AB61" i="89"/>
  <c r="AA61" i="89"/>
  <c r="N61" i="89"/>
  <c r="M65" i="89"/>
  <c r="AB75" i="89"/>
  <c r="AA75" i="89"/>
  <c r="F2" i="89"/>
  <c r="P44" i="89"/>
  <c r="AB71" i="89"/>
  <c r="AB15" i="89"/>
  <c r="AB55" i="89"/>
  <c r="AA55" i="89"/>
  <c r="AA38" i="89"/>
  <c r="P46" i="89"/>
  <c r="AA62" i="89"/>
  <c r="AB51" i="89"/>
  <c r="N51" i="89"/>
  <c r="AA71" i="89"/>
  <c r="AA51" i="89"/>
  <c r="AA15" i="89"/>
  <c r="M76" i="89"/>
  <c r="AB66" i="89"/>
  <c r="AA66" i="89"/>
  <c r="N66" i="89"/>
  <c r="AA41" i="89"/>
  <c r="AB41" i="89"/>
  <c r="AC33" i="89" s="1"/>
  <c r="P68" i="89"/>
  <c r="Q68" i="89"/>
  <c r="AA23" i="89"/>
  <c r="AB23" i="89"/>
  <c r="AC18" i="89" s="1"/>
  <c r="N23" i="89"/>
  <c r="AB62" i="89"/>
  <c r="G6" i="88"/>
  <c r="F6" i="88"/>
  <c r="E6" i="88"/>
  <c r="AB70" i="89"/>
  <c r="AA70" i="89"/>
  <c r="N70" i="89"/>
  <c r="P6" i="89"/>
  <c r="P75" i="89"/>
  <c r="Q7" i="89"/>
  <c r="P7" i="89"/>
  <c r="Q38" i="89"/>
  <c r="P38" i="89"/>
  <c r="N41" i="89"/>
  <c r="I14" i="88"/>
  <c r="I15" i="88" s="1"/>
  <c r="P60" i="89"/>
  <c r="AB38" i="89"/>
  <c r="N10" i="89"/>
  <c r="AB39" i="89"/>
  <c r="AA39" i="89"/>
  <c r="N39" i="89"/>
  <c r="Q58" i="89"/>
  <c r="P58" i="89"/>
  <c r="AB12" i="89"/>
  <c r="AA12" i="89"/>
  <c r="N12" i="89"/>
  <c r="AA14" i="89"/>
  <c r="AB14" i="89"/>
  <c r="N14" i="89"/>
  <c r="AB48" i="89"/>
  <c r="AA48" i="89"/>
  <c r="AA50" i="89"/>
  <c r="AB50" i="89"/>
  <c r="N50" i="89"/>
  <c r="AA35" i="89"/>
  <c r="AA40" i="89"/>
  <c r="N48" i="89"/>
  <c r="AA58" i="89"/>
  <c r="AA64" i="89"/>
  <c r="AB64" i="89"/>
  <c r="Q22" i="89"/>
  <c r="P22" i="89"/>
  <c r="AB25" i="89"/>
  <c r="AA25" i="89"/>
  <c r="N25" i="89"/>
  <c r="AB30" i="89"/>
  <c r="AA30" i="89"/>
  <c r="Q33" i="89"/>
  <c r="P33" i="89"/>
  <c r="AB40" i="89"/>
  <c r="AB58" i="89"/>
  <c r="P62" i="89"/>
  <c r="AA46" i="89"/>
  <c r="AB46" i="89"/>
  <c r="AA68" i="89"/>
  <c r="AB68" i="89"/>
  <c r="N59" i="89"/>
  <c r="N18" i="89"/>
  <c r="N27" i="89"/>
  <c r="N43" i="89"/>
  <c r="N54" i="89"/>
  <c r="N63" i="89"/>
  <c r="P16" i="89"/>
  <c r="P36" i="89"/>
  <c r="P52" i="89"/>
  <c r="P45" i="89"/>
  <c r="Q9" i="89"/>
  <c r="AA18" i="89"/>
  <c r="Q20" i="89"/>
  <c r="AA27" i="89"/>
  <c r="AA43" i="89"/>
  <c r="AA54" i="89"/>
  <c r="Q56" i="89"/>
  <c r="AA63" i="89"/>
  <c r="Q74" i="89"/>
  <c r="AA5" i="89"/>
  <c r="AA36" i="89"/>
  <c r="AA52" i="89"/>
  <c r="AB54" i="89"/>
  <c r="N5" i="89"/>
  <c r="AA59" i="89"/>
  <c r="AA16" i="89"/>
  <c r="O76" i="87"/>
  <c r="K76" i="87"/>
  <c r="V75" i="87"/>
  <c r="U75" i="87"/>
  <c r="O75" i="87"/>
  <c r="N75" i="87"/>
  <c r="Q75" i="87" s="1"/>
  <c r="M75" i="87"/>
  <c r="AB75" i="87" s="1"/>
  <c r="K75" i="87"/>
  <c r="G75" i="87"/>
  <c r="AB74" i="87"/>
  <c r="V74" i="87"/>
  <c r="U74" i="87"/>
  <c r="O74" i="87"/>
  <c r="M74" i="87"/>
  <c r="AA74" i="87" s="1"/>
  <c r="K74" i="87"/>
  <c r="G74" i="87"/>
  <c r="V73" i="87"/>
  <c r="U73" i="87"/>
  <c r="O73" i="87"/>
  <c r="M73" i="87"/>
  <c r="AB73" i="87" s="1"/>
  <c r="K73" i="87"/>
  <c r="G73" i="87"/>
  <c r="X72" i="87"/>
  <c r="W72" i="87"/>
  <c r="V72" i="87"/>
  <c r="U72" i="87"/>
  <c r="O72" i="87"/>
  <c r="M72" i="87"/>
  <c r="AA72" i="87" s="1"/>
  <c r="K72" i="87"/>
  <c r="G72" i="87"/>
  <c r="V71" i="87"/>
  <c r="M71" i="87" s="1"/>
  <c r="U71" i="87"/>
  <c r="O71" i="87"/>
  <c r="K71" i="87"/>
  <c r="G71" i="87"/>
  <c r="V70" i="87"/>
  <c r="U70" i="87"/>
  <c r="O70" i="87"/>
  <c r="M70" i="87"/>
  <c r="AB70" i="87" s="1"/>
  <c r="K70" i="87"/>
  <c r="G70" i="87"/>
  <c r="V69" i="87"/>
  <c r="M69" i="87" s="1"/>
  <c r="U69" i="87"/>
  <c r="O69" i="87"/>
  <c r="K69" i="87"/>
  <c r="G69" i="87"/>
  <c r="V68" i="87"/>
  <c r="U68" i="87"/>
  <c r="O68" i="87"/>
  <c r="M68" i="87"/>
  <c r="AA68" i="87" s="1"/>
  <c r="K68" i="87"/>
  <c r="G68" i="87"/>
  <c r="AB67" i="87"/>
  <c r="AA67" i="87"/>
  <c r="V67" i="87"/>
  <c r="U67" i="87"/>
  <c r="O67" i="87"/>
  <c r="N67" i="87"/>
  <c r="Q67" i="87" s="1"/>
  <c r="M67" i="87"/>
  <c r="K67" i="87"/>
  <c r="G67" i="87"/>
  <c r="X66" i="87"/>
  <c r="W66" i="87"/>
  <c r="V66" i="87"/>
  <c r="M66" i="87" s="1"/>
  <c r="O66" i="87"/>
  <c r="K66" i="87"/>
  <c r="G66" i="87"/>
  <c r="O65" i="87"/>
  <c r="K65" i="87"/>
  <c r="V64" i="87"/>
  <c r="U64" i="87"/>
  <c r="O64" i="87"/>
  <c r="N64" i="87"/>
  <c r="Q64" i="87" s="1"/>
  <c r="M64" i="87"/>
  <c r="AB64" i="87" s="1"/>
  <c r="K64" i="87"/>
  <c r="G64" i="87"/>
  <c r="V63" i="87"/>
  <c r="U63" i="87"/>
  <c r="O63" i="87"/>
  <c r="M63" i="87"/>
  <c r="AB63" i="87" s="1"/>
  <c r="K63" i="87"/>
  <c r="G63" i="87"/>
  <c r="V62" i="87"/>
  <c r="M62" i="87" s="1"/>
  <c r="U62" i="87"/>
  <c r="O62" i="87"/>
  <c r="K62" i="87"/>
  <c r="G62" i="87"/>
  <c r="V61" i="87"/>
  <c r="O61" i="87"/>
  <c r="M61" i="87"/>
  <c r="AB61" i="87" s="1"/>
  <c r="K61" i="87"/>
  <c r="G61" i="87"/>
  <c r="O60" i="87"/>
  <c r="K60" i="87"/>
  <c r="V59" i="87"/>
  <c r="U59" i="87"/>
  <c r="O59" i="87"/>
  <c r="M59" i="87"/>
  <c r="AA59" i="87" s="1"/>
  <c r="K59" i="87"/>
  <c r="G59" i="87"/>
  <c r="X58" i="87"/>
  <c r="W58" i="87"/>
  <c r="V58" i="87"/>
  <c r="M58" i="87" s="1"/>
  <c r="U58" i="87"/>
  <c r="O58" i="87"/>
  <c r="K58" i="87"/>
  <c r="G58" i="87"/>
  <c r="V57" i="87"/>
  <c r="U57" i="87"/>
  <c r="O57" i="87"/>
  <c r="N57" i="87"/>
  <c r="Q57" i="87" s="1"/>
  <c r="M57" i="87"/>
  <c r="AB57" i="87" s="1"/>
  <c r="K57" i="87"/>
  <c r="G57" i="87"/>
  <c r="AB56" i="87"/>
  <c r="V56" i="87"/>
  <c r="U56" i="87"/>
  <c r="O56" i="87"/>
  <c r="M56" i="87"/>
  <c r="AA56" i="87" s="1"/>
  <c r="K56" i="87"/>
  <c r="G56" i="87"/>
  <c r="V55" i="87"/>
  <c r="U55" i="87"/>
  <c r="O55" i="87"/>
  <c r="M55" i="87"/>
  <c r="AB55" i="87" s="1"/>
  <c r="K55" i="87"/>
  <c r="G55" i="87"/>
  <c r="V54" i="87"/>
  <c r="O54" i="87"/>
  <c r="M54" i="87"/>
  <c r="M60" i="87" s="1"/>
  <c r="K54" i="87"/>
  <c r="G54" i="87"/>
  <c r="O53" i="87"/>
  <c r="K53" i="87"/>
  <c r="V52" i="87"/>
  <c r="U52" i="87"/>
  <c r="O52" i="87"/>
  <c r="M52" i="87"/>
  <c r="N52" i="87" s="1"/>
  <c r="K52" i="87"/>
  <c r="G52" i="87"/>
  <c r="V51" i="87"/>
  <c r="M51" i="87" s="1"/>
  <c r="U51" i="87"/>
  <c r="O51" i="87"/>
  <c r="K51" i="87"/>
  <c r="G51" i="87"/>
  <c r="V50" i="87"/>
  <c r="U50" i="87"/>
  <c r="O50" i="87"/>
  <c r="M50" i="87"/>
  <c r="N50" i="87" s="1"/>
  <c r="K50" i="87"/>
  <c r="G50" i="87"/>
  <c r="V49" i="87"/>
  <c r="M49" i="87" s="1"/>
  <c r="U49" i="87"/>
  <c r="O49" i="87"/>
  <c r="K49" i="87"/>
  <c r="G49" i="87"/>
  <c r="X48" i="87"/>
  <c r="W48" i="87"/>
  <c r="V48" i="87"/>
  <c r="U48" i="87"/>
  <c r="O48" i="87"/>
  <c r="M48" i="87"/>
  <c r="AB48" i="87" s="1"/>
  <c r="K48" i="87"/>
  <c r="G48" i="87"/>
  <c r="AB47" i="87"/>
  <c r="AA47" i="87"/>
  <c r="V47" i="87"/>
  <c r="U47" i="87"/>
  <c r="O47" i="87"/>
  <c r="N47" i="87"/>
  <c r="Q47" i="87" s="1"/>
  <c r="M47" i="87"/>
  <c r="K47" i="87"/>
  <c r="G47" i="87"/>
  <c r="V46" i="87"/>
  <c r="U46" i="87"/>
  <c r="O46" i="87"/>
  <c r="M46" i="87"/>
  <c r="AB46" i="87" s="1"/>
  <c r="K46" i="87"/>
  <c r="G46" i="87"/>
  <c r="V45" i="87"/>
  <c r="U45" i="87"/>
  <c r="O45" i="87"/>
  <c r="M45" i="87"/>
  <c r="AB45" i="87" s="1"/>
  <c r="K45" i="87"/>
  <c r="G45" i="87"/>
  <c r="V44" i="87"/>
  <c r="U44" i="87"/>
  <c r="O44" i="87"/>
  <c r="N44" i="87"/>
  <c r="Q44" i="87" s="1"/>
  <c r="M44" i="87"/>
  <c r="AB44" i="87" s="1"/>
  <c r="K44" i="87"/>
  <c r="G44" i="87"/>
  <c r="V43" i="87"/>
  <c r="U43" i="87"/>
  <c r="O43" i="87"/>
  <c r="M43" i="87"/>
  <c r="AB43" i="87" s="1"/>
  <c r="K43" i="87"/>
  <c r="G43" i="87"/>
  <c r="X42" i="87"/>
  <c r="W42" i="87"/>
  <c r="V42" i="87"/>
  <c r="M42" i="87" s="1"/>
  <c r="O42" i="87"/>
  <c r="K42" i="87"/>
  <c r="G42" i="87"/>
  <c r="O41" i="87"/>
  <c r="K41" i="87"/>
  <c r="L13" i="86" s="1"/>
  <c r="V40" i="87"/>
  <c r="M40" i="87" s="1"/>
  <c r="U40" i="87"/>
  <c r="O40" i="87"/>
  <c r="K40" i="87"/>
  <c r="G40" i="87"/>
  <c r="V39" i="87"/>
  <c r="U39" i="87"/>
  <c r="O39" i="87"/>
  <c r="M39" i="87"/>
  <c r="N39" i="87" s="1"/>
  <c r="K39" i="87"/>
  <c r="G39" i="87"/>
  <c r="V38" i="87"/>
  <c r="M38" i="87" s="1"/>
  <c r="U38" i="87"/>
  <c r="O38" i="87"/>
  <c r="K38" i="87"/>
  <c r="G38" i="87"/>
  <c r="X37" i="87"/>
  <c r="W37" i="87"/>
  <c r="V37" i="87"/>
  <c r="U37" i="87"/>
  <c r="O37" i="87"/>
  <c r="M37" i="87"/>
  <c r="AB37" i="87" s="1"/>
  <c r="K37" i="87"/>
  <c r="G37" i="87"/>
  <c r="V36" i="87"/>
  <c r="U36" i="87"/>
  <c r="O36" i="87"/>
  <c r="M36" i="87"/>
  <c r="N36" i="87" s="1"/>
  <c r="K36" i="87"/>
  <c r="G36" i="87"/>
  <c r="V35" i="87"/>
  <c r="M35" i="87" s="1"/>
  <c r="U35" i="87"/>
  <c r="O35" i="87"/>
  <c r="K35" i="87"/>
  <c r="G35" i="87"/>
  <c r="V34" i="87"/>
  <c r="U34" i="87"/>
  <c r="O34" i="87"/>
  <c r="M34" i="87"/>
  <c r="N34" i="87" s="1"/>
  <c r="K34" i="87"/>
  <c r="G34" i="87"/>
  <c r="X33" i="87"/>
  <c r="W33" i="87"/>
  <c r="V33" i="87"/>
  <c r="M33" i="87" s="1"/>
  <c r="O33" i="87"/>
  <c r="K33" i="87"/>
  <c r="G33" i="87"/>
  <c r="O32" i="87"/>
  <c r="K32" i="87"/>
  <c r="K13" i="86" s="1"/>
  <c r="I6" i="86" s="1"/>
  <c r="V31" i="87"/>
  <c r="M31" i="87" s="1"/>
  <c r="U31" i="87"/>
  <c r="O31" i="87"/>
  <c r="K31" i="87"/>
  <c r="G31" i="87"/>
  <c r="V30" i="87"/>
  <c r="U30" i="87"/>
  <c r="O30" i="87"/>
  <c r="M30" i="87"/>
  <c r="AA30" i="87" s="1"/>
  <c r="K30" i="87"/>
  <c r="G30" i="87"/>
  <c r="AB29" i="87"/>
  <c r="AA29" i="87"/>
  <c r="V29" i="87"/>
  <c r="U29" i="87"/>
  <c r="O29" i="87"/>
  <c r="N29" i="87"/>
  <c r="Q29" i="87" s="1"/>
  <c r="M29" i="87"/>
  <c r="K29" i="87"/>
  <c r="G29" i="87"/>
  <c r="X28" i="87"/>
  <c r="W28" i="87"/>
  <c r="V28" i="87"/>
  <c r="U28" i="87"/>
  <c r="O28" i="87"/>
  <c r="N28" i="87"/>
  <c r="Q28" i="87" s="1"/>
  <c r="M28" i="87"/>
  <c r="AB28" i="87" s="1"/>
  <c r="K28" i="87"/>
  <c r="G28" i="87"/>
  <c r="V27" i="87"/>
  <c r="U27" i="87"/>
  <c r="O27" i="87"/>
  <c r="M27" i="87"/>
  <c r="AB27" i="87" s="1"/>
  <c r="K27" i="87"/>
  <c r="G27" i="87"/>
  <c r="V26" i="87"/>
  <c r="M26" i="87" s="1"/>
  <c r="U26" i="87"/>
  <c r="O26" i="87"/>
  <c r="K26" i="87"/>
  <c r="G26" i="87"/>
  <c r="V25" i="87"/>
  <c r="U25" i="87"/>
  <c r="O25" i="87"/>
  <c r="M25" i="87"/>
  <c r="AA25" i="87" s="1"/>
  <c r="K25" i="87"/>
  <c r="G25" i="87"/>
  <c r="AB24" i="87"/>
  <c r="AA24" i="87"/>
  <c r="X24" i="87"/>
  <c r="W24" i="87"/>
  <c r="V24" i="87"/>
  <c r="O24" i="87"/>
  <c r="N24" i="87"/>
  <c r="Q24" i="87" s="1"/>
  <c r="M24" i="87"/>
  <c r="K24" i="87"/>
  <c r="G24" i="87"/>
  <c r="O23" i="87"/>
  <c r="K23" i="87"/>
  <c r="V22" i="87"/>
  <c r="M22" i="87" s="1"/>
  <c r="U22" i="87"/>
  <c r="O22" i="87"/>
  <c r="K22" i="87"/>
  <c r="G22" i="87"/>
  <c r="V21" i="87"/>
  <c r="U21" i="87"/>
  <c r="O21" i="87"/>
  <c r="N21" i="87"/>
  <c r="Q21" i="87" s="1"/>
  <c r="M21" i="87"/>
  <c r="AB21" i="87" s="1"/>
  <c r="K21" i="87"/>
  <c r="G21" i="87"/>
  <c r="AB20" i="87"/>
  <c r="V20" i="87"/>
  <c r="U20" i="87"/>
  <c r="O20" i="87"/>
  <c r="M20" i="87"/>
  <c r="AA20" i="87" s="1"/>
  <c r="K20" i="87"/>
  <c r="G20" i="87"/>
  <c r="V19" i="87"/>
  <c r="U19" i="87"/>
  <c r="O19" i="87"/>
  <c r="M19" i="87"/>
  <c r="AB19" i="87" s="1"/>
  <c r="K19" i="87"/>
  <c r="G19" i="87"/>
  <c r="V18" i="87"/>
  <c r="O18" i="87"/>
  <c r="M18" i="87"/>
  <c r="AB18" i="87" s="1"/>
  <c r="K18" i="87"/>
  <c r="G18" i="87"/>
  <c r="O17" i="87"/>
  <c r="K17" i="87"/>
  <c r="V16" i="87"/>
  <c r="U16" i="87"/>
  <c r="O16" i="87"/>
  <c r="M16" i="87"/>
  <c r="N16" i="87" s="1"/>
  <c r="K16" i="87"/>
  <c r="G16" i="87"/>
  <c r="V15" i="87"/>
  <c r="M15" i="87" s="1"/>
  <c r="U15" i="87"/>
  <c r="O15" i="87"/>
  <c r="K15" i="87"/>
  <c r="G15" i="87"/>
  <c r="V14" i="87"/>
  <c r="U14" i="87"/>
  <c r="O14" i="87"/>
  <c r="M14" i="87"/>
  <c r="AA14" i="87" s="1"/>
  <c r="K14" i="87"/>
  <c r="G14" i="87"/>
  <c r="V13" i="87"/>
  <c r="M13" i="87" s="1"/>
  <c r="U13" i="87"/>
  <c r="O13" i="87"/>
  <c r="K13" i="87"/>
  <c r="G13" i="87"/>
  <c r="X12" i="87"/>
  <c r="W12" i="87"/>
  <c r="V12" i="87"/>
  <c r="O12" i="87"/>
  <c r="N12" i="87"/>
  <c r="Q12" i="87" s="1"/>
  <c r="M12" i="87"/>
  <c r="AB12" i="87" s="1"/>
  <c r="K12" i="87"/>
  <c r="G12" i="87"/>
  <c r="O11" i="87"/>
  <c r="K11" i="87"/>
  <c r="V10" i="87"/>
  <c r="U10" i="87"/>
  <c r="O10" i="87"/>
  <c r="M10" i="87"/>
  <c r="AA10" i="87" s="1"/>
  <c r="K10" i="87"/>
  <c r="G10" i="87"/>
  <c r="AB9" i="87"/>
  <c r="V9" i="87"/>
  <c r="O9" i="87"/>
  <c r="M9" i="87"/>
  <c r="AA9" i="87" s="1"/>
  <c r="K9" i="87"/>
  <c r="G9" i="87"/>
  <c r="O8" i="87"/>
  <c r="K8" i="87"/>
  <c r="AB7" i="87"/>
  <c r="AA7" i="87"/>
  <c r="V7" i="87"/>
  <c r="U7" i="87"/>
  <c r="O7" i="87"/>
  <c r="N7" i="87"/>
  <c r="Q7" i="87" s="1"/>
  <c r="M7" i="87"/>
  <c r="K7" i="87"/>
  <c r="G7" i="87"/>
  <c r="V6" i="87"/>
  <c r="U6" i="87"/>
  <c r="O6" i="87"/>
  <c r="M6" i="87"/>
  <c r="AB6" i="87" s="1"/>
  <c r="K6" i="87"/>
  <c r="G6" i="87"/>
  <c r="F1" i="87" s="1"/>
  <c r="V5" i="87"/>
  <c r="O5" i="87"/>
  <c r="M5" i="87"/>
  <c r="N5" i="87" s="1"/>
  <c r="K5" i="87"/>
  <c r="G5" i="87"/>
  <c r="H2" i="87"/>
  <c r="H1" i="87"/>
  <c r="D1" i="87"/>
  <c r="F3" i="86" s="1"/>
  <c r="M18" i="86"/>
  <c r="L18" i="86"/>
  <c r="K18" i="86"/>
  <c r="J18" i="86"/>
  <c r="I18" i="86"/>
  <c r="H18" i="86"/>
  <c r="G18" i="86"/>
  <c r="F18" i="86"/>
  <c r="E18" i="86"/>
  <c r="D18" i="86"/>
  <c r="M17" i="86"/>
  <c r="L17" i="86"/>
  <c r="K17" i="86"/>
  <c r="J17" i="86"/>
  <c r="I17" i="86"/>
  <c r="H17" i="86"/>
  <c r="G17" i="86"/>
  <c r="F17" i="86"/>
  <c r="E17" i="86"/>
  <c r="D17" i="86"/>
  <c r="M16" i="86"/>
  <c r="L16" i="86"/>
  <c r="K16" i="86"/>
  <c r="J16" i="86"/>
  <c r="I16" i="86"/>
  <c r="H16" i="86"/>
  <c r="G16" i="86"/>
  <c r="F16" i="86"/>
  <c r="E16" i="86"/>
  <c r="D16" i="86"/>
  <c r="M13" i="86"/>
  <c r="J13" i="86"/>
  <c r="I13" i="86"/>
  <c r="H13" i="86"/>
  <c r="G13" i="86"/>
  <c r="F13" i="86"/>
  <c r="E13" i="86"/>
  <c r="D13" i="86"/>
  <c r="G6" i="86" s="1"/>
  <c r="C3" i="86"/>
  <c r="F8" i="94" l="1"/>
  <c r="E8" i="94"/>
  <c r="G8" i="94"/>
  <c r="K15" i="92"/>
  <c r="I8" i="92" s="1"/>
  <c r="I7" i="92"/>
  <c r="F7" i="92"/>
  <c r="D15" i="92"/>
  <c r="G7" i="92"/>
  <c r="E7" i="92"/>
  <c r="Q45" i="91"/>
  <c r="R37" i="91" s="1"/>
  <c r="L14" i="90"/>
  <c r="L15" i="90" s="1"/>
  <c r="P45" i="91"/>
  <c r="F14" i="90"/>
  <c r="F15" i="90" s="1"/>
  <c r="Q20" i="91"/>
  <c r="R13" i="91" s="1"/>
  <c r="P20" i="91"/>
  <c r="Q57" i="91"/>
  <c r="R46" i="91" s="1"/>
  <c r="P57" i="91"/>
  <c r="H14" i="90"/>
  <c r="H15" i="90" s="1"/>
  <c r="Q80" i="91"/>
  <c r="R70" i="91" s="1"/>
  <c r="P80" i="91"/>
  <c r="M14" i="90"/>
  <c r="M15" i="90" s="1"/>
  <c r="Q27" i="91"/>
  <c r="R21" i="91" s="1"/>
  <c r="P27" i="91"/>
  <c r="G14" i="90"/>
  <c r="G15" i="90" s="1"/>
  <c r="K14" i="90"/>
  <c r="Q36" i="91"/>
  <c r="R28" i="91" s="1"/>
  <c r="P36" i="91"/>
  <c r="I14" i="90"/>
  <c r="I15" i="90" s="1"/>
  <c r="Q64" i="91"/>
  <c r="R58" i="91" s="1"/>
  <c r="P64" i="91"/>
  <c r="D2" i="91"/>
  <c r="D14" i="90"/>
  <c r="Q9" i="91"/>
  <c r="R5" i="91" s="1"/>
  <c r="P9" i="91"/>
  <c r="Q69" i="91"/>
  <c r="R65" i="91" s="1"/>
  <c r="J14" i="90"/>
  <c r="J15" i="90" s="1"/>
  <c r="P69" i="91"/>
  <c r="P50" i="89"/>
  <c r="Q50" i="89"/>
  <c r="Q19" i="89"/>
  <c r="P19" i="89"/>
  <c r="P72" i="89"/>
  <c r="Q72" i="89"/>
  <c r="P61" i="89"/>
  <c r="Q61" i="89"/>
  <c r="P34" i="89"/>
  <c r="Q34" i="89"/>
  <c r="AB76" i="89"/>
  <c r="AC66" i="89" s="1"/>
  <c r="AA76" i="89"/>
  <c r="N76" i="89"/>
  <c r="Q14" i="89"/>
  <c r="P14" i="89"/>
  <c r="F14" i="88"/>
  <c r="F15" i="88" s="1"/>
  <c r="Q17" i="89"/>
  <c r="R12" i="89" s="1"/>
  <c r="P17" i="89"/>
  <c r="Q12" i="89"/>
  <c r="P12" i="89"/>
  <c r="Q51" i="89"/>
  <c r="P51" i="89"/>
  <c r="Q63" i="89"/>
  <c r="P63" i="89"/>
  <c r="Q35" i="89"/>
  <c r="P35" i="89"/>
  <c r="AA65" i="89"/>
  <c r="N65" i="89"/>
  <c r="AB65" i="89"/>
  <c r="AC61" i="89" s="1"/>
  <c r="P70" i="89"/>
  <c r="Q70" i="89"/>
  <c r="Q54" i="89"/>
  <c r="P54" i="89"/>
  <c r="Q39" i="89"/>
  <c r="P39" i="89"/>
  <c r="AB53" i="89"/>
  <c r="AC42" i="89" s="1"/>
  <c r="AA53" i="89"/>
  <c r="N53" i="89"/>
  <c r="Q73" i="89"/>
  <c r="P73" i="89"/>
  <c r="P41" i="89"/>
  <c r="Q41" i="89"/>
  <c r="R33" i="89" s="1"/>
  <c r="L14" i="88"/>
  <c r="L15" i="88" s="1"/>
  <c r="AA11" i="89"/>
  <c r="N11" i="89"/>
  <c r="AB11" i="89"/>
  <c r="AC9" i="89" s="1"/>
  <c r="AB32" i="89"/>
  <c r="AC24" i="89" s="1"/>
  <c r="AA32" i="89"/>
  <c r="N32" i="89"/>
  <c r="P28" i="89"/>
  <c r="Q28" i="89"/>
  <c r="Q25" i="89"/>
  <c r="P25" i="89"/>
  <c r="Q37" i="89"/>
  <c r="P37" i="89"/>
  <c r="Q21" i="89"/>
  <c r="P21" i="89"/>
  <c r="Q5" i="89"/>
  <c r="P5" i="89"/>
  <c r="Q43" i="89"/>
  <c r="P43" i="89"/>
  <c r="G14" i="88"/>
  <c r="G15" i="88" s="1"/>
  <c r="Q23" i="89"/>
  <c r="R18" i="89" s="1"/>
  <c r="P23" i="89"/>
  <c r="D14" i="88"/>
  <c r="Q8" i="89"/>
  <c r="R5" i="89" s="1"/>
  <c r="P8" i="89"/>
  <c r="Q42" i="89"/>
  <c r="P42" i="89"/>
  <c r="Q27" i="89"/>
  <c r="P27" i="89"/>
  <c r="P18" i="89"/>
  <c r="Q18" i="89"/>
  <c r="Q10" i="89"/>
  <c r="P10" i="89"/>
  <c r="Q66" i="89"/>
  <c r="P66" i="89"/>
  <c r="Q59" i="89"/>
  <c r="P59" i="89"/>
  <c r="Q48" i="89"/>
  <c r="P48" i="89"/>
  <c r="Q57" i="89"/>
  <c r="P57" i="89"/>
  <c r="P34" i="87"/>
  <c r="Q34" i="87"/>
  <c r="Q39" i="87"/>
  <c r="P39" i="87"/>
  <c r="N22" i="87"/>
  <c r="AB22" i="87"/>
  <c r="AA22" i="87"/>
  <c r="Q36" i="87"/>
  <c r="P36" i="87"/>
  <c r="AB15" i="87"/>
  <c r="AA15" i="87"/>
  <c r="N15" i="87"/>
  <c r="N49" i="87"/>
  <c r="AB49" i="87"/>
  <c r="AA49" i="87"/>
  <c r="N26" i="87"/>
  <c r="AB26" i="87"/>
  <c r="M32" i="87"/>
  <c r="AA26" i="87"/>
  <c r="N71" i="87"/>
  <c r="AA71" i="87"/>
  <c r="AB71" i="87"/>
  <c r="N33" i="87"/>
  <c r="M41" i="87"/>
  <c r="AB33" i="87"/>
  <c r="AA33" i="87"/>
  <c r="N60" i="87"/>
  <c r="AB60" i="87"/>
  <c r="AC54" i="87" s="1"/>
  <c r="AA60" i="87"/>
  <c r="Q5" i="87"/>
  <c r="P5" i="87"/>
  <c r="Q16" i="87"/>
  <c r="P16" i="87"/>
  <c r="P50" i="87"/>
  <c r="Q50" i="87"/>
  <c r="N40" i="87"/>
  <c r="AB40" i="87"/>
  <c r="AA40" i="87"/>
  <c r="I3" i="86"/>
  <c r="F2" i="87"/>
  <c r="AB66" i="87"/>
  <c r="AA66" i="87"/>
  <c r="M76" i="87"/>
  <c r="N66" i="87"/>
  <c r="N13" i="87"/>
  <c r="AA13" i="87"/>
  <c r="M17" i="87"/>
  <c r="AB13" i="87"/>
  <c r="N58" i="87"/>
  <c r="AB58" i="87"/>
  <c r="AA58" i="87"/>
  <c r="N62" i="87"/>
  <c r="AB62" i="87"/>
  <c r="AA62" i="87"/>
  <c r="N31" i="87"/>
  <c r="AB31" i="87"/>
  <c r="AA31" i="87"/>
  <c r="N69" i="87"/>
  <c r="AB69" i="87"/>
  <c r="AA69" i="87"/>
  <c r="N38" i="87"/>
  <c r="AB38" i="87"/>
  <c r="AA38" i="87"/>
  <c r="Q52" i="87"/>
  <c r="P52" i="87"/>
  <c r="AB35" i="87"/>
  <c r="AA35" i="87"/>
  <c r="N35" i="87"/>
  <c r="N42" i="87"/>
  <c r="AA42" i="87"/>
  <c r="AB42" i="87"/>
  <c r="M53" i="87"/>
  <c r="AB51" i="87"/>
  <c r="AA51" i="87"/>
  <c r="N51" i="87"/>
  <c r="N19" i="87"/>
  <c r="N37" i="87"/>
  <c r="N55" i="87"/>
  <c r="N73" i="87"/>
  <c r="N6" i="87"/>
  <c r="M8" i="87"/>
  <c r="P28" i="87"/>
  <c r="P44" i="87"/>
  <c r="N46" i="87"/>
  <c r="P64" i="87"/>
  <c r="N30" i="87"/>
  <c r="M23" i="87"/>
  <c r="N10" i="87"/>
  <c r="N48" i="87"/>
  <c r="N68" i="87"/>
  <c r="N18" i="87"/>
  <c r="N54" i="87"/>
  <c r="F6" i="86"/>
  <c r="AB10" i="87"/>
  <c r="AA12" i="87"/>
  <c r="AB30" i="87"/>
  <c r="AA39" i="87"/>
  <c r="N45" i="87"/>
  <c r="AB68" i="87"/>
  <c r="N9" i="87"/>
  <c r="N20" i="87"/>
  <c r="AB39" i="87"/>
  <c r="AA48" i="87"/>
  <c r="N56" i="87"/>
  <c r="AA61" i="87"/>
  <c r="AA70" i="87"/>
  <c r="N74" i="87"/>
  <c r="P12" i="87"/>
  <c r="P21" i="87"/>
  <c r="P57" i="87"/>
  <c r="P75" i="87"/>
  <c r="AA44" i="87"/>
  <c r="N61" i="87"/>
  <c r="AA64" i="87"/>
  <c r="N70" i="87"/>
  <c r="AB25" i="87"/>
  <c r="AA34" i="87"/>
  <c r="AA50" i="87"/>
  <c r="AB59" i="87"/>
  <c r="P7" i="87"/>
  <c r="AB14" i="87"/>
  <c r="AA18" i="87"/>
  <c r="P24" i="87"/>
  <c r="AA27" i="87"/>
  <c r="P29" i="87"/>
  <c r="AB34" i="87"/>
  <c r="AA43" i="87"/>
  <c r="P47" i="87"/>
  <c r="AB50" i="87"/>
  <c r="AA54" i="87"/>
  <c r="AA63" i="87"/>
  <c r="P67" i="87"/>
  <c r="AA19" i="87"/>
  <c r="N25" i="87"/>
  <c r="AA55" i="87"/>
  <c r="N59" i="87"/>
  <c r="AA73" i="87"/>
  <c r="N14" i="87"/>
  <c r="AA28" i="87"/>
  <c r="AA46" i="87"/>
  <c r="N72" i="87"/>
  <c r="E6" i="86"/>
  <c r="M65" i="87"/>
  <c r="AA75" i="87"/>
  <c r="AA6" i="87"/>
  <c r="AA21" i="87"/>
  <c r="N27" i="87"/>
  <c r="AA37" i="87"/>
  <c r="N43" i="87"/>
  <c r="AA57" i="87"/>
  <c r="N63" i="87"/>
  <c r="M11" i="87"/>
  <c r="AA5" i="87"/>
  <c r="AA16" i="87"/>
  <c r="AA36" i="87"/>
  <c r="AA52" i="87"/>
  <c r="AB54" i="87"/>
  <c r="AB5" i="87"/>
  <c r="AB16" i="87"/>
  <c r="AB36" i="87"/>
  <c r="AA45" i="87"/>
  <c r="AB52" i="87"/>
  <c r="AB72" i="87"/>
  <c r="O77" i="85"/>
  <c r="K77" i="85"/>
  <c r="V76" i="85"/>
  <c r="U76" i="85"/>
  <c r="O76" i="85"/>
  <c r="M76" i="85"/>
  <c r="N76" i="85" s="1"/>
  <c r="K76" i="85"/>
  <c r="G76" i="85"/>
  <c r="V75" i="85"/>
  <c r="M75" i="85" s="1"/>
  <c r="AA75" i="85" s="1"/>
  <c r="U75" i="85"/>
  <c r="O75" i="85"/>
  <c r="K75" i="85"/>
  <c r="G75" i="85"/>
  <c r="V74" i="85"/>
  <c r="U74" i="85"/>
  <c r="O74" i="85"/>
  <c r="N74" i="85"/>
  <c r="Q74" i="85" s="1"/>
  <c r="M74" i="85"/>
  <c r="AB74" i="85" s="1"/>
  <c r="K74" i="85"/>
  <c r="G74" i="85"/>
  <c r="X73" i="85"/>
  <c r="W73" i="85"/>
  <c r="V73" i="85"/>
  <c r="M73" i="85" s="1"/>
  <c r="U73" i="85"/>
  <c r="O73" i="85"/>
  <c r="K73" i="85"/>
  <c r="G73" i="85"/>
  <c r="AA72" i="85"/>
  <c r="V72" i="85"/>
  <c r="M72" i="85" s="1"/>
  <c r="N72" i="85" s="1"/>
  <c r="U72" i="85"/>
  <c r="O72" i="85"/>
  <c r="K72" i="85"/>
  <c r="P72" i="85" s="1"/>
  <c r="G72" i="85"/>
  <c r="V71" i="85"/>
  <c r="U71" i="85"/>
  <c r="O71" i="85"/>
  <c r="M71" i="85"/>
  <c r="AB71" i="85" s="1"/>
  <c r="K71" i="85"/>
  <c r="G71" i="85"/>
  <c r="AB70" i="85"/>
  <c r="V70" i="85"/>
  <c r="U70" i="85"/>
  <c r="O70" i="85"/>
  <c r="N70" i="85"/>
  <c r="M70" i="85"/>
  <c r="AA70" i="85" s="1"/>
  <c r="K70" i="85"/>
  <c r="G70" i="85"/>
  <c r="V69" i="85"/>
  <c r="U69" i="85"/>
  <c r="O69" i="85"/>
  <c r="M69" i="85"/>
  <c r="N69" i="85" s="1"/>
  <c r="K69" i="85"/>
  <c r="G69" i="85"/>
  <c r="AB68" i="85"/>
  <c r="AA68" i="85"/>
  <c r="V68" i="85"/>
  <c r="U68" i="85"/>
  <c r="O68" i="85"/>
  <c r="M68" i="85"/>
  <c r="N68" i="85" s="1"/>
  <c r="K68" i="85"/>
  <c r="G68" i="85"/>
  <c r="X67" i="85"/>
  <c r="W67" i="85"/>
  <c r="V67" i="85"/>
  <c r="M67" i="85" s="1"/>
  <c r="AB67" i="85" s="1"/>
  <c r="O67" i="85"/>
  <c r="N67" i="85"/>
  <c r="Q67" i="85" s="1"/>
  <c r="K67" i="85"/>
  <c r="G67" i="85"/>
  <c r="O66" i="85"/>
  <c r="K66" i="85"/>
  <c r="V65" i="85"/>
  <c r="U65" i="85"/>
  <c r="O65" i="85"/>
  <c r="M65" i="85"/>
  <c r="N65" i="85" s="1"/>
  <c r="K65" i="85"/>
  <c r="G65" i="85"/>
  <c r="V64" i="85"/>
  <c r="M64" i="85" s="1"/>
  <c r="U64" i="85"/>
  <c r="O64" i="85"/>
  <c r="K64" i="85"/>
  <c r="G64" i="85"/>
  <c r="V63" i="85"/>
  <c r="M63" i="85" s="1"/>
  <c r="N63" i="85" s="1"/>
  <c r="U63" i="85"/>
  <c r="Q63" i="85"/>
  <c r="P63" i="85"/>
  <c r="O63" i="85"/>
  <c r="K63" i="85"/>
  <c r="G63" i="85"/>
  <c r="V62" i="85"/>
  <c r="U62" i="85"/>
  <c r="O62" i="85"/>
  <c r="N62" i="85"/>
  <c r="M62" i="85"/>
  <c r="AB62" i="85" s="1"/>
  <c r="K62" i="85"/>
  <c r="G62" i="85"/>
  <c r="V61" i="85"/>
  <c r="O61" i="85"/>
  <c r="M61" i="85"/>
  <c r="K61" i="85"/>
  <c r="G61" i="85"/>
  <c r="O60" i="85"/>
  <c r="K60" i="85"/>
  <c r="I13" i="84" s="1"/>
  <c r="V59" i="85"/>
  <c r="M59" i="85" s="1"/>
  <c r="U59" i="85"/>
  <c r="O59" i="85"/>
  <c r="K59" i="85"/>
  <c r="G59" i="85"/>
  <c r="V58" i="85"/>
  <c r="U58" i="85"/>
  <c r="O58" i="85"/>
  <c r="M58" i="85"/>
  <c r="AA58" i="85" s="1"/>
  <c r="K58" i="85"/>
  <c r="G58" i="85"/>
  <c r="V57" i="85"/>
  <c r="U57" i="85"/>
  <c r="O57" i="85"/>
  <c r="M57" i="85"/>
  <c r="AB57" i="85" s="1"/>
  <c r="K57" i="85"/>
  <c r="G57" i="85"/>
  <c r="V56" i="85"/>
  <c r="U56" i="85"/>
  <c r="O56" i="85"/>
  <c r="M56" i="85"/>
  <c r="K56" i="85"/>
  <c r="G56" i="85"/>
  <c r="V55" i="85"/>
  <c r="M55" i="85" s="1"/>
  <c r="AA55" i="85" s="1"/>
  <c r="U55" i="85"/>
  <c r="O55" i="85"/>
  <c r="N55" i="85"/>
  <c r="P55" i="85" s="1"/>
  <c r="K55" i="85"/>
  <c r="G55" i="85"/>
  <c r="AB54" i="85"/>
  <c r="V54" i="85"/>
  <c r="O54" i="85"/>
  <c r="M54" i="85"/>
  <c r="AA54" i="85" s="1"/>
  <c r="K54" i="85"/>
  <c r="G54" i="85"/>
  <c r="O53" i="85"/>
  <c r="K53" i="85"/>
  <c r="V52" i="85"/>
  <c r="M52" i="85" s="1"/>
  <c r="U52" i="85"/>
  <c r="O52" i="85"/>
  <c r="K52" i="85"/>
  <c r="G52" i="85"/>
  <c r="V51" i="85"/>
  <c r="M51" i="85" s="1"/>
  <c r="U51" i="85"/>
  <c r="O51" i="85"/>
  <c r="K51" i="85"/>
  <c r="G51" i="85"/>
  <c r="V50" i="85"/>
  <c r="M50" i="85" s="1"/>
  <c r="AB50" i="85" s="1"/>
  <c r="U50" i="85"/>
  <c r="Q50" i="85"/>
  <c r="O50" i="85"/>
  <c r="N50" i="85"/>
  <c r="P50" i="85" s="1"/>
  <c r="K50" i="85"/>
  <c r="G50" i="85"/>
  <c r="V49" i="85"/>
  <c r="U49" i="85"/>
  <c r="O49" i="85"/>
  <c r="M49" i="85"/>
  <c r="N49" i="85" s="1"/>
  <c r="K49" i="85"/>
  <c r="G49" i="85"/>
  <c r="X48" i="85"/>
  <c r="W48" i="85"/>
  <c r="V48" i="85"/>
  <c r="U48" i="85"/>
  <c r="O48" i="85"/>
  <c r="M48" i="85"/>
  <c r="AA48" i="85" s="1"/>
  <c r="K48" i="85"/>
  <c r="G48" i="85"/>
  <c r="V47" i="85"/>
  <c r="U47" i="85"/>
  <c r="O47" i="85"/>
  <c r="M47" i="85"/>
  <c r="K47" i="85"/>
  <c r="G47" i="85"/>
  <c r="V46" i="85"/>
  <c r="U46" i="85"/>
  <c r="O46" i="85"/>
  <c r="N46" i="85"/>
  <c r="Q46" i="85" s="1"/>
  <c r="M46" i="85"/>
  <c r="AA46" i="85" s="1"/>
  <c r="K46" i="85"/>
  <c r="G46" i="85"/>
  <c r="V45" i="85"/>
  <c r="U45" i="85"/>
  <c r="O45" i="85"/>
  <c r="M45" i="85"/>
  <c r="AB45" i="85" s="1"/>
  <c r="K45" i="85"/>
  <c r="G45" i="85"/>
  <c r="V44" i="85"/>
  <c r="U44" i="85"/>
  <c r="O44" i="85"/>
  <c r="M44" i="85"/>
  <c r="AB44" i="85" s="1"/>
  <c r="K44" i="85"/>
  <c r="G44" i="85"/>
  <c r="AB43" i="85"/>
  <c r="AA43" i="85"/>
  <c r="V43" i="85"/>
  <c r="U43" i="85"/>
  <c r="O43" i="85"/>
  <c r="M43" i="85"/>
  <c r="N43" i="85" s="1"/>
  <c r="K43" i="85"/>
  <c r="G43" i="85"/>
  <c r="X42" i="85"/>
  <c r="W42" i="85"/>
  <c r="V42" i="85"/>
  <c r="O42" i="85"/>
  <c r="N42" i="85"/>
  <c r="Q42" i="85" s="1"/>
  <c r="M42" i="85"/>
  <c r="K42" i="85"/>
  <c r="G42" i="85"/>
  <c r="O41" i="85"/>
  <c r="K41" i="85"/>
  <c r="V40" i="85"/>
  <c r="U40" i="85"/>
  <c r="O40" i="85"/>
  <c r="M40" i="85"/>
  <c r="AB40" i="85" s="1"/>
  <c r="K40" i="85"/>
  <c r="G40" i="85"/>
  <c r="V39" i="85"/>
  <c r="M39" i="85" s="1"/>
  <c r="U39" i="85"/>
  <c r="O39" i="85"/>
  <c r="K39" i="85"/>
  <c r="G39" i="85"/>
  <c r="V38" i="85"/>
  <c r="U38" i="85"/>
  <c r="O38" i="85"/>
  <c r="M38" i="85"/>
  <c r="AA38" i="85" s="1"/>
  <c r="K38" i="85"/>
  <c r="G38" i="85"/>
  <c r="V37" i="85"/>
  <c r="M37" i="85" s="1"/>
  <c r="U37" i="85"/>
  <c r="O37" i="85"/>
  <c r="K37" i="85"/>
  <c r="G37" i="85"/>
  <c r="V36" i="85"/>
  <c r="U36" i="85"/>
  <c r="O36" i="85"/>
  <c r="M36" i="85"/>
  <c r="N36" i="85" s="1"/>
  <c r="K36" i="85"/>
  <c r="G36" i="85"/>
  <c r="V35" i="85"/>
  <c r="M35" i="85" s="1"/>
  <c r="AA35" i="85" s="1"/>
  <c r="U35" i="85"/>
  <c r="Q35" i="85"/>
  <c r="P35" i="85"/>
  <c r="O35" i="85"/>
  <c r="N35" i="85"/>
  <c r="K35" i="85"/>
  <c r="G35" i="85"/>
  <c r="V34" i="85"/>
  <c r="U34" i="85"/>
  <c r="O34" i="85"/>
  <c r="M34" i="85"/>
  <c r="AB34" i="85" s="1"/>
  <c r="K34" i="85"/>
  <c r="G34" i="85"/>
  <c r="X33" i="85"/>
  <c r="W33" i="85"/>
  <c r="V33" i="85"/>
  <c r="M33" i="85" s="1"/>
  <c r="O33" i="85"/>
  <c r="K33" i="85"/>
  <c r="G33" i="85"/>
  <c r="O32" i="85"/>
  <c r="K32" i="85"/>
  <c r="V31" i="85"/>
  <c r="U31" i="85"/>
  <c r="O31" i="85"/>
  <c r="M31" i="85"/>
  <c r="AA31" i="85" s="1"/>
  <c r="K31" i="85"/>
  <c r="G31" i="85"/>
  <c r="AB30" i="85"/>
  <c r="V30" i="85"/>
  <c r="M30" i="85" s="1"/>
  <c r="N30" i="85" s="1"/>
  <c r="Q30" i="85" s="1"/>
  <c r="U30" i="85"/>
  <c r="O30" i="85"/>
  <c r="K30" i="85"/>
  <c r="G30" i="85"/>
  <c r="V29" i="85"/>
  <c r="U29" i="85"/>
  <c r="O29" i="85"/>
  <c r="M29" i="85"/>
  <c r="AA29" i="85" s="1"/>
  <c r="K29" i="85"/>
  <c r="G29" i="85"/>
  <c r="AB28" i="85"/>
  <c r="AA28" i="85"/>
  <c r="X28" i="85"/>
  <c r="W28" i="85"/>
  <c r="V28" i="85"/>
  <c r="U28" i="85"/>
  <c r="O28" i="85"/>
  <c r="M28" i="85"/>
  <c r="N28" i="85" s="1"/>
  <c r="K28" i="85"/>
  <c r="G28" i="85"/>
  <c r="V27" i="85"/>
  <c r="U27" i="85"/>
  <c r="O27" i="85"/>
  <c r="M27" i="85"/>
  <c r="AB27" i="85" s="1"/>
  <c r="K27" i="85"/>
  <c r="G27" i="85"/>
  <c r="V26" i="85"/>
  <c r="U26" i="85"/>
  <c r="O26" i="85"/>
  <c r="M26" i="85"/>
  <c r="AB26" i="85" s="1"/>
  <c r="K26" i="85"/>
  <c r="G26" i="85"/>
  <c r="V25" i="85"/>
  <c r="U25" i="85"/>
  <c r="O25" i="85"/>
  <c r="M25" i="85"/>
  <c r="AA25" i="85" s="1"/>
  <c r="K25" i="85"/>
  <c r="G25" i="85"/>
  <c r="AB24" i="85"/>
  <c r="AA24" i="85"/>
  <c r="X24" i="85"/>
  <c r="W24" i="85"/>
  <c r="V24" i="85"/>
  <c r="O24" i="85"/>
  <c r="M24" i="85"/>
  <c r="K24" i="85"/>
  <c r="G24" i="85"/>
  <c r="O23" i="85"/>
  <c r="K23" i="85"/>
  <c r="G13" i="84" s="1"/>
  <c r="V22" i="85"/>
  <c r="M22" i="85" s="1"/>
  <c r="U22" i="85"/>
  <c r="O22" i="85"/>
  <c r="K22" i="85"/>
  <c r="G22" i="85"/>
  <c r="V21" i="85"/>
  <c r="U21" i="85"/>
  <c r="O21" i="85"/>
  <c r="M21" i="85"/>
  <c r="N21" i="85" s="1"/>
  <c r="K21" i="85"/>
  <c r="G21" i="85"/>
  <c r="V20" i="85"/>
  <c r="U20" i="85"/>
  <c r="O20" i="85"/>
  <c r="M20" i="85"/>
  <c r="AA20" i="85" s="1"/>
  <c r="K20" i="85"/>
  <c r="G20" i="85"/>
  <c r="V19" i="85"/>
  <c r="U19" i="85"/>
  <c r="O19" i="85"/>
  <c r="M19" i="85"/>
  <c r="N19" i="85" s="1"/>
  <c r="K19" i="85"/>
  <c r="G19" i="85"/>
  <c r="V18" i="85"/>
  <c r="O18" i="85"/>
  <c r="N18" i="85"/>
  <c r="Q18" i="85" s="1"/>
  <c r="M18" i="85"/>
  <c r="K18" i="85"/>
  <c r="G18" i="85"/>
  <c r="O17" i="85"/>
  <c r="K17" i="85"/>
  <c r="V16" i="85"/>
  <c r="U16" i="85"/>
  <c r="O16" i="85"/>
  <c r="M16" i="85"/>
  <c r="K16" i="85"/>
  <c r="G16" i="85"/>
  <c r="V15" i="85"/>
  <c r="M15" i="85" s="1"/>
  <c r="AA15" i="85" s="1"/>
  <c r="U15" i="85"/>
  <c r="O15" i="85"/>
  <c r="K15" i="85"/>
  <c r="G15" i="85"/>
  <c r="V14" i="85"/>
  <c r="U14" i="85"/>
  <c r="O14" i="85"/>
  <c r="M14" i="85"/>
  <c r="N14" i="85" s="1"/>
  <c r="K14" i="85"/>
  <c r="G14" i="85"/>
  <c r="V13" i="85"/>
  <c r="M13" i="85" s="1"/>
  <c r="U13" i="85"/>
  <c r="O13" i="85"/>
  <c r="K13" i="85"/>
  <c r="G13" i="85"/>
  <c r="X12" i="85"/>
  <c r="W12" i="85"/>
  <c r="V12" i="85"/>
  <c r="O12" i="85"/>
  <c r="M12" i="85"/>
  <c r="N12" i="85" s="1"/>
  <c r="K12" i="85"/>
  <c r="G12" i="85"/>
  <c r="O11" i="85"/>
  <c r="M11" i="85"/>
  <c r="AA11" i="85" s="1"/>
  <c r="K11" i="85"/>
  <c r="E13" i="84" s="1"/>
  <c r="AB10" i="85"/>
  <c r="AA10" i="85"/>
  <c r="V10" i="85"/>
  <c r="M10" i="85" s="1"/>
  <c r="N10" i="85" s="1"/>
  <c r="P10" i="85" s="1"/>
  <c r="U10" i="85"/>
  <c r="O10" i="85"/>
  <c r="K10" i="85"/>
  <c r="Q10" i="85" s="1"/>
  <c r="G10" i="85"/>
  <c r="V9" i="85"/>
  <c r="O9" i="85"/>
  <c r="M9" i="85"/>
  <c r="AA9" i="85" s="1"/>
  <c r="K9" i="85"/>
  <c r="G9" i="85"/>
  <c r="F1" i="85" s="1"/>
  <c r="O8" i="85"/>
  <c r="K8" i="85"/>
  <c r="V7" i="85"/>
  <c r="U7" i="85"/>
  <c r="O7" i="85"/>
  <c r="M7" i="85"/>
  <c r="N7" i="85" s="1"/>
  <c r="K7" i="85"/>
  <c r="G7" i="85"/>
  <c r="V6" i="85"/>
  <c r="M6" i="85" s="1"/>
  <c r="U6" i="85"/>
  <c r="O6" i="85"/>
  <c r="K6" i="85"/>
  <c r="G6" i="85"/>
  <c r="V5" i="85"/>
  <c r="O5" i="85"/>
  <c r="M5" i="85"/>
  <c r="K5" i="85"/>
  <c r="G5" i="85"/>
  <c r="H2" i="85"/>
  <c r="H1" i="85"/>
  <c r="D1" i="85"/>
  <c r="F3" i="84" s="1"/>
  <c r="M18" i="84"/>
  <c r="L18" i="84"/>
  <c r="K18" i="84"/>
  <c r="J18" i="84"/>
  <c r="I18" i="84"/>
  <c r="H18" i="84"/>
  <c r="G18" i="84"/>
  <c r="F18" i="84"/>
  <c r="E18" i="84"/>
  <c r="D18" i="84"/>
  <c r="M17" i="84"/>
  <c r="L17" i="84"/>
  <c r="K17" i="84"/>
  <c r="J17" i="84"/>
  <c r="I17" i="84"/>
  <c r="H17" i="84"/>
  <c r="G17" i="84"/>
  <c r="F17" i="84"/>
  <c r="E17" i="84"/>
  <c r="D17" i="84"/>
  <c r="M16" i="84"/>
  <c r="L16" i="84"/>
  <c r="K16" i="84"/>
  <c r="J16" i="84"/>
  <c r="I16" i="84"/>
  <c r="H16" i="84"/>
  <c r="G16" i="84"/>
  <c r="F16" i="84"/>
  <c r="E16" i="84"/>
  <c r="D16" i="84"/>
  <c r="M13" i="84"/>
  <c r="L13" i="84"/>
  <c r="K13" i="84"/>
  <c r="J13" i="84"/>
  <c r="H13" i="84"/>
  <c r="F13" i="84"/>
  <c r="D13" i="84"/>
  <c r="I6" i="84"/>
  <c r="C3" i="84"/>
  <c r="F8" i="92" l="1"/>
  <c r="G8" i="92"/>
  <c r="E8" i="92"/>
  <c r="D15" i="90"/>
  <c r="G7" i="90"/>
  <c r="F7" i="90"/>
  <c r="E7" i="90"/>
  <c r="K15" i="90"/>
  <c r="I8" i="90" s="1"/>
  <c r="I7" i="90"/>
  <c r="Q76" i="89"/>
  <c r="R66" i="89" s="1"/>
  <c r="P76" i="89"/>
  <c r="M14" i="88"/>
  <c r="M15" i="88" s="1"/>
  <c r="K14" i="88"/>
  <c r="Q32" i="89"/>
  <c r="R24" i="89" s="1"/>
  <c r="P32" i="89"/>
  <c r="Q11" i="89"/>
  <c r="R9" i="89" s="1"/>
  <c r="P11" i="89"/>
  <c r="E14" i="88"/>
  <c r="E15" i="88" s="1"/>
  <c r="D15" i="88"/>
  <c r="J14" i="88"/>
  <c r="J15" i="88" s="1"/>
  <c r="Q65" i="89"/>
  <c r="R61" i="89" s="1"/>
  <c r="P65" i="89"/>
  <c r="H14" i="88"/>
  <c r="H15" i="88" s="1"/>
  <c r="Q53" i="89"/>
  <c r="R42" i="89" s="1"/>
  <c r="P53" i="89"/>
  <c r="D2" i="89"/>
  <c r="Q71" i="87"/>
  <c r="P71" i="87"/>
  <c r="AA32" i="87"/>
  <c r="N32" i="87"/>
  <c r="AB32" i="87"/>
  <c r="AC24" i="87" s="1"/>
  <c r="Q59" i="87"/>
  <c r="P59" i="87"/>
  <c r="Q26" i="87"/>
  <c r="P26" i="87"/>
  <c r="Q70" i="87"/>
  <c r="P70" i="87"/>
  <c r="P61" i="87"/>
  <c r="Q61" i="87"/>
  <c r="Q74" i="87"/>
  <c r="P74" i="87"/>
  <c r="Q13" i="87"/>
  <c r="P13" i="87"/>
  <c r="Q22" i="87"/>
  <c r="P22" i="87"/>
  <c r="Q69" i="87"/>
  <c r="P69" i="87"/>
  <c r="Q37" i="87"/>
  <c r="P37" i="87"/>
  <c r="AA11" i="87"/>
  <c r="N11" i="87"/>
  <c r="AB11" i="87"/>
  <c r="AC9" i="87" s="1"/>
  <c r="Q62" i="87"/>
  <c r="P62" i="87"/>
  <c r="Q18" i="87"/>
  <c r="P18" i="87"/>
  <c r="Q43" i="87"/>
  <c r="P43" i="87"/>
  <c r="Q48" i="87"/>
  <c r="P48" i="87"/>
  <c r="Q35" i="87"/>
  <c r="P35" i="87"/>
  <c r="Q56" i="87"/>
  <c r="P56" i="87"/>
  <c r="Q46" i="87"/>
  <c r="P46" i="87"/>
  <c r="Q66" i="87"/>
  <c r="P66" i="87"/>
  <c r="AA41" i="87"/>
  <c r="N41" i="87"/>
  <c r="AB41" i="87"/>
  <c r="AC33" i="87" s="1"/>
  <c r="P9" i="87"/>
  <c r="Q9" i="87"/>
  <c r="Q55" i="87"/>
  <c r="P55" i="87"/>
  <c r="P40" i="87"/>
  <c r="Q40" i="87"/>
  <c r="Q51" i="87"/>
  <c r="P51" i="87"/>
  <c r="Q15" i="87"/>
  <c r="P15" i="87"/>
  <c r="Q58" i="87"/>
  <c r="P58" i="87"/>
  <c r="AA23" i="87"/>
  <c r="AB23" i="87"/>
  <c r="AC18" i="87" s="1"/>
  <c r="N23" i="87"/>
  <c r="N65" i="87"/>
  <c r="AB65" i="87"/>
  <c r="AC61" i="87" s="1"/>
  <c r="AA65" i="87"/>
  <c r="AB76" i="87"/>
  <c r="AC66" i="87" s="1"/>
  <c r="AA76" i="87"/>
  <c r="N76" i="87"/>
  <c r="Q33" i="87"/>
  <c r="P33" i="87"/>
  <c r="Q6" i="87"/>
  <c r="P6" i="87"/>
  <c r="P45" i="87"/>
  <c r="Q45" i="87"/>
  <c r="P19" i="87"/>
  <c r="Q19" i="87"/>
  <c r="Q31" i="87"/>
  <c r="P31" i="87"/>
  <c r="AB53" i="87"/>
  <c r="AC42" i="87" s="1"/>
  <c r="AA53" i="87"/>
  <c r="N53" i="87"/>
  <c r="Q63" i="87"/>
  <c r="P63" i="87"/>
  <c r="Q68" i="87"/>
  <c r="P68" i="87"/>
  <c r="Q10" i="87"/>
  <c r="P10" i="87"/>
  <c r="Q27" i="87"/>
  <c r="P27" i="87"/>
  <c r="AB17" i="87"/>
  <c r="AC12" i="87" s="1"/>
  <c r="AA17" i="87"/>
  <c r="N17" i="87"/>
  <c r="P73" i="87"/>
  <c r="Q73" i="87"/>
  <c r="P14" i="87"/>
  <c r="Q14" i="87"/>
  <c r="Q25" i="87"/>
  <c r="P25" i="87"/>
  <c r="Q49" i="87"/>
  <c r="P49" i="87"/>
  <c r="Q54" i="87"/>
  <c r="P54" i="87"/>
  <c r="Q42" i="87"/>
  <c r="P42" i="87"/>
  <c r="I14" i="86"/>
  <c r="I15" i="86" s="1"/>
  <c r="Q60" i="87"/>
  <c r="R54" i="87" s="1"/>
  <c r="P60" i="87"/>
  <c r="Q30" i="87"/>
  <c r="P30" i="87"/>
  <c r="P72" i="87"/>
  <c r="Q72" i="87"/>
  <c r="Q20" i="87"/>
  <c r="P20" i="87"/>
  <c r="AA8" i="87"/>
  <c r="AB8" i="87"/>
  <c r="AC5" i="87" s="1"/>
  <c r="N8" i="87"/>
  <c r="Q38" i="87"/>
  <c r="P38" i="87"/>
  <c r="AB52" i="85"/>
  <c r="N52" i="85"/>
  <c r="AA52" i="85"/>
  <c r="M41" i="85"/>
  <c r="AB33" i="85"/>
  <c r="AA33" i="85"/>
  <c r="N33" i="85"/>
  <c r="P65" i="85"/>
  <c r="Q65" i="85"/>
  <c r="AB37" i="85"/>
  <c r="N37" i="85"/>
  <c r="AA37" i="85"/>
  <c r="Q28" i="85"/>
  <c r="P28" i="85"/>
  <c r="P14" i="85"/>
  <c r="Q14" i="85"/>
  <c r="Q76" i="85"/>
  <c r="P76" i="85"/>
  <c r="Q68" i="85"/>
  <c r="P68" i="85"/>
  <c r="AB6" i="85"/>
  <c r="AA6" i="85"/>
  <c r="N6" i="85"/>
  <c r="G6" i="84"/>
  <c r="F6" i="84"/>
  <c r="N59" i="85"/>
  <c r="AB59" i="85"/>
  <c r="AA59" i="85"/>
  <c r="AB73" i="85"/>
  <c r="AA73" i="85"/>
  <c r="N73" i="85"/>
  <c r="N39" i="85"/>
  <c r="AB39" i="85"/>
  <c r="AA39" i="85"/>
  <c r="P36" i="85"/>
  <c r="Q36" i="85"/>
  <c r="F2" i="85"/>
  <c r="I3" i="84"/>
  <c r="E6" i="84"/>
  <c r="P69" i="85"/>
  <c r="Q69" i="85"/>
  <c r="Q7" i="85"/>
  <c r="P7" i="85"/>
  <c r="Q19" i="85"/>
  <c r="P19" i="85"/>
  <c r="AB22" i="85"/>
  <c r="AA22" i="85"/>
  <c r="N22" i="85"/>
  <c r="Q43" i="85"/>
  <c r="P43" i="85"/>
  <c r="Q62" i="85"/>
  <c r="P62" i="85"/>
  <c r="AB64" i="85"/>
  <c r="N64" i="85"/>
  <c r="N11" i="85"/>
  <c r="AA64" i="85"/>
  <c r="N71" i="85"/>
  <c r="M23" i="85"/>
  <c r="AB18" i="85"/>
  <c r="N20" i="85"/>
  <c r="AA30" i="85"/>
  <c r="M53" i="85"/>
  <c r="N48" i="85"/>
  <c r="N57" i="85"/>
  <c r="AB11" i="85"/>
  <c r="AC9" i="85" s="1"/>
  <c r="AA50" i="85"/>
  <c r="Q55" i="85"/>
  <c r="AA57" i="85"/>
  <c r="P67" i="85"/>
  <c r="AB35" i="85"/>
  <c r="M60" i="85"/>
  <c r="AA62" i="85"/>
  <c r="AA71" i="85"/>
  <c r="P12" i="85"/>
  <c r="N38" i="85"/>
  <c r="AA42" i="85"/>
  <c r="AB46" i="85"/>
  <c r="AB48" i="85"/>
  <c r="AB55" i="85"/>
  <c r="P46" i="85"/>
  <c r="N25" i="85"/>
  <c r="N31" i="85"/>
  <c r="AB76" i="85"/>
  <c r="AA76" i="85"/>
  <c r="AB25" i="85"/>
  <c r="AB29" i="85"/>
  <c r="AB51" i="85"/>
  <c r="AA51" i="85"/>
  <c r="N51" i="85"/>
  <c r="AA65" i="85"/>
  <c r="Q72" i="85"/>
  <c r="AB31" i="85"/>
  <c r="P74" i="85"/>
  <c r="AA7" i="85"/>
  <c r="AA14" i="85"/>
  <c r="M32" i="85"/>
  <c r="AB38" i="85"/>
  <c r="AB65" i="85"/>
  <c r="Q70" i="85"/>
  <c r="P70" i="85"/>
  <c r="AB7" i="85"/>
  <c r="AA12" i="85"/>
  <c r="AB14" i="85"/>
  <c r="M17" i="85"/>
  <c r="AA21" i="85"/>
  <c r="N24" i="85"/>
  <c r="AA49" i="85"/>
  <c r="AB58" i="85"/>
  <c r="AA63" i="85"/>
  <c r="AA74" i="85"/>
  <c r="M77" i="85"/>
  <c r="AB13" i="85"/>
  <c r="AA13" i="85"/>
  <c r="N13" i="85"/>
  <c r="AB15" i="85"/>
  <c r="P18" i="85"/>
  <c r="P42" i="85"/>
  <c r="AB69" i="85"/>
  <c r="AA69" i="85"/>
  <c r="AB75" i="85"/>
  <c r="N9" i="85"/>
  <c r="N27" i="85"/>
  <c r="AB16" i="85"/>
  <c r="AA16" i="85"/>
  <c r="AB20" i="85"/>
  <c r="N29" i="85"/>
  <c r="N40" i="85"/>
  <c r="N16" i="85"/>
  <c r="AA18" i="85"/>
  <c r="AB5" i="85"/>
  <c r="AA5" i="85"/>
  <c r="AB9" i="85"/>
  <c r="P21" i="85"/>
  <c r="N34" i="85"/>
  <c r="N58" i="85"/>
  <c r="AB36" i="85"/>
  <c r="AA36" i="85"/>
  <c r="AB42" i="85"/>
  <c r="N5" i="85"/>
  <c r="AA27" i="85"/>
  <c r="AA40" i="85"/>
  <c r="AB47" i="85"/>
  <c r="AA47" i="85"/>
  <c r="Q49" i="85"/>
  <c r="P49" i="85"/>
  <c r="AB56" i="85"/>
  <c r="AA56" i="85"/>
  <c r="M66" i="85"/>
  <c r="AA67" i="85"/>
  <c r="AB12" i="85"/>
  <c r="AA19" i="85"/>
  <c r="AB21" i="85"/>
  <c r="AA34" i="85"/>
  <c r="AB49" i="85"/>
  <c r="AA61" i="85"/>
  <c r="AB63" i="85"/>
  <c r="M8" i="85"/>
  <c r="AB19" i="85"/>
  <c r="P30" i="85"/>
  <c r="AB61" i="85"/>
  <c r="AB72" i="85"/>
  <c r="Q12" i="85"/>
  <c r="Q21" i="85"/>
  <c r="N45" i="85"/>
  <c r="N47" i="85"/>
  <c r="N54" i="85"/>
  <c r="N56" i="85"/>
  <c r="N61" i="85"/>
  <c r="N15" i="85"/>
  <c r="AA45" i="85"/>
  <c r="N75" i="85"/>
  <c r="N26" i="85"/>
  <c r="N44" i="85"/>
  <c r="AA26" i="85"/>
  <c r="AA44" i="85"/>
  <c r="O75" i="83"/>
  <c r="K75" i="83"/>
  <c r="V74" i="83"/>
  <c r="M74" i="83" s="1"/>
  <c r="U74" i="83"/>
  <c r="O74" i="83"/>
  <c r="K74" i="83"/>
  <c r="G74" i="83"/>
  <c r="AB73" i="83"/>
  <c r="V73" i="83"/>
  <c r="U73" i="83"/>
  <c r="Q73" i="83"/>
  <c r="P73" i="83"/>
  <c r="O73" i="83"/>
  <c r="N73" i="83"/>
  <c r="M73" i="83"/>
  <c r="AA73" i="83" s="1"/>
  <c r="K73" i="83"/>
  <c r="G73" i="83"/>
  <c r="X72" i="83"/>
  <c r="W72" i="83"/>
  <c r="V72" i="83"/>
  <c r="M72" i="83" s="1"/>
  <c r="AB72" i="83" s="1"/>
  <c r="U72" i="83"/>
  <c r="O72" i="83"/>
  <c r="N72" i="83"/>
  <c r="K72" i="83"/>
  <c r="G72" i="83"/>
  <c r="V71" i="83"/>
  <c r="U71" i="83"/>
  <c r="O71" i="83"/>
  <c r="M71" i="83"/>
  <c r="N71" i="83" s="1"/>
  <c r="K71" i="83"/>
  <c r="G71" i="83"/>
  <c r="V70" i="83"/>
  <c r="U70" i="83"/>
  <c r="O70" i="83"/>
  <c r="M70" i="83"/>
  <c r="K70" i="83"/>
  <c r="G70" i="83"/>
  <c r="V69" i="83"/>
  <c r="U69" i="83"/>
  <c r="O69" i="83"/>
  <c r="M69" i="83"/>
  <c r="AA69" i="83" s="1"/>
  <c r="K69" i="83"/>
  <c r="G69" i="83"/>
  <c r="V68" i="83"/>
  <c r="U68" i="83"/>
  <c r="O68" i="83"/>
  <c r="N68" i="83"/>
  <c r="M68" i="83"/>
  <c r="K68" i="83"/>
  <c r="G68" i="83"/>
  <c r="V67" i="83"/>
  <c r="M67" i="83" s="1"/>
  <c r="U67" i="83"/>
  <c r="O67" i="83"/>
  <c r="K67" i="83"/>
  <c r="G67" i="83"/>
  <c r="X66" i="83"/>
  <c r="W66" i="83"/>
  <c r="V66" i="83"/>
  <c r="M66" i="83" s="1"/>
  <c r="AB66" i="83" s="1"/>
  <c r="O66" i="83"/>
  <c r="K66" i="83"/>
  <c r="G66" i="83"/>
  <c r="O65" i="83"/>
  <c r="K65" i="83"/>
  <c r="V64" i="83"/>
  <c r="M64" i="83" s="1"/>
  <c r="U64" i="83"/>
  <c r="O64" i="83"/>
  <c r="K64" i="83"/>
  <c r="G64" i="83"/>
  <c r="V63" i="83"/>
  <c r="U63" i="83"/>
  <c r="O63" i="83"/>
  <c r="M63" i="83"/>
  <c r="N63" i="83" s="1"/>
  <c r="K63" i="83"/>
  <c r="G63" i="83"/>
  <c r="AB62" i="83"/>
  <c r="V62" i="83"/>
  <c r="M62" i="83" s="1"/>
  <c r="N62" i="83" s="1"/>
  <c r="Q62" i="83" s="1"/>
  <c r="U62" i="83"/>
  <c r="O62" i="83"/>
  <c r="K62" i="83"/>
  <c r="G62" i="83"/>
  <c r="V61" i="83"/>
  <c r="M61" i="83" s="1"/>
  <c r="AB61" i="83" s="1"/>
  <c r="U61" i="83"/>
  <c r="O61" i="83"/>
  <c r="K61" i="83"/>
  <c r="G61" i="83"/>
  <c r="AB60" i="83"/>
  <c r="AA60" i="83"/>
  <c r="V60" i="83"/>
  <c r="O60" i="83"/>
  <c r="N60" i="83"/>
  <c r="M60" i="83"/>
  <c r="K60" i="83"/>
  <c r="G60" i="83"/>
  <c r="O59" i="83"/>
  <c r="K59" i="83"/>
  <c r="I13" i="82" s="1"/>
  <c r="V58" i="83"/>
  <c r="U58" i="83"/>
  <c r="O58" i="83"/>
  <c r="M58" i="83"/>
  <c r="AB58" i="83" s="1"/>
  <c r="K58" i="83"/>
  <c r="G58" i="83"/>
  <c r="X57" i="83"/>
  <c r="W57" i="83"/>
  <c r="V57" i="83"/>
  <c r="M57" i="83" s="1"/>
  <c r="U57" i="83"/>
  <c r="O57" i="83"/>
  <c r="K57" i="83"/>
  <c r="G57" i="83"/>
  <c r="V56" i="83"/>
  <c r="M56" i="83" s="1"/>
  <c r="U56" i="83"/>
  <c r="O56" i="83"/>
  <c r="K56" i="83"/>
  <c r="G56" i="83"/>
  <c r="AB55" i="83"/>
  <c r="V55" i="83"/>
  <c r="U55" i="83"/>
  <c r="O55" i="83"/>
  <c r="N55" i="83"/>
  <c r="Q55" i="83" s="1"/>
  <c r="M55" i="83"/>
  <c r="AA55" i="83" s="1"/>
  <c r="K55" i="83"/>
  <c r="G55" i="83"/>
  <c r="V54" i="83"/>
  <c r="M54" i="83" s="1"/>
  <c r="U54" i="83"/>
  <c r="O54" i="83"/>
  <c r="K54" i="83"/>
  <c r="G54" i="83"/>
  <c r="V53" i="83"/>
  <c r="M53" i="83" s="1"/>
  <c r="N53" i="83" s="1"/>
  <c r="O53" i="83"/>
  <c r="K53" i="83"/>
  <c r="Q53" i="83" s="1"/>
  <c r="G53" i="83"/>
  <c r="O52" i="83"/>
  <c r="K52" i="83"/>
  <c r="V51" i="83"/>
  <c r="M51" i="83" s="1"/>
  <c r="U51" i="83"/>
  <c r="O51" i="83"/>
  <c r="K51" i="83"/>
  <c r="G51" i="83"/>
  <c r="V50" i="83"/>
  <c r="M50" i="83" s="1"/>
  <c r="AA50" i="83" s="1"/>
  <c r="U50" i="83"/>
  <c r="O50" i="83"/>
  <c r="N50" i="83"/>
  <c r="K50" i="83"/>
  <c r="G50" i="83"/>
  <c r="V49" i="83"/>
  <c r="M49" i="83" s="1"/>
  <c r="U49" i="83"/>
  <c r="O49" i="83"/>
  <c r="K49" i="83"/>
  <c r="G49" i="83"/>
  <c r="X48" i="83"/>
  <c r="W48" i="83"/>
  <c r="V48" i="83"/>
  <c r="U48" i="83"/>
  <c r="O48" i="83"/>
  <c r="M48" i="83"/>
  <c r="K48" i="83"/>
  <c r="G48" i="83"/>
  <c r="V47" i="83"/>
  <c r="M47" i="83" s="1"/>
  <c r="U47" i="83"/>
  <c r="O47" i="83"/>
  <c r="K47" i="83"/>
  <c r="G47" i="83"/>
  <c r="V46" i="83"/>
  <c r="U46" i="83"/>
  <c r="O46" i="83"/>
  <c r="N46" i="83"/>
  <c r="Q46" i="83" s="1"/>
  <c r="M46" i="83"/>
  <c r="AB46" i="83" s="1"/>
  <c r="K46" i="83"/>
  <c r="G46" i="83"/>
  <c r="V45" i="83"/>
  <c r="M45" i="83" s="1"/>
  <c r="U45" i="83"/>
  <c r="O45" i="83"/>
  <c r="K45" i="83"/>
  <c r="G45" i="83"/>
  <c r="V44" i="83"/>
  <c r="M44" i="83" s="1"/>
  <c r="U44" i="83"/>
  <c r="O44" i="83"/>
  <c r="K44" i="83"/>
  <c r="G44" i="83"/>
  <c r="V43" i="83"/>
  <c r="U43" i="83"/>
  <c r="O43" i="83"/>
  <c r="M43" i="83"/>
  <c r="N43" i="83" s="1"/>
  <c r="K43" i="83"/>
  <c r="G43" i="83"/>
  <c r="X42" i="83"/>
  <c r="W42" i="83"/>
  <c r="V42" i="83"/>
  <c r="O42" i="83"/>
  <c r="N42" i="83"/>
  <c r="M42" i="83"/>
  <c r="AA42" i="83" s="1"/>
  <c r="K42" i="83"/>
  <c r="G42" i="83"/>
  <c r="O41" i="83"/>
  <c r="K41" i="83"/>
  <c r="L13" i="82" s="1"/>
  <c r="V40" i="83"/>
  <c r="U40" i="83"/>
  <c r="O40" i="83"/>
  <c r="M40" i="83"/>
  <c r="AB40" i="83" s="1"/>
  <c r="K40" i="83"/>
  <c r="G40" i="83"/>
  <c r="V39" i="83"/>
  <c r="U39" i="83"/>
  <c r="Q39" i="83"/>
  <c r="O39" i="83"/>
  <c r="N39" i="83"/>
  <c r="P39" i="83" s="1"/>
  <c r="M39" i="83"/>
  <c r="K39" i="83"/>
  <c r="G39" i="83"/>
  <c r="V38" i="83"/>
  <c r="M38" i="83" s="1"/>
  <c r="AA38" i="83" s="1"/>
  <c r="U38" i="83"/>
  <c r="O38" i="83"/>
  <c r="N38" i="83"/>
  <c r="Q38" i="83" s="1"/>
  <c r="K38" i="83"/>
  <c r="G38" i="83"/>
  <c r="AB37" i="83"/>
  <c r="AA37" i="83"/>
  <c r="X37" i="83"/>
  <c r="W37" i="83"/>
  <c r="V37" i="83"/>
  <c r="U37" i="83"/>
  <c r="Q37" i="83"/>
  <c r="P37" i="83"/>
  <c r="O37" i="83"/>
  <c r="N37" i="83"/>
  <c r="M37" i="83"/>
  <c r="K37" i="83"/>
  <c r="G37" i="83"/>
  <c r="V36" i="83"/>
  <c r="M36" i="83" s="1"/>
  <c r="AA36" i="83" s="1"/>
  <c r="U36" i="83"/>
  <c r="O36" i="83"/>
  <c r="K36" i="83"/>
  <c r="G36" i="83"/>
  <c r="V35" i="83"/>
  <c r="M35" i="83" s="1"/>
  <c r="AA35" i="83" s="1"/>
  <c r="U35" i="83"/>
  <c r="O35" i="83"/>
  <c r="K35" i="83"/>
  <c r="G35" i="83"/>
  <c r="AB34" i="83"/>
  <c r="AA34" i="83"/>
  <c r="V34" i="83"/>
  <c r="M34" i="83" s="1"/>
  <c r="U34" i="83"/>
  <c r="O34" i="83"/>
  <c r="N34" i="83"/>
  <c r="K34" i="83"/>
  <c r="G34" i="83"/>
  <c r="X33" i="83"/>
  <c r="W33" i="83"/>
  <c r="V33" i="83"/>
  <c r="M33" i="83" s="1"/>
  <c r="M41" i="83" s="1"/>
  <c r="O33" i="83"/>
  <c r="N33" i="83"/>
  <c r="Q33" i="83" s="1"/>
  <c r="K33" i="83"/>
  <c r="G33" i="83"/>
  <c r="O32" i="83"/>
  <c r="K32" i="83"/>
  <c r="V31" i="83"/>
  <c r="U31" i="83"/>
  <c r="O31" i="83"/>
  <c r="M31" i="83"/>
  <c r="AB31" i="83" s="1"/>
  <c r="K31" i="83"/>
  <c r="G31" i="83"/>
  <c r="V30" i="83"/>
  <c r="U30" i="83"/>
  <c r="O30" i="83"/>
  <c r="M30" i="83"/>
  <c r="K30" i="83"/>
  <c r="G30" i="83"/>
  <c r="V29" i="83"/>
  <c r="M29" i="83" s="1"/>
  <c r="U29" i="83"/>
  <c r="O29" i="83"/>
  <c r="K29" i="83"/>
  <c r="G29" i="83"/>
  <c r="X28" i="83"/>
  <c r="W28" i="83"/>
  <c r="V28" i="83"/>
  <c r="M28" i="83" s="1"/>
  <c r="U28" i="83"/>
  <c r="O28" i="83"/>
  <c r="K28" i="83"/>
  <c r="G28" i="83"/>
  <c r="V27" i="83"/>
  <c r="M27" i="83" s="1"/>
  <c r="U27" i="83"/>
  <c r="O27" i="83"/>
  <c r="K27" i="83"/>
  <c r="G27" i="83"/>
  <c r="V26" i="83"/>
  <c r="M26" i="83" s="1"/>
  <c r="N26" i="83" s="1"/>
  <c r="Q26" i="83" s="1"/>
  <c r="U26" i="83"/>
  <c r="O26" i="83"/>
  <c r="K26" i="83"/>
  <c r="G26" i="83"/>
  <c r="V25" i="83"/>
  <c r="M25" i="83" s="1"/>
  <c r="U25" i="83"/>
  <c r="O25" i="83"/>
  <c r="K25" i="83"/>
  <c r="G25" i="83"/>
  <c r="F1" i="83" s="1"/>
  <c r="AB24" i="83"/>
  <c r="AA24" i="83"/>
  <c r="X24" i="83"/>
  <c r="W24" i="83"/>
  <c r="V24" i="83"/>
  <c r="M24" i="83" s="1"/>
  <c r="N24" i="83" s="1"/>
  <c r="Q24" i="83"/>
  <c r="P24" i="83"/>
  <c r="O24" i="83"/>
  <c r="K24" i="83"/>
  <c r="G24" i="83"/>
  <c r="O23" i="83"/>
  <c r="K23" i="83"/>
  <c r="G13" i="82" s="1"/>
  <c r="V22" i="83"/>
  <c r="M22" i="83" s="1"/>
  <c r="AA22" i="83" s="1"/>
  <c r="U22" i="83"/>
  <c r="O22" i="83"/>
  <c r="N22" i="83"/>
  <c r="Q22" i="83" s="1"/>
  <c r="K22" i="83"/>
  <c r="G22" i="83"/>
  <c r="V21" i="83"/>
  <c r="U21" i="83"/>
  <c r="O21" i="83"/>
  <c r="M21" i="83"/>
  <c r="N21" i="83" s="1"/>
  <c r="K21" i="83"/>
  <c r="G21" i="83"/>
  <c r="V20" i="83"/>
  <c r="M20" i="83" s="1"/>
  <c r="U20" i="83"/>
  <c r="O20" i="83"/>
  <c r="K20" i="83"/>
  <c r="G20" i="83"/>
  <c r="AB19" i="83"/>
  <c r="V19" i="83"/>
  <c r="U19" i="83"/>
  <c r="Q19" i="83"/>
  <c r="O19" i="83"/>
  <c r="N19" i="83"/>
  <c r="P19" i="83" s="1"/>
  <c r="M19" i="83"/>
  <c r="AA19" i="83" s="1"/>
  <c r="K19" i="83"/>
  <c r="G19" i="83"/>
  <c r="V18" i="83"/>
  <c r="O18" i="83"/>
  <c r="M18" i="83"/>
  <c r="N18" i="83" s="1"/>
  <c r="K18" i="83"/>
  <c r="G18" i="83"/>
  <c r="O17" i="83"/>
  <c r="K17" i="83"/>
  <c r="AA16" i="83"/>
  <c r="V16" i="83"/>
  <c r="M16" i="83" s="1"/>
  <c r="N16" i="83" s="1"/>
  <c r="U16" i="83"/>
  <c r="O16" i="83"/>
  <c r="K16" i="83"/>
  <c r="G16" i="83"/>
  <c r="V15" i="83"/>
  <c r="M15" i="83" s="1"/>
  <c r="AA15" i="83" s="1"/>
  <c r="U15" i="83"/>
  <c r="O15" i="83"/>
  <c r="K15" i="83"/>
  <c r="G15" i="83"/>
  <c r="V14" i="83"/>
  <c r="M14" i="83" s="1"/>
  <c r="N14" i="83" s="1"/>
  <c r="U14" i="83"/>
  <c r="O14" i="83"/>
  <c r="K14" i="83"/>
  <c r="G14" i="83"/>
  <c r="V13" i="83"/>
  <c r="U13" i="83"/>
  <c r="O13" i="83"/>
  <c r="M13" i="83"/>
  <c r="AB13" i="83" s="1"/>
  <c r="K13" i="83"/>
  <c r="G13" i="83"/>
  <c r="X12" i="83"/>
  <c r="W12" i="83"/>
  <c r="V12" i="83"/>
  <c r="O12" i="83"/>
  <c r="M12" i="83"/>
  <c r="K12" i="83"/>
  <c r="G12" i="83"/>
  <c r="O11" i="83"/>
  <c r="K11" i="83"/>
  <c r="V10" i="83"/>
  <c r="U10" i="83"/>
  <c r="O10" i="83"/>
  <c r="M10" i="83"/>
  <c r="K10" i="83"/>
  <c r="G10" i="83"/>
  <c r="V9" i="83"/>
  <c r="M9" i="83" s="1"/>
  <c r="O9" i="83"/>
  <c r="K9" i="83"/>
  <c r="G9" i="83"/>
  <c r="O8" i="83"/>
  <c r="K8" i="83"/>
  <c r="V7" i="83"/>
  <c r="M7" i="83" s="1"/>
  <c r="U7" i="83"/>
  <c r="O7" i="83"/>
  <c r="K7" i="83"/>
  <c r="G7" i="83"/>
  <c r="AA6" i="83"/>
  <c r="V6" i="83"/>
  <c r="U6" i="83"/>
  <c r="Q6" i="83"/>
  <c r="P6" i="83"/>
  <c r="O6" i="83"/>
  <c r="N6" i="83"/>
  <c r="M6" i="83"/>
  <c r="AB6" i="83" s="1"/>
  <c r="K6" i="83"/>
  <c r="G6" i="83"/>
  <c r="V5" i="83"/>
  <c r="M5" i="83" s="1"/>
  <c r="N5" i="83" s="1"/>
  <c r="O5" i="83"/>
  <c r="K5" i="83"/>
  <c r="G5" i="83"/>
  <c r="H2" i="83"/>
  <c r="H1" i="83"/>
  <c r="D1" i="83"/>
  <c r="M18" i="82"/>
  <c r="L18" i="82"/>
  <c r="K18" i="82"/>
  <c r="J18" i="82"/>
  <c r="I18" i="82"/>
  <c r="H18" i="82"/>
  <c r="G18" i="82"/>
  <c r="F18" i="82"/>
  <c r="E18" i="82"/>
  <c r="D18" i="82"/>
  <c r="M17" i="82"/>
  <c r="L17" i="82"/>
  <c r="K17" i="82"/>
  <c r="J17" i="82"/>
  <c r="I17" i="82"/>
  <c r="H17" i="82"/>
  <c r="G17" i="82"/>
  <c r="F17" i="82"/>
  <c r="E17" i="82"/>
  <c r="D17" i="82"/>
  <c r="M16" i="82"/>
  <c r="L16" i="82"/>
  <c r="K16" i="82"/>
  <c r="J16" i="82"/>
  <c r="I16" i="82"/>
  <c r="H16" i="82"/>
  <c r="G16" i="82"/>
  <c r="F16" i="82"/>
  <c r="E16" i="82"/>
  <c r="D16" i="82"/>
  <c r="M13" i="82"/>
  <c r="K13" i="82"/>
  <c r="J13" i="82"/>
  <c r="H13" i="82"/>
  <c r="F13" i="82"/>
  <c r="E13" i="82"/>
  <c r="D13" i="82"/>
  <c r="F3" i="82"/>
  <c r="C3" i="82"/>
  <c r="E8" i="90" l="1"/>
  <c r="G8" i="90"/>
  <c r="F8" i="90"/>
  <c r="F8" i="88"/>
  <c r="G8" i="88"/>
  <c r="E7" i="88"/>
  <c r="F7" i="88"/>
  <c r="G7" i="88"/>
  <c r="K15" i="88"/>
  <c r="I8" i="88" s="1"/>
  <c r="I7" i="88"/>
  <c r="F14" i="86"/>
  <c r="F15" i="86" s="1"/>
  <c r="Q17" i="87"/>
  <c r="R12" i="87" s="1"/>
  <c r="P17" i="87"/>
  <c r="Q76" i="87"/>
  <c r="R66" i="87" s="1"/>
  <c r="P76" i="87"/>
  <c r="M14" i="86"/>
  <c r="M15" i="86" s="1"/>
  <c r="Q11" i="87"/>
  <c r="R9" i="87" s="1"/>
  <c r="P11" i="87"/>
  <c r="E14" i="86"/>
  <c r="E15" i="86" s="1"/>
  <c r="Q41" i="87"/>
  <c r="R33" i="87" s="1"/>
  <c r="P41" i="87"/>
  <c r="L14" i="86"/>
  <c r="L15" i="86" s="1"/>
  <c r="K14" i="86"/>
  <c r="Q32" i="87"/>
  <c r="R24" i="87" s="1"/>
  <c r="P32" i="87"/>
  <c r="Q8" i="87"/>
  <c r="R5" i="87" s="1"/>
  <c r="P8" i="87"/>
  <c r="D14" i="86"/>
  <c r="D2" i="87"/>
  <c r="Q23" i="87"/>
  <c r="R18" i="87" s="1"/>
  <c r="G14" i="86"/>
  <c r="G15" i="86" s="1"/>
  <c r="P23" i="87"/>
  <c r="H14" i="86"/>
  <c r="H15" i="86" s="1"/>
  <c r="Q53" i="87"/>
  <c r="R42" i="87" s="1"/>
  <c r="P53" i="87"/>
  <c r="J14" i="86"/>
  <c r="J15" i="86" s="1"/>
  <c r="Q65" i="87"/>
  <c r="R61" i="87" s="1"/>
  <c r="P65" i="87"/>
  <c r="Q11" i="85"/>
  <c r="R9" i="85" s="1"/>
  <c r="P11" i="85"/>
  <c r="E14" i="84"/>
  <c r="E15" i="84" s="1"/>
  <c r="P34" i="85"/>
  <c r="Q34" i="85"/>
  <c r="AB77" i="85"/>
  <c r="AC67" i="85" s="1"/>
  <c r="AA77" i="85"/>
  <c r="N77" i="85"/>
  <c r="N32" i="85"/>
  <c r="AB32" i="85"/>
  <c r="AC24" i="85" s="1"/>
  <c r="AA32" i="85"/>
  <c r="P13" i="85"/>
  <c r="Q13" i="85"/>
  <c r="Q44" i="85"/>
  <c r="P44" i="85"/>
  <c r="Q73" i="85"/>
  <c r="P73" i="85"/>
  <c r="Q56" i="85"/>
  <c r="P56" i="85"/>
  <c r="Q54" i="85"/>
  <c r="P54" i="85"/>
  <c r="P59" i="85"/>
  <c r="Q59" i="85"/>
  <c r="Q47" i="85"/>
  <c r="P47" i="85"/>
  <c r="Q45" i="85"/>
  <c r="P45" i="85"/>
  <c r="AB17" i="85"/>
  <c r="AC12" i="85" s="1"/>
  <c r="AA17" i="85"/>
  <c r="N17" i="85"/>
  <c r="Q57" i="85"/>
  <c r="P57" i="85"/>
  <c r="N41" i="85"/>
  <c r="AB41" i="85"/>
  <c r="AC33" i="85" s="1"/>
  <c r="AA41" i="85"/>
  <c r="Q20" i="85"/>
  <c r="P20" i="85"/>
  <c r="P38" i="85"/>
  <c r="Q38" i="85"/>
  <c r="P64" i="85"/>
  <c r="Q64" i="85"/>
  <c r="P39" i="85"/>
  <c r="Q39" i="85"/>
  <c r="Q15" i="85"/>
  <c r="P15" i="85"/>
  <c r="Q51" i="85"/>
  <c r="P51" i="85"/>
  <c r="Q61" i="85"/>
  <c r="P61" i="85"/>
  <c r="Q22" i="85"/>
  <c r="P22" i="85"/>
  <c r="Q29" i="85"/>
  <c r="P29" i="85"/>
  <c r="Q48" i="85"/>
  <c r="P48" i="85"/>
  <c r="Q6" i="85"/>
  <c r="P6" i="85"/>
  <c r="Q5" i="85"/>
  <c r="P5" i="85"/>
  <c r="N23" i="85"/>
  <c r="AB23" i="85"/>
  <c r="AC18" i="85" s="1"/>
  <c r="AA23" i="85"/>
  <c r="Q58" i="85"/>
  <c r="P58" i="85"/>
  <c r="AB60" i="85"/>
  <c r="AC54" i="85" s="1"/>
  <c r="AA60" i="85"/>
  <c r="N60" i="85"/>
  <c r="N66" i="85"/>
  <c r="AA66" i="85"/>
  <c r="AB66" i="85"/>
  <c r="AC61" i="85" s="1"/>
  <c r="Q40" i="85"/>
  <c r="P40" i="85"/>
  <c r="Q27" i="85"/>
  <c r="P27" i="85"/>
  <c r="Q31" i="85"/>
  <c r="P31" i="85"/>
  <c r="AB53" i="85"/>
  <c r="AC42" i="85" s="1"/>
  <c r="N53" i="85"/>
  <c r="AA53" i="85"/>
  <c r="P52" i="85"/>
  <c r="Q52" i="85"/>
  <c r="N8" i="85"/>
  <c r="AB8" i="85"/>
  <c r="AC5" i="85" s="1"/>
  <c r="AA8" i="85"/>
  <c r="Q71" i="85"/>
  <c r="P71" i="85"/>
  <c r="P26" i="85"/>
  <c r="Q26" i="85"/>
  <c r="Q75" i="85"/>
  <c r="P75" i="85"/>
  <c r="Q37" i="85"/>
  <c r="P37" i="85"/>
  <c r="P16" i="85"/>
  <c r="Q16" i="85"/>
  <c r="Q33" i="85"/>
  <c r="P33" i="85"/>
  <c r="Q24" i="85"/>
  <c r="P24" i="85"/>
  <c r="Q9" i="85"/>
  <c r="P9" i="85"/>
  <c r="Q25" i="85"/>
  <c r="P25" i="85"/>
  <c r="E6" i="82"/>
  <c r="F2" i="83"/>
  <c r="I3" i="82"/>
  <c r="Q14" i="83"/>
  <c r="P14" i="83"/>
  <c r="N41" i="83"/>
  <c r="AB41" i="83"/>
  <c r="AC33" i="83" s="1"/>
  <c r="AA41" i="83"/>
  <c r="N49" i="83"/>
  <c r="AB49" i="83"/>
  <c r="AA49" i="83"/>
  <c r="M52" i="83"/>
  <c r="AB57" i="83"/>
  <c r="AA57" i="83"/>
  <c r="N57" i="83"/>
  <c r="N27" i="83"/>
  <c r="AB27" i="83"/>
  <c r="AA27" i="83"/>
  <c r="Q21" i="83"/>
  <c r="P21" i="83"/>
  <c r="M17" i="83"/>
  <c r="AB12" i="83"/>
  <c r="AA12" i="83"/>
  <c r="M65" i="83"/>
  <c r="Q68" i="83"/>
  <c r="P68" i="83"/>
  <c r="AB29" i="83"/>
  <c r="AA29" i="83"/>
  <c r="N29" i="83"/>
  <c r="Q42" i="83"/>
  <c r="P42" i="83"/>
  <c r="Q60" i="83"/>
  <c r="P60" i="83"/>
  <c r="N12" i="83"/>
  <c r="Q71" i="83"/>
  <c r="P71" i="83"/>
  <c r="AA14" i="83"/>
  <c r="P55" i="83"/>
  <c r="AB14" i="83"/>
  <c r="AB30" i="83"/>
  <c r="AA30" i="83"/>
  <c r="N30" i="83"/>
  <c r="AB18" i="83"/>
  <c r="N31" i="83"/>
  <c r="AB33" i="83"/>
  <c r="AA40" i="83"/>
  <c r="AA58" i="83"/>
  <c r="AB69" i="83"/>
  <c r="N25" i="83"/>
  <c r="AA25" i="83"/>
  <c r="AB42" i="83"/>
  <c r="AA63" i="83"/>
  <c r="N69" i="83"/>
  <c r="N58" i="83"/>
  <c r="F6" i="82"/>
  <c r="G6" i="82"/>
  <c r="N13" i="83"/>
  <c r="AB15" i="83"/>
  <c r="N15" i="83"/>
  <c r="AA18" i="83"/>
  <c r="N28" i="83"/>
  <c r="AB28" i="83"/>
  <c r="AA33" i="83"/>
  <c r="Q43" i="83"/>
  <c r="P43" i="83"/>
  <c r="AB50" i="83"/>
  <c r="AB53" i="83"/>
  <c r="N61" i="83"/>
  <c r="AA61" i="83"/>
  <c r="Q5" i="83"/>
  <c r="P5" i="83"/>
  <c r="AA5" i="83"/>
  <c r="M8" i="83"/>
  <c r="AA13" i="83"/>
  <c r="AA26" i="83"/>
  <c r="AA43" i="83"/>
  <c r="P46" i="83"/>
  <c r="M59" i="83"/>
  <c r="AB64" i="83"/>
  <c r="AA64" i="83"/>
  <c r="N64" i="83"/>
  <c r="N70" i="83"/>
  <c r="AB70" i="83"/>
  <c r="AA70" i="83"/>
  <c r="M75" i="83"/>
  <c r="Q18" i="83"/>
  <c r="P18" i="83"/>
  <c r="AB25" i="83"/>
  <c r="N40" i="83"/>
  <c r="AB63" i="83"/>
  <c r="AB10" i="83"/>
  <c r="AA10" i="83"/>
  <c r="AB48" i="83"/>
  <c r="AA48" i="83"/>
  <c r="P53" i="83"/>
  <c r="N10" i="83"/>
  <c r="Q72" i="83"/>
  <c r="P72" i="83"/>
  <c r="AB7" i="83"/>
  <c r="AA7" i="83"/>
  <c r="N7" i="83"/>
  <c r="AA21" i="83"/>
  <c r="AB21" i="83"/>
  <c r="P38" i="83"/>
  <c r="AB74" i="83"/>
  <c r="AA74" i="83"/>
  <c r="N74" i="83"/>
  <c r="P26" i="83"/>
  <c r="AA28" i="83"/>
  <c r="AB36" i="83"/>
  <c r="N36" i="83"/>
  <c r="AB56" i="83"/>
  <c r="AA56" i="83"/>
  <c r="N56" i="83"/>
  <c r="AB5" i="83"/>
  <c r="AB26" i="83"/>
  <c r="AA31" i="83"/>
  <c r="Q34" i="83"/>
  <c r="P34" i="83"/>
  <c r="AB38" i="83"/>
  <c r="AB43" i="83"/>
  <c r="AB54" i="83"/>
  <c r="N54" i="83"/>
  <c r="AB67" i="83"/>
  <c r="AA67" i="83"/>
  <c r="N67" i="83"/>
  <c r="AA72" i="83"/>
  <c r="Q16" i="83"/>
  <c r="P16" i="83"/>
  <c r="AA54" i="83"/>
  <c r="P22" i="83"/>
  <c r="AB44" i="83"/>
  <c r="AA44" i="83"/>
  <c r="N44" i="83"/>
  <c r="Q63" i="83"/>
  <c r="P63" i="83"/>
  <c r="AB9" i="83"/>
  <c r="AA9" i="83"/>
  <c r="M11" i="83"/>
  <c r="N9" i="83"/>
  <c r="AB22" i="83"/>
  <c r="AB47" i="83"/>
  <c r="AA47" i="83"/>
  <c r="N47" i="83"/>
  <c r="Q50" i="83"/>
  <c r="P50" i="83"/>
  <c r="AA66" i="83"/>
  <c r="N66" i="83"/>
  <c r="AA71" i="83"/>
  <c r="P33" i="83"/>
  <c r="AB71" i="83"/>
  <c r="M23" i="83"/>
  <c r="AB35" i="83"/>
  <c r="N35" i="83"/>
  <c r="AB45" i="83"/>
  <c r="AA45" i="83"/>
  <c r="N45" i="83"/>
  <c r="AB20" i="83"/>
  <c r="AA20" i="83"/>
  <c r="N20" i="83"/>
  <c r="N48" i="83"/>
  <c r="AA53" i="83"/>
  <c r="I6" i="82"/>
  <c r="AB51" i="83"/>
  <c r="N51" i="83"/>
  <c r="P62" i="83"/>
  <c r="AB16" i="83"/>
  <c r="M32" i="83"/>
  <c r="AB39" i="83"/>
  <c r="AA39" i="83"/>
  <c r="AA46" i="83"/>
  <c r="AA51" i="83"/>
  <c r="AA62" i="83"/>
  <c r="AB68" i="83"/>
  <c r="AA68" i="83"/>
  <c r="O65" i="81"/>
  <c r="K65" i="81"/>
  <c r="V64" i="81"/>
  <c r="U64" i="81"/>
  <c r="O64" i="81"/>
  <c r="M64" i="81"/>
  <c r="AB64" i="81" s="1"/>
  <c r="K64" i="81"/>
  <c r="G64" i="81"/>
  <c r="AB63" i="81"/>
  <c r="AA63" i="81"/>
  <c r="V63" i="81"/>
  <c r="U63" i="81"/>
  <c r="Q63" i="81"/>
  <c r="P63" i="81"/>
  <c r="O63" i="81"/>
  <c r="N63" i="81"/>
  <c r="M63" i="81"/>
  <c r="K63" i="81"/>
  <c r="G63" i="81"/>
  <c r="V62" i="81"/>
  <c r="U62" i="81"/>
  <c r="O62" i="81"/>
  <c r="M62" i="81"/>
  <c r="M65" i="81" s="1"/>
  <c r="K62" i="81"/>
  <c r="G62" i="81"/>
  <c r="AB61" i="81"/>
  <c r="AA61" i="81"/>
  <c r="V61" i="81"/>
  <c r="U61" i="81"/>
  <c r="O61" i="81"/>
  <c r="N61" i="81"/>
  <c r="Q61" i="81" s="1"/>
  <c r="M61" i="81"/>
  <c r="K61" i="81"/>
  <c r="G61" i="81"/>
  <c r="AB60" i="81"/>
  <c r="AA60" i="81"/>
  <c r="V60" i="81"/>
  <c r="U60" i="81"/>
  <c r="O60" i="81"/>
  <c r="N60" i="81"/>
  <c r="Q60" i="81" s="1"/>
  <c r="M60" i="81"/>
  <c r="K60" i="81"/>
  <c r="G60" i="81"/>
  <c r="AB59" i="81"/>
  <c r="AA59" i="81"/>
  <c r="V59" i="81"/>
  <c r="U59" i="81"/>
  <c r="O59" i="81"/>
  <c r="N59" i="81"/>
  <c r="P59" i="81" s="1"/>
  <c r="M59" i="81"/>
  <c r="K59" i="81"/>
  <c r="G59" i="81"/>
  <c r="AB58" i="81"/>
  <c r="AA58" i="81"/>
  <c r="X58" i="81"/>
  <c r="W58" i="81"/>
  <c r="V58" i="81"/>
  <c r="O58" i="81"/>
  <c r="M58" i="81"/>
  <c r="N58" i="81" s="1"/>
  <c r="K58" i="81"/>
  <c r="G58" i="81"/>
  <c r="O57" i="81"/>
  <c r="K57" i="81"/>
  <c r="AB56" i="81"/>
  <c r="AA56" i="81"/>
  <c r="V56" i="81"/>
  <c r="U56" i="81"/>
  <c r="O56" i="81"/>
  <c r="M56" i="81"/>
  <c r="N56" i="81" s="1"/>
  <c r="K56" i="81"/>
  <c r="G56" i="81"/>
  <c r="AB55" i="81"/>
  <c r="AA55" i="81"/>
  <c r="V55" i="81"/>
  <c r="U55" i="81"/>
  <c r="O55" i="81"/>
  <c r="N55" i="81"/>
  <c r="P55" i="81" s="1"/>
  <c r="M55" i="81"/>
  <c r="K55" i="81"/>
  <c r="G55" i="81"/>
  <c r="AB54" i="81"/>
  <c r="AA54" i="81"/>
  <c r="V54" i="81"/>
  <c r="U54" i="81"/>
  <c r="O54" i="81"/>
  <c r="N54" i="81"/>
  <c r="Q54" i="81" s="1"/>
  <c r="M54" i="81"/>
  <c r="K54" i="81"/>
  <c r="G54" i="81"/>
  <c r="V53" i="81"/>
  <c r="U53" i="81"/>
  <c r="O53" i="81"/>
  <c r="M53" i="81"/>
  <c r="N53" i="81" s="1"/>
  <c r="K53" i="81"/>
  <c r="G53" i="81"/>
  <c r="AB52" i="81"/>
  <c r="AA52" i="81"/>
  <c r="V52" i="81"/>
  <c r="O52" i="81"/>
  <c r="N52" i="81"/>
  <c r="Q52" i="81" s="1"/>
  <c r="M52" i="81"/>
  <c r="K52" i="81"/>
  <c r="G52" i="81"/>
  <c r="O51" i="81"/>
  <c r="K51" i="81"/>
  <c r="AB50" i="81"/>
  <c r="AA50" i="81"/>
  <c r="V50" i="81"/>
  <c r="U50" i="81"/>
  <c r="Q50" i="81"/>
  <c r="P50" i="81"/>
  <c r="O50" i="81"/>
  <c r="N50" i="81"/>
  <c r="M50" i="81"/>
  <c r="K50" i="81"/>
  <c r="G50" i="81"/>
  <c r="V49" i="81"/>
  <c r="U49" i="81"/>
  <c r="O49" i="81"/>
  <c r="M49" i="81"/>
  <c r="K49" i="81"/>
  <c r="G49" i="81"/>
  <c r="AB48" i="81"/>
  <c r="AA48" i="81"/>
  <c r="V48" i="81"/>
  <c r="U48" i="81"/>
  <c r="O48" i="81"/>
  <c r="N48" i="81"/>
  <c r="Q48" i="81" s="1"/>
  <c r="M48" i="81"/>
  <c r="K48" i="81"/>
  <c r="G48" i="81"/>
  <c r="AB47" i="81"/>
  <c r="AA47" i="81"/>
  <c r="V47" i="81"/>
  <c r="U47" i="81"/>
  <c r="O47" i="81"/>
  <c r="M47" i="81"/>
  <c r="N47" i="81" s="1"/>
  <c r="K47" i="81"/>
  <c r="G47" i="81"/>
  <c r="AB46" i="81"/>
  <c r="AA46" i="81"/>
  <c r="V46" i="81"/>
  <c r="Q46" i="81"/>
  <c r="P46" i="81"/>
  <c r="O46" i="81"/>
  <c r="N46" i="81"/>
  <c r="M46" i="81"/>
  <c r="K46" i="81"/>
  <c r="G46" i="81"/>
  <c r="O45" i="81"/>
  <c r="K45" i="81"/>
  <c r="AB44" i="81"/>
  <c r="AA44" i="81"/>
  <c r="V44" i="81"/>
  <c r="U44" i="81"/>
  <c r="Q44" i="81"/>
  <c r="P44" i="81"/>
  <c r="O44" i="81"/>
  <c r="N44" i="81"/>
  <c r="M44" i="81"/>
  <c r="K44" i="81"/>
  <c r="G44" i="81"/>
  <c r="AB43" i="81"/>
  <c r="AA43" i="81"/>
  <c r="X43" i="81"/>
  <c r="W43" i="81"/>
  <c r="V43" i="81"/>
  <c r="U43" i="81"/>
  <c r="O43" i="81"/>
  <c r="M43" i="81"/>
  <c r="N43" i="81" s="1"/>
  <c r="K43" i="81"/>
  <c r="G43" i="81"/>
  <c r="V42" i="81"/>
  <c r="U42" i="81"/>
  <c r="O42" i="81"/>
  <c r="M42" i="81"/>
  <c r="AB42" i="81" s="1"/>
  <c r="K42" i="81"/>
  <c r="G42" i="81"/>
  <c r="AB41" i="81"/>
  <c r="AA41" i="81"/>
  <c r="V41" i="81"/>
  <c r="U41" i="81"/>
  <c r="Q41" i="81"/>
  <c r="P41" i="81"/>
  <c r="O41" i="81"/>
  <c r="N41" i="81"/>
  <c r="M41" i="81"/>
  <c r="K41" i="81"/>
  <c r="G41" i="81"/>
  <c r="V40" i="81"/>
  <c r="U40" i="81"/>
  <c r="O40" i="81"/>
  <c r="M40" i="81"/>
  <c r="M45" i="81" s="1"/>
  <c r="K40" i="81"/>
  <c r="G40" i="81"/>
  <c r="AB39" i="81"/>
  <c r="AA39" i="81"/>
  <c r="V39" i="81"/>
  <c r="U39" i="81"/>
  <c r="O39" i="81"/>
  <c r="N39" i="81"/>
  <c r="Q39" i="81" s="1"/>
  <c r="M39" i="81"/>
  <c r="K39" i="81"/>
  <c r="G39" i="81"/>
  <c r="AB38" i="81"/>
  <c r="AA38" i="81"/>
  <c r="V38" i="81"/>
  <c r="U38" i="81"/>
  <c r="O38" i="81"/>
  <c r="N38" i="81"/>
  <c r="M38" i="81"/>
  <c r="K38" i="81"/>
  <c r="G38" i="81"/>
  <c r="AB37" i="81"/>
  <c r="AA37" i="81"/>
  <c r="X37" i="81"/>
  <c r="W37" i="81"/>
  <c r="V37" i="81"/>
  <c r="O37" i="81"/>
  <c r="N37" i="81"/>
  <c r="Q37" i="81" s="1"/>
  <c r="M37" i="81"/>
  <c r="K37" i="81"/>
  <c r="G37" i="81"/>
  <c r="O36" i="81"/>
  <c r="K36" i="81"/>
  <c r="AB35" i="81"/>
  <c r="AA35" i="81"/>
  <c r="V35" i="81"/>
  <c r="U35" i="81"/>
  <c r="Q35" i="81"/>
  <c r="P35" i="81"/>
  <c r="O35" i="81"/>
  <c r="N35" i="81"/>
  <c r="M35" i="81"/>
  <c r="K35" i="81"/>
  <c r="G35" i="81"/>
  <c r="AB34" i="81"/>
  <c r="AA34" i="81"/>
  <c r="V34" i="81"/>
  <c r="U34" i="81"/>
  <c r="O34" i="81"/>
  <c r="M34" i="81"/>
  <c r="M36" i="81" s="1"/>
  <c r="K34" i="81"/>
  <c r="G34" i="81"/>
  <c r="AB33" i="81"/>
  <c r="AA33" i="81"/>
  <c r="V33" i="81"/>
  <c r="U33" i="81"/>
  <c r="O33" i="81"/>
  <c r="N33" i="81"/>
  <c r="P33" i="81" s="1"/>
  <c r="M33" i="81"/>
  <c r="K33" i="81"/>
  <c r="G33" i="81"/>
  <c r="AB32" i="81"/>
  <c r="AA32" i="81"/>
  <c r="V32" i="81"/>
  <c r="U32" i="81"/>
  <c r="O32" i="81"/>
  <c r="N32" i="81"/>
  <c r="Q32" i="81" s="1"/>
  <c r="M32" i="81"/>
  <c r="K32" i="81"/>
  <c r="G32" i="81"/>
  <c r="AB31" i="81"/>
  <c r="AA31" i="81"/>
  <c r="X31" i="81"/>
  <c r="W31" i="81"/>
  <c r="V31" i="81"/>
  <c r="O31" i="81"/>
  <c r="N31" i="81"/>
  <c r="M31" i="81"/>
  <c r="K31" i="81"/>
  <c r="G31" i="81"/>
  <c r="O30" i="81"/>
  <c r="K30" i="81"/>
  <c r="V29" i="81"/>
  <c r="U29" i="81"/>
  <c r="O29" i="81"/>
  <c r="M29" i="81"/>
  <c r="K29" i="81"/>
  <c r="G29" i="81"/>
  <c r="AB28" i="81"/>
  <c r="AA28" i="81"/>
  <c r="X28" i="81"/>
  <c r="W28" i="81"/>
  <c r="V28" i="81"/>
  <c r="U28" i="81"/>
  <c r="Q28" i="81"/>
  <c r="P28" i="81"/>
  <c r="O28" i="81"/>
  <c r="N28" i="81"/>
  <c r="M28" i="81"/>
  <c r="K28" i="81"/>
  <c r="G28" i="81"/>
  <c r="AB27" i="81"/>
  <c r="AA27" i="81"/>
  <c r="V27" i="81"/>
  <c r="U27" i="81"/>
  <c r="Q27" i="81"/>
  <c r="O27" i="81"/>
  <c r="N27" i="81"/>
  <c r="P27" i="81" s="1"/>
  <c r="M27" i="81"/>
  <c r="K27" i="81"/>
  <c r="G27" i="81"/>
  <c r="AB26" i="81"/>
  <c r="AA26" i="81"/>
  <c r="V26" i="81"/>
  <c r="U26" i="81"/>
  <c r="O26" i="81"/>
  <c r="N26" i="81"/>
  <c r="Q26" i="81" s="1"/>
  <c r="M26" i="81"/>
  <c r="K26" i="81"/>
  <c r="G26" i="81"/>
  <c r="AB25" i="81"/>
  <c r="AA25" i="81"/>
  <c r="V25" i="81"/>
  <c r="U25" i="81"/>
  <c r="O25" i="81"/>
  <c r="M25" i="81"/>
  <c r="N25" i="81" s="1"/>
  <c r="K25" i="81"/>
  <c r="G25" i="81"/>
  <c r="X24" i="81"/>
  <c r="W24" i="81"/>
  <c r="V24" i="81"/>
  <c r="O24" i="81"/>
  <c r="M24" i="81"/>
  <c r="K24" i="81"/>
  <c r="G24" i="81"/>
  <c r="O23" i="81"/>
  <c r="K23" i="81"/>
  <c r="V22" i="81"/>
  <c r="U22" i="81"/>
  <c r="O22" i="81"/>
  <c r="M22" i="81"/>
  <c r="M23" i="81" s="1"/>
  <c r="K22" i="81"/>
  <c r="G22" i="81"/>
  <c r="AB21" i="81"/>
  <c r="AA21" i="81"/>
  <c r="V21" i="81"/>
  <c r="U21" i="81"/>
  <c r="O21" i="81"/>
  <c r="N21" i="81"/>
  <c r="Q21" i="81" s="1"/>
  <c r="M21" i="81"/>
  <c r="K21" i="81"/>
  <c r="G21" i="81"/>
  <c r="AB20" i="81"/>
  <c r="AA20" i="81"/>
  <c r="V20" i="81"/>
  <c r="U20" i="81"/>
  <c r="O20" i="81"/>
  <c r="N20" i="81"/>
  <c r="M20" i="81"/>
  <c r="K20" i="81"/>
  <c r="G20" i="81"/>
  <c r="AB19" i="81"/>
  <c r="AA19" i="81"/>
  <c r="V19" i="81"/>
  <c r="U19" i="81"/>
  <c r="O19" i="81"/>
  <c r="N19" i="81"/>
  <c r="P19" i="81" s="1"/>
  <c r="M19" i="81"/>
  <c r="K19" i="81"/>
  <c r="G19" i="81"/>
  <c r="AB18" i="81"/>
  <c r="AA18" i="81"/>
  <c r="V18" i="81"/>
  <c r="Q18" i="81"/>
  <c r="O18" i="81"/>
  <c r="N18" i="81"/>
  <c r="P18" i="81" s="1"/>
  <c r="M18" i="81"/>
  <c r="K18" i="81"/>
  <c r="G18" i="81"/>
  <c r="O17" i="81"/>
  <c r="M17" i="81"/>
  <c r="AB17" i="81" s="1"/>
  <c r="AC12" i="81" s="1"/>
  <c r="K17" i="81"/>
  <c r="AB16" i="81"/>
  <c r="AA16" i="81"/>
  <c r="V16" i="81"/>
  <c r="U16" i="81"/>
  <c r="O16" i="81"/>
  <c r="M16" i="81"/>
  <c r="N16" i="81" s="1"/>
  <c r="Q16" i="81" s="1"/>
  <c r="K16" i="81"/>
  <c r="G16" i="81"/>
  <c r="AB15" i="81"/>
  <c r="AA15" i="81"/>
  <c r="V15" i="81"/>
  <c r="U15" i="81"/>
  <c r="Q15" i="81"/>
  <c r="P15" i="81"/>
  <c r="O15" i="81"/>
  <c r="N15" i="81"/>
  <c r="M15" i="81"/>
  <c r="K15" i="81"/>
  <c r="G15" i="81"/>
  <c r="AB14" i="81"/>
  <c r="AA14" i="81"/>
  <c r="V14" i="81"/>
  <c r="U14" i="81"/>
  <c r="O14" i="81"/>
  <c r="M14" i="81"/>
  <c r="N14" i="81" s="1"/>
  <c r="K14" i="81"/>
  <c r="G14" i="81"/>
  <c r="AB13" i="81"/>
  <c r="AA13" i="81"/>
  <c r="V13" i="81"/>
  <c r="U13" i="81"/>
  <c r="O13" i="81"/>
  <c r="N13" i="81"/>
  <c r="P13" i="81" s="1"/>
  <c r="M13" i="81"/>
  <c r="K13" i="81"/>
  <c r="G13" i="81"/>
  <c r="AB12" i="81"/>
  <c r="AA12" i="81"/>
  <c r="X12" i="81"/>
  <c r="W12" i="81"/>
  <c r="V12" i="81"/>
  <c r="O12" i="81"/>
  <c r="N12" i="81"/>
  <c r="Q12" i="81" s="1"/>
  <c r="M12" i="81"/>
  <c r="K12" i="81"/>
  <c r="G12" i="81"/>
  <c r="O11" i="81"/>
  <c r="M11" i="81"/>
  <c r="AB11" i="81" s="1"/>
  <c r="AC9" i="81" s="1"/>
  <c r="K11" i="81"/>
  <c r="AB10" i="81"/>
  <c r="AA10" i="81"/>
  <c r="V10" i="81"/>
  <c r="U10" i="81"/>
  <c r="Q10" i="81"/>
  <c r="P10" i="81"/>
  <c r="O10" i="81"/>
  <c r="N10" i="81"/>
  <c r="M10" i="81"/>
  <c r="K10" i="81"/>
  <c r="G10" i="81"/>
  <c r="AB9" i="81"/>
  <c r="AA9" i="81"/>
  <c r="V9" i="81"/>
  <c r="O9" i="81"/>
  <c r="N9" i="81"/>
  <c r="M9" i="81"/>
  <c r="K9" i="81"/>
  <c r="G9" i="81"/>
  <c r="O8" i="81"/>
  <c r="K8" i="81"/>
  <c r="V7" i="81"/>
  <c r="U7" i="81"/>
  <c r="O7" i="81"/>
  <c r="M7" i="81"/>
  <c r="K7" i="81"/>
  <c r="G7" i="81"/>
  <c r="AB6" i="81"/>
  <c r="AA6" i="81"/>
  <c r="V6" i="81"/>
  <c r="U6" i="81"/>
  <c r="O6" i="81"/>
  <c r="N6" i="81"/>
  <c r="Q6" i="81" s="1"/>
  <c r="M6" i="81"/>
  <c r="K6" i="81"/>
  <c r="G6" i="81"/>
  <c r="AB5" i="81"/>
  <c r="AA5" i="81"/>
  <c r="V5" i="81"/>
  <c r="P5" i="81"/>
  <c r="O5" i="81"/>
  <c r="M5" i="81"/>
  <c r="N5" i="81" s="1"/>
  <c r="Q5" i="81" s="1"/>
  <c r="K5" i="81"/>
  <c r="G5" i="81"/>
  <c r="H2" i="81"/>
  <c r="H1" i="81"/>
  <c r="F1" i="81"/>
  <c r="F2" i="81" s="1"/>
  <c r="D1" i="81"/>
  <c r="M18" i="80"/>
  <c r="L18" i="80"/>
  <c r="K18" i="80"/>
  <c r="J18" i="80"/>
  <c r="I18" i="80"/>
  <c r="H18" i="80"/>
  <c r="G18" i="80"/>
  <c r="F18" i="80"/>
  <c r="E18" i="80"/>
  <c r="D18" i="80"/>
  <c r="M17" i="80"/>
  <c r="L17" i="80"/>
  <c r="K17" i="80"/>
  <c r="J17" i="80"/>
  <c r="I17" i="80"/>
  <c r="H17" i="80"/>
  <c r="G17" i="80"/>
  <c r="F17" i="80"/>
  <c r="E17" i="80"/>
  <c r="D17" i="80"/>
  <c r="M16" i="80"/>
  <c r="L16" i="80"/>
  <c r="K16" i="80"/>
  <c r="J16" i="80"/>
  <c r="I16" i="80"/>
  <c r="H16" i="80"/>
  <c r="G16" i="80"/>
  <c r="F16" i="80"/>
  <c r="E16" i="80"/>
  <c r="D16" i="80"/>
  <c r="M13" i="80"/>
  <c r="L13" i="80"/>
  <c r="K13" i="80"/>
  <c r="J13" i="80"/>
  <c r="I13" i="80"/>
  <c r="H13" i="80"/>
  <c r="G13" i="80"/>
  <c r="F13" i="80"/>
  <c r="G6" i="80" s="1"/>
  <c r="E13" i="80"/>
  <c r="D13" i="80"/>
  <c r="I6" i="80"/>
  <c r="F3" i="80"/>
  <c r="C3" i="80"/>
  <c r="E8" i="88" l="1"/>
  <c r="E7" i="86"/>
  <c r="F7" i="86"/>
  <c r="G7" i="86"/>
  <c r="D15" i="86"/>
  <c r="I7" i="86"/>
  <c r="K15" i="86"/>
  <c r="I8" i="86" s="1"/>
  <c r="Q23" i="85"/>
  <c r="R18" i="85" s="1"/>
  <c r="P23" i="85"/>
  <c r="G14" i="84"/>
  <c r="G15" i="84" s="1"/>
  <c r="Q41" i="85"/>
  <c r="R33" i="85" s="1"/>
  <c r="P41" i="85"/>
  <c r="L14" i="84"/>
  <c r="L15" i="84" s="1"/>
  <c r="K14" i="84"/>
  <c r="Q32" i="85"/>
  <c r="R24" i="85" s="1"/>
  <c r="P32" i="85"/>
  <c r="J14" i="84"/>
  <c r="J15" i="84" s="1"/>
  <c r="Q66" i="85"/>
  <c r="R61" i="85" s="1"/>
  <c r="P66" i="85"/>
  <c r="Q60" i="85"/>
  <c r="R54" i="85" s="1"/>
  <c r="I14" i="84"/>
  <c r="I15" i="84" s="1"/>
  <c r="P60" i="85"/>
  <c r="P8" i="85"/>
  <c r="D2" i="85"/>
  <c r="D14" i="84"/>
  <c r="Q8" i="85"/>
  <c r="R5" i="85" s="1"/>
  <c r="Q53" i="85"/>
  <c r="R42" i="85" s="1"/>
  <c r="P53" i="85"/>
  <c r="H14" i="84"/>
  <c r="H15" i="84" s="1"/>
  <c r="Q17" i="85"/>
  <c r="R12" i="85" s="1"/>
  <c r="P17" i="85"/>
  <c r="F14" i="84"/>
  <c r="F15" i="84" s="1"/>
  <c r="Q77" i="85"/>
  <c r="R67" i="85" s="1"/>
  <c r="P77" i="85"/>
  <c r="M14" i="84"/>
  <c r="M15" i="84" s="1"/>
  <c r="Q27" i="83"/>
  <c r="P27" i="83"/>
  <c r="AB23" i="83"/>
  <c r="AC18" i="83" s="1"/>
  <c r="N23" i="83"/>
  <c r="AA23" i="83"/>
  <c r="L14" i="82"/>
  <c r="L15" i="82" s="1"/>
  <c r="Q41" i="83"/>
  <c r="R33" i="83" s="1"/>
  <c r="P41" i="83"/>
  <c r="N59" i="83"/>
  <c r="AB59" i="83"/>
  <c r="AC53" i="83" s="1"/>
  <c r="AA59" i="83"/>
  <c r="P45" i="83"/>
  <c r="Q45" i="83"/>
  <c r="Q13" i="83"/>
  <c r="P13" i="83"/>
  <c r="Q10" i="83"/>
  <c r="P10" i="83"/>
  <c r="Q35" i="83"/>
  <c r="P35" i="83"/>
  <c r="AA8" i="83"/>
  <c r="AB8" i="83"/>
  <c r="AC5" i="83" s="1"/>
  <c r="N8" i="83"/>
  <c r="Q40" i="83"/>
  <c r="P40" i="83"/>
  <c r="Q49" i="83"/>
  <c r="P49" i="83"/>
  <c r="Q66" i="83"/>
  <c r="P66" i="83"/>
  <c r="P61" i="83"/>
  <c r="Q61" i="83"/>
  <c r="Q51" i="83"/>
  <c r="P51" i="83"/>
  <c r="AB75" i="83"/>
  <c r="AC66" i="83" s="1"/>
  <c r="AA75" i="83"/>
  <c r="N75" i="83"/>
  <c r="Q57" i="83"/>
  <c r="P57" i="83"/>
  <c r="P56" i="83"/>
  <c r="Q56" i="83"/>
  <c r="Q12" i="83"/>
  <c r="P12" i="83"/>
  <c r="Q29" i="83"/>
  <c r="P29" i="83"/>
  <c r="AA32" i="83"/>
  <c r="AB32" i="83"/>
  <c r="AC24" i="83" s="1"/>
  <c r="N32" i="83"/>
  <c r="P74" i="83"/>
  <c r="Q74" i="83"/>
  <c r="Q67" i="83"/>
  <c r="P67" i="83"/>
  <c r="Q47" i="83"/>
  <c r="P47" i="83"/>
  <c r="Q31" i="83"/>
  <c r="P31" i="83"/>
  <c r="N65" i="83"/>
  <c r="AB65" i="83"/>
  <c r="AC60" i="83" s="1"/>
  <c r="AA65" i="83"/>
  <c r="Q20" i="83"/>
  <c r="P20" i="83"/>
  <c r="Q9" i="83"/>
  <c r="P9" i="83"/>
  <c r="AB11" i="83"/>
  <c r="AC9" i="83" s="1"/>
  <c r="AA11" i="83"/>
  <c r="N11" i="83"/>
  <c r="Q15" i="83"/>
  <c r="P15" i="83"/>
  <c r="Q44" i="83"/>
  <c r="P44" i="83"/>
  <c r="Q58" i="83"/>
  <c r="P58" i="83"/>
  <c r="Q69" i="83"/>
  <c r="P69" i="83"/>
  <c r="AA52" i="83"/>
  <c r="N52" i="83"/>
  <c r="AB52" i="83"/>
  <c r="AC42" i="83" s="1"/>
  <c r="Q36" i="83"/>
  <c r="P36" i="83"/>
  <c r="P25" i="83"/>
  <c r="Q25" i="83"/>
  <c r="Q54" i="83"/>
  <c r="P54" i="83"/>
  <c r="Q70" i="83"/>
  <c r="P70" i="83"/>
  <c r="Q30" i="83"/>
  <c r="P30" i="83"/>
  <c r="Q48" i="83"/>
  <c r="P48" i="83"/>
  <c r="P7" i="83"/>
  <c r="Q7" i="83"/>
  <c r="Q64" i="83"/>
  <c r="P64" i="83"/>
  <c r="Q28" i="83"/>
  <c r="P28" i="83"/>
  <c r="N17" i="83"/>
  <c r="AB17" i="83"/>
  <c r="AC12" i="83" s="1"/>
  <c r="AA17" i="83"/>
  <c r="AB24" i="81"/>
  <c r="M30" i="81"/>
  <c r="AA24" i="81"/>
  <c r="N24" i="81"/>
  <c r="N36" i="81"/>
  <c r="AB36" i="81"/>
  <c r="AC31" i="81" s="1"/>
  <c r="AA36" i="81"/>
  <c r="AB65" i="81"/>
  <c r="AC58" i="81" s="1"/>
  <c r="AA65" i="81"/>
  <c r="N65" i="81"/>
  <c r="Q9" i="81"/>
  <c r="P9" i="81"/>
  <c r="Q14" i="81"/>
  <c r="P14" i="81"/>
  <c r="P16" i="81"/>
  <c r="Q25" i="81"/>
  <c r="P25" i="81"/>
  <c r="N29" i="81"/>
  <c r="AB29" i="81"/>
  <c r="AA29" i="81"/>
  <c r="M51" i="81"/>
  <c r="AB49" i="81"/>
  <c r="AA49" i="81"/>
  <c r="N49" i="81"/>
  <c r="Q58" i="81"/>
  <c r="P58" i="81"/>
  <c r="Q47" i="81"/>
  <c r="P47" i="81"/>
  <c r="AB23" i="81"/>
  <c r="AC18" i="81" s="1"/>
  <c r="AA23" i="81"/>
  <c r="N23" i="81"/>
  <c r="N45" i="81"/>
  <c r="AB45" i="81"/>
  <c r="AC37" i="81" s="1"/>
  <c r="AA45" i="81"/>
  <c r="Q53" i="81"/>
  <c r="P53" i="81"/>
  <c r="Q20" i="81"/>
  <c r="P20" i="81"/>
  <c r="AA7" i="81"/>
  <c r="N7" i="81"/>
  <c r="AB7" i="81"/>
  <c r="M8" i="81"/>
  <c r="Q31" i="81"/>
  <c r="P31" i="81"/>
  <c r="Q38" i="81"/>
  <c r="P38" i="81"/>
  <c r="Q43" i="81"/>
  <c r="P43" i="81"/>
  <c r="Q56" i="81"/>
  <c r="P56" i="81"/>
  <c r="N42" i="81"/>
  <c r="N64" i="81"/>
  <c r="M57" i="81"/>
  <c r="AA11" i="81"/>
  <c r="Q13" i="81"/>
  <c r="AA22" i="81"/>
  <c r="P26" i="81"/>
  <c r="Q33" i="81"/>
  <c r="P37" i="81"/>
  <c r="AA40" i="81"/>
  <c r="Q55" i="81"/>
  <c r="AB40" i="81"/>
  <c r="AA53" i="81"/>
  <c r="AB62" i="81"/>
  <c r="AA42" i="81"/>
  <c r="P6" i="81"/>
  <c r="AA17" i="81"/>
  <c r="Q19" i="81"/>
  <c r="P48" i="81"/>
  <c r="Q59" i="81"/>
  <c r="N62" i="81"/>
  <c r="N17" i="81"/>
  <c r="AB22" i="81"/>
  <c r="AB53" i="81"/>
  <c r="AA64" i="81"/>
  <c r="P32" i="81"/>
  <c r="N34" i="81"/>
  <c r="P54" i="81"/>
  <c r="N11" i="81"/>
  <c r="N22" i="81"/>
  <c r="N40" i="81"/>
  <c r="P60" i="81"/>
  <c r="AA62" i="81"/>
  <c r="I3" i="80"/>
  <c r="E6" i="80"/>
  <c r="F6" i="80"/>
  <c r="P12" i="81"/>
  <c r="P21" i="81"/>
  <c r="P39" i="81"/>
  <c r="P52" i="81"/>
  <c r="P61" i="81"/>
  <c r="F8" i="86" l="1"/>
  <c r="E8" i="86"/>
  <c r="G8" i="86"/>
  <c r="E7" i="84"/>
  <c r="D15" i="84"/>
  <c r="G7" i="84"/>
  <c r="F7" i="84"/>
  <c r="I7" i="84"/>
  <c r="K15" i="84"/>
  <c r="I8" i="84" s="1"/>
  <c r="M14" i="82"/>
  <c r="M15" i="82" s="1"/>
  <c r="Q75" i="83"/>
  <c r="R66" i="83" s="1"/>
  <c r="P75" i="83"/>
  <c r="F14" i="82"/>
  <c r="F15" i="82" s="1"/>
  <c r="Q17" i="83"/>
  <c r="R12" i="83" s="1"/>
  <c r="P17" i="83"/>
  <c r="Q59" i="83"/>
  <c r="R53" i="83" s="1"/>
  <c r="I14" i="82"/>
  <c r="I15" i="82" s="1"/>
  <c r="P59" i="83"/>
  <c r="E14" i="82"/>
  <c r="E15" i="82" s="1"/>
  <c r="Q11" i="83"/>
  <c r="R9" i="83" s="1"/>
  <c r="P11" i="83"/>
  <c r="Q23" i="83"/>
  <c r="R18" i="83" s="1"/>
  <c r="P23" i="83"/>
  <c r="G14" i="82"/>
  <c r="G15" i="82" s="1"/>
  <c r="Q65" i="83"/>
  <c r="R60" i="83" s="1"/>
  <c r="P65" i="83"/>
  <c r="J14" i="82"/>
  <c r="J15" i="82" s="1"/>
  <c r="Q52" i="83"/>
  <c r="R42" i="83" s="1"/>
  <c r="P52" i="83"/>
  <c r="H14" i="82"/>
  <c r="H15" i="82" s="1"/>
  <c r="P32" i="83"/>
  <c r="K14" i="82"/>
  <c r="Q32" i="83"/>
  <c r="R24" i="83" s="1"/>
  <c r="Q8" i="83"/>
  <c r="R5" i="83" s="1"/>
  <c r="D14" i="82"/>
  <c r="P8" i="83"/>
  <c r="D2" i="83"/>
  <c r="Q22" i="81"/>
  <c r="P22" i="81"/>
  <c r="Q11" i="81"/>
  <c r="R9" i="81" s="1"/>
  <c r="P11" i="81"/>
  <c r="E14" i="80"/>
  <c r="E15" i="80" s="1"/>
  <c r="P29" i="81"/>
  <c r="Q29" i="81"/>
  <c r="Q7" i="81"/>
  <c r="P7" i="81"/>
  <c r="Q34" i="81"/>
  <c r="P34" i="81"/>
  <c r="AB57" i="81"/>
  <c r="AC52" i="81" s="1"/>
  <c r="N57" i="81"/>
  <c r="AA57" i="81"/>
  <c r="Q17" i="81"/>
  <c r="R12" i="81" s="1"/>
  <c r="F14" i="80"/>
  <c r="F15" i="80" s="1"/>
  <c r="P17" i="81"/>
  <c r="Q64" i="81"/>
  <c r="P64" i="81"/>
  <c r="H14" i="80"/>
  <c r="H15" i="80" s="1"/>
  <c r="Q45" i="81"/>
  <c r="R37" i="81" s="1"/>
  <c r="P45" i="81"/>
  <c r="P62" i="81"/>
  <c r="Q62" i="81"/>
  <c r="P42" i="81"/>
  <c r="Q42" i="81"/>
  <c r="P23" i="81"/>
  <c r="Q23" i="81"/>
  <c r="R18" i="81" s="1"/>
  <c r="G14" i="80"/>
  <c r="G15" i="80" s="1"/>
  <c r="Q65" i="81"/>
  <c r="R58" i="81" s="1"/>
  <c r="P65" i="81"/>
  <c r="M14" i="80"/>
  <c r="M15" i="80" s="1"/>
  <c r="P36" i="81"/>
  <c r="L14" i="80"/>
  <c r="L15" i="80" s="1"/>
  <c r="Q36" i="81"/>
  <c r="R31" i="81" s="1"/>
  <c r="P49" i="81"/>
  <c r="Q49" i="81"/>
  <c r="P24" i="81"/>
  <c r="Q24" i="81"/>
  <c r="AA8" i="81"/>
  <c r="N8" i="81"/>
  <c r="AB8" i="81"/>
  <c r="AC5" i="81" s="1"/>
  <c r="N30" i="81"/>
  <c r="AA30" i="81"/>
  <c r="AB30" i="81"/>
  <c r="AC24" i="81" s="1"/>
  <c r="Q40" i="81"/>
  <c r="P40" i="81"/>
  <c r="N51" i="81"/>
  <c r="AB51" i="81"/>
  <c r="AC46" i="81" s="1"/>
  <c r="AA51" i="81"/>
  <c r="F8" i="84" l="1"/>
  <c r="E8" i="84"/>
  <c r="G8" i="84"/>
  <c r="E7" i="82"/>
  <c r="F7" i="82"/>
  <c r="G7" i="82"/>
  <c r="D15" i="82"/>
  <c r="I7" i="82"/>
  <c r="K15" i="82"/>
  <c r="I8" i="82" s="1"/>
  <c r="Q30" i="81"/>
  <c r="R24" i="81" s="1"/>
  <c r="P30" i="81"/>
  <c r="K14" i="80"/>
  <c r="D14" i="80"/>
  <c r="Q8" i="81"/>
  <c r="R5" i="81" s="1"/>
  <c r="P8" i="81"/>
  <c r="D2" i="81"/>
  <c r="J14" i="80"/>
  <c r="J15" i="80" s="1"/>
  <c r="Q57" i="81"/>
  <c r="R52" i="81" s="1"/>
  <c r="P57" i="81"/>
  <c r="Q51" i="81"/>
  <c r="R46" i="81" s="1"/>
  <c r="P51" i="81"/>
  <c r="I14" i="80"/>
  <c r="I15" i="80" s="1"/>
  <c r="G8" i="82" l="1"/>
  <c r="F8" i="82"/>
  <c r="E8" i="82"/>
  <c r="G7" i="80"/>
  <c r="F7" i="80"/>
  <c r="D15" i="80"/>
  <c r="E7" i="80"/>
  <c r="I7" i="80"/>
  <c r="K15" i="80"/>
  <c r="I8" i="80" s="1"/>
  <c r="E8" i="80" l="1"/>
  <c r="G8" i="80"/>
  <c r="F8" i="80"/>
</calcChain>
</file>

<file path=xl/sharedStrings.xml><?xml version="1.0" encoding="utf-8"?>
<sst xmlns="http://schemas.openxmlformats.org/spreadsheetml/2006/main" count="10554" uniqueCount="2519">
  <si>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</si>
  <si>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</si>
  <si>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</si>
  <si>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</si>
  <si>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</si>
  <si>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/>
  </si>
  <si>
    <t>微波主食</t>
  </si>
  <si>
    <t>二配煸椒烘蛋飯</t>
  </si>
  <si>
    <t>二配川味麻婆燒豆腐燴飯</t>
  </si>
  <si>
    <t>二配港式香滑嫩蛋牛肉燴飯</t>
  </si>
  <si>
    <t>沙拉</t>
  </si>
  <si>
    <t>青檸烤雞握沙拉(113年)</t>
  </si>
  <si>
    <t>韓式泡菜豆腐握沙拉</t>
  </si>
  <si>
    <t>小吃</t>
  </si>
  <si>
    <t>剝皮辣椒雞湯</t>
  </si>
  <si>
    <t>青醬優格雞肉握沙拉(113年)</t>
  </si>
  <si>
    <t>三明治</t>
  </si>
  <si>
    <t>瘋狂起司三明治(113年)</t>
  </si>
  <si>
    <t>藍莓優格三明治(114年)</t>
  </si>
  <si>
    <t>二配金咖哩濃厚辛辣咖哩飯</t>
  </si>
  <si>
    <t>二配金咖哩果香甘口咖哩飯</t>
  </si>
  <si>
    <t>古早味炒炊粉</t>
  </si>
  <si>
    <t>鐵板滑蛋炸豬排丼</t>
  </si>
  <si>
    <t>極上炙烤親子丼</t>
  </si>
  <si>
    <t>二配美味蟹煲</t>
  </si>
  <si>
    <t>經典總匯三明治</t>
  </si>
  <si>
    <t>輕乳酪巧克力三明治</t>
  </si>
  <si>
    <t>龍蝦風味總匯三明治</t>
  </si>
  <si>
    <t>陽光地瓜總匯三明治</t>
  </si>
  <si>
    <t>好多菜三明治</t>
  </si>
  <si>
    <t>紐奧良風味烤雞鮮蔬三明治</t>
  </si>
  <si>
    <t>鮪魚起司溏心蛋三明治</t>
  </si>
  <si>
    <t>醬燒烤雞三明治</t>
  </si>
  <si>
    <t>經典火腿玉米蛋三明治</t>
  </si>
  <si>
    <t>泰奶奶蓋QQ三明治</t>
  </si>
  <si>
    <t>調理麵包</t>
  </si>
  <si>
    <t>豬肉起司堡</t>
  </si>
  <si>
    <t>豬肉起司蛋堡</t>
  </si>
  <si>
    <t>經典雙牛起司堡(113年)</t>
  </si>
  <si>
    <t>美式雞腿堡</t>
  </si>
  <si>
    <t>泰式酸辣炸雞堡</t>
  </si>
  <si>
    <t>蔥鹽雞肉麵沙拉(114年)</t>
  </si>
  <si>
    <t>莎莎烤雞麵沙拉</t>
  </si>
  <si>
    <t>二配香辣醬蒜味香腸蛋炒飯</t>
  </si>
  <si>
    <t>二配香拌海鮮醬肉絲蛋炒飯</t>
  </si>
  <si>
    <t>香雞蛋堡(112年)</t>
  </si>
  <si>
    <t>溏心蛋洋芋沙拉</t>
  </si>
  <si>
    <t>黃金魚堡</t>
  </si>
  <si>
    <t>香鬆起司蛋三明治(114年)</t>
  </si>
  <si>
    <t>火腿起司蛋三明治</t>
  </si>
  <si>
    <t>肉鬆火腿三明治</t>
  </si>
  <si>
    <t>花生芝麻麻糬三明治</t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</si>
  <si>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</si>
  <si>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</si>
  <si>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</si>
  <si>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</si>
  <si>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</si>
  <si>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</si>
  <si>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</si>
  <si>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</si>
  <si>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</si>
  <si>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</si>
  <si>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</si>
  <si>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</si>
  <si>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</si>
  <si>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</si>
  <si>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</si>
  <si>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</si>
  <si>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※現行日本鮮食廠以達成率80%為基本(即為現行KPI)</t>
    <phoneticPr fontId="4" type="noConversion"/>
  </si>
  <si>
    <t>開始</t>
    <phoneticPr fontId="3" type="noConversion"/>
  </si>
  <si>
    <t>L型包裝機</t>
    <phoneticPr fontId="4" type="noConversion"/>
  </si>
  <si>
    <t>三明治包裝機</t>
    <phoneticPr fontId="4" type="noConversion"/>
  </si>
  <si>
    <t>星期六</t>
  </si>
  <si>
    <t>營業額</t>
    <phoneticPr fontId="7" type="noConversion"/>
  </si>
  <si>
    <t>厚豆腐蛋白蕈菇豬肉堡</t>
  </si>
  <si>
    <t>蜂蜜芥末辣雞堡</t>
  </si>
  <si>
    <t>焗烤明太子筆尖麵</t>
  </si>
  <si>
    <t>熱食義麵</t>
  </si>
  <si>
    <t>人時性</t>
    <phoneticPr fontId="4" type="noConversion"/>
  </si>
  <si>
    <t>平均</t>
    <phoneticPr fontId="4" type="noConversion"/>
  </si>
  <si>
    <t>新豐1線</t>
    <phoneticPr fontId="4" type="noConversion"/>
  </si>
  <si>
    <t>二配泰式綠咖哩雞</t>
  </si>
  <si>
    <t>二配粗飽系雞排炒飯(114年)</t>
  </si>
  <si>
    <t>雞蛋沙拉三明治(114年)</t>
  </si>
  <si>
    <t>排骨雞起司炒麵麵包</t>
  </si>
  <si>
    <t>經典美式起司巨牛堡</t>
  </si>
  <si>
    <t>L型包裝機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</si>
  <si>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</si>
  <si>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</si>
  <si>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</si>
  <si>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</si>
  <si>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</si>
  <si>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</si>
  <si>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</si>
  <si>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</si>
  <si>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</si>
  <si>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</si>
  <si>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</si>
  <si>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</si>
  <si>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</si>
  <si>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</si>
  <si>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</si>
  <si>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</si>
  <si>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</si>
  <si>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</si>
  <si>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</si>
  <si>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</si>
  <si>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</si>
  <si>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</si>
  <si>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</si>
  <si>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</si>
  <si>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</si>
  <si>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</si>
  <si>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</si>
  <si>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</si>
  <si>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</si>
  <si>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</si>
  <si>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</si>
  <si>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</si>
  <si>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</si>
  <si>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</si>
  <si>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</si>
  <si>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</si>
  <si>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</si>
  <si>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</si>
  <si>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</si>
  <si>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</si>
  <si>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</si>
  <si>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</si>
  <si>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</si>
  <si>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</si>
  <si>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</si>
  <si>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</si>
  <si>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</si>
  <si>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</si>
  <si>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</si>
  <si>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</si>
  <si>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</si>
  <si>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</si>
  <si>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</si>
  <si>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</si>
  <si>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</si>
  <si>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</si>
  <si>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</si>
  <si>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</si>
  <si>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</si>
  <si>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</si>
  <si>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</si>
  <si>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</si>
  <si>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</si>
  <si>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</si>
  <si>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</si>
  <si>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</si>
  <si>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</si>
  <si>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</si>
  <si>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</si>
  <si>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</si>
  <si>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</si>
  <si>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</si>
  <si>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</si>
  <si>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</si>
  <si>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</si>
  <si>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</si>
  <si>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</si>
  <si>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</si>
  <si>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</si>
  <si>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</si>
  <si>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</si>
  <si>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</si>
  <si>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</si>
  <si>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</si>
  <si>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</si>
  <si>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</si>
  <si>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</si>
  <si>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</si>
  <si>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</si>
  <si>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</si>
  <si>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</si>
  <si>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</si>
  <si>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</si>
  <si>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</si>
  <si>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</si>
  <si>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</si>
  <si>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</si>
  <si>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</si>
  <si>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</si>
  <si>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</si>
  <si>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</si>
  <si>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</si>
  <si>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</si>
  <si>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</si>
  <si>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</si>
  <si>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</si>
  <si>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</si>
  <si>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</si>
  <si>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</si>
  <si>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</si>
  <si>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</si>
  <si>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</si>
  <si>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</si>
  <si>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</si>
  <si>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</si>
  <si>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</si>
  <si>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</si>
  <si>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</si>
  <si>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</si>
  <si>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</si>
  <si>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</si>
  <si>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</si>
  <si>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</si>
  <si>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</si>
  <si>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</si>
  <si>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</si>
  <si>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</si>
  <si>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</si>
  <si>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</si>
  <si>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</si>
  <si>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</si>
  <si>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</si>
  <si>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</si>
  <si>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</si>
  <si>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</si>
  <si>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</si>
  <si>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</si>
  <si>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</si>
  <si>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</si>
  <si>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</si>
  <si>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</si>
  <si>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</si>
  <si>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</si>
  <si>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</si>
  <si>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</si>
  <si>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</si>
  <si>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</si>
  <si>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</si>
  <si>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</si>
  <si>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</si>
  <si>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</si>
  <si>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</si>
  <si>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</si>
  <si>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</si>
  <si>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</si>
  <si>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</si>
  <si>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</si>
  <si>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</si>
  <si>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</si>
  <si>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</si>
  <si>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</si>
  <si>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</si>
  <si>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</si>
  <si>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</si>
  <si>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</si>
  <si>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</si>
  <si>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</si>
  <si>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</si>
  <si>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</si>
  <si>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</si>
  <si>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</si>
  <si>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</si>
  <si>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</si>
  <si>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</si>
  <si>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</si>
  <si>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</si>
  <si>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</si>
  <si>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</si>
  <si>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</si>
  <si>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</si>
  <si>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</si>
  <si>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</si>
  <si>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</si>
  <si>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</si>
  <si>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</si>
  <si>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</si>
  <si>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</si>
  <si>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</si>
  <si>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</si>
  <si>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</si>
  <si>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</si>
  <si>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</si>
  <si>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</si>
  <si>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</si>
  <si>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</si>
  <si>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</si>
  <si>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</si>
  <si>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</si>
  <si>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</si>
  <si>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</si>
  <si>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</si>
  <si>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</si>
  <si>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</si>
  <si>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</si>
  <si>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</si>
  <si>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</si>
  <si>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</si>
  <si>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</si>
  <si>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</si>
  <si>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</si>
  <si>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</si>
  <si>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</si>
  <si>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</si>
  <si>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</si>
  <si>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</si>
  <si>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</si>
  <si>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</si>
  <si>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</si>
  <si>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</si>
  <si>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</si>
  <si>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</si>
  <si>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</si>
  <si>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</si>
  <si>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</si>
  <si>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</si>
  <si>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</si>
  <si>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</si>
  <si>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</si>
  <si>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</si>
  <si>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</si>
  <si>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</si>
  <si>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</si>
  <si>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</si>
  <si>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</si>
  <si>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</si>
  <si>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</si>
  <si>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</si>
  <si>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</si>
  <si>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</si>
  <si>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</si>
  <si>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</si>
  <si>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</si>
  <si>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</si>
  <si>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</si>
  <si>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</si>
  <si>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</si>
  <si>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</si>
  <si>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</si>
  <si>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</si>
  <si>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</si>
  <si>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</si>
  <si>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</si>
  <si>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</si>
  <si>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</si>
  <si>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</si>
  <si>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</si>
  <si>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</si>
  <si>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</si>
  <si>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</si>
  <si>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</si>
  <si>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</si>
  <si>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</si>
  <si>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</si>
  <si>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</si>
  <si>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</si>
  <si>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</si>
  <si>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</si>
  <si>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</si>
  <si>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</si>
  <si>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</si>
  <si>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</si>
  <si>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</si>
  <si>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</si>
  <si>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</si>
  <si>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</si>
  <si>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</si>
  <si>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</si>
  <si>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</si>
  <si>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</si>
  <si>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</si>
  <si>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</si>
  <si>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</si>
  <si>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</si>
  <si>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</si>
  <si>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</si>
  <si>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</si>
  <si>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</si>
  <si>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</si>
  <si>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</si>
  <si>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</si>
  <si>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</si>
  <si>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</si>
  <si>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</si>
  <si>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</si>
  <si>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</si>
  <si>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</si>
  <si>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</si>
  <si>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</si>
  <si>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</si>
  <si>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</si>
  <si>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</si>
  <si>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</si>
  <si>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</si>
  <si>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</si>
  <si>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</si>
  <si>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</si>
  <si>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</si>
  <si>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</si>
  <si>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</si>
  <si>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</si>
  <si>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</si>
  <si>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</si>
  <si>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</si>
  <si>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</si>
  <si>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</si>
  <si>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</si>
  <si>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</si>
  <si>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</si>
  <si>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</si>
  <si>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</si>
  <si>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</si>
  <si>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</si>
  <si>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</si>
  <si>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</si>
  <si>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</si>
  <si>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</si>
  <si>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</si>
  <si>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</si>
  <si>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</si>
  <si>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</si>
  <si>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</si>
  <si>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</si>
  <si>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</si>
  <si>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</si>
  <si>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</si>
  <si>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</si>
  <si>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</si>
  <si>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</si>
  <si>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</si>
  <si>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</si>
  <si>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</si>
  <si>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</si>
  <si>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</si>
  <si>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</si>
  <si>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</si>
  <si>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</si>
  <si>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</si>
  <si>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</si>
  <si>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</si>
  <si>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</si>
  <si>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</si>
  <si>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</si>
  <si>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</si>
  <si>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</si>
  <si>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</si>
  <si>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</si>
  <si>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</si>
  <si>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</si>
  <si>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</si>
  <si>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</si>
  <si>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</si>
  <si>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</si>
  <si>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</si>
  <si>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</si>
  <si>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</si>
  <si>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</si>
  <si>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</si>
  <si>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</si>
  <si>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</si>
  <si>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</si>
  <si>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</si>
  <si>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</si>
  <si>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</si>
  <si>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星期三</t>
  </si>
  <si>
    <t>多次生產數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</si>
  <si>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</si>
  <si>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</si>
  <si>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</si>
  <si>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</si>
  <si>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</si>
  <si>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</si>
  <si>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</si>
  <si>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</si>
  <si>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</si>
  <si>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</si>
  <si>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</si>
  <si>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</si>
  <si>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</si>
  <si>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</si>
  <si>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</si>
  <si>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</si>
  <si>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</si>
  <si>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</si>
  <si>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</si>
  <si>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</si>
  <si>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</si>
  <si>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</si>
  <si>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</si>
  <si>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</si>
  <si>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</si>
  <si>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</si>
  <si>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</si>
  <si>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</si>
  <si>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</si>
  <si>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</si>
  <si>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</si>
  <si>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</si>
  <si>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</si>
  <si>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</si>
  <si>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</si>
  <si>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</si>
  <si>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</si>
  <si>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</si>
  <si>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</si>
  <si>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</si>
  <si>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</si>
  <si>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</si>
  <si>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</si>
  <si>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</si>
  <si>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</si>
  <si>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</si>
  <si>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</si>
  <si>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</si>
  <si>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</si>
  <si>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</si>
  <si>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</si>
  <si>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</si>
  <si>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</si>
  <si>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</si>
  <si>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</si>
  <si>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</si>
  <si>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</si>
  <si>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</si>
  <si>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</si>
  <si>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</si>
  <si>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</si>
  <si>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</si>
  <si>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</si>
  <si>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</si>
  <si>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</si>
  <si>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</si>
  <si>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</si>
  <si>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</si>
  <si>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</si>
  <si>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</si>
  <si>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</si>
  <si>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</si>
  <si>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</si>
  <si>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</si>
  <si>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</si>
  <si>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</si>
  <si>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</si>
  <si>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</si>
  <si>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</si>
  <si>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</si>
  <si>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</si>
  <si>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</si>
  <si>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</si>
  <si>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</si>
  <si>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</si>
  <si>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</si>
  <si>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</si>
  <si>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</si>
  <si>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</si>
  <si>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</si>
  <si>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星期四</t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</si>
  <si>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</si>
  <si>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</si>
  <si>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</si>
  <si>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</si>
  <si>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</si>
  <si>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</si>
  <si>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</si>
  <si>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</si>
  <si>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</si>
  <si>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</si>
  <si>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</si>
  <si>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稼動時間/分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</si>
  <si>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</si>
  <si>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</si>
  <si>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</si>
  <si>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</si>
  <si>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</si>
  <si>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</si>
  <si>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</si>
  <si>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新豐9線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</si>
  <si>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</si>
  <si>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</si>
  <si>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</si>
  <si>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</si>
  <si>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</si>
  <si>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</si>
  <si>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</si>
  <si>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</si>
  <si>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</si>
  <si>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</si>
  <si>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</si>
  <si>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</si>
  <si>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</si>
  <si>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</si>
  <si>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</si>
  <si>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</si>
  <si>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</si>
  <si>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</si>
  <si>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</si>
  <si>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</si>
  <si>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</si>
  <si>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</si>
  <si>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</si>
  <si>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</si>
  <si>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</si>
  <si>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</si>
  <si>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</si>
  <si>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</si>
  <si>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</si>
  <si>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</si>
  <si>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</si>
  <si>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</si>
  <si>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</si>
  <si>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</si>
  <si>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</si>
  <si>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</si>
  <si>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</si>
  <si>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</si>
  <si>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</si>
  <si>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</si>
  <si>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</si>
  <si>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</si>
  <si>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</si>
  <si>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</si>
  <si>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</si>
  <si>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</si>
  <si>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</si>
  <si>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</si>
  <si>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星期五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</si>
  <si>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</si>
  <si>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</si>
  <si>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</si>
  <si>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</si>
  <si>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</si>
  <si>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</si>
  <si>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</si>
  <si>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</si>
  <si>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</si>
  <si>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</si>
  <si>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</si>
  <si>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</si>
  <si>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</si>
  <si>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</si>
  <si>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</si>
  <si>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</si>
  <si>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</si>
  <si>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</si>
  <si>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</si>
  <si>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</si>
  <si>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</si>
  <si>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</si>
  <si>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</si>
  <si>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</si>
  <si>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</si>
  <si>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</si>
  <si>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</si>
  <si>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</si>
  <si>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</si>
  <si>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</si>
  <si>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</si>
  <si>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</si>
  <si>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</si>
  <si>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</si>
  <si>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</si>
  <si>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</si>
  <si>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</si>
  <si>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</si>
  <si>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</si>
  <si>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</si>
  <si>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</si>
  <si>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</si>
  <si>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</si>
  <si>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</si>
  <si>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</si>
  <si>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</si>
  <si>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</si>
  <si>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</si>
  <si>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</si>
  <si>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</si>
  <si>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</si>
  <si>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</si>
  <si>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</si>
  <si>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</si>
  <si>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</si>
  <si>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</si>
  <si>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</si>
  <si>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</si>
  <si>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</si>
  <si>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</si>
  <si>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</si>
  <si>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</si>
  <si>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</si>
  <si>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</si>
  <si>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</si>
  <si>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</si>
  <si>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</si>
  <si>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</si>
  <si>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</si>
  <si>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</si>
  <si>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</si>
  <si>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</si>
  <si>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</si>
  <si>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</si>
  <si>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</si>
  <si>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</si>
  <si>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</si>
  <si>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</si>
  <si>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</si>
  <si>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</si>
  <si>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</si>
  <si>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</si>
  <si>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</si>
  <si>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</si>
  <si>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</si>
  <si>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</si>
  <si>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</si>
  <si>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</si>
  <si>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</si>
  <si>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</si>
  <si>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</si>
  <si>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</si>
  <si>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</si>
  <si>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</si>
  <si>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</si>
  <si>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</si>
  <si>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</si>
  <si>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</si>
  <si>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</si>
  <si>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</si>
  <si>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</si>
  <si>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</si>
  <si>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</si>
  <si>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</si>
  <si>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</si>
  <si>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</si>
  <si>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</si>
  <si>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</si>
  <si>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</si>
  <si>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</si>
  <si>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</si>
  <si>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</si>
  <si>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</si>
  <si>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</si>
  <si>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</si>
  <si>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</si>
  <si>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</si>
  <si>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</si>
  <si>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</si>
  <si>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</si>
  <si>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</si>
  <si>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</si>
  <si>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</si>
  <si>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</si>
  <si>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</si>
  <si>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</si>
  <si>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</si>
  <si>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</si>
  <si>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</si>
  <si>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</si>
  <si>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</si>
  <si>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</si>
  <si>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</si>
  <si>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</si>
  <si>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</si>
  <si>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</si>
  <si>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</si>
  <si>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</si>
  <si>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</si>
  <si>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</si>
  <si>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</si>
  <si>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</si>
  <si>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</si>
  <si>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</si>
  <si>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</si>
  <si>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</si>
  <si>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</si>
  <si>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</si>
  <si>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</si>
  <si>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</si>
  <si>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</si>
  <si>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</si>
  <si>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</si>
  <si>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</si>
  <si>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</si>
  <si>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</si>
  <si>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</si>
  <si>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</si>
  <si>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</si>
  <si>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</si>
  <si>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</si>
  <si>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</si>
  <si>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</si>
  <si>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</si>
  <si>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</si>
  <si>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</si>
  <si>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</si>
  <si>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</si>
  <si>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</si>
  <si>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</si>
  <si>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</si>
  <si>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</si>
  <si>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</si>
  <si>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</si>
  <si>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</si>
  <si>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</si>
  <si>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</si>
  <si>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</si>
  <si>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</si>
  <si>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</si>
  <si>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</si>
  <si>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</si>
  <si>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</si>
  <si>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</si>
  <si>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</si>
  <si>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</si>
  <si>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</si>
  <si>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</si>
  <si>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</si>
  <si>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</si>
  <si>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</si>
  <si>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</si>
  <si>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</si>
  <si>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</si>
  <si>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</si>
  <si>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</si>
  <si>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</si>
  <si>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</si>
  <si>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</si>
  <si>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</si>
  <si>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</si>
  <si>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</si>
  <si>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</si>
  <si>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</si>
  <si>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</si>
  <si>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</si>
  <si>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</si>
  <si>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</si>
  <si>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</si>
  <si>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</si>
  <si>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</si>
  <si>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</si>
  <si>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</si>
  <si>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</si>
  <si>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</si>
  <si>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</si>
  <si>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</si>
  <si>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</si>
  <si>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</si>
  <si>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</si>
  <si>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</si>
  <si>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</si>
  <si>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</si>
  <si>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</si>
  <si>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</si>
  <si>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</si>
  <si>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</si>
  <si>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</si>
  <si>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</si>
  <si>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</si>
  <si>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</si>
  <si>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</si>
  <si>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</si>
  <si>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</si>
  <si>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</si>
  <si>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</si>
  <si>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</si>
  <si>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</si>
  <si>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</si>
  <si>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</si>
  <si>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</si>
  <si>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</si>
  <si>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</si>
  <si>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</si>
  <si>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</si>
  <si>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</si>
  <si>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</si>
  <si>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</si>
  <si>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</si>
  <si>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</si>
  <si>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</si>
  <si>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</si>
  <si>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</si>
  <si>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</si>
  <si>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</si>
  <si>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</si>
  <si>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</si>
  <si>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</si>
  <si>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</si>
  <si>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</si>
  <si>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</si>
  <si>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</si>
  <si>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</si>
  <si>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</si>
  <si>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二配厚香料咖哩雞排飯</t>
  </si>
  <si>
    <t>平均</t>
    <phoneticPr fontId="4" type="noConversion"/>
  </si>
  <si>
    <t>新豐2線</t>
    <phoneticPr fontId="4" type="noConversion"/>
  </si>
  <si>
    <t>新豐5線</t>
    <phoneticPr fontId="4" type="noConversion"/>
  </si>
  <si>
    <t>二配金咖哩濃厚辛口咖哩飯</t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</si>
  <si>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</si>
  <si>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</si>
  <si>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</si>
  <si>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</si>
  <si>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</si>
  <si>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</si>
  <si>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</si>
  <si>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</si>
  <si>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</si>
  <si>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</si>
  <si>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</si>
  <si>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</si>
  <si>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</si>
  <si>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</si>
  <si>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</si>
  <si>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</si>
  <si>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</si>
  <si>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</si>
  <si>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</si>
  <si>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</si>
  <si>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</si>
  <si>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</si>
  <si>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</si>
  <si>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</si>
  <si>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</si>
  <si>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</si>
  <si>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</si>
  <si>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</si>
  <si>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</si>
  <si>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</si>
  <si>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</si>
  <si>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</si>
  <si>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</si>
  <si>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</si>
  <si>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</si>
  <si>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</si>
  <si>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</si>
  <si>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</si>
  <si>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</si>
  <si>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</si>
  <si>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</si>
  <si>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</si>
  <si>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</si>
  <si>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</si>
  <si>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</si>
  <si>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</si>
  <si>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</si>
  <si>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</si>
  <si>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</si>
  <si>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</si>
  <si>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</si>
  <si>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</si>
  <si>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</si>
  <si>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</si>
  <si>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</si>
  <si>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</si>
  <si>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</si>
  <si>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</si>
  <si>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</si>
  <si>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</si>
  <si>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</si>
  <si>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</si>
  <si>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</si>
  <si>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</si>
  <si>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</si>
  <si>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</si>
  <si>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</si>
  <si>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</si>
  <si>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</si>
  <si>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</si>
  <si>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</si>
  <si>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</si>
  <si>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</si>
  <si>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</si>
  <si>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</si>
  <si>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</si>
  <si>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</si>
  <si>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</si>
  <si>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</si>
  <si>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</si>
  <si>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日式野菜烘蛋燴飯</t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</si>
  <si>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</si>
  <si>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</si>
  <si>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</si>
  <si>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</si>
  <si>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</si>
  <si>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</si>
  <si>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</si>
  <si>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</si>
  <si>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麻婆豆腐波浪麵</t>
  </si>
  <si>
    <t>新豐8線</t>
    <phoneticPr fontId="4" type="noConversion"/>
  </si>
  <si>
    <t>好多菜三明治(114年)</t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</si>
  <si>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</si>
  <si>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</si>
  <si>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</si>
  <si>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</si>
  <si>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</si>
  <si>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</si>
  <si>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</si>
  <si>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</si>
  <si>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</si>
  <si>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</si>
  <si>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</si>
  <si>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</si>
  <si>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</si>
  <si>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</si>
  <si>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</si>
  <si>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</si>
  <si>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</si>
  <si>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</si>
  <si>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</si>
  <si>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</si>
  <si>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</si>
  <si>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</si>
  <si>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</si>
  <si>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</si>
  <si>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</si>
  <si>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</si>
  <si>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</si>
  <si>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</si>
  <si>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</si>
  <si>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</si>
  <si>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</si>
  <si>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</si>
  <si>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</si>
  <si>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</si>
  <si>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</si>
  <si>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</si>
  <si>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</si>
  <si>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</si>
  <si>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</si>
  <si>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</si>
  <si>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</si>
  <si>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</si>
  <si>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</si>
  <si>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</si>
  <si>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</si>
  <si>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</si>
  <si>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</si>
  <si>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</si>
  <si>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</si>
  <si>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</si>
  <si>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</si>
  <si>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</si>
  <si>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</si>
  <si>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</si>
  <si>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</si>
  <si>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</si>
  <si>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</si>
  <si>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</si>
  <si>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</si>
  <si>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</si>
  <si>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</si>
  <si>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</si>
  <si>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</si>
  <si>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</si>
  <si>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</si>
  <si>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</si>
  <si>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</si>
  <si>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</si>
  <si>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</si>
  <si>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</si>
  <si>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</si>
  <si>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</si>
  <si>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</si>
  <si>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</si>
  <si>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</si>
  <si>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</si>
  <si>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</si>
  <si>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</si>
  <si>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</si>
  <si>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</si>
  <si>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</si>
  <si>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</si>
  <si>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</si>
  <si>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</si>
  <si>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</si>
  <si>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</si>
  <si>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</si>
  <si>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</si>
  <si>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</si>
  <si>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</si>
  <si>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</si>
  <si>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</si>
  <si>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</si>
  <si>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</si>
  <si>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</si>
  <si>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</si>
  <si>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</si>
  <si>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</si>
  <si>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</si>
  <si>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</si>
  <si>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</si>
  <si>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</si>
  <si>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</si>
  <si>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</si>
  <si>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</si>
  <si>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</si>
  <si>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</si>
  <si>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</si>
  <si>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</si>
  <si>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</si>
  <si>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</si>
  <si>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</si>
  <si>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</si>
  <si>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</si>
  <si>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</si>
  <si>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</si>
  <si>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</si>
  <si>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</si>
  <si>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</si>
  <si>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</si>
  <si>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</si>
  <si>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</si>
  <si>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</si>
  <si>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</si>
  <si>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</si>
  <si>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</si>
  <si>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</si>
  <si>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</si>
  <si>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</si>
  <si>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</si>
  <si>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</si>
  <si>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</si>
  <si>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</si>
  <si>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</si>
  <si>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</si>
  <si>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</si>
  <si>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</si>
  <si>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</si>
  <si>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</si>
  <si>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</si>
  <si>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</si>
  <si>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</si>
  <si>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</si>
  <si>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</si>
  <si>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</si>
  <si>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</si>
  <si>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</si>
  <si>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</si>
  <si>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</si>
  <si>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</si>
  <si>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</si>
  <si>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</si>
  <si>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</si>
  <si>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</si>
  <si>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</si>
  <si>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</si>
  <si>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</si>
  <si>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</si>
  <si>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</si>
  <si>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</si>
  <si>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</si>
  <si>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</si>
  <si>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</si>
  <si>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</si>
  <si>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</si>
  <si>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</si>
  <si>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</si>
  <si>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</si>
  <si>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</si>
  <si>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</si>
  <si>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</si>
  <si>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</si>
  <si>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</si>
  <si>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</si>
  <si>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</si>
  <si>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</si>
  <si>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</si>
  <si>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</si>
  <si>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</si>
  <si>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</si>
  <si>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</si>
  <si>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</si>
  <si>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</si>
  <si>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</si>
  <si>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</si>
  <si>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</si>
  <si>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</si>
  <si>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</si>
  <si>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</si>
  <si>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</si>
  <si>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</si>
  <si>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</si>
  <si>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</si>
  <si>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</si>
  <si>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</si>
  <si>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</si>
  <si>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</si>
  <si>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</si>
  <si>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</si>
  <si>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</si>
  <si>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</si>
  <si>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</si>
  <si>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</si>
  <si>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</si>
  <si>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</si>
  <si>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</si>
  <si>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</si>
  <si>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</si>
  <si>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</si>
  <si>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</si>
  <si>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</si>
  <si>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</si>
  <si>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</si>
  <si>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</si>
  <si>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</si>
  <si>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</si>
  <si>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</si>
  <si>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</si>
  <si>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</si>
  <si>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</si>
  <si>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</si>
  <si>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</si>
  <si>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</si>
  <si>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</si>
  <si>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</si>
  <si>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</si>
  <si>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</si>
  <si>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</si>
  <si>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</si>
  <si>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</si>
  <si>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</si>
  <si>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</si>
  <si>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</si>
  <si>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</si>
  <si>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</si>
  <si>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</si>
  <si>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</si>
  <si>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</si>
  <si>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</si>
  <si>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</si>
  <si>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</si>
  <si>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</si>
  <si>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</si>
  <si>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</si>
  <si>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</si>
  <si>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</si>
  <si>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</si>
  <si>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</si>
  <si>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</si>
  <si>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</si>
  <si>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</si>
  <si>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</si>
  <si>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</si>
  <si>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</si>
  <si>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</si>
  <si>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</si>
  <si>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</si>
  <si>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</si>
  <si>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</si>
  <si>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</si>
  <si>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</si>
  <si>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</si>
  <si>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</si>
  <si>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</si>
  <si>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</si>
  <si>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</si>
  <si>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</si>
  <si>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</si>
  <si>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</si>
  <si>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</si>
  <si>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</si>
  <si>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</si>
  <si>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</si>
  <si>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</si>
  <si>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</si>
  <si>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</si>
  <si>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</si>
  <si>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</si>
  <si>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</si>
  <si>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</si>
  <si>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</si>
  <si>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</si>
  <si>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</si>
  <si>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</si>
  <si>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</si>
  <si>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</si>
  <si>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</si>
  <si>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</si>
  <si>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</si>
  <si>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</si>
  <si>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</si>
  <si>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</si>
  <si>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</si>
  <si>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</si>
  <si>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</si>
  <si>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</si>
  <si>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</si>
  <si>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</si>
  <si>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</si>
  <si>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</si>
  <si>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</si>
  <si>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</si>
  <si>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</si>
  <si>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</si>
  <si>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</si>
  <si>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</si>
  <si>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</si>
  <si>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</si>
  <si>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</si>
  <si>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</si>
  <si>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</si>
  <si>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</si>
  <si>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</si>
  <si>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</si>
  <si>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</si>
  <si>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</si>
  <si>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</si>
  <si>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</si>
  <si>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</si>
  <si>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</si>
  <si>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</si>
  <si>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</si>
  <si>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</si>
  <si>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</si>
  <si>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</si>
  <si>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</si>
  <si>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</si>
  <si>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</si>
  <si>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</si>
  <si>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</si>
  <si>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</si>
  <si>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</si>
  <si>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</si>
  <si>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</si>
  <si>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</si>
  <si>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</si>
  <si>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</si>
  <si>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</si>
  <si>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</si>
  <si>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</si>
  <si>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</si>
  <si>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</si>
  <si>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</si>
  <si>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</si>
  <si>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</si>
  <si>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</si>
  <si>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</si>
  <si>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</si>
  <si>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</si>
  <si>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</si>
  <si>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</si>
  <si>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</si>
  <si>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</si>
  <si>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</si>
  <si>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</si>
  <si>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</si>
  <si>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</si>
  <si>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</si>
  <si>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</si>
  <si>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</si>
  <si>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</si>
  <si>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</si>
  <si>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人時性</t>
    <phoneticPr fontId="4" type="noConversion"/>
  </si>
  <si>
    <t>排關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</si>
  <si>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</si>
  <si>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</si>
  <si>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</si>
  <si>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</si>
  <si>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</si>
  <si>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</si>
  <si>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</si>
  <si>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</si>
  <si>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</si>
  <si>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</si>
  <si>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</si>
  <si>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</si>
  <si>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</si>
  <si>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</si>
  <si>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</si>
  <si>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</si>
  <si>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</si>
  <si>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</si>
  <si>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</si>
  <si>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</si>
  <si>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</si>
  <si>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</si>
  <si>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</si>
  <si>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</si>
  <si>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</si>
  <si>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</si>
  <si>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</si>
  <si>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</si>
  <si>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</si>
  <si>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</si>
  <si>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</si>
  <si>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</si>
  <si>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</si>
  <si>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</si>
  <si>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</si>
  <si>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</si>
  <si>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</si>
  <si>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</si>
  <si>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</si>
  <si>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</si>
  <si>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</si>
  <si>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</si>
  <si>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</si>
  <si>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</si>
  <si>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</si>
  <si>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</si>
  <si>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</si>
  <si>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</si>
  <si>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</si>
  <si>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</si>
  <si>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</si>
  <si>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</si>
  <si>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</si>
  <si>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</si>
  <si>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</si>
  <si>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</si>
  <si>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</si>
  <si>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</si>
  <si>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</si>
  <si>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</si>
  <si>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</si>
  <si>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</si>
  <si>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</si>
  <si>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</si>
  <si>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</si>
  <si>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</si>
  <si>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</si>
  <si>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</si>
  <si>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</si>
  <si>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</si>
  <si>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</si>
  <si>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</si>
  <si>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</si>
  <si>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</si>
  <si>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</si>
  <si>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</si>
  <si>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</si>
  <si>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</si>
  <si>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</si>
  <si>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</si>
  <si>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</si>
  <si>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</si>
  <si>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</si>
  <si>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</si>
  <si>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</si>
  <si>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</si>
  <si>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</si>
  <si>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</si>
  <si>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</si>
  <si>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</si>
  <si>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</si>
  <si>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</si>
  <si>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</si>
  <si>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</si>
  <si>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</si>
  <si>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</si>
  <si>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</si>
  <si>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</si>
  <si>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</si>
  <si>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</si>
  <si>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</si>
  <si>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</si>
  <si>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</si>
  <si>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</si>
  <si>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</si>
  <si>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</si>
  <si>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</si>
  <si>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</si>
  <si>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</si>
  <si>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</si>
  <si>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</si>
  <si>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</si>
  <si>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</si>
  <si>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</si>
  <si>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</si>
  <si>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二配起司控培根白醬焗烤飯</t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</si>
  <si>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</si>
  <si>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</si>
  <si>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</si>
  <si>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</si>
  <si>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</si>
  <si>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</si>
  <si>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</si>
  <si>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</si>
  <si>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</si>
  <si>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</si>
  <si>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</si>
  <si>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</si>
  <si>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</si>
  <si>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</si>
  <si>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</si>
  <si>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</si>
  <si>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</si>
  <si>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</si>
  <si>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</si>
  <si>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</si>
  <si>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</si>
  <si>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</si>
  <si>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</si>
  <si>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</si>
  <si>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</si>
  <si>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</si>
  <si>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</si>
  <si>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</si>
  <si>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</si>
  <si>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</si>
  <si>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</si>
  <si>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</si>
  <si>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</si>
  <si>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</si>
  <si>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</si>
  <si>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</si>
  <si>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</si>
  <si>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</si>
  <si>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</si>
  <si>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</si>
  <si>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</si>
  <si>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</si>
  <si>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</si>
  <si>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</si>
  <si>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</si>
  <si>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</si>
  <si>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</si>
  <si>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</si>
  <si>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</si>
  <si>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</si>
  <si>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</si>
  <si>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</si>
  <si>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</si>
  <si>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</si>
  <si>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</si>
  <si>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</si>
  <si>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</si>
  <si>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</si>
  <si>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</si>
  <si>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</si>
  <si>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</si>
  <si>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</si>
  <si>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</si>
  <si>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</si>
  <si>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</si>
  <si>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</si>
  <si>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</si>
  <si>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</si>
  <si>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</si>
  <si>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</si>
  <si>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</si>
  <si>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</si>
  <si>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</si>
  <si>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</si>
  <si>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</si>
  <si>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</si>
  <si>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</si>
  <si>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</si>
  <si>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</si>
  <si>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</si>
  <si>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</si>
  <si>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</si>
  <si>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</si>
  <si>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</si>
  <si>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</si>
  <si>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</si>
  <si>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</si>
  <si>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</si>
  <si>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</si>
  <si>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</si>
  <si>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</si>
  <si>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</si>
  <si>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</si>
  <si>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</si>
  <si>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</si>
  <si>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</si>
  <si>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</si>
  <si>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</si>
  <si>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</si>
  <si>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</si>
  <si>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</si>
  <si>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</si>
  <si>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</si>
  <si>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</si>
  <si>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</si>
  <si>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</si>
  <si>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</si>
  <si>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</si>
  <si>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</si>
  <si>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</si>
  <si>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</si>
  <si>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</si>
  <si>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</si>
  <si>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</si>
  <si>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</si>
  <si>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</si>
  <si>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</si>
  <si>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</si>
  <si>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</si>
  <si>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</si>
  <si>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</si>
  <si>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</si>
  <si>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</si>
  <si>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</si>
  <si>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</si>
  <si>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</si>
  <si>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</si>
  <si>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</si>
  <si>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</si>
  <si>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</si>
  <si>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</si>
  <si>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</si>
  <si>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</si>
  <si>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</si>
  <si>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</si>
  <si>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</si>
  <si>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</si>
  <si>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</si>
  <si>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</si>
  <si>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</si>
  <si>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</si>
  <si>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</si>
  <si>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</si>
  <si>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</si>
  <si>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</si>
  <si>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</si>
  <si>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</si>
  <si>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</si>
  <si>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</si>
  <si>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</si>
  <si>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</si>
  <si>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</si>
  <si>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</si>
  <si>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</si>
  <si>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</si>
  <si>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</si>
  <si>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</si>
  <si>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</si>
  <si>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</si>
  <si>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</si>
  <si>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</si>
  <si>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</si>
  <si>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</si>
  <si>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</si>
  <si>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</si>
  <si>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訂單量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</si>
  <si>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</si>
  <si>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</si>
  <si>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</si>
  <si>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實績</t>
    <phoneticPr fontId="3" type="noConversion"/>
  </si>
  <si>
    <t>達成率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</si>
  <si>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</si>
  <si>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</si>
  <si>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</si>
  <si>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</si>
  <si>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</si>
  <si>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</si>
  <si>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</si>
  <si>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</si>
  <si>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</si>
  <si>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</si>
  <si>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</si>
  <si>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</si>
  <si>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</si>
  <si>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</si>
  <si>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</si>
  <si>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</si>
  <si>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</si>
  <si>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</si>
  <si>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</si>
  <si>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</si>
  <si>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</si>
  <si>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</si>
  <si>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</si>
  <si>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</si>
  <si>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</si>
  <si>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</si>
  <si>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</si>
  <si>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</si>
  <si>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</si>
  <si>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</si>
  <si>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</si>
  <si>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</si>
  <si>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</si>
  <si>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</si>
  <si>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</si>
  <si>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</si>
  <si>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</si>
  <si>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</si>
  <si>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</si>
  <si>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</si>
  <si>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</si>
  <si>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</si>
  <si>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</si>
  <si>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</si>
  <si>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</si>
  <si>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</si>
  <si>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</si>
  <si>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</si>
  <si>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</si>
  <si>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</si>
  <si>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</si>
  <si>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</si>
  <si>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</si>
  <si>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</si>
  <si>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</si>
  <si>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</si>
  <si>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</si>
  <si>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</si>
  <si>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</si>
  <si>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</si>
  <si>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</si>
  <si>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</si>
  <si>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</si>
  <si>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</si>
  <si>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</si>
  <si>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</si>
  <si>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</si>
  <si>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</si>
  <si>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</si>
  <si>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</si>
  <si>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➀</t>
    <phoneticPr fontId="4" type="noConversion"/>
  </si>
  <si>
    <t>➂</t>
    <phoneticPr fontId="4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</si>
  <si>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</si>
  <si>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</si>
  <si>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</si>
  <si>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</si>
  <si>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</si>
  <si>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開始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</si>
  <si>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</si>
  <si>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</si>
  <si>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</si>
  <si>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</si>
  <si>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</si>
  <si>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</si>
  <si>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</si>
  <si>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</si>
  <si>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</si>
  <si>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</si>
  <si>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</si>
  <si>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</si>
  <si>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</si>
  <si>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</si>
  <si>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</si>
  <si>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</si>
  <si>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</si>
  <si>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</si>
  <si>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</si>
  <si>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</si>
  <si>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</si>
  <si>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</si>
  <si>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</si>
  <si>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</si>
  <si>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</si>
  <si>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</si>
  <si>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</si>
  <si>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</si>
  <si>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</si>
  <si>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</si>
  <si>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</si>
  <si>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</si>
  <si>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</si>
  <si>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</si>
  <si>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</si>
  <si>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</si>
  <si>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</si>
  <si>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</si>
  <si>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</si>
  <si>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</si>
  <si>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</si>
  <si>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</si>
  <si>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</si>
  <si>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</si>
  <si>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</si>
  <si>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</si>
  <si>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</si>
  <si>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</si>
  <si>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</si>
  <si>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</si>
  <si>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</si>
  <si>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</si>
  <si>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</si>
  <si>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</si>
  <si>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</si>
  <si>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</si>
  <si>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</si>
  <si>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</si>
  <si>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</si>
  <si>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</si>
  <si>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</si>
  <si>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</si>
  <si>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</si>
  <si>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</si>
  <si>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</si>
  <si>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</si>
  <si>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</si>
  <si>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</si>
  <si>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</si>
  <si>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</si>
  <si>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</si>
  <si>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</si>
  <si>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</si>
  <si>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</si>
  <si>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</si>
  <si>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</si>
  <si>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</si>
  <si>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</si>
  <si>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</si>
  <si>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</si>
  <si>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</si>
  <si>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</si>
  <si>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</si>
  <si>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</si>
  <si>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</si>
  <si>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</si>
  <si>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</si>
  <si>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</si>
  <si>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</si>
  <si>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</si>
  <si>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</si>
  <si>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</si>
  <si>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</si>
  <si>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</si>
  <si>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</si>
  <si>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</si>
  <si>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</si>
  <si>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</si>
  <si>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</si>
  <si>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</si>
  <si>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</si>
  <si>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</si>
  <si>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</si>
  <si>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</si>
  <si>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</si>
  <si>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</si>
  <si>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</si>
  <si>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</si>
  <si>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</si>
  <si>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</si>
  <si>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</si>
  <si>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</si>
  <si>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</si>
  <si>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</si>
  <si>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</si>
  <si>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</si>
  <si>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</si>
  <si>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</si>
  <si>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</si>
  <si>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</si>
  <si>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</si>
  <si>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</si>
  <si>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</si>
  <si>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</si>
  <si>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</si>
  <si>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</si>
  <si>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</si>
  <si>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</si>
  <si>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</si>
  <si>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</si>
  <si>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</si>
  <si>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</si>
  <si>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</si>
  <si>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</si>
  <si>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</si>
  <si>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</si>
  <si>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</si>
  <si>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</si>
  <si>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</si>
  <si>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</si>
  <si>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</si>
  <si>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</si>
  <si>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</si>
  <si>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</si>
  <si>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</si>
  <si>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</si>
  <si>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</si>
  <si>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</si>
  <si>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</si>
  <si>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</si>
  <si>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</si>
  <si>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</si>
  <si>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</si>
  <si>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</si>
  <si>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</si>
  <si>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</si>
  <si>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</si>
  <si>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</si>
  <si>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</si>
  <si>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</si>
  <si>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</si>
  <si>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</si>
  <si>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</si>
  <si>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</si>
  <si>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</si>
  <si>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</si>
  <si>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</si>
  <si>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</si>
  <si>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</si>
  <si>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</si>
  <si>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</si>
  <si>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</si>
  <si>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</si>
  <si>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</si>
  <si>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</si>
  <si>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</si>
  <si>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</si>
  <si>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</si>
  <si>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</si>
  <si>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</si>
  <si>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</si>
  <si>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</si>
  <si>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</si>
  <si>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</si>
  <si>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</si>
  <si>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</si>
  <si>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</si>
  <si>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</si>
  <si>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</si>
  <si>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</si>
  <si>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</si>
  <si>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</si>
  <si>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</si>
  <si>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</si>
  <si>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</si>
  <si>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</si>
  <si>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</si>
  <si>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</si>
  <si>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</si>
  <si>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</si>
  <si>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</si>
  <si>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</si>
  <si>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</si>
  <si>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</si>
  <si>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</si>
  <si>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</si>
  <si>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</si>
  <si>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</si>
  <si>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</si>
  <si>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</si>
  <si>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</si>
  <si>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</si>
  <si>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</si>
  <si>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</si>
  <si>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</si>
  <si>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</si>
  <si>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</si>
  <si>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</si>
  <si>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</si>
  <si>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</si>
  <si>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</si>
  <si>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</si>
  <si>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</si>
  <si>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</si>
  <si>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</si>
  <si>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</si>
  <si>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</si>
  <si>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</si>
  <si>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</si>
  <si>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</si>
  <si>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</si>
  <si>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</si>
  <si>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</si>
  <si>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</si>
  <si>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</si>
  <si>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</si>
  <si>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</si>
  <si>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</si>
  <si>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</si>
  <si>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</si>
  <si>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</si>
  <si>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</si>
  <si>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</si>
  <si>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</si>
  <si>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</si>
  <si>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</si>
  <si>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</si>
  <si>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</si>
  <si>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</si>
  <si>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</si>
  <si>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</si>
  <si>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</si>
  <si>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</si>
  <si>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</si>
  <si>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</si>
  <si>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</si>
  <si>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</si>
  <si>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</si>
  <si>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</si>
  <si>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</si>
  <si>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</si>
  <si>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</si>
  <si>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</si>
  <si>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</si>
  <si>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</si>
  <si>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</si>
  <si>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</si>
  <si>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</si>
  <si>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</si>
  <si>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</si>
  <si>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</si>
  <si>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</si>
  <si>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</si>
  <si>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</si>
  <si>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</si>
  <si>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</si>
  <si>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</si>
  <si>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</si>
  <si>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</si>
  <si>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</si>
  <si>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</si>
  <si>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</si>
  <si>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</si>
  <si>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</si>
  <si>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</si>
  <si>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</si>
  <si>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</si>
  <si>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</si>
  <si>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</si>
  <si>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</si>
  <si>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</si>
  <si>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</si>
  <si>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</si>
  <si>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</si>
  <si>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</si>
  <si>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</si>
  <si>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</si>
  <si>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</si>
  <si>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</si>
  <si>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</si>
  <si>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</si>
  <si>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</si>
  <si>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</si>
  <si>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</si>
  <si>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</si>
  <si>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</si>
  <si>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</si>
  <si>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</si>
  <si>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</si>
  <si>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</si>
  <si>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</si>
  <si>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</si>
  <si>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</si>
  <si>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</si>
  <si>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</si>
  <si>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</si>
  <si>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</si>
  <si>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</si>
  <si>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</si>
  <si>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</si>
  <si>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</si>
  <si>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</si>
  <si>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</si>
  <si>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</si>
  <si>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</si>
  <si>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</si>
  <si>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</si>
  <si>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</si>
  <si>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</si>
  <si>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</si>
  <si>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</si>
  <si>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</si>
  <si>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</si>
  <si>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</si>
  <si>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</si>
  <si>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</si>
  <si>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</si>
  <si>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</si>
  <si>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</si>
  <si>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</si>
  <si>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</si>
  <si>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</si>
  <si>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</si>
  <si>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</si>
  <si>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</si>
  <si>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</si>
  <si>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</si>
  <si>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</si>
  <si>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</si>
  <si>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</si>
  <si>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</si>
  <si>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</si>
  <si>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</si>
  <si>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</si>
  <si>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</si>
  <si>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</si>
  <si>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</si>
  <si>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</si>
  <si>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</si>
  <si>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</si>
  <si>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</si>
  <si>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</si>
  <si>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</si>
  <si>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</si>
  <si>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</si>
  <si>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</si>
  <si>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</si>
  <si>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</si>
  <si>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</si>
  <si>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</si>
  <si>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</si>
  <si>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</si>
  <si>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</si>
  <si>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</si>
  <si>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</si>
  <si>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</si>
  <si>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</si>
  <si>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</si>
  <si>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</si>
  <si>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</si>
  <si>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</si>
  <si>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</si>
  <si>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</si>
  <si>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</si>
  <si>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</si>
  <si>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</si>
  <si>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</si>
  <si>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</si>
  <si>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</si>
  <si>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</si>
  <si>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</si>
  <si>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</si>
  <si>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</si>
  <si>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</si>
  <si>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</si>
  <si>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</si>
  <si>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</si>
  <si>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</si>
  <si>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切達海鮮雙饗三明治</t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</si>
  <si>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</si>
  <si>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</si>
  <si>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</si>
  <si>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</si>
  <si>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檸檬紅茶三明治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</si>
  <si>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</si>
  <si>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</si>
  <si>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</si>
  <si>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</si>
  <si>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</si>
  <si>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</si>
  <si>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</si>
  <si>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</si>
  <si>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</si>
  <si>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</si>
  <si>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</si>
  <si>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</si>
  <si>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</si>
  <si>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</si>
  <si>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</si>
  <si>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</si>
  <si>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</si>
  <si>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</si>
  <si>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</si>
  <si>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</si>
  <si>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</si>
  <si>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</si>
  <si>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</si>
  <si>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</si>
  <si>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</si>
  <si>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</si>
  <si>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</si>
  <si>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</si>
  <si>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</si>
  <si>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</si>
  <si>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</si>
  <si>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</si>
  <si>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</si>
  <si>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</si>
  <si>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</si>
  <si>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</si>
  <si>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</si>
  <si>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</si>
  <si>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</si>
  <si>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</si>
  <si>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</si>
  <si>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</si>
  <si>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</si>
  <si>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</si>
  <si>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</si>
  <si>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</si>
  <si>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</si>
  <si>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</si>
  <si>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</si>
  <si>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</si>
  <si>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</si>
  <si>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</si>
  <si>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</si>
  <si>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</si>
  <si>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</si>
  <si>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</si>
  <si>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</si>
  <si>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</si>
  <si>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</si>
  <si>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</si>
  <si>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</si>
  <si>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</si>
  <si>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</si>
  <si>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</si>
  <si>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</si>
  <si>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</si>
  <si>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</si>
  <si>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</si>
  <si>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</si>
  <si>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</si>
  <si>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</si>
  <si>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</si>
  <si>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</si>
  <si>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</si>
  <si>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</si>
  <si>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</si>
  <si>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</si>
  <si>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</si>
  <si>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</si>
  <si>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</si>
  <si>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</si>
  <si>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</si>
  <si>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</si>
  <si>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</si>
  <si>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</si>
  <si>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</si>
  <si>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</si>
  <si>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</si>
  <si>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</si>
  <si>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</si>
  <si>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</si>
  <si>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</si>
  <si>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</si>
  <si>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</si>
  <si>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</si>
  <si>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</si>
  <si>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</si>
  <si>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</si>
  <si>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</si>
  <si>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</si>
  <si>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</si>
  <si>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</si>
  <si>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</si>
  <si>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</si>
  <si>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</si>
  <si>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</si>
  <si>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</si>
  <si>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</si>
  <si>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</si>
  <si>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</si>
  <si>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</si>
  <si>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</si>
  <si>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</si>
  <si>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</si>
  <si>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</si>
  <si>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</si>
  <si>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</si>
  <si>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</si>
  <si>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</si>
  <si>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</si>
  <si>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</si>
  <si>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</si>
  <si>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</si>
  <si>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</si>
  <si>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</si>
  <si>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</si>
  <si>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</si>
  <si>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</si>
  <si>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</si>
  <si>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</si>
  <si>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</si>
  <si>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</si>
  <si>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</si>
  <si>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</si>
  <si>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</si>
  <si>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</si>
  <si>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</si>
  <si>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</si>
  <si>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</si>
  <si>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</si>
  <si>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</si>
  <si>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</si>
  <si>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</si>
  <si>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</si>
  <si>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</si>
  <si>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</si>
  <si>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</si>
  <si>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</si>
  <si>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</si>
  <si>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</si>
  <si>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</si>
  <si>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</si>
  <si>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</si>
  <si>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</si>
  <si>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</si>
  <si>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</si>
  <si>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</si>
  <si>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</si>
  <si>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</si>
  <si>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</si>
  <si>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</si>
  <si>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</si>
  <si>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</si>
  <si>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</si>
  <si>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</si>
  <si>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</si>
  <si>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</si>
  <si>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</si>
  <si>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</si>
  <si>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</si>
  <si>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</si>
  <si>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</si>
  <si>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</si>
  <si>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</si>
  <si>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</si>
  <si>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</si>
  <si>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</si>
  <si>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</si>
  <si>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</si>
  <si>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</si>
  <si>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</si>
  <si>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</si>
  <si>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</si>
  <si>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</si>
  <si>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</si>
  <si>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</si>
  <si>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</si>
  <si>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</si>
  <si>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</si>
  <si>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</si>
  <si>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</si>
  <si>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</si>
  <si>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</si>
  <si>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</si>
  <si>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</si>
  <si>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</si>
  <si>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</si>
  <si>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</si>
  <si>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</si>
  <si>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</si>
  <si>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</si>
  <si>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</si>
  <si>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</si>
  <si>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</si>
  <si>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</si>
  <si>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</si>
  <si>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</si>
  <si>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</si>
  <si>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</si>
  <si>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</si>
  <si>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</si>
  <si>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</si>
  <si>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</si>
  <si>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</si>
  <si>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</si>
  <si>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</si>
  <si>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</si>
  <si>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</si>
  <si>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</si>
  <si>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</si>
  <si>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</si>
  <si>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</si>
  <si>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</si>
  <si>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</si>
  <si>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</si>
  <si>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</si>
  <si>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</si>
  <si>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</si>
  <si>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</si>
  <si>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</si>
  <si>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</si>
  <si>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</si>
  <si>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</si>
  <si>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</si>
  <si>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</si>
  <si>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</si>
  <si>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</si>
  <si>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</si>
  <si>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</si>
  <si>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</si>
  <si>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</si>
  <si>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</si>
  <si>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</si>
  <si>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</si>
  <si>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</si>
  <si>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</si>
  <si>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</si>
  <si>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</si>
  <si>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</si>
  <si>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</si>
  <si>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</si>
  <si>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</si>
  <si>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</si>
  <si>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</si>
  <si>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</si>
  <si>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</si>
  <si>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</si>
  <si>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</si>
  <si>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</si>
  <si>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</si>
  <si>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</si>
  <si>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</si>
  <si>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</si>
  <si>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</si>
  <si>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</si>
  <si>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</si>
  <si>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</si>
  <si>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</si>
  <si>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</si>
  <si>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</si>
  <si>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</si>
  <si>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</si>
  <si>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</si>
  <si>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</si>
  <si>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</si>
  <si>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</si>
  <si>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</si>
  <si>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</si>
  <si>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</si>
  <si>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</si>
  <si>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</si>
  <si>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</si>
  <si>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</si>
  <si>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</si>
  <si>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</si>
  <si>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</si>
  <si>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</si>
  <si>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</si>
  <si>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</si>
  <si>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</si>
  <si>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</si>
  <si>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</si>
  <si>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</si>
  <si>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</si>
  <si>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</si>
  <si>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</si>
  <si>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</si>
  <si>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</si>
  <si>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</si>
  <si>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</si>
  <si>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</si>
  <si>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</si>
  <si>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</si>
  <si>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</si>
  <si>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</si>
  <si>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</si>
  <si>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</si>
  <si>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</si>
  <si>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</si>
  <si>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</si>
  <si>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</si>
  <si>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</si>
  <si>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</si>
  <si>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</si>
  <si>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</si>
  <si>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</si>
  <si>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</si>
  <si>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</si>
  <si>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</si>
  <si>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</si>
  <si>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</si>
  <si>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</si>
  <si>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</si>
  <si>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</si>
  <si>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</si>
  <si>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</si>
  <si>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</si>
  <si>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</si>
  <si>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</si>
  <si>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</si>
  <si>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</si>
  <si>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</si>
  <si>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</si>
  <si>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</si>
  <si>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</si>
  <si>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</si>
  <si>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</si>
  <si>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</si>
  <si>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</si>
  <si>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</si>
  <si>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</si>
  <si>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</si>
  <si>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</si>
  <si>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</si>
  <si>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</si>
  <si>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</si>
  <si>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</si>
  <si>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</si>
  <si>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</si>
  <si>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</si>
  <si>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</si>
  <si>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</si>
  <si>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</si>
  <si>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</si>
  <si>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</si>
  <si>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</si>
  <si>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</si>
  <si>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</si>
  <si>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</si>
  <si>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</si>
  <si>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</si>
  <si>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</si>
  <si>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</si>
  <si>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</si>
  <si>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</si>
  <si>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</si>
  <si>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</si>
  <si>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人時性</t>
    <phoneticPr fontId="4" type="noConversion"/>
  </si>
  <si>
    <t>品名</t>
    <phoneticPr fontId="3" type="noConversion"/>
  </si>
  <si>
    <t>廠價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</si>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</sst>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7">
    <xf numFmtId="0" fontId="0" fillId="0" borderId="0" xfId="0">
      <alignment vertical="center"/>
    </xf>
    <xf numFmtId="0" fontId="13" fillId="0" borderId="0" xfId="4" applyFont="1" applyAlignment="1">
      <alignment vertical="center"/>
    </xf>
    <xf numFmtId="0" fontId="6" fillId="0" borderId="0" xfId="4" applyFont="1">
      <alignment vertical="center"/>
    </xf>
    <xf numFmtId="0" fontId="13" fillId="0" borderId="0" xfId="4" applyFont="1" applyBorder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6" fillId="0" borderId="10" xfId="5" applyFont="1" applyBorder="1">
      <alignment vertical="center"/>
    </xf>
    <xf numFmtId="0" fontId="6" fillId="0" borderId="0" xfId="5" applyFont="1" applyBorder="1">
      <alignment vertical="center"/>
    </xf>
    <xf numFmtId="0" fontId="6" fillId="0" borderId="0" xfId="5" applyFont="1">
      <alignment vertical="center"/>
    </xf>
    <xf numFmtId="0" fontId="18" fillId="0" borderId="0" xfId="5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19" fillId="0" borderId="0" xfId="5" applyFont="1" applyBorder="1" applyAlignment="1">
      <alignment vertical="center"/>
    </xf>
    <xf numFmtId="0" fontId="2" fillId="0" borderId="0" xfId="5" applyFont="1">
      <alignment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177" fontId="6" fillId="0" borderId="26" xfId="4" applyNumberFormat="1" applyFont="1" applyFill="1" applyBorder="1" applyAlignment="1">
      <alignment horizontal="center" vertical="center" wrapText="1"/>
    </xf>
    <xf numFmtId="177" fontId="6" fillId="0" borderId="27" xfId="4" applyNumberFormat="1" applyFont="1" applyFill="1" applyBorder="1" applyAlignment="1">
      <alignment horizontal="center" vertical="center" wrapText="1"/>
    </xf>
    <xf numFmtId="177" fontId="6" fillId="0" borderId="22" xfId="4" applyNumberFormat="1" applyFont="1" applyFill="1" applyBorder="1" applyAlignment="1">
      <alignment horizontal="center" vertical="center" wrapText="1"/>
    </xf>
    <xf numFmtId="177" fontId="6" fillId="0" borderId="23" xfId="4" applyNumberFormat="1" applyFont="1" applyFill="1" applyBorder="1" applyAlignment="1">
      <alignment horizontal="center" vertical="center" wrapText="1"/>
    </xf>
    <xf numFmtId="177" fontId="6" fillId="0" borderId="28" xfId="4" applyNumberFormat="1" applyFont="1" applyFill="1" applyBorder="1" applyAlignment="1">
      <alignment horizontal="center" vertical="center" wrapText="1"/>
    </xf>
    <xf numFmtId="177" fontId="6" fillId="0" borderId="29" xfId="4" applyNumberFormat="1" applyFont="1" applyFill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7" fontId="21" fillId="0" borderId="21" xfId="4" applyNumberFormat="1" applyFont="1" applyFill="1" applyBorder="1" applyAlignment="1">
      <alignment horizontal="center" vertical="center"/>
    </xf>
    <xf numFmtId="177" fontId="21" fillId="0" borderId="22" xfId="4" applyNumberFormat="1" applyFont="1" applyFill="1" applyBorder="1" applyAlignment="1">
      <alignment horizontal="center" vertical="center"/>
    </xf>
    <xf numFmtId="177" fontId="21" fillId="0" borderId="23" xfId="4" applyNumberFormat="1" applyFont="1" applyFill="1" applyBorder="1" applyAlignment="1">
      <alignment horizontal="center" vertical="center"/>
    </xf>
    <xf numFmtId="177" fontId="21" fillId="0" borderId="28" xfId="4" applyNumberFormat="1" applyFont="1" applyFill="1" applyBorder="1" applyAlignment="1">
      <alignment horizontal="center" vertical="center"/>
    </xf>
    <xf numFmtId="177" fontId="21" fillId="0" borderId="29" xfId="4" applyNumberFormat="1" applyFont="1" applyFill="1" applyBorder="1" applyAlignment="1">
      <alignment horizontal="center" vertical="center"/>
    </xf>
    <xf numFmtId="0" fontId="21" fillId="0" borderId="25" xfId="5" applyFont="1" applyBorder="1" applyAlignment="1">
      <alignment horizontal="center" vertical="center"/>
    </xf>
    <xf numFmtId="180" fontId="21" fillId="0" borderId="21" xfId="3" applyNumberFormat="1" applyFont="1" applyFill="1" applyBorder="1" applyAlignment="1">
      <alignment horizontal="center" vertical="center"/>
    </xf>
    <xf numFmtId="180" fontId="21" fillId="0" borderId="22" xfId="3" applyNumberFormat="1" applyFont="1" applyFill="1" applyBorder="1" applyAlignment="1">
      <alignment horizontal="center" vertical="center"/>
    </xf>
    <xf numFmtId="180" fontId="21" fillId="0" borderId="23" xfId="3" applyNumberFormat="1" applyFont="1" applyFill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181" fontId="6" fillId="0" borderId="32" xfId="7" applyNumberFormat="1" applyFont="1" applyFill="1" applyBorder="1" applyAlignment="1">
      <alignment horizontal="center" vertical="center"/>
    </xf>
    <xf numFmtId="181" fontId="6" fillId="0" borderId="1" xfId="7" applyNumberFormat="1" applyFont="1" applyFill="1" applyBorder="1" applyAlignment="1">
      <alignment horizontal="center" vertical="center"/>
    </xf>
    <xf numFmtId="181" fontId="6" fillId="0" borderId="25" xfId="7" applyNumberFormat="1" applyFont="1" applyFill="1" applyBorder="1" applyAlignment="1">
      <alignment horizontal="center" vertical="center"/>
    </xf>
    <xf numFmtId="1" fontId="6" fillId="0" borderId="35" xfId="4" applyNumberFormat="1" applyFont="1" applyFill="1" applyBorder="1" applyAlignment="1">
      <alignment horizontal="center" vertical="center"/>
    </xf>
    <xf numFmtId="1" fontId="6" fillId="0" borderId="36" xfId="4" applyNumberFormat="1" applyFont="1" applyFill="1" applyBorder="1" applyAlignment="1">
      <alignment horizontal="center" vertical="center"/>
    </xf>
    <xf numFmtId="1" fontId="6" fillId="0" borderId="37" xfId="4" applyNumberFormat="1" applyFont="1" applyFill="1" applyBorder="1" applyAlignment="1">
      <alignment horizontal="center" vertical="center"/>
    </xf>
    <xf numFmtId="0" fontId="9" fillId="0" borderId="32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25" xfId="4" applyFont="1" applyBorder="1" applyAlignment="1">
      <alignment horizontal="center" vertical="center"/>
    </xf>
    <xf numFmtId="0" fontId="6" fillId="0" borderId="40" xfId="4" applyFont="1" applyBorder="1">
      <alignment vertical="center"/>
    </xf>
    <xf numFmtId="0" fontId="6" fillId="0" borderId="41" xfId="4" applyFont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181" fontId="6" fillId="0" borderId="32" xfId="5" applyNumberFormat="1" applyFont="1" applyFill="1" applyBorder="1" applyAlignment="1">
      <alignment horizontal="center" vertical="center"/>
    </xf>
    <xf numFmtId="181" fontId="6" fillId="0" borderId="1" xfId="5" applyNumberFormat="1" applyFont="1" applyFill="1" applyBorder="1" applyAlignment="1">
      <alignment horizontal="center" vertical="center"/>
    </xf>
    <xf numFmtId="181" fontId="6" fillId="0" borderId="25" xfId="5" applyNumberFormat="1" applyFont="1" applyFill="1" applyBorder="1" applyAlignment="1">
      <alignment horizontal="center" vertical="center"/>
    </xf>
    <xf numFmtId="0" fontId="2" fillId="0" borderId="1" xfId="8" applyFont="1" applyBorder="1">
      <alignment vertical="center"/>
    </xf>
    <xf numFmtId="0" fontId="2" fillId="0" borderId="1" xfId="8" applyFont="1" applyBorder="1" applyAlignment="1">
      <alignment horizontal="left" vertical="center"/>
    </xf>
    <xf numFmtId="0" fontId="5" fillId="2" borderId="1" xfId="8" applyFont="1" applyFill="1" applyBorder="1" applyAlignment="1">
      <alignment horizontal="center" vertical="center"/>
    </xf>
    <xf numFmtId="1" fontId="2" fillId="0" borderId="1" xfId="8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176" fontId="2" fillId="0" borderId="2" xfId="8" applyNumberFormat="1" applyFont="1" applyFill="1" applyBorder="1" applyAlignment="1">
      <alignment horizontal="left" vertical="center"/>
    </xf>
    <xf numFmtId="176" fontId="2" fillId="0" borderId="3" xfId="8" applyNumberFormat="1" applyFont="1" applyFill="1" applyBorder="1">
      <alignment vertical="center"/>
    </xf>
    <xf numFmtId="177" fontId="2" fillId="0" borderId="1" xfId="8" applyNumberFormat="1" applyFont="1" applyBorder="1" applyAlignment="1">
      <alignment horizontal="center" vertical="center"/>
    </xf>
    <xf numFmtId="177" fontId="9" fillId="0" borderId="1" xfId="8" applyNumberFormat="1" applyFont="1" applyBorder="1" applyAlignment="1">
      <alignment horizontal="center" vertical="center"/>
    </xf>
    <xf numFmtId="2" fontId="2" fillId="0" borderId="1" xfId="8" applyNumberFormat="1" applyFont="1" applyBorder="1">
      <alignment vertical="center"/>
    </xf>
    <xf numFmtId="0" fontId="6" fillId="0" borderId="1" xfId="8" applyFont="1" applyFill="1" applyBorder="1" applyAlignment="1">
      <alignment horizontal="center"/>
    </xf>
    <xf numFmtId="1" fontId="6" fillId="0" borderId="1" xfId="8" applyNumberFormat="1" applyFont="1" applyFill="1" applyBorder="1" applyAlignment="1">
      <alignment horizontal="center" vertical="center"/>
    </xf>
    <xf numFmtId="177" fontId="6" fillId="0" borderId="1" xfId="8" applyNumberFormat="1" applyFont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8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0" fontId="6" fillId="0" borderId="1" xfId="8" applyFont="1" applyBorder="1">
      <alignment vertical="center"/>
    </xf>
    <xf numFmtId="177" fontId="6" fillId="0" borderId="1" xfId="8" applyNumberFormat="1" applyFont="1" applyFill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3" fontId="6" fillId="0" borderId="1" xfId="8" applyNumberFormat="1" applyFont="1" applyFill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left" vertical="center"/>
    </xf>
    <xf numFmtId="0" fontId="9" fillId="0" borderId="0" xfId="8" applyFont="1">
      <alignment vertical="center"/>
    </xf>
    <xf numFmtId="0" fontId="6" fillId="0" borderId="0" xfId="8" applyFont="1" applyAlignment="1">
      <alignment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0" borderId="0" xfId="8" applyFont="1" applyFill="1">
      <alignment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3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3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20" fontId="6" fillId="0" borderId="1" xfId="8" applyNumberFormat="1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6" fillId="0" borderId="34" xfId="5" applyFont="1" applyBorder="1" applyAlignment="1">
      <alignment horizontal="center" vertical="center"/>
    </xf>
    <xf numFmtId="0" fontId="6" fillId="0" borderId="38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20" fillId="3" borderId="11" xfId="4" applyFont="1" applyFill="1" applyBorder="1" applyAlignment="1">
      <alignment horizontal="center" vertical="center"/>
    </xf>
    <xf numFmtId="0" fontId="20" fillId="3" borderId="13" xfId="4" applyFont="1" applyFill="1" applyBorder="1" applyAlignment="1">
      <alignment horizontal="center" vertical="center"/>
    </xf>
    <xf numFmtId="0" fontId="20" fillId="3" borderId="12" xfId="4" applyFont="1" applyFill="1" applyBorder="1" applyAlignment="1">
      <alignment horizontal="center" vertical="center"/>
    </xf>
    <xf numFmtId="0" fontId="20" fillId="5" borderId="11" xfId="4" applyFont="1" applyFill="1" applyBorder="1" applyAlignment="1">
      <alignment horizontal="center" vertical="center"/>
    </xf>
    <xf numFmtId="0" fontId="20" fillId="5" borderId="13" xfId="4" applyFont="1" applyFill="1" applyBorder="1" applyAlignment="1">
      <alignment horizontal="center" vertical="center"/>
    </xf>
    <xf numFmtId="0" fontId="20" fillId="5" borderId="12" xfId="4" applyFont="1" applyFill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2" fillId="0" borderId="24" xfId="5" applyFont="1" applyBorder="1" applyAlignment="1">
      <alignment horizontal="center" vertical="center" textRotation="255"/>
    </xf>
    <xf numFmtId="0" fontId="2" fillId="0" borderId="30" xfId="5" applyFont="1" applyBorder="1" applyAlignment="1">
      <alignment horizontal="center" vertical="center" textRotation="255"/>
    </xf>
    <xf numFmtId="0" fontId="2" fillId="0" borderId="31" xfId="5" applyFont="1" applyBorder="1" applyAlignment="1">
      <alignment horizontal="center" vertical="center" textRotation="255"/>
    </xf>
    <xf numFmtId="0" fontId="6" fillId="0" borderId="24" xfId="5" applyFont="1" applyBorder="1" applyAlignment="1">
      <alignment horizontal="center" vertical="center" wrapText="1"/>
    </xf>
    <xf numFmtId="0" fontId="6" fillId="0" borderId="31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177" fontId="17" fillId="6" borderId="2" xfId="5" applyNumberFormat="1" applyFont="1" applyFill="1" applyBorder="1" applyAlignment="1">
      <alignment horizontal="center" vertical="center"/>
    </xf>
    <xf numFmtId="177" fontId="17" fillId="6" borderId="3" xfId="5" applyNumberFormat="1" applyFont="1" applyFill="1" applyBorder="1" applyAlignment="1">
      <alignment horizontal="center" vertical="center"/>
    </xf>
    <xf numFmtId="177" fontId="17" fillId="6" borderId="2" xfId="6" applyNumberFormat="1" applyFont="1" applyFill="1" applyBorder="1" applyAlignment="1">
      <alignment horizontal="center" vertical="center"/>
    </xf>
    <xf numFmtId="177" fontId="17" fillId="6" borderId="3" xfId="6" applyNumberFormat="1" applyFont="1" applyFill="1" applyBorder="1" applyAlignment="1">
      <alignment horizontal="center" vertical="center"/>
    </xf>
    <xf numFmtId="180" fontId="17" fillId="0" borderId="2" xfId="5" applyNumberFormat="1" applyFont="1" applyBorder="1" applyAlignment="1">
      <alignment horizontal="center" vertical="center"/>
    </xf>
    <xf numFmtId="180" fontId="17" fillId="0" borderId="3" xfId="5" applyNumberFormat="1" applyFont="1" applyBorder="1" applyAlignment="1">
      <alignment horizontal="center" vertical="center"/>
    </xf>
    <xf numFmtId="180" fontId="17" fillId="0" borderId="2" xfId="3" applyNumberFormat="1" applyFont="1" applyFill="1" applyBorder="1" applyAlignment="1">
      <alignment horizontal="center" vertical="center"/>
    </xf>
    <xf numFmtId="180" fontId="17" fillId="0" borderId="3" xfId="3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182" fontId="2" fillId="3" borderId="2" xfId="6" applyNumberFormat="1" applyFont="1" applyFill="1" applyBorder="1" applyAlignment="1">
      <alignment horizontal="center" vertical="center"/>
    </xf>
    <xf numFmtId="182" fontId="2" fillId="3" borderId="3" xfId="6" applyNumberFormat="1" applyFont="1" applyFill="1" applyBorder="1" applyAlignment="1">
      <alignment horizontal="center" vertical="center"/>
    </xf>
    <xf numFmtId="182" fontId="2" fillId="5" borderId="2" xfId="6" applyNumberFormat="1" applyFont="1" applyFill="1" applyBorder="1" applyAlignment="1">
      <alignment horizontal="center" vertical="center"/>
    </xf>
    <xf numFmtId="182" fontId="2" fillId="5" borderId="3" xfId="6" applyNumberFormat="1" applyFont="1" applyFill="1" applyBorder="1" applyAlignment="1">
      <alignment horizontal="center" vertical="center"/>
    </xf>
    <xf numFmtId="177" fontId="5" fillId="0" borderId="2" xfId="5" applyNumberFormat="1" applyFont="1" applyBorder="1" applyAlignment="1">
      <alignment horizontal="center" vertical="center"/>
    </xf>
    <xf numFmtId="177" fontId="5" fillId="0" borderId="3" xfId="5" applyNumberFormat="1" applyFont="1" applyBorder="1" applyAlignment="1">
      <alignment horizontal="center" vertical="center"/>
    </xf>
    <xf numFmtId="177" fontId="5" fillId="0" borderId="2" xfId="6" applyNumberFormat="1" applyFont="1" applyBorder="1" applyAlignment="1">
      <alignment horizontal="center" vertical="center"/>
    </xf>
    <xf numFmtId="177" fontId="5" fillId="0" borderId="3" xfId="6" applyNumberFormat="1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5" fillId="13" borderId="2" xfId="5" applyFont="1" applyFill="1" applyBorder="1" applyAlignment="1">
      <alignment horizontal="center" vertical="center"/>
    </xf>
    <xf numFmtId="0" fontId="15" fillId="13" borderId="3" xfId="5" applyFont="1" applyFill="1" applyBorder="1" applyAlignment="1">
      <alignment horizontal="center" vertical="center"/>
    </xf>
    <xf numFmtId="182" fontId="5" fillId="0" borderId="2" xfId="6" applyNumberFormat="1" applyFont="1" applyBorder="1" applyAlignment="1">
      <alignment horizontal="center" vertical="center"/>
    </xf>
    <xf numFmtId="182" fontId="5" fillId="0" borderId="3" xfId="6" applyNumberFormat="1" applyFont="1" applyBorder="1" applyAlignment="1">
      <alignment horizontal="center" vertical="center"/>
    </xf>
    <xf numFmtId="183" fontId="5" fillId="0" borderId="2" xfId="6" applyNumberFormat="1" applyFont="1" applyBorder="1" applyAlignment="1">
      <alignment horizontal="center" vertical="center"/>
    </xf>
    <xf numFmtId="183" fontId="5" fillId="0" borderId="3" xfId="6" applyNumberFormat="1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6" fillId="0" borderId="3" xfId="5" applyFont="1" applyBorder="1" applyAlignment="1">
      <alignment horizontal="center" vertical="center"/>
    </xf>
    <xf numFmtId="0" fontId="6" fillId="0" borderId="2" xfId="8" applyFont="1" applyFill="1" applyBorder="1" applyAlignment="1"/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10" fillId="6" borderId="4" xfId="8" applyFont="1" applyFill="1" applyBorder="1" applyAlignment="1">
      <alignment horizontal="center" vertical="center" wrapText="1"/>
    </xf>
    <xf numFmtId="0" fontId="10" fillId="6" borderId="8" xfId="8" applyFont="1" applyFill="1" applyBorder="1" applyAlignment="1">
      <alignment horizontal="center" vertical="center" wrapText="1"/>
    </xf>
    <xf numFmtId="0" fontId="10" fillId="6" borderId="5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12" borderId="1" xfId="8" applyFont="1" applyFill="1" applyBorder="1" applyAlignment="1">
      <alignment horizontal="center" vertical="center" wrapText="1"/>
    </xf>
    <xf numFmtId="0" fontId="6" fillId="12" borderId="1" xfId="8" applyFont="1" applyFill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7" borderId="1" xfId="8" applyFont="1" applyFill="1" applyBorder="1" applyAlignment="1">
      <alignment horizontal="center" vertical="center" wrapText="1"/>
    </xf>
    <xf numFmtId="0" fontId="6" fillId="7" borderId="1" xfId="8" applyFont="1" applyFill="1" applyBorder="1" applyAlignment="1">
      <alignment horizontal="center" vertical="center"/>
    </xf>
    <xf numFmtId="0" fontId="6" fillId="5" borderId="4" xfId="8" applyFont="1" applyFill="1" applyBorder="1" applyAlignment="1">
      <alignment horizontal="center" vertical="center" wrapText="1"/>
    </xf>
    <xf numFmtId="0" fontId="6" fillId="5" borderId="8" xfId="8" applyFont="1" applyFill="1" applyBorder="1" applyAlignment="1">
      <alignment horizontal="center" vertical="center" wrapText="1"/>
    </xf>
    <xf numFmtId="0" fontId="6" fillId="5" borderId="5" xfId="8" applyFont="1" applyFill="1" applyBorder="1" applyAlignment="1">
      <alignment horizontal="center" vertical="center" wrapText="1"/>
    </xf>
    <xf numFmtId="180" fontId="6" fillId="0" borderId="4" xfId="3" applyNumberFormat="1" applyFont="1" applyBorder="1" applyAlignment="1">
      <alignment horizontal="center" vertical="center"/>
    </xf>
    <xf numFmtId="180" fontId="6" fillId="0" borderId="8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11" borderId="1" xfId="8" applyFont="1" applyFill="1" applyBorder="1" applyAlignment="1">
      <alignment horizontal="center" vertical="center" wrapText="1"/>
    </xf>
    <xf numFmtId="0" fontId="6" fillId="11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left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10" borderId="1" xfId="8" applyFont="1" applyFill="1" applyBorder="1" applyAlignment="1">
      <alignment horizontal="center" vertical="center" wrapText="1"/>
    </xf>
    <xf numFmtId="0" fontId="6" fillId="9" borderId="6" xfId="8" applyFont="1" applyFill="1" applyBorder="1" applyAlignment="1">
      <alignment horizontal="center" vertical="center" wrapText="1"/>
    </xf>
    <xf numFmtId="0" fontId="6" fillId="9" borderId="7" xfId="8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0" fontId="6" fillId="8" borderId="1" xfId="8" applyFont="1" applyFill="1" applyBorder="1" applyAlignment="1">
      <alignment horizontal="center" vertical="center" wrapText="1"/>
    </xf>
    <xf numFmtId="0" fontId="6" fillId="8" borderId="1" xfId="8" applyFont="1" applyFill="1" applyBorder="1" applyAlignment="1">
      <alignment horizontal="center" vertical="center"/>
    </xf>
    <xf numFmtId="0" fontId="10" fillId="6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6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6" fillId="4" borderId="1" xfId="8" applyFont="1" applyFill="1" applyBorder="1" applyAlignment="1">
      <alignment horizontal="center" vertical="center"/>
    </xf>
    <xf numFmtId="0" fontId="6" fillId="6" borderId="1" xfId="8" applyFont="1" applyFill="1" applyBorder="1" applyAlignment="1">
      <alignment horizontal="center" vertical="center"/>
    </xf>
    <xf numFmtId="0" fontId="6" fillId="5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4" xfId="8" applyFont="1" applyBorder="1" applyAlignment="1">
      <alignment horizontal="center" vertical="center"/>
    </xf>
    <xf numFmtId="0" fontId="6" fillId="0" borderId="5" xfId="8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Fill="1" applyBorder="1">
      <alignment vertical="center"/>
    </xf>
    <xf numFmtId="0" fontId="2" fillId="0" borderId="1" xfId="8" applyFont="1" applyFill="1" applyBorder="1" applyAlignment="1">
      <alignment horizontal="left" vertical="center"/>
    </xf>
    <xf numFmtId="0" fontId="5" fillId="0" borderId="1" xfId="8" applyFont="1" applyFill="1" applyBorder="1" applyAlignment="1">
      <alignment horizontal="center" vertical="center"/>
    </xf>
    <xf numFmtId="177" fontId="2" fillId="0" borderId="1" xfId="8" applyNumberFormat="1" applyFont="1" applyFill="1" applyBorder="1" applyAlignment="1">
      <alignment horizontal="center" vertical="center"/>
    </xf>
    <xf numFmtId="177" fontId="9" fillId="0" borderId="1" xfId="8" applyNumberFormat="1" applyFont="1" applyFill="1" applyBorder="1" applyAlignment="1">
      <alignment horizontal="center" vertical="center"/>
    </xf>
    <xf numFmtId="2" fontId="2" fillId="0" borderId="1" xfId="8" applyNumberFormat="1" applyFont="1" applyFill="1" applyBorder="1">
      <alignment vertical="center"/>
    </xf>
    <xf numFmtId="0" fontId="6" fillId="0" borderId="4" xfId="8" applyFont="1" applyFill="1" applyBorder="1" applyAlignment="1">
      <alignment horizontal="center" vertical="center"/>
    </xf>
    <xf numFmtId="0" fontId="6" fillId="0" borderId="5" xfId="8" applyFont="1" applyFill="1" applyBorder="1" applyAlignment="1">
      <alignment horizontal="center" vertical="center"/>
    </xf>
    <xf numFmtId="0" fontId="9" fillId="0" borderId="0" xfId="8" applyFont="1" applyFill="1">
      <alignment vertical="center"/>
    </xf>
  </cellXfs>
  <cellStyles count="9">
    <cellStyle name="一般" xfId="0" builtinId="0"/>
    <cellStyle name="一般 2 2" xfId="1"/>
    <cellStyle name="一般 2 2 2" xfId="5"/>
    <cellStyle name="一般 2 2 29" xfId="7"/>
    <cellStyle name="一般 2 2 7" xfId="8"/>
    <cellStyle name="一般 2 4" xfId="2"/>
    <cellStyle name="一般 3" xfId="4"/>
    <cellStyle name="千分位 2" xfId="6"/>
    <cellStyle name="百分比 2" xfId="3"/>
  </cellStyles>
  <dxfs count="2347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abSelected="1" zoomScale="85" zoomScaleNormal="85" workbookViewId="0">
      <selection activeCell="O5" sqref="O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2445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2446</v>
      </c>
      <c r="C3" s="497" t="str">
        <f>TEXT('1130 4度C'!A2,"yyyy.mm.ddaaaa")</f>
        <v>2025.11.30星期日</v>
      </c>
      <c r="D3" s="498"/>
      <c r="E3" s="4" t="s">
        <v>2447</v>
      </c>
      <c r="F3" s="499">
        <f>'1130 4度C'!D1</f>
        <v>193540</v>
      </c>
      <c r="G3" s="500"/>
      <c r="H3" s="4" t="s">
        <v>2448</v>
      </c>
      <c r="I3" s="501">
        <f>'1130 4度C'!F1</f>
        <v>6409222.4200000009</v>
      </c>
      <c r="J3" s="502"/>
      <c r="K3" s="5"/>
      <c r="L3" s="6"/>
      <c r="M3" s="7"/>
      <c r="N3" s="7"/>
    </row>
    <row r="4" spans="2:17" ht="28.5" customHeight="1">
      <c r="B4" s="503" t="s">
        <v>2449</v>
      </c>
      <c r="C4" s="485" t="s">
        <v>2450</v>
      </c>
      <c r="D4" s="486"/>
      <c r="E4" s="506" t="s">
        <v>2451</v>
      </c>
      <c r="F4" s="507"/>
      <c r="G4" s="506" t="s">
        <v>2452</v>
      </c>
      <c r="H4" s="507"/>
      <c r="I4" s="506" t="s">
        <v>2453</v>
      </c>
      <c r="J4" s="507"/>
      <c r="L4" s="7"/>
      <c r="M4" s="7"/>
      <c r="N4" s="7"/>
    </row>
    <row r="5" spans="2:17" ht="28.5" customHeight="1">
      <c r="B5" s="504"/>
      <c r="C5" s="485" t="s">
        <v>2454</v>
      </c>
      <c r="D5" s="486"/>
      <c r="E5" s="485" t="s">
        <v>2455</v>
      </c>
      <c r="F5" s="486"/>
      <c r="G5" s="487" t="s">
        <v>2456</v>
      </c>
      <c r="H5" s="488"/>
      <c r="I5" s="489" t="s">
        <v>2457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154.81744103509584</v>
      </c>
      <c r="F6" s="492">
        <f>AVERAGE(D27:O27,D13:J13)</f>
        <v>160.9527731830776</v>
      </c>
      <c r="G6" s="493">
        <f>AVERAGE(D13:J13)</f>
        <v>160.9527731830776</v>
      </c>
      <c r="H6" s="494"/>
      <c r="I6" s="493">
        <f>AVERAGE(K13:M13)</f>
        <v>140.50166602313843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148.24561078641307</v>
      </c>
      <c r="F7" s="478">
        <f>AVERAGE(D28:O28,D14:J14)</f>
        <v>154.23953480437967</v>
      </c>
      <c r="G7" s="479">
        <f>AVERAGE(D14:J14)</f>
        <v>154.23953480437967</v>
      </c>
      <c r="H7" s="480"/>
      <c r="I7" s="479">
        <f>AVERAGE(K14:M14)</f>
        <v>134.25978807782428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0.95758579142002298</v>
      </c>
      <c r="F8" s="482">
        <f>AVERAGE(D15:J15,D29:O29)</f>
        <v>0.95844522239914698</v>
      </c>
      <c r="G8" s="483">
        <f>AVERAGE(D15:J15)</f>
        <v>0.95844522239914698</v>
      </c>
      <c r="H8" s="484"/>
      <c r="I8" s="483">
        <f>AVERAGE(K15:M15)</f>
        <v>0.95558045246873391</v>
      </c>
      <c r="J8" s="484"/>
      <c r="K8" s="8" t="s">
        <v>2458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2459</v>
      </c>
      <c r="C10" s="459"/>
      <c r="D10" s="460" t="s">
        <v>2460</v>
      </c>
      <c r="E10" s="461"/>
      <c r="F10" s="461"/>
      <c r="G10" s="461"/>
      <c r="H10" s="461"/>
      <c r="I10" s="461"/>
      <c r="J10" s="462"/>
      <c r="K10" s="463" t="s">
        <v>2461</v>
      </c>
      <c r="L10" s="464"/>
      <c r="M10" s="465"/>
      <c r="P10" s="11"/>
      <c r="Q10" s="11"/>
    </row>
    <row r="11" spans="2:17" ht="17.25" customHeight="1">
      <c r="B11" s="466" t="s">
        <v>2462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2463</v>
      </c>
      <c r="C13" s="18" t="s">
        <v>2464</v>
      </c>
      <c r="D13" s="19">
        <f>SUMIFS('1130 4度C'!$K:$K,'1130 4度C'!$A:$A,"新豐6線",'1130 4度C'!$B:$B,"平均")</f>
        <v>137.93103448275863</v>
      </c>
      <c r="E13" s="20">
        <f>SUMIFS('1130 4度C'!$K:$K,'1130 4度C'!$A:$A,"新豐2線",'1130 4度C'!$B:$B,"平均")</f>
        <v>88.235294117647058</v>
      </c>
      <c r="F13" s="21">
        <f>SUMIFS('1130 4度C'!$K:$K,'1130 4度C'!$A:$A,"新豐5線",'1130 4度C'!$B:$B,"平均")</f>
        <v>97.826086956521749</v>
      </c>
      <c r="G13" s="21">
        <f>SUMIFS('1130 4度C'!$K:$K,'1130 4度C'!$A:$A,"新豐7線",'1130 4度C'!$B:$B,"平均")</f>
        <v>114.81481481481481</v>
      </c>
      <c r="H13" s="21">
        <f>SUMIFS('1130 4度C'!$K:$K,'1130 4度C'!$A:$A,"新豐3線",'1130 4度C'!$B:$B,"平均")</f>
        <v>283.95061728395063</v>
      </c>
      <c r="I13" s="21">
        <f>SUMIFS('1130 4度C'!$K:$K,'1130 4度C'!$A:$A,"新豐1線",'1130 4度C'!$B:$B,"平均")</f>
        <v>112.24489795918367</v>
      </c>
      <c r="J13" s="22">
        <f>SUMIFS('1130 4度C'!$K:$K,'1130 4度C'!$A:$A,"新豐10線",'1130 4度C'!$B:$B,"平均")</f>
        <v>291.66666666666669</v>
      </c>
      <c r="K13" s="23">
        <f>SUMIFS('1130 4度C'!$K:$K,'1130 4度C'!$A:$A,"新豐8線",'1130 4度C'!$B:$B,"平均")</f>
        <v>134.26573426573427</v>
      </c>
      <c r="L13" s="24">
        <f>SUMIFS('1130 4度C'!$K:$K,'1130 4度C'!$A:$A,"新豐9線",'1130 4度C'!$B:$B,"平均")</f>
        <v>140</v>
      </c>
      <c r="M13" s="22">
        <f>SUMIFS('1130 4度C'!$K:$K,'1130 4度C'!$A:$A,"新豐4線",'1130 4度C'!$B:$B,"平均")</f>
        <v>147.23926380368098</v>
      </c>
    </row>
    <row r="14" spans="2:17" ht="39.6" customHeight="1">
      <c r="B14" s="471"/>
      <c r="C14" s="25" t="s">
        <v>2465</v>
      </c>
      <c r="D14" s="26">
        <f>SUMIFS('1130 4度C'!$N:$N,'1130 4度C'!$A:$A,"新豐6線",'1130 4度C'!$B:$B,"平均")</f>
        <v>132.73016048946093</v>
      </c>
      <c r="E14" s="27">
        <f>SUMIFS('1130 4度C'!$N:$N,'1130 4度C'!$A:$A,"新豐2線",'1130 4度C'!$B:$B,"平均")</f>
        <v>84.046287367405981</v>
      </c>
      <c r="F14" s="27">
        <f>SUMIFS('1130 4度C'!$N:$N,'1130 4度C'!$A:$A,"新豐5線",'1130 4度C'!$B:$B,"平均")</f>
        <v>93.827667473191752</v>
      </c>
      <c r="G14" s="27">
        <f>SUMIFS('1130 4度C'!$N:$N,'1130 4度C'!$A:$A,"新豐7線",'1130 4度C'!$B:$B,"平均")</f>
        <v>110.3469885007638</v>
      </c>
      <c r="H14" s="27">
        <f>SUMIFS('1130 4度C'!$N:$N,'1130 4度C'!$A:$A,"新豐3線",'1130 4度C'!$B:$B,"平均")</f>
        <v>271.23928014151278</v>
      </c>
      <c r="I14" s="27">
        <f>SUMIFS('1130 4度C'!$N:$N,'1130 4度C'!$A:$A,"新豐1線",'1130 4度C'!$B:$B,"平均")</f>
        <v>107.71345952991548</v>
      </c>
      <c r="J14" s="28">
        <f>SUMIFS('1130 4度C'!$N:$N,'1130 4度C'!$A:$A,"新豐10線",'1130 4度C'!$B:$B,"平均")</f>
        <v>279.77290012840695</v>
      </c>
      <c r="K14" s="29">
        <f>SUMIFS('1130 4度C'!$N:$N,'1130 4度C'!$A:$A,"新豐8線",'1130 4度C'!$B:$B,"平均")</f>
        <v>128.43340359516822</v>
      </c>
      <c r="L14" s="30">
        <f>SUMIFS('1130 4度C'!$N:$N,'1130 4度C'!$A:$A,"新豐9線",'1130 4度C'!$B:$B,"平均")</f>
        <v>133.58492724546088</v>
      </c>
      <c r="M14" s="28">
        <f>SUMIFS('1130 4度C'!$N:$N,'1130 4度C'!$A:$A,"新豐4線",'1130 4度C'!$B:$B,"平均")</f>
        <v>140.7610333928437</v>
      </c>
    </row>
    <row r="15" spans="2:17" ht="40.15" customHeight="1">
      <c r="B15" s="472"/>
      <c r="C15" s="31" t="s">
        <v>2466</v>
      </c>
      <c r="D15" s="32">
        <f t="shared" ref="D15:M15" si="0">D14/D13</f>
        <v>0.96229366354859169</v>
      </c>
      <c r="E15" s="33">
        <f t="shared" si="0"/>
        <v>0.95252459016393443</v>
      </c>
      <c r="F15" s="33">
        <f t="shared" si="0"/>
        <v>0.95912726750373778</v>
      </c>
      <c r="G15" s="33">
        <f t="shared" si="0"/>
        <v>0.96108667403891057</v>
      </c>
      <c r="H15" s="33">
        <f t="shared" si="0"/>
        <v>0.95523398658532754</v>
      </c>
      <c r="I15" s="33">
        <f t="shared" si="0"/>
        <v>0.95962900308470156</v>
      </c>
      <c r="J15" s="34">
        <f t="shared" si="0"/>
        <v>0.95922137186882372</v>
      </c>
      <c r="K15" s="32">
        <f t="shared" si="0"/>
        <v>0.9565612871931799</v>
      </c>
      <c r="L15" s="33">
        <f t="shared" si="0"/>
        <v>0.95417805175329196</v>
      </c>
      <c r="M15" s="34">
        <f t="shared" si="0"/>
        <v>0.9560020184597301</v>
      </c>
    </row>
    <row r="16" spans="2:17" ht="17.25" customHeight="1">
      <c r="B16" s="473" t="s">
        <v>2467</v>
      </c>
      <c r="C16" s="35" t="s">
        <v>2468</v>
      </c>
      <c r="D16" s="49">
        <f>VLOOKUP("新豐6線",'1130 4度C'!$A:$T,19,0)</f>
        <v>0.70833333333333337</v>
      </c>
      <c r="E16" s="50">
        <f>VLOOKUP("新豐2線",'1130 4度C'!$A:$T,19,0)</f>
        <v>0.20833333333333334</v>
      </c>
      <c r="F16" s="50">
        <f>VLOOKUP("新豐5線",'1130 4度C'!$A:$T,19,0)</f>
        <v>0.125</v>
      </c>
      <c r="G16" s="50">
        <f>VLOOKUP("新豐7線",'1130 4度C'!$A:$T,19,0)</f>
        <v>0.20833333333333334</v>
      </c>
      <c r="H16" s="50">
        <f>VLOOKUP("新豐3線",'1130 4度C'!$A:$T,19,0)</f>
        <v>8.3333333333333329E-2</v>
      </c>
      <c r="I16" s="50">
        <f>VLOOKUP("新豐1線",'1130 4度C'!$A:$T,19,0)</f>
        <v>0.20833333333333334</v>
      </c>
      <c r="J16" s="51">
        <f>VLOOKUP("新豐10線",'1130 4度C'!$A:$T,19,0)</f>
        <v>0.20833333333333334</v>
      </c>
      <c r="K16" s="36">
        <f>VLOOKUP("新豐8線",'1130 4度C'!$A:$T,19,0)</f>
        <v>8.3333333333333329E-2</v>
      </c>
      <c r="L16" s="37">
        <f>VLOOKUP("新豐9線",'1130 4度C'!$A:$T,19,0)</f>
        <v>8.3333333333333329E-2</v>
      </c>
      <c r="M16" s="38">
        <f>VLOOKUP("新豐4線",'1130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LOOKUP(2,1/(('1130 4度C'!$A:$A="新豐6線")*('1130 4度C'!$T:$T&lt;&gt;"")),'1130 4度C'!$T:$T)</f>
        <v>0.9145833333333333</v>
      </c>
      <c r="E17" s="50">
        <f>LOOKUP(2,1/(('1130 4度C'!$A:$A="新豐2線")*('1130 4度C'!$T:$T&lt;&gt;"")),'1130 4度C'!$T:$T)</f>
        <v>0.4201388888888889</v>
      </c>
      <c r="F17" s="50">
        <f>LOOKUP(2,1/(('1130 4度C'!$A:$A="新豐5線")*('1130 4度C'!$T:$T&lt;&gt;"")),'1130 4度C'!$T:$T)</f>
        <v>0.8666666666666667</v>
      </c>
      <c r="G17" s="50">
        <f>LOOKUP(2,1/(('1130 4度C'!$A:$A="新豐7線")*('1130 4度C'!$T:$T&lt;&gt;"")),'1130 4度C'!$T:$T)</f>
        <v>0.85902777777777772</v>
      </c>
      <c r="H17" s="50">
        <f>LOOKUP(2,1/(('1130 4度C'!$A:$A="新豐3線")*('1130 4度C'!$T:$T&lt;&gt;"")),'1130 4度C'!$T:$T)</f>
        <v>0.60208333333333308</v>
      </c>
      <c r="I17" s="50">
        <f>LOOKUP(2,1/(('1130 4度C'!$A:$A="新豐1線")*('1130 4度C'!$T:$T&lt;&gt;"")),'1130 4度C'!$T:$T)</f>
        <v>0.95</v>
      </c>
      <c r="J17" s="51">
        <f>LOOKUP(2,1/(('1130 4度C'!$A:$A="新豐10線")*('1130 4度C'!$T:$T&lt;&gt;"")),'1130 4度C'!$T:$T)</f>
        <v>0.44375000000000003</v>
      </c>
      <c r="K17" s="49">
        <f>LOOKUP(2,1/(('1130 4度C'!$A:$A="新豐8線")*('1130 4度C'!$T:$T&lt;&gt;"")),'1130 4度C'!$T:$T)</f>
        <v>0.7618055555555554</v>
      </c>
      <c r="L17" s="50">
        <f>LOOKUP(2,1/(('1130 4度C'!$A:$A="新豐9線")*('1130 4度C'!$T:$T&lt;&gt;"")),'1130 4度C'!$T:$T)</f>
        <v>0.73611111111111105</v>
      </c>
      <c r="M17" s="51">
        <f>LOOKUP(2,1/(('1130 4度C'!$A:$A="新豐4線")*('1130 4度C'!$T:$T&lt;&gt;"")),'1130 4度C'!$T:$T)</f>
        <v>0.74999999999999978</v>
      </c>
    </row>
    <row r="18" spans="2:13" ht="17.25" customHeight="1">
      <c r="B18" s="452" t="s">
        <v>109</v>
      </c>
      <c r="C18" s="453"/>
      <c r="D18" s="39">
        <f>SUMIFS('1130 4度C'!$I:$I,'1130 4度C'!$A:$A,"新豐6線",'1130 4度C'!$B:$B,"平均")</f>
        <v>14.5</v>
      </c>
      <c r="E18" s="40">
        <f>SUMIFS('1130 4度C'!$I:$I,'1130 4度C'!$A:$A,"新豐2線",'1130 4度C'!$B:$B,"平均")</f>
        <v>17</v>
      </c>
      <c r="F18" s="40">
        <f>SUMIFS('1130 4度C'!$I:$I,'1130 4度C'!$A:$A,"新豐5線",'1130 4度C'!$B:$B,"平均")</f>
        <v>18.399999999999999</v>
      </c>
      <c r="G18" s="40">
        <f>SUMIFS('1130 4度C'!$I:$I,'1130 4度C'!$A:$A,"新豐7線",'1130 4度C'!$B:$B,"平均")</f>
        <v>16.875</v>
      </c>
      <c r="H18" s="40">
        <f>SUMIFS('1130 4度C'!$I:$I,'1130 4度C'!$A:$A,"新豐3線",'1130 4度C'!$B:$B,"平均")</f>
        <v>10.125</v>
      </c>
      <c r="I18" s="40">
        <f>SUMIFS('1130 4度C'!$I:$I,'1130 4度C'!$A:$A,"新豐1線",'1130 4度C'!$B:$B,"平均")</f>
        <v>16.333333333333332</v>
      </c>
      <c r="J18" s="41">
        <f>SUMIFS('1130 4度C'!$I:$I,'1130 4度C'!$A:$A,"新豐10線",'1130 4度C'!$B:$B,"平均")</f>
        <v>9</v>
      </c>
      <c r="K18" s="39">
        <f>SUMIFS('1130 4度C'!$I:$I,'1130 4度C'!$A:$A,"新豐8線",'1130 4度C'!$B:$B,"平均")</f>
        <v>17.875</v>
      </c>
      <c r="L18" s="40">
        <f>SUMIFS('1130 4度C'!$I:$I,'1130 4度C'!$A:$A,"新豐9線",'1130 4度C'!$B:$B,"平均")</f>
        <v>17.142857142857142</v>
      </c>
      <c r="M18" s="41">
        <f>SUMIFS('1130 4度C'!$I:$I,'1130 4度C'!$A:$A,"新豐4線",'1130 4度C'!$B:$B,"平均")</f>
        <v>16.3</v>
      </c>
    </row>
    <row r="19" spans="2:13" ht="17.25" customHeight="1">
      <c r="B19" s="452" t="s">
        <v>2469</v>
      </c>
      <c r="C19" s="453"/>
      <c r="D19" s="42" t="s">
        <v>65</v>
      </c>
      <c r="E19" s="43" t="s">
        <v>66</v>
      </c>
      <c r="F19" s="43" t="s">
        <v>70</v>
      </c>
      <c r="G19" s="43" t="s">
        <v>2470</v>
      </c>
      <c r="H19" s="43" t="s">
        <v>67</v>
      </c>
      <c r="I19" s="43" t="s">
        <v>65</v>
      </c>
      <c r="J19" s="44" t="s">
        <v>67</v>
      </c>
      <c r="K19" s="42" t="s">
        <v>2471</v>
      </c>
      <c r="L19" s="43" t="s">
        <v>2472</v>
      </c>
      <c r="M19" s="44" t="s">
        <v>2473</v>
      </c>
    </row>
    <row r="20" spans="2:13" ht="17.25" customHeight="1">
      <c r="B20" s="452" t="s">
        <v>2474</v>
      </c>
      <c r="C20" s="453"/>
      <c r="D20" s="42"/>
      <c r="E20" s="43"/>
      <c r="F20" s="43" t="s">
        <v>2475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2476</v>
      </c>
      <c r="C21" s="455"/>
      <c r="D21" s="45"/>
      <c r="E21" s="46" t="s">
        <v>116</v>
      </c>
      <c r="F21" s="456" t="s">
        <v>199</v>
      </c>
      <c r="G21" s="457"/>
      <c r="H21" s="46" t="s">
        <v>2477</v>
      </c>
      <c r="I21" s="46" t="s">
        <v>2478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8:C18"/>
    <mergeCell ref="B19:C19"/>
    <mergeCell ref="B20:C20"/>
    <mergeCell ref="B21:C21"/>
    <mergeCell ref="F21:G21"/>
    <mergeCell ref="B10:C10"/>
    <mergeCell ref="D10:J10"/>
    <mergeCell ref="K10:M10"/>
    <mergeCell ref="B11:C12"/>
    <mergeCell ref="B13:B15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</mergeCells>
  <phoneticPr fontId="3" type="noConversion"/>
  <conditionalFormatting sqref="D15:M15">
    <cfRule type="cellIs" dxfId="7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6"/>
  <sheetViews>
    <sheetView zoomScale="80" zoomScaleNormal="80" workbookViewId="0">
      <pane ySplit="4" topLeftCell="A38" activePane="bottomLeft" state="frozen"/>
      <selection activeCell="O5" sqref="O5"/>
      <selection pane="bottomLeft" activeCell="O5" sqref="O5"/>
    </sheetView>
  </sheetViews>
  <sheetFormatPr defaultColWidth="8" defaultRowHeight="15.75"/>
  <cols>
    <col min="1" max="1" width="15.125" style="56" customWidth="1"/>
    <col min="2" max="2" width="19.375" style="160" customWidth="1"/>
    <col min="3" max="3" width="15.25" style="160" customWidth="1"/>
    <col min="4" max="4" width="17.5" style="160" customWidth="1"/>
    <col min="5" max="5" width="7.5" style="160" bestFit="1" customWidth="1"/>
    <col min="6" max="6" width="14.375" style="160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2479</v>
      </c>
      <c r="B1" s="558"/>
      <c r="C1" s="559" t="s">
        <v>121</v>
      </c>
      <c r="D1" s="560">
        <v>193540</v>
      </c>
      <c r="E1" s="450" t="s">
        <v>205</v>
      </c>
      <c r="F1" s="558">
        <v>6409222.4200000009</v>
      </c>
      <c r="G1" s="52" t="s">
        <v>122</v>
      </c>
      <c r="H1" s="55">
        <f>L9+L11+L52+L59+L17+L64+L35+L43+L26+L75</f>
        <v>153.55119047619047</v>
      </c>
      <c r="I1" s="556" t="s">
        <v>123</v>
      </c>
      <c r="J1" s="556"/>
      <c r="K1" s="556"/>
      <c r="L1" s="556" t="s">
        <v>2480</v>
      </c>
      <c r="M1" s="556"/>
      <c r="N1" s="556"/>
      <c r="O1" s="556" t="s">
        <v>209</v>
      </c>
      <c r="P1" s="556"/>
      <c r="Q1" s="556"/>
      <c r="R1" s="556"/>
      <c r="S1" s="556" t="s">
        <v>2481</v>
      </c>
      <c r="T1" s="556"/>
      <c r="U1" s="556"/>
      <c r="V1" s="556"/>
      <c r="W1" s="556"/>
      <c r="X1" s="556"/>
      <c r="Y1" s="556" t="s">
        <v>127</v>
      </c>
      <c r="Z1" s="556"/>
      <c r="AA1" s="556" t="s">
        <v>2482</v>
      </c>
      <c r="AB1" s="557"/>
      <c r="AC1" s="557"/>
    </row>
    <row r="2" spans="1:29" ht="26.25" customHeight="1">
      <c r="A2" s="57">
        <v>45991</v>
      </c>
      <c r="B2" s="58" t="s">
        <v>213</v>
      </c>
      <c r="C2" s="559" t="s">
        <v>2483</v>
      </c>
      <c r="D2" s="561">
        <v>148.24561078641301</v>
      </c>
      <c r="E2" s="562" t="s">
        <v>0</v>
      </c>
      <c r="F2" s="563">
        <v>33.115750852536948</v>
      </c>
      <c r="G2" s="52" t="s">
        <v>215</v>
      </c>
      <c r="H2" s="451">
        <f>COUNT(H5:H75)</f>
        <v>11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131</v>
      </c>
      <c r="B3" s="553" t="s">
        <v>132</v>
      </c>
      <c r="C3" s="553" t="s">
        <v>2484</v>
      </c>
      <c r="D3" s="553"/>
      <c r="E3" s="564" t="s">
        <v>2485</v>
      </c>
      <c r="F3" s="553" t="s">
        <v>135</v>
      </c>
      <c r="G3" s="554" t="s">
        <v>136</v>
      </c>
      <c r="H3" s="547" t="s">
        <v>137</v>
      </c>
      <c r="I3" s="545" t="s">
        <v>2486</v>
      </c>
      <c r="J3" s="550" t="s">
        <v>2487</v>
      </c>
      <c r="K3" s="552" t="s">
        <v>78</v>
      </c>
      <c r="L3" s="545" t="s">
        <v>2486</v>
      </c>
      <c r="M3" s="550" t="s">
        <v>139</v>
      </c>
      <c r="N3" s="552" t="s">
        <v>2488</v>
      </c>
      <c r="O3" s="545" t="s">
        <v>138</v>
      </c>
      <c r="P3" s="552" t="s">
        <v>2488</v>
      </c>
      <c r="Q3" s="551" t="s">
        <v>141</v>
      </c>
      <c r="R3" s="523" t="s">
        <v>2489</v>
      </c>
      <c r="S3" s="553" t="s">
        <v>1</v>
      </c>
      <c r="T3" s="553"/>
      <c r="U3" s="547" t="s">
        <v>2</v>
      </c>
      <c r="V3" s="547" t="s">
        <v>2490</v>
      </c>
      <c r="W3" s="510" t="s">
        <v>2491</v>
      </c>
      <c r="X3" s="510"/>
      <c r="Y3" s="548" t="s">
        <v>2492</v>
      </c>
      <c r="Z3" s="549"/>
      <c r="AA3" s="550" t="s">
        <v>2493</v>
      </c>
      <c r="AB3" s="551" t="s">
        <v>2494</v>
      </c>
      <c r="AC3" s="523" t="s">
        <v>2495</v>
      </c>
    </row>
    <row r="4" spans="1:29">
      <c r="A4" s="510"/>
      <c r="B4" s="553"/>
      <c r="C4" s="553"/>
      <c r="D4" s="553"/>
      <c r="E4" s="565"/>
      <c r="F4" s="553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450" t="s">
        <v>3</v>
      </c>
      <c r="T4" s="450" t="s">
        <v>4</v>
      </c>
      <c r="U4" s="547"/>
      <c r="V4" s="547"/>
      <c r="W4" s="441" t="s">
        <v>2496</v>
      </c>
      <c r="X4" s="441" t="s">
        <v>2497</v>
      </c>
      <c r="Y4" s="549"/>
      <c r="Z4" s="549"/>
      <c r="AA4" s="550"/>
      <c r="AB4" s="551"/>
      <c r="AC4" s="523"/>
    </row>
    <row r="5" spans="1:29">
      <c r="A5" s="544" t="s">
        <v>2498</v>
      </c>
      <c r="B5" s="62" t="s">
        <v>6</v>
      </c>
      <c r="C5" s="546" t="s">
        <v>9</v>
      </c>
      <c r="D5" s="546"/>
      <c r="E5" s="62">
        <v>50.67</v>
      </c>
      <c r="F5" s="450">
        <v>1767</v>
      </c>
      <c r="G5" s="441">
        <f t="shared" ref="G5:G8" si="0">E5*F5</f>
        <v>89533.89</v>
      </c>
      <c r="H5" s="90" t="s">
        <v>5</v>
      </c>
      <c r="I5" s="448">
        <v>17</v>
      </c>
      <c r="J5" s="63">
        <v>2000</v>
      </c>
      <c r="K5" s="64">
        <f t="shared" ref="K5:K68" si="1">J5/I5</f>
        <v>117.64705882352941</v>
      </c>
      <c r="L5" s="448">
        <v>17</v>
      </c>
      <c r="M5" s="65">
        <f t="shared" ref="M5:M8" si="2">F5/V5*60</f>
        <v>1927.6363636363649</v>
      </c>
      <c r="N5" s="64">
        <f t="shared" ref="N5:N68" si="3">M5/L5</f>
        <v>113.39037433155087</v>
      </c>
      <c r="O5" s="66">
        <f t="shared" ref="O5:O68" si="4">L5-I5</f>
        <v>0</v>
      </c>
      <c r="P5" s="67">
        <f t="shared" ref="P5:P68" si="5">N5-K5</f>
        <v>-4.2566844919785325</v>
      </c>
      <c r="Q5" s="442">
        <f t="shared" ref="Q5:Q68" si="6">N5/K5</f>
        <v>0.96381818181818246</v>
      </c>
      <c r="R5" s="511">
        <f>Q9</f>
        <v>0.96229366354859169</v>
      </c>
      <c r="S5" s="68">
        <v>0.70833333333333337</v>
      </c>
      <c r="T5" s="68">
        <v>0.74652777777777779</v>
      </c>
      <c r="U5" s="441"/>
      <c r="V5" s="449">
        <f t="shared" ref="V5:V8" si="7">(T5-S5)*24*60</f>
        <v>54.999999999999964</v>
      </c>
      <c r="W5" s="69"/>
      <c r="X5" s="70"/>
      <c r="Y5" s="510"/>
      <c r="Z5" s="510"/>
      <c r="AA5" s="66">
        <f t="shared" ref="AA5:AA68" si="8">M5-J5</f>
        <v>-72.363636363635123</v>
      </c>
      <c r="AB5" s="442">
        <f t="shared" ref="AB5:AB68" si="9">M5/J5</f>
        <v>0.96381818181818246</v>
      </c>
      <c r="AC5" s="511">
        <f>AB9</f>
        <v>0.96229366354859169</v>
      </c>
    </row>
    <row r="6" spans="1:29">
      <c r="A6" s="545" t="s">
        <v>2499</v>
      </c>
      <c r="B6" s="62" t="s">
        <v>6</v>
      </c>
      <c r="C6" s="546" t="s">
        <v>8</v>
      </c>
      <c r="D6" s="546"/>
      <c r="E6" s="62">
        <v>50.49</v>
      </c>
      <c r="F6" s="450">
        <v>2183</v>
      </c>
      <c r="G6" s="441">
        <f t="shared" si="0"/>
        <v>110219.67</v>
      </c>
      <c r="H6" s="90" t="s">
        <v>5</v>
      </c>
      <c r="I6" s="448">
        <v>15</v>
      </c>
      <c r="J6" s="63">
        <v>2000</v>
      </c>
      <c r="K6" s="64">
        <f t="shared" si="1"/>
        <v>133.33333333333334</v>
      </c>
      <c r="L6" s="448">
        <v>15</v>
      </c>
      <c r="M6" s="65">
        <f t="shared" si="2"/>
        <v>1926.1764705882331</v>
      </c>
      <c r="N6" s="64">
        <f t="shared" si="3"/>
        <v>128.41176470588221</v>
      </c>
      <c r="O6" s="66">
        <f t="shared" si="4"/>
        <v>0</v>
      </c>
      <c r="P6" s="67">
        <f t="shared" si="5"/>
        <v>-4.921568627451137</v>
      </c>
      <c r="Q6" s="442">
        <f t="shared" si="6"/>
        <v>0.96308823529411647</v>
      </c>
      <c r="R6" s="511"/>
      <c r="S6" s="68">
        <v>0.75</v>
      </c>
      <c r="T6" s="68">
        <v>0.79722222222222228</v>
      </c>
      <c r="U6" s="441">
        <f t="shared" ref="U6:U8" si="10">IF(S6=TIME(17,0,0),"",(S6-T5)*24*60)</f>
        <v>4.9999999999999822</v>
      </c>
      <c r="V6" s="449">
        <f t="shared" si="7"/>
        <v>68.000000000000085</v>
      </c>
      <c r="W6" s="69"/>
      <c r="X6" s="69"/>
      <c r="Y6" s="510"/>
      <c r="Z6" s="510"/>
      <c r="AA6" s="66">
        <f t="shared" si="8"/>
        <v>-73.823529411766913</v>
      </c>
      <c r="AB6" s="442">
        <f t="shared" si="9"/>
        <v>0.96308823529411658</v>
      </c>
      <c r="AC6" s="511"/>
    </row>
    <row r="7" spans="1:29">
      <c r="A7" s="545" t="s">
        <v>2500</v>
      </c>
      <c r="B7" s="62" t="s">
        <v>6</v>
      </c>
      <c r="C7" s="539" t="s">
        <v>886</v>
      </c>
      <c r="D7" s="540"/>
      <c r="E7" s="62">
        <v>57.3</v>
      </c>
      <c r="F7" s="450">
        <v>1500</v>
      </c>
      <c r="G7" s="441">
        <f t="shared" si="0"/>
        <v>85950</v>
      </c>
      <c r="H7" s="90">
        <v>2</v>
      </c>
      <c r="I7" s="448">
        <v>13</v>
      </c>
      <c r="J7" s="63">
        <v>2000</v>
      </c>
      <c r="K7" s="64">
        <f t="shared" si="1"/>
        <v>153.84615384615384</v>
      </c>
      <c r="L7" s="448">
        <v>13</v>
      </c>
      <c r="M7" s="65">
        <f t="shared" si="2"/>
        <v>1914.8936170212769</v>
      </c>
      <c r="N7" s="64">
        <f t="shared" si="3"/>
        <v>147.29950900163669</v>
      </c>
      <c r="O7" s="66">
        <f t="shared" si="4"/>
        <v>0</v>
      </c>
      <c r="P7" s="67">
        <f t="shared" si="5"/>
        <v>-6.5466448445171466</v>
      </c>
      <c r="Q7" s="442">
        <f t="shared" si="6"/>
        <v>0.95744680851063857</v>
      </c>
      <c r="R7" s="511"/>
      <c r="S7" s="68">
        <v>0.80138888888888893</v>
      </c>
      <c r="T7" s="68">
        <v>0.83402777777777781</v>
      </c>
      <c r="U7" s="441">
        <f t="shared" si="10"/>
        <v>5.9999999999999787</v>
      </c>
      <c r="V7" s="449">
        <f t="shared" si="7"/>
        <v>46.999999999999993</v>
      </c>
      <c r="W7" s="69">
        <f>T7</f>
        <v>0.83402777777777781</v>
      </c>
      <c r="X7" s="69">
        <f>S8</f>
        <v>0.87569444444444444</v>
      </c>
      <c r="Y7" s="517"/>
      <c r="Z7" s="518"/>
      <c r="AA7" s="66">
        <f t="shared" si="8"/>
        <v>-85.106382978723104</v>
      </c>
      <c r="AB7" s="442">
        <f t="shared" si="9"/>
        <v>0.95744680851063846</v>
      </c>
      <c r="AC7" s="511"/>
    </row>
    <row r="8" spans="1:29">
      <c r="A8" s="545" t="s">
        <v>2500</v>
      </c>
      <c r="B8" s="62" t="s">
        <v>6</v>
      </c>
      <c r="C8" s="539" t="s">
        <v>886</v>
      </c>
      <c r="D8" s="540"/>
      <c r="E8" s="62">
        <v>57.3</v>
      </c>
      <c r="F8" s="450">
        <v>1801</v>
      </c>
      <c r="G8" s="441">
        <f t="shared" si="0"/>
        <v>103197.29999999999</v>
      </c>
      <c r="H8" s="90" t="s">
        <v>5</v>
      </c>
      <c r="I8" s="448">
        <v>13</v>
      </c>
      <c r="J8" s="63">
        <v>2000</v>
      </c>
      <c r="K8" s="64">
        <f t="shared" si="1"/>
        <v>153.84615384615384</v>
      </c>
      <c r="L8" s="448">
        <v>13</v>
      </c>
      <c r="M8" s="65">
        <f t="shared" si="2"/>
        <v>1929.6428571428587</v>
      </c>
      <c r="N8" s="64">
        <f t="shared" si="3"/>
        <v>148.43406593406604</v>
      </c>
      <c r="O8" s="66">
        <f t="shared" si="4"/>
        <v>0</v>
      </c>
      <c r="P8" s="67">
        <f t="shared" si="5"/>
        <v>-5.4120879120877987</v>
      </c>
      <c r="Q8" s="442">
        <f t="shared" si="6"/>
        <v>0.96482142857142927</v>
      </c>
      <c r="R8" s="511"/>
      <c r="S8" s="68">
        <v>0.87569444444444444</v>
      </c>
      <c r="T8" s="68">
        <v>0.9145833333333333</v>
      </c>
      <c r="U8" s="441">
        <f t="shared" si="10"/>
        <v>59.999999999999943</v>
      </c>
      <c r="V8" s="449">
        <f t="shared" si="7"/>
        <v>55.999999999999957</v>
      </c>
      <c r="W8" s="73"/>
      <c r="X8" s="73"/>
      <c r="Y8" s="517"/>
      <c r="Z8" s="518"/>
      <c r="AA8" s="66">
        <f t="shared" si="8"/>
        <v>-70.357142857141298</v>
      </c>
      <c r="AB8" s="442">
        <f t="shared" si="9"/>
        <v>0.96482142857142938</v>
      </c>
      <c r="AC8" s="511"/>
    </row>
    <row r="9" spans="1:29">
      <c r="A9" s="545" t="s">
        <v>2499</v>
      </c>
      <c r="B9" s="62" t="s">
        <v>79</v>
      </c>
      <c r="C9" s="513"/>
      <c r="D9" s="513"/>
      <c r="E9" s="443"/>
      <c r="F9" s="71"/>
      <c r="G9" s="64"/>
      <c r="H9" s="450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1924.5873270971833</v>
      </c>
      <c r="N9" s="64">
        <f t="shared" si="3"/>
        <v>132.73016048946093</v>
      </c>
      <c r="O9" s="66">
        <f t="shared" si="4"/>
        <v>0</v>
      </c>
      <c r="P9" s="67">
        <f t="shared" si="5"/>
        <v>-5.2008739932977051</v>
      </c>
      <c r="Q9" s="442">
        <f t="shared" si="6"/>
        <v>0.96229366354859169</v>
      </c>
      <c r="R9" s="511"/>
      <c r="S9" s="68"/>
      <c r="T9" s="68"/>
      <c r="U9" s="441"/>
      <c r="V9" s="449"/>
      <c r="W9" s="64"/>
      <c r="X9" s="64"/>
      <c r="Y9" s="510"/>
      <c r="Z9" s="510"/>
      <c r="AA9" s="66">
        <f t="shared" si="8"/>
        <v>-75.412672902816666</v>
      </c>
      <c r="AB9" s="442">
        <f t="shared" si="9"/>
        <v>0.96229366354859169</v>
      </c>
      <c r="AC9" s="511"/>
    </row>
    <row r="10" spans="1:29" ht="15.75" customHeight="1">
      <c r="A10" s="543" t="s">
        <v>151</v>
      </c>
      <c r="B10" s="62" t="s">
        <v>10</v>
      </c>
      <c r="C10" s="539" t="s">
        <v>11</v>
      </c>
      <c r="D10" s="540"/>
      <c r="E10" s="62">
        <v>39.799999999999997</v>
      </c>
      <c r="F10" s="450">
        <v>7263</v>
      </c>
      <c r="G10" s="441">
        <f t="shared" ref="G10" si="11">E10*F10</f>
        <v>289067.39999999997</v>
      </c>
      <c r="H10" s="90" t="s">
        <v>5</v>
      </c>
      <c r="I10" s="448">
        <v>17</v>
      </c>
      <c r="J10" s="63">
        <v>1500</v>
      </c>
      <c r="K10" s="64">
        <f t="shared" si="1"/>
        <v>88.235294117647058</v>
      </c>
      <c r="L10" s="448">
        <v>17</v>
      </c>
      <c r="M10" s="65">
        <f t="shared" ref="M10" si="12">F10/V10*60</f>
        <v>1428.7868852459017</v>
      </c>
      <c r="N10" s="64">
        <f t="shared" si="3"/>
        <v>84.046287367405981</v>
      </c>
      <c r="O10" s="66">
        <f t="shared" si="4"/>
        <v>0</v>
      </c>
      <c r="P10" s="67">
        <f t="shared" si="5"/>
        <v>-4.1890067502410773</v>
      </c>
      <c r="Q10" s="442">
        <f t="shared" si="6"/>
        <v>0.95252459016393443</v>
      </c>
      <c r="R10" s="511">
        <f>Q11</f>
        <v>0.95252459016393443</v>
      </c>
      <c r="S10" s="68">
        <v>0.20833333333333334</v>
      </c>
      <c r="T10" s="68">
        <v>0.4201388888888889</v>
      </c>
      <c r="U10" s="441"/>
      <c r="V10" s="449">
        <f t="shared" ref="V10" si="13">(T10-S10)*24*60</f>
        <v>305</v>
      </c>
      <c r="W10" s="69"/>
      <c r="X10" s="69"/>
      <c r="Y10" s="510"/>
      <c r="Z10" s="510"/>
      <c r="AA10" s="66">
        <f t="shared" si="8"/>
        <v>-71.213114754098342</v>
      </c>
      <c r="AB10" s="442">
        <f t="shared" si="9"/>
        <v>0.95252459016393443</v>
      </c>
      <c r="AC10" s="511">
        <f>AB11</f>
        <v>0.95252459016393443</v>
      </c>
    </row>
    <row r="11" spans="1:29" ht="16.5" customHeight="1">
      <c r="A11" s="543" t="s">
        <v>2501</v>
      </c>
      <c r="B11" s="62" t="s">
        <v>79</v>
      </c>
      <c r="C11" s="513"/>
      <c r="D11" s="513"/>
      <c r="E11" s="443"/>
      <c r="F11" s="63"/>
      <c r="G11" s="65"/>
      <c r="H11" s="450"/>
      <c r="I11" s="72">
        <v>17</v>
      </c>
      <c r="J11" s="63">
        <v>1500</v>
      </c>
      <c r="K11" s="64">
        <f t="shared" si="1"/>
        <v>88.235294117647058</v>
      </c>
      <c r="L11" s="72">
        <v>17</v>
      </c>
      <c r="M11" s="65">
        <f>AVERAGE(M10:M10)</f>
        <v>1428.7868852459017</v>
      </c>
      <c r="N11" s="64">
        <f t="shared" si="3"/>
        <v>84.046287367405981</v>
      </c>
      <c r="O11" s="66">
        <f t="shared" si="4"/>
        <v>0</v>
      </c>
      <c r="P11" s="67">
        <f t="shared" si="5"/>
        <v>-4.1890067502410773</v>
      </c>
      <c r="Q11" s="442">
        <f t="shared" si="6"/>
        <v>0.95252459016393443</v>
      </c>
      <c r="R11" s="511"/>
      <c r="S11" s="68"/>
      <c r="T11" s="68"/>
      <c r="U11" s="64"/>
      <c r="V11" s="449"/>
      <c r="W11" s="64"/>
      <c r="X11" s="64"/>
      <c r="Y11" s="510"/>
      <c r="Z11" s="510"/>
      <c r="AA11" s="66">
        <f t="shared" si="8"/>
        <v>-71.213114754098342</v>
      </c>
      <c r="AB11" s="442">
        <f t="shared" si="9"/>
        <v>0.95252459016393443</v>
      </c>
      <c r="AC11" s="511"/>
    </row>
    <row r="12" spans="1:29" ht="16.5" customHeight="1">
      <c r="A12" s="541" t="s">
        <v>1619</v>
      </c>
      <c r="B12" s="450" t="s">
        <v>13</v>
      </c>
      <c r="C12" s="533" t="s">
        <v>14</v>
      </c>
      <c r="D12" s="533"/>
      <c r="E12" s="62">
        <v>41</v>
      </c>
      <c r="F12" s="450">
        <v>2392</v>
      </c>
      <c r="G12" s="441">
        <f t="shared" ref="G12:G16" si="14">E12*F12</f>
        <v>98072</v>
      </c>
      <c r="H12" s="90" t="s">
        <v>5</v>
      </c>
      <c r="I12" s="448">
        <v>26</v>
      </c>
      <c r="J12" s="63">
        <v>1500</v>
      </c>
      <c r="K12" s="64">
        <f t="shared" si="1"/>
        <v>57.692307692307693</v>
      </c>
      <c r="L12" s="448">
        <v>26</v>
      </c>
      <c r="M12" s="65">
        <f t="shared" ref="M12:M16" si="15">F12/V12*60</f>
        <v>1435.2</v>
      </c>
      <c r="N12" s="64">
        <f t="shared" si="3"/>
        <v>55.2</v>
      </c>
      <c r="O12" s="66">
        <f t="shared" si="4"/>
        <v>0</v>
      </c>
      <c r="P12" s="67">
        <f t="shared" si="5"/>
        <v>-2.4923076923076906</v>
      </c>
      <c r="Q12" s="442">
        <f t="shared" si="6"/>
        <v>0.95679999999999998</v>
      </c>
      <c r="R12" s="511">
        <f>Q17</f>
        <v>0.95912726750373778</v>
      </c>
      <c r="S12" s="68">
        <v>0.125</v>
      </c>
      <c r="T12" s="68">
        <v>0.19444444444444445</v>
      </c>
      <c r="U12" s="441"/>
      <c r="V12" s="449">
        <f t="shared" ref="V12:V16" si="16">(T12-S12)*24*60</f>
        <v>100</v>
      </c>
      <c r="W12" s="69">
        <f>T12</f>
        <v>0.19444444444444445</v>
      </c>
      <c r="X12" s="69">
        <f>S13</f>
        <v>0.21458333333333335</v>
      </c>
      <c r="Y12" s="510"/>
      <c r="Z12" s="510"/>
      <c r="AA12" s="66">
        <f t="shared" si="8"/>
        <v>-64.799999999999955</v>
      </c>
      <c r="AB12" s="442">
        <f t="shared" si="9"/>
        <v>0.95679999999999998</v>
      </c>
      <c r="AC12" s="511">
        <f>AB17</f>
        <v>0.95912726750373789</v>
      </c>
    </row>
    <row r="13" spans="1:29" ht="16.5" customHeight="1">
      <c r="A13" s="542" t="s">
        <v>2502</v>
      </c>
      <c r="B13" s="450" t="s">
        <v>10</v>
      </c>
      <c r="C13" s="533" t="s">
        <v>15</v>
      </c>
      <c r="D13" s="533"/>
      <c r="E13" s="62">
        <v>39.619999999999997</v>
      </c>
      <c r="F13" s="450">
        <v>4473</v>
      </c>
      <c r="G13" s="441">
        <f t="shared" si="14"/>
        <v>177220.25999999998</v>
      </c>
      <c r="H13" s="90" t="s">
        <v>5</v>
      </c>
      <c r="I13" s="448">
        <v>19</v>
      </c>
      <c r="J13" s="63">
        <v>1500</v>
      </c>
      <c r="K13" s="64">
        <f t="shared" si="1"/>
        <v>78.94736842105263</v>
      </c>
      <c r="L13" s="448">
        <v>19</v>
      </c>
      <c r="M13" s="65">
        <f t="shared" si="15"/>
        <v>1435.1871657754011</v>
      </c>
      <c r="N13" s="64">
        <f t="shared" si="3"/>
        <v>75.53616661975795</v>
      </c>
      <c r="O13" s="66">
        <f t="shared" si="4"/>
        <v>0</v>
      </c>
      <c r="P13" s="67">
        <f t="shared" si="5"/>
        <v>-3.4112018012946805</v>
      </c>
      <c r="Q13" s="442">
        <f t="shared" si="6"/>
        <v>0.95679144385026738</v>
      </c>
      <c r="R13" s="511"/>
      <c r="S13" s="68">
        <v>0.21458333333333335</v>
      </c>
      <c r="T13" s="68">
        <v>0.34444444444444444</v>
      </c>
      <c r="U13" s="441">
        <f t="shared" ref="U13:U16" si="17">IF(S13=TIME(17,0,0),"",(S13-T12)*24*60)</f>
        <v>29.000000000000018</v>
      </c>
      <c r="V13" s="449">
        <f t="shared" si="16"/>
        <v>186.99999999999997</v>
      </c>
      <c r="W13" s="69"/>
      <c r="X13" s="69"/>
      <c r="Y13" s="510"/>
      <c r="Z13" s="510"/>
      <c r="AA13" s="66">
        <f t="shared" si="8"/>
        <v>-64.812834224598873</v>
      </c>
      <c r="AB13" s="442">
        <f t="shared" si="9"/>
        <v>0.95679144385026738</v>
      </c>
      <c r="AC13" s="511"/>
    </row>
    <row r="14" spans="1:29" ht="16.5" customHeight="1">
      <c r="A14" s="542" t="s">
        <v>1619</v>
      </c>
      <c r="B14" s="450" t="s">
        <v>6</v>
      </c>
      <c r="C14" s="533" t="s">
        <v>890</v>
      </c>
      <c r="D14" s="533"/>
      <c r="E14" s="62">
        <v>50.98</v>
      </c>
      <c r="F14" s="450">
        <v>2893</v>
      </c>
      <c r="G14" s="441">
        <f t="shared" si="14"/>
        <v>147485.13999999998</v>
      </c>
      <c r="H14" s="90" t="s">
        <v>5</v>
      </c>
      <c r="I14" s="448">
        <v>16</v>
      </c>
      <c r="J14" s="63">
        <v>2000</v>
      </c>
      <c r="K14" s="64">
        <f t="shared" si="1"/>
        <v>125</v>
      </c>
      <c r="L14" s="448">
        <v>16</v>
      </c>
      <c r="M14" s="65">
        <f t="shared" si="15"/>
        <v>1907.4725274725274</v>
      </c>
      <c r="N14" s="64">
        <f t="shared" si="3"/>
        <v>119.21703296703296</v>
      </c>
      <c r="O14" s="66">
        <f t="shared" si="4"/>
        <v>0</v>
      </c>
      <c r="P14" s="67">
        <f t="shared" si="5"/>
        <v>-5.7829670329670364</v>
      </c>
      <c r="Q14" s="442">
        <f t="shared" si="6"/>
        <v>0.95373626373626375</v>
      </c>
      <c r="R14" s="511"/>
      <c r="S14" s="68">
        <v>0.70833333333333337</v>
      </c>
      <c r="T14" s="68">
        <v>0.77152777777777781</v>
      </c>
      <c r="U14" s="441" t="str">
        <f t="shared" si="17"/>
        <v/>
      </c>
      <c r="V14" s="449">
        <f t="shared" si="16"/>
        <v>91</v>
      </c>
      <c r="W14" s="69"/>
      <c r="X14" s="69"/>
      <c r="Y14" s="510"/>
      <c r="Z14" s="510"/>
      <c r="AA14" s="66">
        <f t="shared" si="8"/>
        <v>-92.527472527472582</v>
      </c>
      <c r="AB14" s="442">
        <f t="shared" si="9"/>
        <v>0.95373626373626375</v>
      </c>
      <c r="AC14" s="511"/>
    </row>
    <row r="15" spans="1:29" ht="16.5" customHeight="1">
      <c r="A15" s="542" t="s">
        <v>153</v>
      </c>
      <c r="B15" s="450" t="s">
        <v>6</v>
      </c>
      <c r="C15" s="533" t="s">
        <v>20</v>
      </c>
      <c r="D15" s="533"/>
      <c r="E15" s="62">
        <v>50.92</v>
      </c>
      <c r="F15" s="450">
        <v>2868</v>
      </c>
      <c r="G15" s="441">
        <f t="shared" si="14"/>
        <v>146038.56</v>
      </c>
      <c r="H15" s="90" t="s">
        <v>5</v>
      </c>
      <c r="I15" s="448">
        <v>15</v>
      </c>
      <c r="J15" s="63">
        <v>2000</v>
      </c>
      <c r="K15" s="64">
        <f t="shared" si="1"/>
        <v>133.33333333333334</v>
      </c>
      <c r="L15" s="448">
        <v>15</v>
      </c>
      <c r="M15" s="65">
        <f t="shared" si="15"/>
        <v>1912</v>
      </c>
      <c r="N15" s="64">
        <f t="shared" si="3"/>
        <v>127.46666666666667</v>
      </c>
      <c r="O15" s="66">
        <f t="shared" si="4"/>
        <v>0</v>
      </c>
      <c r="P15" s="67">
        <f t="shared" si="5"/>
        <v>-5.8666666666666742</v>
      </c>
      <c r="Q15" s="442">
        <f t="shared" si="6"/>
        <v>0.95599999999999996</v>
      </c>
      <c r="R15" s="511"/>
      <c r="S15" s="68">
        <v>0.77569444444444446</v>
      </c>
      <c r="T15" s="68">
        <v>0.83819444444444446</v>
      </c>
      <c r="U15" s="441">
        <f t="shared" si="17"/>
        <v>5.9999999999999787</v>
      </c>
      <c r="V15" s="449">
        <f t="shared" si="16"/>
        <v>90</v>
      </c>
      <c r="W15" s="69"/>
      <c r="X15" s="69"/>
      <c r="Y15" s="510"/>
      <c r="Z15" s="510"/>
      <c r="AA15" s="66">
        <f t="shared" si="8"/>
        <v>-88</v>
      </c>
      <c r="AB15" s="442">
        <f t="shared" si="9"/>
        <v>0.95599999999999996</v>
      </c>
      <c r="AC15" s="511"/>
    </row>
    <row r="16" spans="1:29" ht="16.5" customHeight="1">
      <c r="A16" s="542" t="s">
        <v>2502</v>
      </c>
      <c r="B16" s="450" t="s">
        <v>6</v>
      </c>
      <c r="C16" s="533" t="s">
        <v>7</v>
      </c>
      <c r="D16" s="533"/>
      <c r="E16" s="62">
        <v>46.93</v>
      </c>
      <c r="F16" s="450">
        <v>1133</v>
      </c>
      <c r="G16" s="441">
        <f t="shared" si="14"/>
        <v>53171.69</v>
      </c>
      <c r="H16" s="90" t="s">
        <v>5</v>
      </c>
      <c r="I16" s="448">
        <v>16</v>
      </c>
      <c r="J16" s="63">
        <v>2000</v>
      </c>
      <c r="K16" s="64">
        <f t="shared" si="1"/>
        <v>125</v>
      </c>
      <c r="L16" s="448">
        <v>16</v>
      </c>
      <c r="M16" s="65">
        <f t="shared" si="15"/>
        <v>1942.2857142857124</v>
      </c>
      <c r="N16" s="64">
        <f t="shared" si="3"/>
        <v>121.39285714285703</v>
      </c>
      <c r="O16" s="66">
        <f t="shared" si="4"/>
        <v>0</v>
      </c>
      <c r="P16" s="67">
        <f t="shared" si="5"/>
        <v>-3.6071428571429749</v>
      </c>
      <c r="Q16" s="442">
        <f t="shared" si="6"/>
        <v>0.9711428571428562</v>
      </c>
      <c r="R16" s="511"/>
      <c r="S16" s="68">
        <v>0.84236111111111112</v>
      </c>
      <c r="T16" s="68">
        <v>0.8666666666666667</v>
      </c>
      <c r="U16" s="441">
        <f t="shared" si="17"/>
        <v>5.9999999999999787</v>
      </c>
      <c r="V16" s="449">
        <f t="shared" si="16"/>
        <v>35.000000000000036</v>
      </c>
      <c r="W16" s="69"/>
      <c r="X16" s="69"/>
      <c r="Y16" s="510"/>
      <c r="Z16" s="510"/>
      <c r="AA16" s="66">
        <f t="shared" si="8"/>
        <v>-57.714285714287598</v>
      </c>
      <c r="AB16" s="442">
        <f t="shared" si="9"/>
        <v>0.9711428571428562</v>
      </c>
      <c r="AC16" s="511"/>
    </row>
    <row r="17" spans="1:29" ht="16.5" customHeight="1">
      <c r="A17" s="542" t="s">
        <v>1619</v>
      </c>
      <c r="B17" s="62" t="s">
        <v>482</v>
      </c>
      <c r="C17" s="513"/>
      <c r="D17" s="513"/>
      <c r="E17" s="443"/>
      <c r="F17" s="71"/>
      <c r="G17" s="64"/>
      <c r="H17" s="450"/>
      <c r="I17" s="72">
        <v>18.399999999999999</v>
      </c>
      <c r="J17" s="63">
        <v>1800</v>
      </c>
      <c r="K17" s="64">
        <f t="shared" si="1"/>
        <v>97.826086956521749</v>
      </c>
      <c r="L17" s="72">
        <v>18.399999999999999</v>
      </c>
      <c r="M17" s="65">
        <f>AVERAGE(M12:M16)</f>
        <v>1726.4290815067282</v>
      </c>
      <c r="N17" s="64">
        <f t="shared" si="3"/>
        <v>93.827667473191752</v>
      </c>
      <c r="O17" s="66">
        <f t="shared" si="4"/>
        <v>0</v>
      </c>
      <c r="P17" s="67">
        <f t="shared" si="5"/>
        <v>-3.9984194833299966</v>
      </c>
      <c r="Q17" s="442">
        <f t="shared" si="6"/>
        <v>0.95912726750373778</v>
      </c>
      <c r="R17" s="511"/>
      <c r="S17" s="68"/>
      <c r="T17" s="68"/>
      <c r="U17" s="441"/>
      <c r="V17" s="449"/>
      <c r="W17" s="64"/>
      <c r="X17" s="64"/>
      <c r="Y17" s="510"/>
      <c r="Z17" s="510"/>
      <c r="AA17" s="66">
        <f t="shared" si="8"/>
        <v>-73.570918493271847</v>
      </c>
      <c r="AB17" s="442">
        <f t="shared" si="9"/>
        <v>0.95912726750373789</v>
      </c>
      <c r="AC17" s="511"/>
    </row>
    <row r="18" spans="1:29" ht="15.75" customHeight="1">
      <c r="A18" s="537" t="s">
        <v>246</v>
      </c>
      <c r="B18" s="62" t="s">
        <v>13</v>
      </c>
      <c r="C18" s="533" t="s">
        <v>21</v>
      </c>
      <c r="D18" s="533"/>
      <c r="E18" s="62">
        <v>43.14</v>
      </c>
      <c r="F18" s="450">
        <v>1198</v>
      </c>
      <c r="G18" s="441">
        <f t="shared" ref="G18:G25" si="18">E18*F18</f>
        <v>51681.72</v>
      </c>
      <c r="H18" s="90" t="s">
        <v>5</v>
      </c>
      <c r="I18" s="448">
        <v>17</v>
      </c>
      <c r="J18" s="63">
        <v>2000</v>
      </c>
      <c r="K18" s="64">
        <f t="shared" si="1"/>
        <v>117.64705882352941</v>
      </c>
      <c r="L18" s="448">
        <v>17</v>
      </c>
      <c r="M18" s="65">
        <f t="shared" ref="M18:M25" si="19">F18/V18*60</f>
        <v>1942.7027027027036</v>
      </c>
      <c r="N18" s="64">
        <f t="shared" si="3"/>
        <v>114.27662957074728</v>
      </c>
      <c r="O18" s="66">
        <f t="shared" si="4"/>
        <v>0</v>
      </c>
      <c r="P18" s="67">
        <f t="shared" si="5"/>
        <v>-3.3704292527821309</v>
      </c>
      <c r="Q18" s="442">
        <f t="shared" si="6"/>
        <v>0.97135135135135187</v>
      </c>
      <c r="R18" s="511">
        <f>Q26</f>
        <v>0.96108667403891057</v>
      </c>
      <c r="S18" s="68">
        <v>0.20833333333333334</v>
      </c>
      <c r="T18" s="68">
        <v>0.23402777777777778</v>
      </c>
      <c r="U18" s="441"/>
      <c r="V18" s="449">
        <f t="shared" ref="V18:V25" si="20">(T18-S18)*24*60</f>
        <v>36.999999999999986</v>
      </c>
      <c r="W18" s="73"/>
      <c r="X18" s="73"/>
      <c r="Y18" s="510"/>
      <c r="Z18" s="510"/>
      <c r="AA18" s="66">
        <f t="shared" si="8"/>
        <v>-57.297297297296382</v>
      </c>
      <c r="AB18" s="442">
        <f t="shared" si="9"/>
        <v>0.97135135135135175</v>
      </c>
      <c r="AC18" s="511">
        <f>AB26</f>
        <v>0.96108667403891046</v>
      </c>
    </row>
    <row r="19" spans="1:29" ht="15.75" customHeight="1">
      <c r="A19" s="538" t="s">
        <v>246</v>
      </c>
      <c r="B19" s="62" t="s">
        <v>77</v>
      </c>
      <c r="C19" s="533" t="s">
        <v>980</v>
      </c>
      <c r="D19" s="533"/>
      <c r="E19" s="62">
        <v>49.9</v>
      </c>
      <c r="F19" s="450">
        <v>2123</v>
      </c>
      <c r="G19" s="441">
        <f t="shared" si="18"/>
        <v>105937.7</v>
      </c>
      <c r="H19" s="90" t="s">
        <v>5</v>
      </c>
      <c r="I19" s="448">
        <v>19</v>
      </c>
      <c r="J19" s="63">
        <v>2000</v>
      </c>
      <c r="K19" s="64">
        <f t="shared" si="1"/>
        <v>105.26315789473684</v>
      </c>
      <c r="L19" s="448">
        <v>19</v>
      </c>
      <c r="M19" s="65">
        <f t="shared" si="19"/>
        <v>1901.1940298507475</v>
      </c>
      <c r="N19" s="64">
        <f t="shared" si="3"/>
        <v>100.06284367635513</v>
      </c>
      <c r="O19" s="66">
        <f t="shared" si="4"/>
        <v>0</v>
      </c>
      <c r="P19" s="67">
        <f t="shared" si="5"/>
        <v>-5.2003142183817062</v>
      </c>
      <c r="Q19" s="442">
        <f t="shared" si="6"/>
        <v>0.95059701492537374</v>
      </c>
      <c r="R19" s="511"/>
      <c r="S19" s="68">
        <v>0.23819444444444446</v>
      </c>
      <c r="T19" s="68">
        <v>0.28472222222222221</v>
      </c>
      <c r="U19" s="441">
        <f t="shared" ref="U19:U25" si="21">IF(S19=TIME(17,0,0),"",(S19-T18)*24*60)</f>
        <v>6.0000000000000187</v>
      </c>
      <c r="V19" s="449">
        <f t="shared" si="20"/>
        <v>66.999999999999957</v>
      </c>
      <c r="W19" s="69"/>
      <c r="X19" s="441"/>
      <c r="Y19" s="510"/>
      <c r="Z19" s="510"/>
      <c r="AA19" s="66">
        <f t="shared" si="8"/>
        <v>-98.805970149252516</v>
      </c>
      <c r="AB19" s="442">
        <f t="shared" si="9"/>
        <v>0.95059701492537374</v>
      </c>
      <c r="AC19" s="511"/>
    </row>
    <row r="20" spans="1:29" ht="15.75" customHeight="1">
      <c r="A20" s="538" t="s">
        <v>155</v>
      </c>
      <c r="B20" s="62" t="s">
        <v>6</v>
      </c>
      <c r="C20" s="533" t="s">
        <v>22</v>
      </c>
      <c r="D20" s="533"/>
      <c r="E20" s="62">
        <v>57.73</v>
      </c>
      <c r="F20" s="450">
        <v>2865</v>
      </c>
      <c r="G20" s="441">
        <f t="shared" si="18"/>
        <v>165396.44999999998</v>
      </c>
      <c r="H20" s="90" t="s">
        <v>5</v>
      </c>
      <c r="I20" s="448">
        <v>14</v>
      </c>
      <c r="J20" s="63">
        <v>2000</v>
      </c>
      <c r="K20" s="64">
        <f t="shared" si="1"/>
        <v>142.85714285714286</v>
      </c>
      <c r="L20" s="448">
        <v>14</v>
      </c>
      <c r="M20" s="65">
        <f t="shared" si="19"/>
        <v>1910</v>
      </c>
      <c r="N20" s="64">
        <f t="shared" si="3"/>
        <v>136.42857142857142</v>
      </c>
      <c r="O20" s="66">
        <f t="shared" si="4"/>
        <v>0</v>
      </c>
      <c r="P20" s="67">
        <f t="shared" si="5"/>
        <v>-6.4285714285714448</v>
      </c>
      <c r="Q20" s="442">
        <f t="shared" si="6"/>
        <v>0.95499999999999985</v>
      </c>
      <c r="R20" s="511"/>
      <c r="S20" s="68">
        <v>0.28888888888888886</v>
      </c>
      <c r="T20" s="68">
        <v>0.35138888888888886</v>
      </c>
      <c r="U20" s="441">
        <f t="shared" si="21"/>
        <v>5.9999999999999787</v>
      </c>
      <c r="V20" s="449">
        <f t="shared" si="20"/>
        <v>90</v>
      </c>
      <c r="W20" s="69"/>
      <c r="X20" s="441"/>
      <c r="Y20" s="510"/>
      <c r="Z20" s="510"/>
      <c r="AA20" s="66">
        <f t="shared" si="8"/>
        <v>-90</v>
      </c>
      <c r="AB20" s="442">
        <f t="shared" si="9"/>
        <v>0.95499999999999996</v>
      </c>
      <c r="AC20" s="511"/>
    </row>
    <row r="21" spans="1:29" ht="15.75" customHeight="1">
      <c r="A21" s="538" t="s">
        <v>155</v>
      </c>
      <c r="B21" s="62" t="s">
        <v>6</v>
      </c>
      <c r="C21" s="533" t="s">
        <v>23</v>
      </c>
      <c r="D21" s="533"/>
      <c r="E21" s="62">
        <v>53.68</v>
      </c>
      <c r="F21" s="450">
        <v>1777</v>
      </c>
      <c r="G21" s="441">
        <f t="shared" si="18"/>
        <v>95389.36</v>
      </c>
      <c r="H21" s="90" t="s">
        <v>5</v>
      </c>
      <c r="I21" s="448">
        <v>16</v>
      </c>
      <c r="J21" s="63">
        <v>2000</v>
      </c>
      <c r="K21" s="64">
        <f t="shared" si="1"/>
        <v>125</v>
      </c>
      <c r="L21" s="448">
        <v>16</v>
      </c>
      <c r="M21" s="65">
        <f t="shared" si="19"/>
        <v>1938.5454545454561</v>
      </c>
      <c r="N21" s="64">
        <f t="shared" si="3"/>
        <v>121.15909090909101</v>
      </c>
      <c r="O21" s="66">
        <f t="shared" si="4"/>
        <v>0</v>
      </c>
      <c r="P21" s="67">
        <f t="shared" si="5"/>
        <v>-3.840909090908994</v>
      </c>
      <c r="Q21" s="442">
        <f t="shared" si="6"/>
        <v>0.96927272727272806</v>
      </c>
      <c r="R21" s="511"/>
      <c r="S21" s="68">
        <v>0.35486111111111107</v>
      </c>
      <c r="T21" s="68">
        <v>0.39305555555555549</v>
      </c>
      <c r="U21" s="441">
        <f t="shared" si="21"/>
        <v>4.9999999999999822</v>
      </c>
      <c r="V21" s="449">
        <f t="shared" si="20"/>
        <v>54.999999999999964</v>
      </c>
      <c r="W21" s="69"/>
      <c r="X21" s="441"/>
      <c r="Y21" s="510"/>
      <c r="Z21" s="510"/>
      <c r="AA21" s="66">
        <f t="shared" si="8"/>
        <v>-61.454545454543904</v>
      </c>
      <c r="AB21" s="442">
        <f t="shared" si="9"/>
        <v>0.96927272727272806</v>
      </c>
      <c r="AC21" s="511"/>
    </row>
    <row r="22" spans="1:29" ht="15.75" customHeight="1">
      <c r="A22" s="538" t="s">
        <v>2503</v>
      </c>
      <c r="B22" s="62" t="s">
        <v>6</v>
      </c>
      <c r="C22" s="533" t="s">
        <v>971</v>
      </c>
      <c r="D22" s="533"/>
      <c r="E22" s="62">
        <v>49.91</v>
      </c>
      <c r="F22" s="450">
        <v>1804</v>
      </c>
      <c r="G22" s="441">
        <f t="shared" si="18"/>
        <v>90037.64</v>
      </c>
      <c r="H22" s="90" t="s">
        <v>5</v>
      </c>
      <c r="I22" s="448">
        <v>19</v>
      </c>
      <c r="J22" s="63">
        <v>2000</v>
      </c>
      <c r="K22" s="64">
        <f t="shared" si="1"/>
        <v>105.26315789473684</v>
      </c>
      <c r="L22" s="448">
        <v>19</v>
      </c>
      <c r="M22" s="65">
        <f t="shared" si="19"/>
        <v>1932.8571428571443</v>
      </c>
      <c r="N22" s="64">
        <f t="shared" si="3"/>
        <v>101.72932330827075</v>
      </c>
      <c r="O22" s="66">
        <f t="shared" si="4"/>
        <v>0</v>
      </c>
      <c r="P22" s="67">
        <f t="shared" si="5"/>
        <v>-3.5338345864660852</v>
      </c>
      <c r="Q22" s="442">
        <f t="shared" si="6"/>
        <v>0.96642857142857219</v>
      </c>
      <c r="R22" s="511"/>
      <c r="S22" s="68">
        <v>0.39791666666666659</v>
      </c>
      <c r="T22" s="68">
        <v>0.43680555555555545</v>
      </c>
      <c r="U22" s="441">
        <f t="shared" si="21"/>
        <v>6.9999999999999751</v>
      </c>
      <c r="V22" s="449">
        <f t="shared" si="20"/>
        <v>55.999999999999957</v>
      </c>
      <c r="W22" s="69"/>
      <c r="X22" s="441"/>
      <c r="Y22" s="510"/>
      <c r="Z22" s="510"/>
      <c r="AA22" s="66">
        <f t="shared" si="8"/>
        <v>-67.142857142855746</v>
      </c>
      <c r="AB22" s="442">
        <f t="shared" si="9"/>
        <v>0.96642857142857208</v>
      </c>
      <c r="AC22" s="511"/>
    </row>
    <row r="23" spans="1:29" ht="15.75" customHeight="1">
      <c r="A23" s="538" t="s">
        <v>155</v>
      </c>
      <c r="B23" s="62" t="s">
        <v>6</v>
      </c>
      <c r="C23" s="533" t="s">
        <v>24</v>
      </c>
      <c r="D23" s="533"/>
      <c r="E23" s="62">
        <v>54.09</v>
      </c>
      <c r="F23" s="450">
        <v>2044</v>
      </c>
      <c r="G23" s="441">
        <f t="shared" si="18"/>
        <v>110559.96</v>
      </c>
      <c r="H23" s="90" t="s">
        <v>5</v>
      </c>
      <c r="I23" s="448">
        <v>19</v>
      </c>
      <c r="J23" s="63">
        <v>2000</v>
      </c>
      <c r="K23" s="64">
        <f t="shared" si="1"/>
        <v>105.26315789473684</v>
      </c>
      <c r="L23" s="448">
        <v>19</v>
      </c>
      <c r="M23" s="65">
        <f t="shared" si="19"/>
        <v>1916.250000000002</v>
      </c>
      <c r="N23" s="64">
        <f t="shared" si="3"/>
        <v>100.85526315789484</v>
      </c>
      <c r="O23" s="66">
        <f t="shared" si="4"/>
        <v>0</v>
      </c>
      <c r="P23" s="67">
        <f t="shared" si="5"/>
        <v>-4.4078947368419961</v>
      </c>
      <c r="Q23" s="442">
        <f t="shared" si="6"/>
        <v>0.958125000000001</v>
      </c>
      <c r="R23" s="511"/>
      <c r="S23" s="68">
        <v>0.70833333333333337</v>
      </c>
      <c r="T23" s="68">
        <v>0.75277777777777777</v>
      </c>
      <c r="U23" s="441" t="str">
        <f t="shared" si="21"/>
        <v/>
      </c>
      <c r="V23" s="449">
        <f t="shared" si="20"/>
        <v>63.999999999999929</v>
      </c>
      <c r="W23" s="69"/>
      <c r="X23" s="73"/>
      <c r="Y23" s="510"/>
      <c r="Z23" s="510"/>
      <c r="AA23" s="66">
        <f t="shared" si="8"/>
        <v>-83.749999999997954</v>
      </c>
      <c r="AB23" s="442">
        <f t="shared" si="9"/>
        <v>0.958125000000001</v>
      </c>
      <c r="AC23" s="511"/>
    </row>
    <row r="24" spans="1:29" ht="15.75" customHeight="1">
      <c r="A24" s="538" t="s">
        <v>155</v>
      </c>
      <c r="B24" s="62" t="s">
        <v>6</v>
      </c>
      <c r="C24" s="533" t="s">
        <v>82</v>
      </c>
      <c r="D24" s="533"/>
      <c r="E24" s="62">
        <v>57.73</v>
      </c>
      <c r="F24" s="450">
        <v>1716</v>
      </c>
      <c r="G24" s="441">
        <f t="shared" si="18"/>
        <v>99064.68</v>
      </c>
      <c r="H24" s="90" t="s">
        <v>5</v>
      </c>
      <c r="I24" s="448">
        <v>16</v>
      </c>
      <c r="J24" s="63">
        <v>1500</v>
      </c>
      <c r="K24" s="64">
        <f t="shared" si="1"/>
        <v>93.75</v>
      </c>
      <c r="L24" s="448">
        <v>16</v>
      </c>
      <c r="M24" s="65">
        <f t="shared" si="19"/>
        <v>1429.9999999999989</v>
      </c>
      <c r="N24" s="64">
        <f t="shared" si="3"/>
        <v>89.374999999999929</v>
      </c>
      <c r="O24" s="66">
        <f t="shared" si="4"/>
        <v>0</v>
      </c>
      <c r="P24" s="67">
        <f t="shared" si="5"/>
        <v>-4.3750000000000711</v>
      </c>
      <c r="Q24" s="442">
        <f t="shared" si="6"/>
        <v>0.95333333333333259</v>
      </c>
      <c r="R24" s="511"/>
      <c r="S24" s="68">
        <v>0.7583333333333333</v>
      </c>
      <c r="T24" s="68">
        <v>0.80833333333333335</v>
      </c>
      <c r="U24" s="441">
        <f t="shared" si="21"/>
        <v>7.9999999999999716</v>
      </c>
      <c r="V24" s="449">
        <f t="shared" si="20"/>
        <v>72.000000000000057</v>
      </c>
      <c r="W24" s="69"/>
      <c r="X24" s="73"/>
      <c r="Y24" s="517"/>
      <c r="Z24" s="518"/>
      <c r="AA24" s="66">
        <f t="shared" si="8"/>
        <v>-70.000000000001137</v>
      </c>
      <c r="AB24" s="442">
        <f t="shared" si="9"/>
        <v>0.95333333333333259</v>
      </c>
      <c r="AC24" s="511"/>
    </row>
    <row r="25" spans="1:29" ht="15.75" customHeight="1">
      <c r="A25" s="538" t="s">
        <v>2503</v>
      </c>
      <c r="B25" s="62" t="s">
        <v>6</v>
      </c>
      <c r="C25" s="534" t="s">
        <v>81</v>
      </c>
      <c r="D25" s="535"/>
      <c r="E25" s="62">
        <v>50.67</v>
      </c>
      <c r="F25" s="450">
        <v>2182</v>
      </c>
      <c r="G25" s="441">
        <f t="shared" si="18"/>
        <v>110561.94</v>
      </c>
      <c r="H25" s="90" t="s">
        <v>5</v>
      </c>
      <c r="I25" s="448">
        <v>15</v>
      </c>
      <c r="J25" s="63">
        <v>2000</v>
      </c>
      <c r="K25" s="64">
        <f t="shared" si="1"/>
        <v>133.33333333333334</v>
      </c>
      <c r="L25" s="448">
        <v>15</v>
      </c>
      <c r="M25" s="65">
        <f t="shared" si="19"/>
        <v>1925.2941176470613</v>
      </c>
      <c r="N25" s="64">
        <f t="shared" si="3"/>
        <v>128.35294117647075</v>
      </c>
      <c r="O25" s="66">
        <f t="shared" si="4"/>
        <v>0</v>
      </c>
      <c r="P25" s="67">
        <f t="shared" si="5"/>
        <v>-4.9803921568625924</v>
      </c>
      <c r="Q25" s="442">
        <f t="shared" si="6"/>
        <v>0.96264705882353052</v>
      </c>
      <c r="R25" s="511"/>
      <c r="S25" s="68">
        <v>0.81180555555555556</v>
      </c>
      <c r="T25" s="68">
        <v>0.85902777777777772</v>
      </c>
      <c r="U25" s="441">
        <f t="shared" si="21"/>
        <v>4.9999999999999822</v>
      </c>
      <c r="V25" s="449">
        <f t="shared" si="20"/>
        <v>67.999999999999915</v>
      </c>
      <c r="W25" s="69"/>
      <c r="X25" s="69"/>
      <c r="Y25" s="517"/>
      <c r="Z25" s="518"/>
      <c r="AA25" s="66">
        <f t="shared" si="8"/>
        <v>-74.705882352938715</v>
      </c>
      <c r="AB25" s="442">
        <f t="shared" si="9"/>
        <v>0.96264705882353063</v>
      </c>
      <c r="AC25" s="511"/>
    </row>
    <row r="26" spans="1:29" ht="15.75" customHeight="1">
      <c r="A26" s="538" t="s">
        <v>155</v>
      </c>
      <c r="B26" s="62" t="s">
        <v>79</v>
      </c>
      <c r="C26" s="513"/>
      <c r="D26" s="513"/>
      <c r="E26" s="443"/>
      <c r="F26" s="450"/>
      <c r="G26" s="441"/>
      <c r="H26" s="450"/>
      <c r="I26" s="72">
        <v>16.875</v>
      </c>
      <c r="J26" s="63">
        <v>1937.5</v>
      </c>
      <c r="K26" s="64">
        <f t="shared" si="1"/>
        <v>114.81481481481481</v>
      </c>
      <c r="L26" s="72">
        <v>16.875</v>
      </c>
      <c r="M26" s="65">
        <f>AVERAGE(M18:M25)</f>
        <v>1862.1054309503891</v>
      </c>
      <c r="N26" s="64">
        <f t="shared" si="3"/>
        <v>110.3469885007638</v>
      </c>
      <c r="O26" s="66">
        <f t="shared" si="4"/>
        <v>0</v>
      </c>
      <c r="P26" s="67">
        <f t="shared" si="5"/>
        <v>-4.4678263140510097</v>
      </c>
      <c r="Q26" s="442">
        <f t="shared" si="6"/>
        <v>0.96108667403891057</v>
      </c>
      <c r="R26" s="511"/>
      <c r="S26" s="68"/>
      <c r="T26" s="68"/>
      <c r="U26" s="64"/>
      <c r="V26" s="449"/>
      <c r="W26" s="64"/>
      <c r="X26" s="64"/>
      <c r="Y26" s="510"/>
      <c r="Z26" s="510"/>
      <c r="AA26" s="66">
        <f t="shared" si="8"/>
        <v>-75.394569049610936</v>
      </c>
      <c r="AB26" s="442">
        <f t="shared" si="9"/>
        <v>0.96108667403891046</v>
      </c>
      <c r="AC26" s="511"/>
    </row>
    <row r="27" spans="1:29" ht="15.75" customHeight="1">
      <c r="A27" s="536" t="s">
        <v>2504</v>
      </c>
      <c r="B27" s="62" t="s">
        <v>16</v>
      </c>
      <c r="C27" s="533" t="s">
        <v>30</v>
      </c>
      <c r="D27" s="533"/>
      <c r="E27" s="62">
        <v>31.29</v>
      </c>
      <c r="F27" s="450">
        <v>4500</v>
      </c>
      <c r="G27" s="441">
        <f t="shared" ref="G27:G34" si="22">E27*F27</f>
        <v>140805</v>
      </c>
      <c r="H27" s="90">
        <v>2</v>
      </c>
      <c r="I27" s="448">
        <v>18</v>
      </c>
      <c r="J27" s="63">
        <v>2400</v>
      </c>
      <c r="K27" s="64">
        <f t="shared" si="1"/>
        <v>133.33333333333334</v>
      </c>
      <c r="L27" s="448">
        <v>18</v>
      </c>
      <c r="M27" s="65">
        <f t="shared" ref="M27:M34" si="23">F27/V27*60</f>
        <v>2288.1355932203392</v>
      </c>
      <c r="N27" s="64">
        <f t="shared" si="3"/>
        <v>127.11864406779662</v>
      </c>
      <c r="O27" s="66">
        <f t="shared" si="4"/>
        <v>0</v>
      </c>
      <c r="P27" s="67">
        <f t="shared" si="5"/>
        <v>-6.2146892655367196</v>
      </c>
      <c r="Q27" s="442">
        <f t="shared" si="6"/>
        <v>0.95338983050847459</v>
      </c>
      <c r="R27" s="511">
        <f>Q35</f>
        <v>0.9565612871931799</v>
      </c>
      <c r="S27" s="68">
        <v>8.3333333333333329E-2</v>
      </c>
      <c r="T27" s="68">
        <v>0.16527777777777777</v>
      </c>
      <c r="U27" s="441"/>
      <c r="V27" s="449">
        <f t="shared" ref="V27:V34" si="24">(T27-S27)*24*60</f>
        <v>118</v>
      </c>
      <c r="W27" s="69">
        <f>T27</f>
        <v>0.16527777777777777</v>
      </c>
      <c r="X27" s="69">
        <f>S28</f>
        <v>0.1847222222222222</v>
      </c>
      <c r="Y27" s="510"/>
      <c r="Z27" s="510"/>
      <c r="AA27" s="66">
        <f t="shared" si="8"/>
        <v>-111.86440677966084</v>
      </c>
      <c r="AB27" s="442">
        <f t="shared" si="9"/>
        <v>0.9533898305084747</v>
      </c>
      <c r="AC27" s="511">
        <f>AB35</f>
        <v>0.95656128719318001</v>
      </c>
    </row>
    <row r="28" spans="1:29" ht="15.75" customHeight="1">
      <c r="A28" s="536" t="s">
        <v>159</v>
      </c>
      <c r="B28" s="62" t="s">
        <v>16</v>
      </c>
      <c r="C28" s="533" t="s">
        <v>25</v>
      </c>
      <c r="D28" s="533"/>
      <c r="E28" s="62">
        <v>26.2</v>
      </c>
      <c r="F28" s="450">
        <v>3500</v>
      </c>
      <c r="G28" s="441">
        <f t="shared" si="22"/>
        <v>91700</v>
      </c>
      <c r="H28" s="90">
        <v>2</v>
      </c>
      <c r="I28" s="448">
        <v>20</v>
      </c>
      <c r="J28" s="63">
        <v>2400</v>
      </c>
      <c r="K28" s="64">
        <f t="shared" si="1"/>
        <v>120</v>
      </c>
      <c r="L28" s="448">
        <v>20</v>
      </c>
      <c r="M28" s="65">
        <f t="shared" si="23"/>
        <v>2307.6923076923076</v>
      </c>
      <c r="N28" s="64">
        <f t="shared" si="3"/>
        <v>115.38461538461539</v>
      </c>
      <c r="O28" s="66">
        <f t="shared" si="4"/>
        <v>0</v>
      </c>
      <c r="P28" s="67">
        <f t="shared" si="5"/>
        <v>-4.6153846153846132</v>
      </c>
      <c r="Q28" s="442">
        <f t="shared" si="6"/>
        <v>0.96153846153846156</v>
      </c>
      <c r="R28" s="511"/>
      <c r="S28" s="68">
        <v>0.1847222222222222</v>
      </c>
      <c r="T28" s="68">
        <v>0.24791666666666665</v>
      </c>
      <c r="U28" s="441">
        <f t="shared" ref="U28:U34" si="25">(S28-T27)*24*60</f>
        <v>27.999999999999979</v>
      </c>
      <c r="V28" s="449">
        <f t="shared" si="24"/>
        <v>91</v>
      </c>
      <c r="W28" s="69"/>
      <c r="X28" s="69"/>
      <c r="Y28" s="510"/>
      <c r="Z28" s="510"/>
      <c r="AA28" s="66">
        <f t="shared" si="8"/>
        <v>-92.307692307692378</v>
      </c>
      <c r="AB28" s="442">
        <f t="shared" si="9"/>
        <v>0.96153846153846156</v>
      </c>
      <c r="AC28" s="511"/>
    </row>
    <row r="29" spans="1:29" ht="15.75" customHeight="1">
      <c r="A29" s="536" t="s">
        <v>2505</v>
      </c>
      <c r="B29" s="62" t="s">
        <v>16</v>
      </c>
      <c r="C29" s="533" t="s">
        <v>83</v>
      </c>
      <c r="D29" s="533"/>
      <c r="E29" s="62">
        <v>25.99</v>
      </c>
      <c r="F29" s="450">
        <v>3300</v>
      </c>
      <c r="G29" s="441">
        <f t="shared" si="22"/>
        <v>85767</v>
      </c>
      <c r="H29" s="90">
        <v>2</v>
      </c>
      <c r="I29" s="448">
        <v>14</v>
      </c>
      <c r="J29" s="63">
        <v>2400</v>
      </c>
      <c r="K29" s="64">
        <f t="shared" si="1"/>
        <v>171.42857142857142</v>
      </c>
      <c r="L29" s="448">
        <v>14</v>
      </c>
      <c r="M29" s="65">
        <f t="shared" si="23"/>
        <v>2302.3255813953483</v>
      </c>
      <c r="N29" s="64">
        <f t="shared" si="3"/>
        <v>164.45182724252487</v>
      </c>
      <c r="O29" s="66">
        <f t="shared" si="4"/>
        <v>0</v>
      </c>
      <c r="P29" s="67">
        <f t="shared" si="5"/>
        <v>-6.9767441860465453</v>
      </c>
      <c r="Q29" s="442">
        <f t="shared" si="6"/>
        <v>0.95930232558139517</v>
      </c>
      <c r="R29" s="511"/>
      <c r="S29" s="68">
        <v>0.25277777777777777</v>
      </c>
      <c r="T29" s="68">
        <v>0.3125</v>
      </c>
      <c r="U29" s="441">
        <f t="shared" si="25"/>
        <v>7.0000000000000151</v>
      </c>
      <c r="V29" s="449">
        <f t="shared" si="24"/>
        <v>86.000000000000014</v>
      </c>
      <c r="W29" s="69"/>
      <c r="X29" s="69"/>
      <c r="Y29" s="510"/>
      <c r="Z29" s="510"/>
      <c r="AA29" s="66">
        <f t="shared" si="8"/>
        <v>-97.674418604651692</v>
      </c>
      <c r="AB29" s="442">
        <f t="shared" si="9"/>
        <v>0.95930232558139517</v>
      </c>
      <c r="AC29" s="511"/>
    </row>
    <row r="30" spans="1:29" ht="15.75" customHeight="1">
      <c r="A30" s="536" t="s">
        <v>159</v>
      </c>
      <c r="B30" s="62" t="s">
        <v>16</v>
      </c>
      <c r="C30" s="533" t="s">
        <v>50</v>
      </c>
      <c r="D30" s="533"/>
      <c r="E30" s="62">
        <v>20.52</v>
      </c>
      <c r="F30" s="450">
        <v>5399</v>
      </c>
      <c r="G30" s="441">
        <f t="shared" si="22"/>
        <v>110787.48</v>
      </c>
      <c r="H30" s="90" t="s">
        <v>5</v>
      </c>
      <c r="I30" s="448">
        <v>18</v>
      </c>
      <c r="J30" s="63">
        <v>2400</v>
      </c>
      <c r="K30" s="64">
        <f t="shared" si="1"/>
        <v>133.33333333333334</v>
      </c>
      <c r="L30" s="448">
        <v>18</v>
      </c>
      <c r="M30" s="65">
        <f t="shared" si="23"/>
        <v>2281.2676056338032</v>
      </c>
      <c r="N30" s="64">
        <f t="shared" si="3"/>
        <v>126.73708920187795</v>
      </c>
      <c r="O30" s="66">
        <f t="shared" si="4"/>
        <v>0</v>
      </c>
      <c r="P30" s="67">
        <f t="shared" si="5"/>
        <v>-6.5962441314553928</v>
      </c>
      <c r="Q30" s="442">
        <f t="shared" si="6"/>
        <v>0.95052816901408455</v>
      </c>
      <c r="R30" s="511"/>
      <c r="S30" s="68">
        <v>0.31597222222222221</v>
      </c>
      <c r="T30" s="68">
        <v>0.4145833333333333</v>
      </c>
      <c r="U30" s="441">
        <f t="shared" si="25"/>
        <v>4.9999999999999822</v>
      </c>
      <c r="V30" s="449">
        <f t="shared" si="24"/>
        <v>141.99999999999997</v>
      </c>
      <c r="W30" s="69"/>
      <c r="X30" s="69"/>
      <c r="Y30" s="510"/>
      <c r="Z30" s="510"/>
      <c r="AA30" s="66">
        <f t="shared" si="8"/>
        <v>-118.73239436619679</v>
      </c>
      <c r="AB30" s="442">
        <f t="shared" si="9"/>
        <v>0.95052816901408466</v>
      </c>
      <c r="AC30" s="511"/>
    </row>
    <row r="31" spans="1:29" ht="15.75" customHeight="1">
      <c r="A31" s="536" t="s">
        <v>2504</v>
      </c>
      <c r="B31" s="62" t="s">
        <v>16</v>
      </c>
      <c r="C31" s="533" t="s">
        <v>982</v>
      </c>
      <c r="D31" s="533"/>
      <c r="E31" s="62">
        <v>25.98</v>
      </c>
      <c r="F31" s="450">
        <v>5267</v>
      </c>
      <c r="G31" s="441">
        <f t="shared" si="22"/>
        <v>136836.66</v>
      </c>
      <c r="H31" s="90" t="s">
        <v>5</v>
      </c>
      <c r="I31" s="448">
        <v>21</v>
      </c>
      <c r="J31" s="63">
        <v>2400</v>
      </c>
      <c r="K31" s="64">
        <f t="shared" si="1"/>
        <v>114.28571428571429</v>
      </c>
      <c r="L31" s="448">
        <v>21</v>
      </c>
      <c r="M31" s="65">
        <f t="shared" si="23"/>
        <v>2290</v>
      </c>
      <c r="N31" s="64">
        <f t="shared" si="3"/>
        <v>109.04761904761905</v>
      </c>
      <c r="O31" s="66">
        <f t="shared" si="4"/>
        <v>0</v>
      </c>
      <c r="P31" s="67">
        <f t="shared" si="5"/>
        <v>-5.2380952380952408</v>
      </c>
      <c r="Q31" s="442">
        <f t="shared" si="6"/>
        <v>0.95416666666666661</v>
      </c>
      <c r="R31" s="511"/>
      <c r="S31" s="68">
        <v>0.4194444444444444</v>
      </c>
      <c r="T31" s="68">
        <v>0.51527777777777772</v>
      </c>
      <c r="U31" s="441">
        <f t="shared" si="25"/>
        <v>6.9999999999999751</v>
      </c>
      <c r="V31" s="449">
        <f t="shared" si="24"/>
        <v>138</v>
      </c>
      <c r="W31" s="69">
        <f>T31</f>
        <v>0.51527777777777772</v>
      </c>
      <c r="X31" s="69">
        <f>S32</f>
        <v>0.55624999999999991</v>
      </c>
      <c r="Y31" s="510"/>
      <c r="Z31" s="510"/>
      <c r="AA31" s="66">
        <f t="shared" si="8"/>
        <v>-110</v>
      </c>
      <c r="AB31" s="442">
        <f t="shared" si="9"/>
        <v>0.95416666666666672</v>
      </c>
      <c r="AC31" s="511"/>
    </row>
    <row r="32" spans="1:29" ht="15.75" customHeight="1">
      <c r="A32" s="536" t="s">
        <v>159</v>
      </c>
      <c r="B32" s="62" t="s">
        <v>16</v>
      </c>
      <c r="C32" s="533" t="s">
        <v>30</v>
      </c>
      <c r="D32" s="533"/>
      <c r="E32" s="62">
        <v>31.29</v>
      </c>
      <c r="F32" s="450">
        <v>6025</v>
      </c>
      <c r="G32" s="441">
        <f t="shared" si="22"/>
        <v>188522.25</v>
      </c>
      <c r="H32" s="90" t="s">
        <v>5</v>
      </c>
      <c r="I32" s="448">
        <v>18</v>
      </c>
      <c r="J32" s="63">
        <v>2400</v>
      </c>
      <c r="K32" s="64">
        <f t="shared" si="1"/>
        <v>133.33333333333334</v>
      </c>
      <c r="L32" s="448">
        <v>18</v>
      </c>
      <c r="M32" s="65">
        <f t="shared" si="23"/>
        <v>2287.9746835443025</v>
      </c>
      <c r="N32" s="64">
        <f t="shared" si="3"/>
        <v>127.10970464135013</v>
      </c>
      <c r="O32" s="66">
        <f t="shared" si="4"/>
        <v>0</v>
      </c>
      <c r="P32" s="67">
        <f t="shared" si="5"/>
        <v>-6.2236286919832082</v>
      </c>
      <c r="Q32" s="442">
        <f t="shared" si="6"/>
        <v>0.95332278481012589</v>
      </c>
      <c r="R32" s="511"/>
      <c r="S32" s="68">
        <v>0.55624999999999991</v>
      </c>
      <c r="T32" s="68">
        <v>0.66597222222222219</v>
      </c>
      <c r="U32" s="441">
        <f t="shared" si="25"/>
        <v>58.99999999999995</v>
      </c>
      <c r="V32" s="449">
        <f t="shared" si="24"/>
        <v>158.00000000000009</v>
      </c>
      <c r="W32" s="69"/>
      <c r="X32" s="69"/>
      <c r="Y32" s="510"/>
      <c r="Z32" s="510"/>
      <c r="AA32" s="66">
        <f t="shared" si="8"/>
        <v>-112.02531645569752</v>
      </c>
      <c r="AB32" s="442">
        <f t="shared" si="9"/>
        <v>0.953322784810126</v>
      </c>
      <c r="AC32" s="511"/>
    </row>
    <row r="33" spans="1:29" ht="15.75" customHeight="1">
      <c r="A33" s="536" t="s">
        <v>2505</v>
      </c>
      <c r="B33" s="62" t="s">
        <v>16</v>
      </c>
      <c r="C33" s="533" t="s">
        <v>25</v>
      </c>
      <c r="D33" s="533"/>
      <c r="E33" s="62">
        <v>26.2</v>
      </c>
      <c r="F33" s="450">
        <v>2445</v>
      </c>
      <c r="G33" s="441">
        <f t="shared" si="22"/>
        <v>64059</v>
      </c>
      <c r="H33" s="90" t="s">
        <v>5</v>
      </c>
      <c r="I33" s="448">
        <v>20</v>
      </c>
      <c r="J33" s="63">
        <v>2400</v>
      </c>
      <c r="K33" s="64">
        <f t="shared" si="1"/>
        <v>120</v>
      </c>
      <c r="L33" s="448">
        <v>20</v>
      </c>
      <c r="M33" s="65">
        <f t="shared" si="23"/>
        <v>2292.1875000000027</v>
      </c>
      <c r="N33" s="64">
        <f t="shared" si="3"/>
        <v>114.60937500000014</v>
      </c>
      <c r="O33" s="66">
        <f t="shared" si="4"/>
        <v>0</v>
      </c>
      <c r="P33" s="67">
        <f t="shared" si="5"/>
        <v>-5.3906249999998579</v>
      </c>
      <c r="Q33" s="442">
        <f t="shared" si="6"/>
        <v>0.95507812500000122</v>
      </c>
      <c r="R33" s="511"/>
      <c r="S33" s="68">
        <v>0.67013888888888884</v>
      </c>
      <c r="T33" s="68">
        <v>0.71458333333333324</v>
      </c>
      <c r="U33" s="441">
        <f t="shared" si="25"/>
        <v>5.9999999999999787</v>
      </c>
      <c r="V33" s="449">
        <f t="shared" si="24"/>
        <v>63.999999999999929</v>
      </c>
      <c r="W33" s="69"/>
      <c r="X33" s="69"/>
      <c r="Y33" s="510"/>
      <c r="Z33" s="510"/>
      <c r="AA33" s="66">
        <f t="shared" si="8"/>
        <v>-107.81249999999727</v>
      </c>
      <c r="AB33" s="442">
        <f t="shared" si="9"/>
        <v>0.95507812500000111</v>
      </c>
      <c r="AC33" s="511"/>
    </row>
    <row r="34" spans="1:29" ht="15.75" customHeight="1">
      <c r="A34" s="536" t="s">
        <v>2504</v>
      </c>
      <c r="B34" s="62" t="s">
        <v>16</v>
      </c>
      <c r="C34" s="533" t="s">
        <v>83</v>
      </c>
      <c r="D34" s="533"/>
      <c r="E34" s="62">
        <v>25.99</v>
      </c>
      <c r="F34" s="450">
        <v>2355</v>
      </c>
      <c r="G34" s="441">
        <f t="shared" si="22"/>
        <v>61206.45</v>
      </c>
      <c r="H34" s="90" t="s">
        <v>5</v>
      </c>
      <c r="I34" s="448">
        <v>14</v>
      </c>
      <c r="J34" s="63">
        <v>2400</v>
      </c>
      <c r="K34" s="64">
        <f t="shared" si="1"/>
        <v>171.42857142857142</v>
      </c>
      <c r="L34" s="448">
        <v>14</v>
      </c>
      <c r="M34" s="65">
        <f t="shared" si="23"/>
        <v>2316.393442622953</v>
      </c>
      <c r="N34" s="64">
        <f t="shared" si="3"/>
        <v>165.45667447306806</v>
      </c>
      <c r="O34" s="66">
        <f t="shared" si="4"/>
        <v>0</v>
      </c>
      <c r="P34" s="67">
        <f t="shared" si="5"/>
        <v>-5.9718969555033539</v>
      </c>
      <c r="Q34" s="442">
        <f t="shared" si="6"/>
        <v>0.96516393442623039</v>
      </c>
      <c r="R34" s="511"/>
      <c r="S34" s="68">
        <v>0.71944444444444433</v>
      </c>
      <c r="T34" s="68">
        <v>0.7618055555555554</v>
      </c>
      <c r="U34" s="441">
        <f t="shared" si="25"/>
        <v>6.9999999999999751</v>
      </c>
      <c r="V34" s="449">
        <f t="shared" si="24"/>
        <v>60.999999999999943</v>
      </c>
      <c r="W34" s="69"/>
      <c r="X34" s="69"/>
      <c r="Y34" s="510"/>
      <c r="Z34" s="510"/>
      <c r="AA34" s="66">
        <f t="shared" si="8"/>
        <v>-83.606557377047011</v>
      </c>
      <c r="AB34" s="442">
        <f t="shared" si="9"/>
        <v>0.96516393442623039</v>
      </c>
      <c r="AC34" s="511"/>
    </row>
    <row r="35" spans="1:29" ht="15.75" customHeight="1">
      <c r="A35" s="536" t="s">
        <v>159</v>
      </c>
      <c r="B35" s="62" t="s">
        <v>2506</v>
      </c>
      <c r="C35" s="513"/>
      <c r="D35" s="513"/>
      <c r="E35" s="443"/>
      <c r="F35" s="450"/>
      <c r="G35" s="441"/>
      <c r="H35" s="450"/>
      <c r="I35" s="72">
        <v>17.875</v>
      </c>
      <c r="J35" s="63">
        <v>2400</v>
      </c>
      <c r="K35" s="64">
        <f t="shared" si="1"/>
        <v>134.26573426573427</v>
      </c>
      <c r="L35" s="72">
        <v>17.875</v>
      </c>
      <c r="M35" s="65">
        <f>AVERAGE(M27:M34)</f>
        <v>2295.747089263632</v>
      </c>
      <c r="N35" s="64">
        <f t="shared" si="3"/>
        <v>128.43340359516822</v>
      </c>
      <c r="O35" s="66">
        <f t="shared" si="4"/>
        <v>0</v>
      </c>
      <c r="P35" s="67">
        <f t="shared" si="5"/>
        <v>-5.8323306705660514</v>
      </c>
      <c r="Q35" s="442">
        <f t="shared" si="6"/>
        <v>0.9565612871931799</v>
      </c>
      <c r="R35" s="511"/>
      <c r="S35" s="68"/>
      <c r="T35" s="68"/>
      <c r="U35" s="441"/>
      <c r="V35" s="449"/>
      <c r="W35" s="441"/>
      <c r="X35" s="441"/>
      <c r="Y35" s="510"/>
      <c r="Z35" s="510"/>
      <c r="AA35" s="66">
        <f t="shared" si="8"/>
        <v>-104.25291073636799</v>
      </c>
      <c r="AB35" s="442">
        <f t="shared" si="9"/>
        <v>0.95656128719318001</v>
      </c>
      <c r="AC35" s="511"/>
    </row>
    <row r="36" spans="1:29" ht="15.75" customHeight="1">
      <c r="A36" s="531" t="s">
        <v>2507</v>
      </c>
      <c r="B36" s="62" t="s">
        <v>16</v>
      </c>
      <c r="C36" s="512" t="s">
        <v>49</v>
      </c>
      <c r="D36" s="512"/>
      <c r="E36" s="62">
        <v>19.02</v>
      </c>
      <c r="F36" s="450">
        <v>4300</v>
      </c>
      <c r="G36" s="441">
        <f t="shared" ref="G36:G42" si="26">E36*F36</f>
        <v>81786</v>
      </c>
      <c r="H36" s="90">
        <v>2</v>
      </c>
      <c r="I36" s="448">
        <v>15</v>
      </c>
      <c r="J36" s="63">
        <v>2400</v>
      </c>
      <c r="K36" s="64">
        <f t="shared" si="1"/>
        <v>160</v>
      </c>
      <c r="L36" s="448">
        <v>15</v>
      </c>
      <c r="M36" s="65">
        <f t="shared" ref="M36:M42" si="27">F36/V36*60</f>
        <v>2283.1858407079653</v>
      </c>
      <c r="N36" s="64">
        <f t="shared" si="3"/>
        <v>152.21238938053102</v>
      </c>
      <c r="O36" s="66">
        <f t="shared" si="4"/>
        <v>0</v>
      </c>
      <c r="P36" s="67">
        <f t="shared" si="5"/>
        <v>-7.7876106194689783</v>
      </c>
      <c r="Q36" s="442">
        <f t="shared" si="6"/>
        <v>0.95132743362831884</v>
      </c>
      <c r="R36" s="511">
        <f>Q43</f>
        <v>0.95417805175329196</v>
      </c>
      <c r="S36" s="68">
        <v>8.3333333333333329E-2</v>
      </c>
      <c r="T36" s="68">
        <v>0.16180555555555554</v>
      </c>
      <c r="U36" s="441"/>
      <c r="V36" s="449">
        <f t="shared" ref="V36:V42" si="28">(T36-S36)*24*60</f>
        <v>112.99999999999997</v>
      </c>
      <c r="W36" s="73">
        <f>T36</f>
        <v>0.16180555555555554</v>
      </c>
      <c r="X36" s="73">
        <f>S37</f>
        <v>0.18194444444444444</v>
      </c>
      <c r="Y36" s="510"/>
      <c r="Z36" s="510"/>
      <c r="AA36" s="66">
        <f t="shared" si="8"/>
        <v>-116.81415929203467</v>
      </c>
      <c r="AB36" s="442">
        <f t="shared" si="9"/>
        <v>0.95132743362831884</v>
      </c>
      <c r="AC36" s="511">
        <f>AB43</f>
        <v>0.95417805175329196</v>
      </c>
    </row>
    <row r="37" spans="1:29" ht="15.75" customHeight="1">
      <c r="A37" s="531" t="s">
        <v>2508</v>
      </c>
      <c r="B37" s="62" t="s">
        <v>16</v>
      </c>
      <c r="C37" s="512" t="s">
        <v>31</v>
      </c>
      <c r="D37" s="512"/>
      <c r="E37" s="62">
        <v>26.2</v>
      </c>
      <c r="F37" s="450">
        <v>4400</v>
      </c>
      <c r="G37" s="441">
        <f t="shared" si="26"/>
        <v>115280</v>
      </c>
      <c r="H37" s="90">
        <v>2</v>
      </c>
      <c r="I37" s="448">
        <v>18</v>
      </c>
      <c r="J37" s="63">
        <v>2400</v>
      </c>
      <c r="K37" s="64">
        <f t="shared" si="1"/>
        <v>133.33333333333334</v>
      </c>
      <c r="L37" s="448">
        <v>18</v>
      </c>
      <c r="M37" s="65">
        <f t="shared" si="27"/>
        <v>2295.652173913043</v>
      </c>
      <c r="N37" s="64">
        <f t="shared" si="3"/>
        <v>127.53623188405794</v>
      </c>
      <c r="O37" s="66">
        <f t="shared" si="4"/>
        <v>0</v>
      </c>
      <c r="P37" s="67">
        <f t="shared" si="5"/>
        <v>-5.7971014492754023</v>
      </c>
      <c r="Q37" s="442">
        <f t="shared" si="6"/>
        <v>0.95652173913043448</v>
      </c>
      <c r="R37" s="511"/>
      <c r="S37" s="68">
        <v>0.18194444444444444</v>
      </c>
      <c r="T37" s="68">
        <v>0.26180555555555557</v>
      </c>
      <c r="U37" s="441">
        <f t="shared" ref="U37:U42" si="29">(S37-T36)*24*60</f>
        <v>29.000000000000018</v>
      </c>
      <c r="V37" s="449">
        <f t="shared" si="28"/>
        <v>115.00000000000003</v>
      </c>
      <c r="W37" s="441"/>
      <c r="X37" s="441"/>
      <c r="Y37" s="510"/>
      <c r="Z37" s="510"/>
      <c r="AA37" s="66">
        <f t="shared" si="8"/>
        <v>-104.34782608695696</v>
      </c>
      <c r="AB37" s="442">
        <f t="shared" si="9"/>
        <v>0.95652173913043459</v>
      </c>
      <c r="AC37" s="511"/>
    </row>
    <row r="38" spans="1:29">
      <c r="A38" s="532" t="s">
        <v>2509</v>
      </c>
      <c r="B38" s="62" t="s">
        <v>16</v>
      </c>
      <c r="C38" s="512" t="s">
        <v>28</v>
      </c>
      <c r="D38" s="512"/>
      <c r="E38" s="62">
        <v>26.18</v>
      </c>
      <c r="F38" s="450">
        <v>3141</v>
      </c>
      <c r="G38" s="441">
        <f t="shared" si="26"/>
        <v>82231.38</v>
      </c>
      <c r="H38" s="90" t="s">
        <v>5</v>
      </c>
      <c r="I38" s="448">
        <v>19</v>
      </c>
      <c r="J38" s="63">
        <v>2400</v>
      </c>
      <c r="K38" s="64">
        <f t="shared" si="1"/>
        <v>126.31578947368421</v>
      </c>
      <c r="L38" s="448">
        <v>19</v>
      </c>
      <c r="M38" s="65">
        <f t="shared" si="27"/>
        <v>2298.2926829268285</v>
      </c>
      <c r="N38" s="64">
        <f t="shared" si="3"/>
        <v>120.96277278562256</v>
      </c>
      <c r="O38" s="66">
        <f t="shared" si="4"/>
        <v>0</v>
      </c>
      <c r="P38" s="67">
        <f t="shared" si="5"/>
        <v>-5.3530166880616434</v>
      </c>
      <c r="Q38" s="442">
        <f t="shared" si="6"/>
        <v>0.95762195121951199</v>
      </c>
      <c r="R38" s="511"/>
      <c r="S38" s="68">
        <v>0.26527777777777778</v>
      </c>
      <c r="T38" s="68">
        <v>0.32222222222222224</v>
      </c>
      <c r="U38" s="441">
        <f t="shared" si="29"/>
        <v>4.9999999999999822</v>
      </c>
      <c r="V38" s="449">
        <f t="shared" si="28"/>
        <v>82.000000000000028</v>
      </c>
      <c r="W38" s="441"/>
      <c r="X38" s="441"/>
      <c r="Y38" s="510"/>
      <c r="Z38" s="510"/>
      <c r="AA38" s="66">
        <f t="shared" si="8"/>
        <v>-101.70731707317145</v>
      </c>
      <c r="AB38" s="442">
        <f t="shared" si="9"/>
        <v>0.95762195121951188</v>
      </c>
      <c r="AC38" s="511"/>
    </row>
    <row r="39" spans="1:29">
      <c r="A39" s="532" t="s">
        <v>2508</v>
      </c>
      <c r="B39" s="62" t="s">
        <v>16</v>
      </c>
      <c r="C39" s="512" t="s">
        <v>32</v>
      </c>
      <c r="D39" s="512"/>
      <c r="E39" s="62">
        <v>26.39</v>
      </c>
      <c r="F39" s="450">
        <v>4500</v>
      </c>
      <c r="G39" s="441">
        <f t="shared" si="26"/>
        <v>118755</v>
      </c>
      <c r="H39" s="90">
        <v>2</v>
      </c>
      <c r="I39" s="448">
        <v>19</v>
      </c>
      <c r="J39" s="63">
        <v>2400</v>
      </c>
      <c r="K39" s="64">
        <f t="shared" si="1"/>
        <v>126.31578947368421</v>
      </c>
      <c r="L39" s="448">
        <v>19</v>
      </c>
      <c r="M39" s="65">
        <f t="shared" si="27"/>
        <v>2288.1355932203396</v>
      </c>
      <c r="N39" s="64">
        <f t="shared" si="3"/>
        <v>120.42818911685998</v>
      </c>
      <c r="O39" s="66">
        <f t="shared" si="4"/>
        <v>0</v>
      </c>
      <c r="P39" s="67">
        <f t="shared" si="5"/>
        <v>-5.8876003568242226</v>
      </c>
      <c r="Q39" s="442">
        <f t="shared" si="6"/>
        <v>0.95338983050847492</v>
      </c>
      <c r="R39" s="511"/>
      <c r="S39" s="68">
        <v>0.32569444444444445</v>
      </c>
      <c r="T39" s="68">
        <v>0.40763888888888888</v>
      </c>
      <c r="U39" s="441">
        <f t="shared" si="29"/>
        <v>4.9999999999999822</v>
      </c>
      <c r="V39" s="449">
        <f t="shared" si="28"/>
        <v>117.99999999999999</v>
      </c>
      <c r="W39" s="69"/>
      <c r="X39" s="69"/>
      <c r="Y39" s="510"/>
      <c r="Z39" s="510"/>
      <c r="AA39" s="66">
        <f t="shared" si="8"/>
        <v>-111.86440677966038</v>
      </c>
      <c r="AB39" s="442">
        <f t="shared" si="9"/>
        <v>0.95338983050847481</v>
      </c>
      <c r="AC39" s="511"/>
    </row>
    <row r="40" spans="1:29">
      <c r="A40" s="532" t="s">
        <v>2508</v>
      </c>
      <c r="B40" s="62" t="s">
        <v>16</v>
      </c>
      <c r="C40" s="512" t="s">
        <v>2110</v>
      </c>
      <c r="D40" s="512"/>
      <c r="E40" s="62">
        <v>28.51</v>
      </c>
      <c r="F40" s="450">
        <v>5245</v>
      </c>
      <c r="G40" s="441">
        <f t="shared" si="26"/>
        <v>149534.95000000001</v>
      </c>
      <c r="H40" s="90" t="s">
        <v>5</v>
      </c>
      <c r="I40" s="448">
        <v>16</v>
      </c>
      <c r="J40" s="63">
        <v>2400</v>
      </c>
      <c r="K40" s="64">
        <f t="shared" si="1"/>
        <v>150</v>
      </c>
      <c r="L40" s="448">
        <v>16</v>
      </c>
      <c r="M40" s="65">
        <f t="shared" si="27"/>
        <v>2280.4347826086955</v>
      </c>
      <c r="N40" s="64">
        <f t="shared" si="3"/>
        <v>142.52717391304347</v>
      </c>
      <c r="O40" s="66">
        <f t="shared" si="4"/>
        <v>0</v>
      </c>
      <c r="P40" s="67">
        <f t="shared" si="5"/>
        <v>-7.4728260869565304</v>
      </c>
      <c r="Q40" s="442">
        <f t="shared" si="6"/>
        <v>0.9501811594202898</v>
      </c>
      <c r="R40" s="511"/>
      <c r="S40" s="68">
        <v>0.41180555555555554</v>
      </c>
      <c r="T40" s="68">
        <v>0.50763888888888886</v>
      </c>
      <c r="U40" s="441">
        <f t="shared" si="29"/>
        <v>5.9999999999999787</v>
      </c>
      <c r="V40" s="449">
        <f t="shared" si="28"/>
        <v>138</v>
      </c>
      <c r="W40" s="69">
        <f>T40</f>
        <v>0.50763888888888886</v>
      </c>
      <c r="X40" s="69">
        <f>S41</f>
        <v>0.54722222222222217</v>
      </c>
      <c r="Y40" s="510"/>
      <c r="Z40" s="510"/>
      <c r="AA40" s="66">
        <f t="shared" si="8"/>
        <v>-119.56521739130449</v>
      </c>
      <c r="AB40" s="442">
        <f t="shared" si="9"/>
        <v>0.9501811594202898</v>
      </c>
      <c r="AC40" s="511"/>
    </row>
    <row r="41" spans="1:29">
      <c r="A41" s="532" t="s">
        <v>160</v>
      </c>
      <c r="B41" s="62" t="s">
        <v>16</v>
      </c>
      <c r="C41" s="512" t="s">
        <v>49</v>
      </c>
      <c r="D41" s="512"/>
      <c r="E41" s="62">
        <v>19.02</v>
      </c>
      <c r="F41" s="450">
        <v>6869</v>
      </c>
      <c r="G41" s="441">
        <f t="shared" si="26"/>
        <v>130648.37999999999</v>
      </c>
      <c r="H41" s="90" t="s">
        <v>5</v>
      </c>
      <c r="I41" s="448">
        <v>15</v>
      </c>
      <c r="J41" s="63">
        <v>2400</v>
      </c>
      <c r="K41" s="64">
        <f t="shared" si="1"/>
        <v>160</v>
      </c>
      <c r="L41" s="448">
        <v>15</v>
      </c>
      <c r="M41" s="65">
        <f t="shared" si="27"/>
        <v>2289.6666666666665</v>
      </c>
      <c r="N41" s="64">
        <f t="shared" si="3"/>
        <v>152.64444444444445</v>
      </c>
      <c r="O41" s="66">
        <f t="shared" si="4"/>
        <v>0</v>
      </c>
      <c r="P41" s="67">
        <f t="shared" si="5"/>
        <v>-7.3555555555555543</v>
      </c>
      <c r="Q41" s="442">
        <f t="shared" si="6"/>
        <v>0.95402777777777781</v>
      </c>
      <c r="R41" s="511"/>
      <c r="S41" s="68">
        <v>0.54722222222222217</v>
      </c>
      <c r="T41" s="68">
        <v>0.67222222222222217</v>
      </c>
      <c r="U41" s="441">
        <f t="shared" si="29"/>
        <v>56.999999999999957</v>
      </c>
      <c r="V41" s="449">
        <f t="shared" si="28"/>
        <v>180</v>
      </c>
      <c r="W41" s="69"/>
      <c r="X41" s="69"/>
      <c r="Y41" s="510"/>
      <c r="Z41" s="510"/>
      <c r="AA41" s="66">
        <f t="shared" si="8"/>
        <v>-110.33333333333348</v>
      </c>
      <c r="AB41" s="442">
        <f t="shared" si="9"/>
        <v>0.9540277777777777</v>
      </c>
      <c r="AC41" s="511"/>
    </row>
    <row r="42" spans="1:29">
      <c r="A42" s="532" t="s">
        <v>2508</v>
      </c>
      <c r="B42" s="62" t="s">
        <v>16</v>
      </c>
      <c r="C42" s="512" t="s">
        <v>31</v>
      </c>
      <c r="D42" s="512"/>
      <c r="E42" s="62">
        <v>26.2</v>
      </c>
      <c r="F42" s="450">
        <v>3251</v>
      </c>
      <c r="G42" s="441">
        <f t="shared" si="26"/>
        <v>85176.2</v>
      </c>
      <c r="H42" s="90" t="s">
        <v>5</v>
      </c>
      <c r="I42" s="448">
        <v>18</v>
      </c>
      <c r="J42" s="63">
        <v>2400</v>
      </c>
      <c r="K42" s="64">
        <f t="shared" si="1"/>
        <v>133.33333333333334</v>
      </c>
      <c r="L42" s="448">
        <v>18</v>
      </c>
      <c r="M42" s="65">
        <f t="shared" si="27"/>
        <v>2294.8235294117644</v>
      </c>
      <c r="N42" s="64">
        <f t="shared" si="3"/>
        <v>127.49019607843135</v>
      </c>
      <c r="O42" s="66">
        <f t="shared" si="4"/>
        <v>0</v>
      </c>
      <c r="P42" s="67">
        <f t="shared" si="5"/>
        <v>-5.8431372549019898</v>
      </c>
      <c r="Q42" s="442">
        <f t="shared" si="6"/>
        <v>0.95617647058823507</v>
      </c>
      <c r="R42" s="511"/>
      <c r="S42" s="68">
        <v>0.67708333333333326</v>
      </c>
      <c r="T42" s="68">
        <v>0.73611111111111105</v>
      </c>
      <c r="U42" s="441">
        <f t="shared" si="29"/>
        <v>6.9999999999999751</v>
      </c>
      <c r="V42" s="449">
        <f t="shared" si="28"/>
        <v>85.000000000000014</v>
      </c>
      <c r="W42" s="69"/>
      <c r="X42" s="69"/>
      <c r="Y42" s="517"/>
      <c r="Z42" s="518"/>
      <c r="AA42" s="66">
        <f t="shared" si="8"/>
        <v>-105.17647058823559</v>
      </c>
      <c r="AB42" s="442">
        <f t="shared" si="9"/>
        <v>0.95617647058823518</v>
      </c>
      <c r="AC42" s="511"/>
    </row>
    <row r="43" spans="1:29">
      <c r="A43" s="532" t="s">
        <v>2507</v>
      </c>
      <c r="B43" s="71" t="s">
        <v>79</v>
      </c>
      <c r="C43" s="513"/>
      <c r="D43" s="513"/>
      <c r="E43" s="443"/>
      <c r="F43" s="71"/>
      <c r="G43" s="64"/>
      <c r="H43" s="450"/>
      <c r="I43" s="72">
        <v>17.142857142857142</v>
      </c>
      <c r="J43" s="63">
        <v>2400</v>
      </c>
      <c r="K43" s="64">
        <f t="shared" si="1"/>
        <v>140</v>
      </c>
      <c r="L43" s="72">
        <v>17.142857142857142</v>
      </c>
      <c r="M43" s="65">
        <f>AVERAGE(M36:M42)</f>
        <v>2290.0273242079006</v>
      </c>
      <c r="N43" s="64">
        <f t="shared" si="3"/>
        <v>133.58492724546088</v>
      </c>
      <c r="O43" s="66">
        <f t="shared" si="4"/>
        <v>0</v>
      </c>
      <c r="P43" s="67">
        <f t="shared" si="5"/>
        <v>-6.4150727545391248</v>
      </c>
      <c r="Q43" s="442">
        <f t="shared" si="6"/>
        <v>0.95417805175329196</v>
      </c>
      <c r="R43" s="511"/>
      <c r="S43" s="68"/>
      <c r="T43" s="68"/>
      <c r="U43" s="64"/>
      <c r="V43" s="449"/>
      <c r="W43" s="64"/>
      <c r="X43" s="64"/>
      <c r="Y43" s="510"/>
      <c r="Z43" s="510"/>
      <c r="AA43" s="66">
        <f t="shared" si="8"/>
        <v>-109.97267579209938</v>
      </c>
      <c r="AB43" s="442">
        <f t="shared" si="9"/>
        <v>0.95417805175329196</v>
      </c>
      <c r="AC43" s="511"/>
    </row>
    <row r="44" spans="1:29" ht="15.75" customHeight="1">
      <c r="A44" s="525" t="s">
        <v>161</v>
      </c>
      <c r="B44" s="62" t="s">
        <v>35</v>
      </c>
      <c r="C44" s="521" t="s">
        <v>36</v>
      </c>
      <c r="D44" s="522"/>
      <c r="E44" s="62">
        <v>21.13</v>
      </c>
      <c r="F44" s="450">
        <v>5790</v>
      </c>
      <c r="G44" s="441">
        <f t="shared" ref="G44:G51" si="30">E44*F44</f>
        <v>122342.7</v>
      </c>
      <c r="H44" s="90" t="s">
        <v>5</v>
      </c>
      <c r="I44" s="448">
        <v>10</v>
      </c>
      <c r="J44" s="63">
        <v>3000</v>
      </c>
      <c r="K44" s="64">
        <f t="shared" si="1"/>
        <v>300</v>
      </c>
      <c r="L44" s="448">
        <v>10</v>
      </c>
      <c r="M44" s="65">
        <f t="shared" ref="M44:M51" si="31">F44/V44*60</f>
        <v>2871.0743801652893</v>
      </c>
      <c r="N44" s="65">
        <f t="shared" si="3"/>
        <v>287.10743801652893</v>
      </c>
      <c r="O44" s="66">
        <f t="shared" si="4"/>
        <v>0</v>
      </c>
      <c r="P44" s="67">
        <f t="shared" si="5"/>
        <v>-12.892561983471069</v>
      </c>
      <c r="Q44" s="442">
        <f t="shared" si="6"/>
        <v>0.95702479338842972</v>
      </c>
      <c r="R44" s="528">
        <f>Q52</f>
        <v>0.95523398658532754</v>
      </c>
      <c r="S44" s="68">
        <v>8.3333333333333329E-2</v>
      </c>
      <c r="T44" s="68">
        <v>0.1673611111111111</v>
      </c>
      <c r="U44" s="73"/>
      <c r="V44" s="449">
        <f t="shared" ref="V44:V51" si="32">(T44-S44)*24*60</f>
        <v>121</v>
      </c>
      <c r="W44" s="69">
        <f>T44</f>
        <v>0.1673611111111111</v>
      </c>
      <c r="X44" s="69">
        <f>S45</f>
        <v>0.18472222222222218</v>
      </c>
      <c r="Y44" s="517"/>
      <c r="Z44" s="518"/>
      <c r="AA44" s="66">
        <f t="shared" si="8"/>
        <v>-128.92561983471069</v>
      </c>
      <c r="AB44" s="442">
        <f t="shared" si="9"/>
        <v>0.95702479338842972</v>
      </c>
      <c r="AC44" s="528">
        <f>AB52</f>
        <v>0.95523398658532765</v>
      </c>
    </row>
    <row r="45" spans="1:29" ht="15.75" customHeight="1">
      <c r="A45" s="526" t="s">
        <v>161</v>
      </c>
      <c r="B45" s="62" t="s">
        <v>35</v>
      </c>
      <c r="C45" s="521" t="s">
        <v>37</v>
      </c>
      <c r="D45" s="522"/>
      <c r="E45" s="62">
        <v>27.17</v>
      </c>
      <c r="F45" s="450">
        <v>4500</v>
      </c>
      <c r="G45" s="441">
        <f t="shared" si="30"/>
        <v>122265.00000000001</v>
      </c>
      <c r="H45" s="90">
        <v>2</v>
      </c>
      <c r="I45" s="448">
        <v>10</v>
      </c>
      <c r="J45" s="63">
        <v>3000</v>
      </c>
      <c r="K45" s="64">
        <f t="shared" si="1"/>
        <v>300</v>
      </c>
      <c r="L45" s="448">
        <v>10</v>
      </c>
      <c r="M45" s="65">
        <f t="shared" si="31"/>
        <v>2872.3404255319156</v>
      </c>
      <c r="N45" s="65">
        <f t="shared" si="3"/>
        <v>287.23404255319156</v>
      </c>
      <c r="O45" s="66">
        <f t="shared" si="4"/>
        <v>0</v>
      </c>
      <c r="P45" s="67">
        <f t="shared" si="5"/>
        <v>-12.765957446808443</v>
      </c>
      <c r="Q45" s="442">
        <f t="shared" si="6"/>
        <v>0.95744680851063857</v>
      </c>
      <c r="R45" s="529"/>
      <c r="S45" s="68">
        <v>0.18472222222222218</v>
      </c>
      <c r="T45" s="68">
        <v>0.24999999999999994</v>
      </c>
      <c r="U45" s="441">
        <f t="shared" ref="U45:U51" si="33">(S45-T44)*24*60</f>
        <v>24.99999999999995</v>
      </c>
      <c r="V45" s="449">
        <f t="shared" si="32"/>
        <v>93.999999999999986</v>
      </c>
      <c r="W45" s="69"/>
      <c r="X45" s="69"/>
      <c r="Y45" s="517"/>
      <c r="Z45" s="518"/>
      <c r="AA45" s="66">
        <f t="shared" si="8"/>
        <v>-127.65957446808443</v>
      </c>
      <c r="AB45" s="442">
        <f t="shared" si="9"/>
        <v>0.95744680851063857</v>
      </c>
      <c r="AC45" s="529"/>
    </row>
    <row r="46" spans="1:29" ht="15.75" customHeight="1">
      <c r="A46" s="526" t="s">
        <v>2510</v>
      </c>
      <c r="B46" s="62" t="s">
        <v>35</v>
      </c>
      <c r="C46" s="521" t="s">
        <v>38</v>
      </c>
      <c r="D46" s="522"/>
      <c r="E46" s="62">
        <v>35.119999999999997</v>
      </c>
      <c r="F46" s="450">
        <v>4732</v>
      </c>
      <c r="G46" s="441">
        <f t="shared" si="30"/>
        <v>166187.84</v>
      </c>
      <c r="H46" s="90" t="s">
        <v>5</v>
      </c>
      <c r="I46" s="448">
        <v>10</v>
      </c>
      <c r="J46" s="63">
        <v>3000</v>
      </c>
      <c r="K46" s="64">
        <f t="shared" si="1"/>
        <v>300</v>
      </c>
      <c r="L46" s="448">
        <v>10</v>
      </c>
      <c r="M46" s="65">
        <f t="shared" si="31"/>
        <v>2867.8787878787889</v>
      </c>
      <c r="N46" s="65">
        <f t="shared" si="3"/>
        <v>286.78787878787887</v>
      </c>
      <c r="O46" s="66">
        <f t="shared" si="4"/>
        <v>0</v>
      </c>
      <c r="P46" s="67">
        <f t="shared" si="5"/>
        <v>-13.212121212121133</v>
      </c>
      <c r="Q46" s="442">
        <f t="shared" si="6"/>
        <v>0.95595959595959623</v>
      </c>
      <c r="R46" s="529"/>
      <c r="S46" s="68">
        <v>0.2541666666666666</v>
      </c>
      <c r="T46" s="68">
        <v>0.32291666666666657</v>
      </c>
      <c r="U46" s="441">
        <f t="shared" si="33"/>
        <v>5.9999999999999787</v>
      </c>
      <c r="V46" s="449">
        <f t="shared" si="32"/>
        <v>98.999999999999972</v>
      </c>
      <c r="W46" s="69"/>
      <c r="X46" s="69"/>
      <c r="Y46" s="517"/>
      <c r="Z46" s="518"/>
      <c r="AA46" s="66">
        <f t="shared" si="8"/>
        <v>-132.1212121212111</v>
      </c>
      <c r="AB46" s="442">
        <f t="shared" si="9"/>
        <v>0.95595959595959634</v>
      </c>
      <c r="AC46" s="529"/>
    </row>
    <row r="47" spans="1:29" ht="15.75" customHeight="1">
      <c r="A47" s="526" t="s">
        <v>161</v>
      </c>
      <c r="B47" s="62" t="s">
        <v>35</v>
      </c>
      <c r="C47" s="521" t="s">
        <v>39</v>
      </c>
      <c r="D47" s="522"/>
      <c r="E47" s="62">
        <v>35.869999999999997</v>
      </c>
      <c r="F47" s="450">
        <v>2977</v>
      </c>
      <c r="G47" s="441">
        <f t="shared" si="30"/>
        <v>106784.98999999999</v>
      </c>
      <c r="H47" s="90" t="s">
        <v>5</v>
      </c>
      <c r="I47" s="448">
        <v>9</v>
      </c>
      <c r="J47" s="63">
        <v>3000</v>
      </c>
      <c r="K47" s="64">
        <f t="shared" si="1"/>
        <v>333.33333333333331</v>
      </c>
      <c r="L47" s="448">
        <v>9</v>
      </c>
      <c r="M47" s="65">
        <f t="shared" si="31"/>
        <v>2880.967741935483</v>
      </c>
      <c r="N47" s="65">
        <f t="shared" si="3"/>
        <v>320.10752688172033</v>
      </c>
      <c r="O47" s="66">
        <f t="shared" si="4"/>
        <v>0</v>
      </c>
      <c r="P47" s="67">
        <f t="shared" si="5"/>
        <v>-13.225806451612982</v>
      </c>
      <c r="Q47" s="442">
        <f t="shared" si="6"/>
        <v>0.96032258064516107</v>
      </c>
      <c r="R47" s="529"/>
      <c r="S47" s="68">
        <v>0.32777777777777767</v>
      </c>
      <c r="T47" s="68">
        <v>0.37083333333333324</v>
      </c>
      <c r="U47" s="441">
        <f t="shared" si="33"/>
        <v>6.9999999999999751</v>
      </c>
      <c r="V47" s="449">
        <f t="shared" si="32"/>
        <v>62.000000000000021</v>
      </c>
      <c r="W47" s="69"/>
      <c r="X47" s="69"/>
      <c r="Y47" s="517"/>
      <c r="Z47" s="518"/>
      <c r="AA47" s="66">
        <f t="shared" si="8"/>
        <v>-119.03225806451701</v>
      </c>
      <c r="AB47" s="442">
        <f t="shared" si="9"/>
        <v>0.96032258064516096</v>
      </c>
      <c r="AC47" s="529"/>
    </row>
    <row r="48" spans="1:29" ht="15.75" customHeight="1">
      <c r="A48" s="526" t="s">
        <v>161</v>
      </c>
      <c r="B48" s="62" t="s">
        <v>35</v>
      </c>
      <c r="C48" s="521" t="s">
        <v>40</v>
      </c>
      <c r="D48" s="522"/>
      <c r="E48" s="62">
        <v>36.14</v>
      </c>
      <c r="F48" s="450">
        <v>1235</v>
      </c>
      <c r="G48" s="441">
        <f t="shared" si="30"/>
        <v>44632.9</v>
      </c>
      <c r="H48" s="90" t="s">
        <v>5</v>
      </c>
      <c r="I48" s="448">
        <v>9</v>
      </c>
      <c r="J48" s="63">
        <v>3000</v>
      </c>
      <c r="K48" s="64">
        <f t="shared" si="1"/>
        <v>333.33333333333331</v>
      </c>
      <c r="L48" s="448">
        <v>9</v>
      </c>
      <c r="M48" s="65">
        <f t="shared" si="31"/>
        <v>2850.0000000000018</v>
      </c>
      <c r="N48" s="65">
        <f t="shared" si="3"/>
        <v>316.66666666666686</v>
      </c>
      <c r="O48" s="66">
        <f t="shared" si="4"/>
        <v>0</v>
      </c>
      <c r="P48" s="67">
        <f t="shared" si="5"/>
        <v>-16.666666666666458</v>
      </c>
      <c r="Q48" s="442">
        <f t="shared" si="6"/>
        <v>0.95000000000000062</v>
      </c>
      <c r="R48" s="529"/>
      <c r="S48" s="68">
        <v>0.37638888888888877</v>
      </c>
      <c r="T48" s="68">
        <v>0.39444444444444432</v>
      </c>
      <c r="U48" s="441">
        <f t="shared" si="33"/>
        <v>7.9999999999999716</v>
      </c>
      <c r="V48" s="449">
        <f t="shared" si="32"/>
        <v>25.999999999999986</v>
      </c>
      <c r="W48" s="69"/>
      <c r="X48" s="69"/>
      <c r="Y48" s="517"/>
      <c r="Z48" s="518"/>
      <c r="AA48" s="66">
        <f t="shared" si="8"/>
        <v>-149.99999999999818</v>
      </c>
      <c r="AB48" s="442">
        <f t="shared" si="9"/>
        <v>0.95000000000000062</v>
      </c>
      <c r="AC48" s="529"/>
    </row>
    <row r="49" spans="1:29" ht="15.75" customHeight="1">
      <c r="A49" s="526" t="s">
        <v>2510</v>
      </c>
      <c r="B49" s="62" t="s">
        <v>35</v>
      </c>
      <c r="C49" s="521" t="s">
        <v>74</v>
      </c>
      <c r="D49" s="522"/>
      <c r="E49" s="62">
        <v>34.36</v>
      </c>
      <c r="F49" s="450">
        <v>2379</v>
      </c>
      <c r="G49" s="441">
        <f t="shared" si="30"/>
        <v>81742.44</v>
      </c>
      <c r="H49" s="90" t="s">
        <v>5</v>
      </c>
      <c r="I49" s="448">
        <v>10</v>
      </c>
      <c r="J49" s="63">
        <v>3000</v>
      </c>
      <c r="K49" s="64">
        <f t="shared" si="1"/>
        <v>300</v>
      </c>
      <c r="L49" s="448">
        <v>10</v>
      </c>
      <c r="M49" s="65">
        <f t="shared" si="31"/>
        <v>2854.8000000000006</v>
      </c>
      <c r="N49" s="65">
        <f t="shared" si="3"/>
        <v>285.48000000000008</v>
      </c>
      <c r="O49" s="66">
        <f t="shared" si="4"/>
        <v>0</v>
      </c>
      <c r="P49" s="67">
        <f t="shared" si="5"/>
        <v>-14.519999999999925</v>
      </c>
      <c r="Q49" s="442">
        <f t="shared" si="6"/>
        <v>0.95160000000000022</v>
      </c>
      <c r="R49" s="529"/>
      <c r="S49" s="68">
        <v>0.39930555555555541</v>
      </c>
      <c r="T49" s="68">
        <v>0.43402777777777762</v>
      </c>
      <c r="U49" s="441">
        <f t="shared" si="33"/>
        <v>6.9999999999999751</v>
      </c>
      <c r="V49" s="449">
        <f t="shared" si="32"/>
        <v>49.999999999999986</v>
      </c>
      <c r="W49" s="69"/>
      <c r="X49" s="69"/>
      <c r="Y49" s="517"/>
      <c r="Z49" s="518"/>
      <c r="AA49" s="66">
        <f t="shared" si="8"/>
        <v>-145.19999999999936</v>
      </c>
      <c r="AB49" s="442">
        <f t="shared" si="9"/>
        <v>0.95160000000000022</v>
      </c>
      <c r="AC49" s="529"/>
    </row>
    <row r="50" spans="1:29" ht="15.75" customHeight="1">
      <c r="A50" s="526" t="s">
        <v>2510</v>
      </c>
      <c r="B50" s="62" t="s">
        <v>35</v>
      </c>
      <c r="C50" s="521" t="s">
        <v>84</v>
      </c>
      <c r="D50" s="522"/>
      <c r="E50" s="62">
        <v>31</v>
      </c>
      <c r="F50" s="450">
        <v>3681</v>
      </c>
      <c r="G50" s="441">
        <f t="shared" si="30"/>
        <v>114111</v>
      </c>
      <c r="H50" s="90" t="s">
        <v>5</v>
      </c>
      <c r="I50" s="448">
        <v>13</v>
      </c>
      <c r="J50" s="63">
        <v>2000</v>
      </c>
      <c r="K50" s="64">
        <f t="shared" si="1"/>
        <v>153.84615384615384</v>
      </c>
      <c r="L50" s="448">
        <v>13</v>
      </c>
      <c r="M50" s="65">
        <f t="shared" si="31"/>
        <v>1903.9655172413795</v>
      </c>
      <c r="N50" s="65">
        <f t="shared" si="3"/>
        <v>146.45888594164458</v>
      </c>
      <c r="O50" s="66">
        <f t="shared" si="4"/>
        <v>0</v>
      </c>
      <c r="P50" s="67">
        <f t="shared" si="5"/>
        <v>-7.3872679045092582</v>
      </c>
      <c r="Q50" s="442">
        <f t="shared" si="6"/>
        <v>0.95198275862068982</v>
      </c>
      <c r="R50" s="529"/>
      <c r="S50" s="68">
        <v>0.43819444444444428</v>
      </c>
      <c r="T50" s="68">
        <v>0.51874999999999982</v>
      </c>
      <c r="U50" s="441">
        <f t="shared" si="33"/>
        <v>5.9999999999999787</v>
      </c>
      <c r="V50" s="449">
        <f t="shared" si="32"/>
        <v>115.99999999999999</v>
      </c>
      <c r="W50" s="69">
        <f>T50</f>
        <v>0.51874999999999982</v>
      </c>
      <c r="X50" s="69">
        <f>S51</f>
        <v>0.55902777777777757</v>
      </c>
      <c r="Y50" s="517"/>
      <c r="Z50" s="518"/>
      <c r="AA50" s="66">
        <f t="shared" si="8"/>
        <v>-96.03448275862047</v>
      </c>
      <c r="AB50" s="442">
        <f t="shared" si="9"/>
        <v>0.95198275862068982</v>
      </c>
      <c r="AC50" s="529"/>
    </row>
    <row r="51" spans="1:29" ht="15.75" customHeight="1">
      <c r="A51" s="526" t="s">
        <v>161</v>
      </c>
      <c r="B51" s="62" t="s">
        <v>35</v>
      </c>
      <c r="C51" s="521" t="s">
        <v>37</v>
      </c>
      <c r="D51" s="522"/>
      <c r="E51" s="62">
        <v>27.17</v>
      </c>
      <c r="F51" s="450">
        <v>2965</v>
      </c>
      <c r="G51" s="441">
        <f t="shared" si="30"/>
        <v>80559.05</v>
      </c>
      <c r="H51" s="90" t="s">
        <v>5</v>
      </c>
      <c r="I51" s="448">
        <v>10</v>
      </c>
      <c r="J51" s="63">
        <v>3000</v>
      </c>
      <c r="K51" s="64">
        <f t="shared" si="1"/>
        <v>300</v>
      </c>
      <c r="L51" s="448">
        <v>10</v>
      </c>
      <c r="M51" s="65">
        <f t="shared" si="31"/>
        <v>2869.3548387096798</v>
      </c>
      <c r="N51" s="65">
        <f t="shared" si="3"/>
        <v>286.93548387096797</v>
      </c>
      <c r="O51" s="66">
        <f t="shared" si="4"/>
        <v>0</v>
      </c>
      <c r="P51" s="67">
        <f t="shared" si="5"/>
        <v>-13.064516129032029</v>
      </c>
      <c r="Q51" s="442">
        <f t="shared" si="6"/>
        <v>0.95645161290322656</v>
      </c>
      <c r="R51" s="529"/>
      <c r="S51" s="68">
        <v>0.55902777777777757</v>
      </c>
      <c r="T51" s="68">
        <v>0.60208333333333308</v>
      </c>
      <c r="U51" s="441">
        <f t="shared" si="33"/>
        <v>57.999999999999957</v>
      </c>
      <c r="V51" s="449">
        <f t="shared" si="32"/>
        <v>61.999999999999943</v>
      </c>
      <c r="W51" s="69"/>
      <c r="X51" s="69"/>
      <c r="Y51" s="517"/>
      <c r="Z51" s="518"/>
      <c r="AA51" s="66">
        <f t="shared" si="8"/>
        <v>-130.64516129032017</v>
      </c>
      <c r="AB51" s="442">
        <f t="shared" si="9"/>
        <v>0.95645161290322656</v>
      </c>
      <c r="AC51" s="529"/>
    </row>
    <row r="52" spans="1:29" ht="15.75" customHeight="1">
      <c r="A52" s="527" t="s">
        <v>2510</v>
      </c>
      <c r="B52" s="62" t="s">
        <v>482</v>
      </c>
      <c r="C52" s="508"/>
      <c r="D52" s="509"/>
      <c r="E52" s="440"/>
      <c r="F52" s="450"/>
      <c r="G52" s="441"/>
      <c r="H52" s="450"/>
      <c r="I52" s="72">
        <v>10.125</v>
      </c>
      <c r="J52" s="63">
        <v>2875</v>
      </c>
      <c r="K52" s="64">
        <f t="shared" si="1"/>
        <v>283.95061728395063</v>
      </c>
      <c r="L52" s="72">
        <v>10.125</v>
      </c>
      <c r="M52" s="65">
        <f>AVERAGE(M44:M51)</f>
        <v>2746.2977114328169</v>
      </c>
      <c r="N52" s="64">
        <f t="shared" si="3"/>
        <v>271.23928014151278</v>
      </c>
      <c r="O52" s="66">
        <f t="shared" si="4"/>
        <v>0</v>
      </c>
      <c r="P52" s="67">
        <f t="shared" si="5"/>
        <v>-12.711337142437856</v>
      </c>
      <c r="Q52" s="442">
        <f t="shared" si="6"/>
        <v>0.95523398658532754</v>
      </c>
      <c r="R52" s="530"/>
      <c r="S52" s="68"/>
      <c r="T52" s="68"/>
      <c r="U52" s="441"/>
      <c r="V52" s="449"/>
      <c r="W52" s="69"/>
      <c r="X52" s="69"/>
      <c r="Y52" s="517"/>
      <c r="Z52" s="518"/>
      <c r="AA52" s="66">
        <f t="shared" si="8"/>
        <v>-128.70228856718313</v>
      </c>
      <c r="AB52" s="442">
        <f t="shared" si="9"/>
        <v>0.95523398658532765</v>
      </c>
      <c r="AC52" s="530"/>
    </row>
    <row r="53" spans="1:29" ht="15.75" customHeight="1">
      <c r="A53" s="523" t="s">
        <v>80</v>
      </c>
      <c r="B53" s="62" t="s">
        <v>10</v>
      </c>
      <c r="C53" s="512" t="s">
        <v>41</v>
      </c>
      <c r="D53" s="512"/>
      <c r="E53" s="62">
        <v>46</v>
      </c>
      <c r="F53" s="74">
        <v>2482</v>
      </c>
      <c r="G53" s="441">
        <f t="shared" ref="G53:G58" si="34">E53*F53</f>
        <v>114172</v>
      </c>
      <c r="H53" s="90" t="s">
        <v>5</v>
      </c>
      <c r="I53" s="448">
        <v>17</v>
      </c>
      <c r="J53" s="63">
        <v>2000</v>
      </c>
      <c r="K53" s="64">
        <f t="shared" si="1"/>
        <v>117.64705882352941</v>
      </c>
      <c r="L53" s="448">
        <v>17</v>
      </c>
      <c r="M53" s="65">
        <f t="shared" ref="M53:M58" si="35">F53/V53*60</f>
        <v>1909.2307692307693</v>
      </c>
      <c r="N53" s="65">
        <f t="shared" si="3"/>
        <v>112.30769230769231</v>
      </c>
      <c r="O53" s="66">
        <f t="shared" si="4"/>
        <v>0</v>
      </c>
      <c r="P53" s="67">
        <f t="shared" si="5"/>
        <v>-5.3393665158370993</v>
      </c>
      <c r="Q53" s="442">
        <f t="shared" si="6"/>
        <v>0.95461538461538464</v>
      </c>
      <c r="R53" s="511">
        <f>Q59</f>
        <v>0.95962900308470156</v>
      </c>
      <c r="S53" s="68">
        <v>0.20833333333333334</v>
      </c>
      <c r="T53" s="68">
        <v>0.26250000000000001</v>
      </c>
      <c r="U53" s="73"/>
      <c r="V53" s="449">
        <f t="shared" ref="V53:V58" si="36">(T53-S53)*24*60</f>
        <v>78</v>
      </c>
      <c r="W53" s="73"/>
      <c r="X53" s="73"/>
      <c r="Y53" s="510"/>
      <c r="Z53" s="510"/>
      <c r="AA53" s="66">
        <f t="shared" si="8"/>
        <v>-90.769230769230717</v>
      </c>
      <c r="AB53" s="442">
        <f t="shared" si="9"/>
        <v>0.95461538461538464</v>
      </c>
      <c r="AC53" s="511">
        <f>AB59</f>
        <v>0.95962900308470156</v>
      </c>
    </row>
    <row r="54" spans="1:29" ht="15.75" customHeight="1">
      <c r="A54" s="523" t="s">
        <v>80</v>
      </c>
      <c r="B54" s="62" t="s">
        <v>10</v>
      </c>
      <c r="C54" s="512" t="s">
        <v>42</v>
      </c>
      <c r="D54" s="512"/>
      <c r="E54" s="62">
        <v>46</v>
      </c>
      <c r="F54" s="74">
        <v>2641</v>
      </c>
      <c r="G54" s="441">
        <f t="shared" si="34"/>
        <v>121486</v>
      </c>
      <c r="H54" s="90" t="s">
        <v>5</v>
      </c>
      <c r="I54" s="448">
        <v>17</v>
      </c>
      <c r="J54" s="63">
        <v>2000</v>
      </c>
      <c r="K54" s="64">
        <f t="shared" si="1"/>
        <v>117.64705882352941</v>
      </c>
      <c r="L54" s="448">
        <v>17</v>
      </c>
      <c r="M54" s="65">
        <f t="shared" si="35"/>
        <v>1909.1566265060235</v>
      </c>
      <c r="N54" s="65">
        <f t="shared" si="3"/>
        <v>112.30333097094255</v>
      </c>
      <c r="O54" s="66">
        <f t="shared" si="4"/>
        <v>0</v>
      </c>
      <c r="P54" s="67">
        <f t="shared" si="5"/>
        <v>-5.3437278525868521</v>
      </c>
      <c r="Q54" s="442">
        <f t="shared" si="6"/>
        <v>0.95457831325301179</v>
      </c>
      <c r="R54" s="511"/>
      <c r="S54" s="68">
        <v>0.2673611111111111</v>
      </c>
      <c r="T54" s="68">
        <v>0.32500000000000001</v>
      </c>
      <c r="U54" s="441">
        <f t="shared" ref="U54:U58" si="37">IF(S54=TIME(17,0,0),"",(S54-T53)*24*60)</f>
        <v>6.9999999999999751</v>
      </c>
      <c r="V54" s="449">
        <f t="shared" si="36"/>
        <v>83.000000000000028</v>
      </c>
      <c r="W54" s="69"/>
      <c r="X54" s="69"/>
      <c r="Y54" s="510"/>
      <c r="Z54" s="510"/>
      <c r="AA54" s="66">
        <f t="shared" si="8"/>
        <v>-90.843373493976515</v>
      </c>
      <c r="AB54" s="442">
        <f t="shared" si="9"/>
        <v>0.95457831325301179</v>
      </c>
      <c r="AC54" s="511"/>
    </row>
    <row r="55" spans="1:29" ht="15.75" customHeight="1">
      <c r="A55" s="523" t="s">
        <v>2511</v>
      </c>
      <c r="B55" s="62" t="s">
        <v>6</v>
      </c>
      <c r="C55" s="521" t="s">
        <v>43</v>
      </c>
      <c r="D55" s="522"/>
      <c r="E55" s="62">
        <v>55.56</v>
      </c>
      <c r="F55" s="74">
        <v>2394</v>
      </c>
      <c r="G55" s="441">
        <f t="shared" si="34"/>
        <v>133010.64000000001</v>
      </c>
      <c r="H55" s="90" t="s">
        <v>5</v>
      </c>
      <c r="I55" s="448">
        <v>17</v>
      </c>
      <c r="J55" s="63">
        <v>2000</v>
      </c>
      <c r="K55" s="64">
        <f t="shared" si="1"/>
        <v>117.64705882352941</v>
      </c>
      <c r="L55" s="448">
        <v>17</v>
      </c>
      <c r="M55" s="65">
        <f t="shared" si="35"/>
        <v>1915.1999999999987</v>
      </c>
      <c r="N55" s="65">
        <f t="shared" si="3"/>
        <v>112.65882352941169</v>
      </c>
      <c r="O55" s="66">
        <f t="shared" si="4"/>
        <v>0</v>
      </c>
      <c r="P55" s="67">
        <f t="shared" si="5"/>
        <v>-4.9882352941177146</v>
      </c>
      <c r="Q55" s="442">
        <f t="shared" si="6"/>
        <v>0.95759999999999945</v>
      </c>
      <c r="R55" s="511"/>
      <c r="S55" s="68">
        <v>0.70833333333333337</v>
      </c>
      <c r="T55" s="68">
        <v>0.76041666666666674</v>
      </c>
      <c r="U55" s="441" t="str">
        <f t="shared" si="37"/>
        <v/>
      </c>
      <c r="V55" s="449">
        <f t="shared" si="36"/>
        <v>75.000000000000057</v>
      </c>
      <c r="W55" s="69"/>
      <c r="X55" s="69"/>
      <c r="Y55" s="444"/>
      <c r="Z55" s="445"/>
      <c r="AA55" s="66">
        <f t="shared" si="8"/>
        <v>-84.800000000001319</v>
      </c>
      <c r="AB55" s="442">
        <f t="shared" si="9"/>
        <v>0.95759999999999934</v>
      </c>
      <c r="AC55" s="511"/>
    </row>
    <row r="56" spans="1:29" ht="15.75" customHeight="1">
      <c r="A56" s="523" t="s">
        <v>2512</v>
      </c>
      <c r="B56" s="62" t="s">
        <v>6</v>
      </c>
      <c r="C56" s="446" t="s">
        <v>44</v>
      </c>
      <c r="D56" s="447"/>
      <c r="E56" s="62">
        <v>55.32</v>
      </c>
      <c r="F56" s="74">
        <v>1829</v>
      </c>
      <c r="G56" s="441">
        <f t="shared" si="34"/>
        <v>101180.28</v>
      </c>
      <c r="H56" s="90" t="s">
        <v>5</v>
      </c>
      <c r="I56" s="448">
        <v>15</v>
      </c>
      <c r="J56" s="63">
        <v>2000</v>
      </c>
      <c r="K56" s="64">
        <f t="shared" si="1"/>
        <v>133.33333333333334</v>
      </c>
      <c r="L56" s="448">
        <v>15</v>
      </c>
      <c r="M56" s="65">
        <f t="shared" si="35"/>
        <v>1925.2631578947382</v>
      </c>
      <c r="N56" s="65">
        <f t="shared" si="3"/>
        <v>128.35087719298255</v>
      </c>
      <c r="O56" s="66">
        <f t="shared" si="4"/>
        <v>0</v>
      </c>
      <c r="P56" s="67">
        <f t="shared" si="5"/>
        <v>-4.9824561403507914</v>
      </c>
      <c r="Q56" s="442">
        <f t="shared" si="6"/>
        <v>0.96263157894736906</v>
      </c>
      <c r="R56" s="511"/>
      <c r="S56" s="68">
        <v>0.76527777777777783</v>
      </c>
      <c r="T56" s="68">
        <v>0.80486111111111114</v>
      </c>
      <c r="U56" s="441">
        <f t="shared" si="37"/>
        <v>6.9999999999999751</v>
      </c>
      <c r="V56" s="449">
        <f t="shared" si="36"/>
        <v>56.999999999999957</v>
      </c>
      <c r="W56" s="69"/>
      <c r="X56" s="69"/>
      <c r="Y56" s="444"/>
      <c r="Z56" s="445"/>
      <c r="AA56" s="66">
        <f t="shared" si="8"/>
        <v>-74.736842105261758</v>
      </c>
      <c r="AB56" s="442">
        <f t="shared" si="9"/>
        <v>0.96263157894736917</v>
      </c>
      <c r="AC56" s="511"/>
    </row>
    <row r="57" spans="1:29" ht="15.75" customHeight="1">
      <c r="A57" s="523" t="s">
        <v>2513</v>
      </c>
      <c r="B57" s="62" t="s">
        <v>6</v>
      </c>
      <c r="C57" s="446" t="s">
        <v>1462</v>
      </c>
      <c r="D57" s="447"/>
      <c r="E57" s="62">
        <v>53.68</v>
      </c>
      <c r="F57" s="74">
        <v>1000</v>
      </c>
      <c r="G57" s="441">
        <f t="shared" si="34"/>
        <v>53680</v>
      </c>
      <c r="H57" s="90">
        <v>2</v>
      </c>
      <c r="I57" s="448">
        <v>16</v>
      </c>
      <c r="J57" s="63">
        <v>1500</v>
      </c>
      <c r="K57" s="64">
        <f t="shared" si="1"/>
        <v>93.75</v>
      </c>
      <c r="L57" s="448">
        <v>16</v>
      </c>
      <c r="M57" s="65">
        <f t="shared" si="35"/>
        <v>1463.4146341463411</v>
      </c>
      <c r="N57" s="65">
        <f t="shared" si="3"/>
        <v>91.463414634146318</v>
      </c>
      <c r="O57" s="66">
        <f t="shared" si="4"/>
        <v>0</v>
      </c>
      <c r="P57" s="67">
        <f t="shared" si="5"/>
        <v>-2.2865853658536821</v>
      </c>
      <c r="Q57" s="442">
        <f t="shared" si="6"/>
        <v>0.97560975609756073</v>
      </c>
      <c r="R57" s="511"/>
      <c r="S57" s="68">
        <v>0.81041666666666667</v>
      </c>
      <c r="T57" s="68">
        <v>0.83888888888888891</v>
      </c>
      <c r="U57" s="441">
        <f t="shared" si="37"/>
        <v>7.9999999999999716</v>
      </c>
      <c r="V57" s="449">
        <f t="shared" si="36"/>
        <v>41.000000000000014</v>
      </c>
      <c r="W57" s="69">
        <f>T57</f>
        <v>0.83888888888888891</v>
      </c>
      <c r="X57" s="69">
        <f>S58</f>
        <v>0.87777777777777777</v>
      </c>
      <c r="Y57" s="444"/>
      <c r="Z57" s="445"/>
      <c r="AA57" s="66">
        <f t="shared" si="8"/>
        <v>-36.585365853658914</v>
      </c>
      <c r="AB57" s="442">
        <f t="shared" si="9"/>
        <v>0.97560975609756073</v>
      </c>
      <c r="AC57" s="511"/>
    </row>
    <row r="58" spans="1:29" ht="15.75" customHeight="1">
      <c r="A58" s="523" t="s">
        <v>2511</v>
      </c>
      <c r="B58" s="62" t="s">
        <v>6</v>
      </c>
      <c r="C58" s="521" t="s">
        <v>1462</v>
      </c>
      <c r="D58" s="522"/>
      <c r="E58" s="62">
        <v>53.68</v>
      </c>
      <c r="F58" s="74">
        <v>2485</v>
      </c>
      <c r="G58" s="441">
        <f t="shared" si="34"/>
        <v>133394.79999999999</v>
      </c>
      <c r="H58" s="90" t="s">
        <v>5</v>
      </c>
      <c r="I58" s="448">
        <v>16</v>
      </c>
      <c r="J58" s="63">
        <v>1500</v>
      </c>
      <c r="K58" s="64">
        <f t="shared" si="1"/>
        <v>93.75</v>
      </c>
      <c r="L58" s="448">
        <v>16</v>
      </c>
      <c r="M58" s="65">
        <f t="shared" si="35"/>
        <v>1433.6538461538469</v>
      </c>
      <c r="N58" s="65">
        <f t="shared" si="3"/>
        <v>89.603365384615429</v>
      </c>
      <c r="O58" s="66">
        <f t="shared" si="4"/>
        <v>0</v>
      </c>
      <c r="P58" s="67">
        <f t="shared" si="5"/>
        <v>-4.1466346153845706</v>
      </c>
      <c r="Q58" s="442">
        <f t="shared" si="6"/>
        <v>0.95576923076923126</v>
      </c>
      <c r="R58" s="511"/>
      <c r="S58" s="68">
        <v>0.87777777777777777</v>
      </c>
      <c r="T58" s="68">
        <v>0.95</v>
      </c>
      <c r="U58" s="441">
        <f t="shared" si="37"/>
        <v>55.999999999999957</v>
      </c>
      <c r="V58" s="449">
        <f t="shared" si="36"/>
        <v>103.99999999999994</v>
      </c>
      <c r="W58" s="69"/>
      <c r="X58" s="69"/>
      <c r="Y58" s="517"/>
      <c r="Z58" s="518"/>
      <c r="AA58" s="66">
        <f t="shared" si="8"/>
        <v>-66.346153846153129</v>
      </c>
      <c r="AB58" s="442">
        <f t="shared" si="9"/>
        <v>0.95576923076923126</v>
      </c>
      <c r="AC58" s="511"/>
    </row>
    <row r="59" spans="1:29">
      <c r="A59" s="524" t="s">
        <v>80</v>
      </c>
      <c r="B59" s="62" t="s">
        <v>2506</v>
      </c>
      <c r="C59" s="513"/>
      <c r="D59" s="513"/>
      <c r="E59" s="443"/>
      <c r="F59" s="71"/>
      <c r="G59" s="64"/>
      <c r="H59" s="450"/>
      <c r="I59" s="72">
        <v>16.333333333333332</v>
      </c>
      <c r="J59" s="63">
        <v>1833.3333333333333</v>
      </c>
      <c r="K59" s="64">
        <f t="shared" si="1"/>
        <v>112.24489795918367</v>
      </c>
      <c r="L59" s="72">
        <v>16.333333333333332</v>
      </c>
      <c r="M59" s="65">
        <f>AVERAGE(M53:M58)</f>
        <v>1759.3198389886195</v>
      </c>
      <c r="N59" s="64">
        <f t="shared" si="3"/>
        <v>107.71345952991548</v>
      </c>
      <c r="O59" s="66">
        <f t="shared" si="4"/>
        <v>0</v>
      </c>
      <c r="P59" s="67">
        <f t="shared" si="5"/>
        <v>-4.5314384292681922</v>
      </c>
      <c r="Q59" s="442">
        <f t="shared" si="6"/>
        <v>0.95962900308470156</v>
      </c>
      <c r="R59" s="511"/>
      <c r="S59" s="75"/>
      <c r="T59" s="68"/>
      <c r="U59" s="64"/>
      <c r="V59" s="449"/>
      <c r="W59" s="64"/>
      <c r="X59" s="64"/>
      <c r="Y59" s="510"/>
      <c r="Z59" s="510"/>
      <c r="AA59" s="66">
        <f t="shared" si="8"/>
        <v>-74.013494344713763</v>
      </c>
      <c r="AB59" s="442">
        <f t="shared" si="9"/>
        <v>0.95962900308470156</v>
      </c>
      <c r="AC59" s="511"/>
    </row>
    <row r="60" spans="1:29" ht="15.75" customHeight="1">
      <c r="A60" s="519" t="s">
        <v>253</v>
      </c>
      <c r="B60" s="450" t="s">
        <v>10</v>
      </c>
      <c r="C60" s="512" t="s">
        <v>46</v>
      </c>
      <c r="D60" s="512"/>
      <c r="E60" s="62">
        <v>26.97</v>
      </c>
      <c r="F60" s="74">
        <v>3210</v>
      </c>
      <c r="G60" s="441">
        <f t="shared" ref="G60:G63" si="38">E60*F60</f>
        <v>86573.7</v>
      </c>
      <c r="H60" s="90" t="s">
        <v>5</v>
      </c>
      <c r="I60" s="448">
        <v>8</v>
      </c>
      <c r="J60" s="63">
        <v>1500</v>
      </c>
      <c r="K60" s="64">
        <f t="shared" si="1"/>
        <v>187.5</v>
      </c>
      <c r="L60" s="448">
        <v>8</v>
      </c>
      <c r="M60" s="65">
        <f t="shared" ref="M60:M63" si="39">F60/V60*60</f>
        <v>1437.3134328358201</v>
      </c>
      <c r="N60" s="64">
        <f t="shared" si="3"/>
        <v>179.66417910447751</v>
      </c>
      <c r="O60" s="66">
        <f t="shared" si="4"/>
        <v>0</v>
      </c>
      <c r="P60" s="67">
        <f t="shared" si="5"/>
        <v>-7.8358208955224882</v>
      </c>
      <c r="Q60" s="442">
        <f t="shared" si="6"/>
        <v>0.95820895522388005</v>
      </c>
      <c r="R60" s="511">
        <f>Q64</f>
        <v>0.95922137186882372</v>
      </c>
      <c r="S60" s="68">
        <v>0.20833333333333334</v>
      </c>
      <c r="T60" s="68">
        <v>0.30138888888888893</v>
      </c>
      <c r="U60" s="441"/>
      <c r="V60" s="449">
        <f t="shared" ref="V60:V63" si="40">(T60-S60)*24*60</f>
        <v>134.00000000000006</v>
      </c>
      <c r="W60" s="73"/>
      <c r="X60" s="73"/>
      <c r="Y60" s="510"/>
      <c r="Z60" s="510"/>
      <c r="AA60" s="66">
        <f t="shared" si="8"/>
        <v>-62.686567164179905</v>
      </c>
      <c r="AB60" s="442">
        <f t="shared" si="9"/>
        <v>0.95820895522388005</v>
      </c>
      <c r="AC60" s="511">
        <f>AB64</f>
        <v>0.95922137186882384</v>
      </c>
    </row>
    <row r="61" spans="1:29" ht="15.75" customHeight="1">
      <c r="A61" s="519" t="s">
        <v>2514</v>
      </c>
      <c r="B61" s="450" t="s">
        <v>35</v>
      </c>
      <c r="C61" s="512" t="s">
        <v>45</v>
      </c>
      <c r="D61" s="512"/>
      <c r="E61" s="62">
        <v>26.78</v>
      </c>
      <c r="F61" s="74">
        <v>2783</v>
      </c>
      <c r="G61" s="441">
        <f t="shared" si="38"/>
        <v>74528.740000000005</v>
      </c>
      <c r="H61" s="90" t="s">
        <v>5</v>
      </c>
      <c r="I61" s="448">
        <v>10</v>
      </c>
      <c r="J61" s="63">
        <v>3000</v>
      </c>
      <c r="K61" s="64">
        <f t="shared" si="1"/>
        <v>300</v>
      </c>
      <c r="L61" s="448">
        <v>10</v>
      </c>
      <c r="M61" s="65">
        <f t="shared" si="39"/>
        <v>2878.9655172413773</v>
      </c>
      <c r="N61" s="64">
        <f t="shared" si="3"/>
        <v>287.89655172413774</v>
      </c>
      <c r="O61" s="66">
        <f t="shared" si="4"/>
        <v>0</v>
      </c>
      <c r="P61" s="67">
        <f t="shared" si="5"/>
        <v>-12.103448275862263</v>
      </c>
      <c r="Q61" s="442">
        <f t="shared" si="6"/>
        <v>0.9596551724137925</v>
      </c>
      <c r="R61" s="511"/>
      <c r="S61" s="68">
        <v>0.30486111111111114</v>
      </c>
      <c r="T61" s="68">
        <v>0.34513888888888894</v>
      </c>
      <c r="U61" s="441">
        <f t="shared" ref="U61:U63" si="41">(S61-T60)*24*60</f>
        <v>4.9999999999999822</v>
      </c>
      <c r="V61" s="449">
        <f t="shared" si="40"/>
        <v>58.000000000000036</v>
      </c>
      <c r="W61" s="441"/>
      <c r="X61" s="441"/>
      <c r="Y61" s="510"/>
      <c r="Z61" s="510"/>
      <c r="AA61" s="66">
        <f t="shared" si="8"/>
        <v>-121.03448275862274</v>
      </c>
      <c r="AB61" s="442">
        <f t="shared" si="9"/>
        <v>0.95965517241379239</v>
      </c>
      <c r="AC61" s="511"/>
    </row>
    <row r="62" spans="1:29" ht="15.75" customHeight="1">
      <c r="A62" s="519" t="s">
        <v>2514</v>
      </c>
      <c r="B62" s="450" t="s">
        <v>35</v>
      </c>
      <c r="C62" s="512" t="s">
        <v>75</v>
      </c>
      <c r="D62" s="512"/>
      <c r="E62" s="62">
        <v>37.880000000000003</v>
      </c>
      <c r="F62" s="74">
        <v>3162</v>
      </c>
      <c r="G62" s="441">
        <f t="shared" si="38"/>
        <v>119776.56000000001</v>
      </c>
      <c r="H62" s="90" t="s">
        <v>5</v>
      </c>
      <c r="I62" s="448">
        <v>10</v>
      </c>
      <c r="J62" s="63">
        <v>3000</v>
      </c>
      <c r="K62" s="64">
        <f t="shared" si="1"/>
        <v>300</v>
      </c>
      <c r="L62" s="448">
        <v>10</v>
      </c>
      <c r="M62" s="65">
        <f t="shared" si="39"/>
        <v>2874.5454545454545</v>
      </c>
      <c r="N62" s="64">
        <f t="shared" si="3"/>
        <v>287.45454545454544</v>
      </c>
      <c r="O62" s="66">
        <f t="shared" si="4"/>
        <v>0</v>
      </c>
      <c r="P62" s="67">
        <f t="shared" si="5"/>
        <v>-12.545454545454561</v>
      </c>
      <c r="Q62" s="442">
        <f t="shared" si="6"/>
        <v>0.95818181818181813</v>
      </c>
      <c r="R62" s="511"/>
      <c r="S62" s="68">
        <v>0.35069444444444448</v>
      </c>
      <c r="T62" s="68">
        <v>0.39652777777777781</v>
      </c>
      <c r="U62" s="441">
        <f t="shared" si="41"/>
        <v>7.9999999999999716</v>
      </c>
      <c r="V62" s="449">
        <f t="shared" si="40"/>
        <v>66</v>
      </c>
      <c r="W62" s="441"/>
      <c r="X62" s="441"/>
      <c r="Y62" s="510"/>
      <c r="Z62" s="510"/>
      <c r="AA62" s="66">
        <f t="shared" si="8"/>
        <v>-125.4545454545455</v>
      </c>
      <c r="AB62" s="442">
        <f t="shared" si="9"/>
        <v>0.95818181818181813</v>
      </c>
      <c r="AC62" s="511"/>
    </row>
    <row r="63" spans="1:29" ht="15.75" customHeight="1">
      <c r="A63" s="519" t="s">
        <v>2514</v>
      </c>
      <c r="B63" s="450" t="s">
        <v>35</v>
      </c>
      <c r="C63" s="512" t="s">
        <v>85</v>
      </c>
      <c r="D63" s="512"/>
      <c r="E63" s="62">
        <v>40.51</v>
      </c>
      <c r="F63" s="74">
        <v>2881</v>
      </c>
      <c r="G63" s="441">
        <f t="shared" si="38"/>
        <v>116709.31</v>
      </c>
      <c r="H63" s="90" t="s">
        <v>5</v>
      </c>
      <c r="I63" s="448">
        <v>8</v>
      </c>
      <c r="J63" s="63">
        <v>3000</v>
      </c>
      <c r="K63" s="64">
        <f t="shared" si="1"/>
        <v>375</v>
      </c>
      <c r="L63" s="448">
        <v>8</v>
      </c>
      <c r="M63" s="65">
        <f t="shared" si="39"/>
        <v>2880.9999999999986</v>
      </c>
      <c r="N63" s="64">
        <f t="shared" si="3"/>
        <v>360.12499999999983</v>
      </c>
      <c r="O63" s="66">
        <f t="shared" si="4"/>
        <v>0</v>
      </c>
      <c r="P63" s="67">
        <f t="shared" si="5"/>
        <v>-14.875000000000171</v>
      </c>
      <c r="Q63" s="442">
        <f t="shared" si="6"/>
        <v>0.96033333333333293</v>
      </c>
      <c r="R63" s="511"/>
      <c r="S63" s="68">
        <v>0.40208333333333335</v>
      </c>
      <c r="T63" s="68">
        <v>0.44375000000000003</v>
      </c>
      <c r="U63" s="441">
        <f t="shared" si="41"/>
        <v>7.9999999999999716</v>
      </c>
      <c r="V63" s="449">
        <f t="shared" si="40"/>
        <v>60.000000000000028</v>
      </c>
      <c r="W63" s="441"/>
      <c r="X63" s="441"/>
      <c r="Y63" s="510"/>
      <c r="Z63" s="510"/>
      <c r="AA63" s="66">
        <f t="shared" si="8"/>
        <v>-119.00000000000136</v>
      </c>
      <c r="AB63" s="442">
        <f t="shared" si="9"/>
        <v>0.96033333333333293</v>
      </c>
      <c r="AC63" s="511"/>
    </row>
    <row r="64" spans="1:29">
      <c r="A64" s="520" t="s">
        <v>2515</v>
      </c>
      <c r="B64" s="62" t="s">
        <v>79</v>
      </c>
      <c r="C64" s="513"/>
      <c r="D64" s="513"/>
      <c r="E64" s="443"/>
      <c r="F64" s="71"/>
      <c r="G64" s="64"/>
      <c r="H64" s="450"/>
      <c r="I64" s="72">
        <v>9</v>
      </c>
      <c r="J64" s="63">
        <v>2625</v>
      </c>
      <c r="K64" s="64">
        <f t="shared" si="1"/>
        <v>291.66666666666669</v>
      </c>
      <c r="L64" s="72">
        <v>9</v>
      </c>
      <c r="M64" s="65">
        <f>AVERAGE(M60:M63)</f>
        <v>2517.9561011556625</v>
      </c>
      <c r="N64" s="64">
        <f t="shared" si="3"/>
        <v>279.77290012840695</v>
      </c>
      <c r="O64" s="66">
        <f t="shared" si="4"/>
        <v>0</v>
      </c>
      <c r="P64" s="67">
        <f t="shared" si="5"/>
        <v>-11.89376653825974</v>
      </c>
      <c r="Q64" s="442">
        <f t="shared" si="6"/>
        <v>0.95922137186882372</v>
      </c>
      <c r="R64" s="511"/>
      <c r="S64" s="68"/>
      <c r="T64" s="68"/>
      <c r="U64" s="64"/>
      <c r="V64" s="449"/>
      <c r="W64" s="64"/>
      <c r="X64" s="64"/>
      <c r="Y64" s="510"/>
      <c r="Z64" s="510"/>
      <c r="AA64" s="66">
        <f t="shared" si="8"/>
        <v>-107.04389884433749</v>
      </c>
      <c r="AB64" s="442">
        <f t="shared" si="9"/>
        <v>0.95922137186882384</v>
      </c>
      <c r="AC64" s="511"/>
    </row>
    <row r="65" spans="1:29" ht="15.75" customHeight="1">
      <c r="A65" s="514" t="s">
        <v>2516</v>
      </c>
      <c r="B65" s="450" t="s">
        <v>16</v>
      </c>
      <c r="C65" s="512" t="s">
        <v>48</v>
      </c>
      <c r="D65" s="512"/>
      <c r="E65" s="62">
        <v>20.2</v>
      </c>
      <c r="F65" s="450">
        <v>2712</v>
      </c>
      <c r="G65" s="441">
        <f t="shared" ref="G65:G74" si="42">E65*F65</f>
        <v>54782.400000000001</v>
      </c>
      <c r="H65" s="90" t="s">
        <v>5</v>
      </c>
      <c r="I65" s="448">
        <v>19</v>
      </c>
      <c r="J65" s="63">
        <v>2400</v>
      </c>
      <c r="K65" s="64">
        <f t="shared" si="1"/>
        <v>126.31578947368421</v>
      </c>
      <c r="L65" s="448">
        <v>19</v>
      </c>
      <c r="M65" s="65">
        <f t="shared" ref="M65:M74" si="43">F65/V65*60</f>
        <v>2291.8309859154929</v>
      </c>
      <c r="N65" s="64">
        <f t="shared" si="3"/>
        <v>120.62268346923646</v>
      </c>
      <c r="O65" s="66">
        <f t="shared" si="4"/>
        <v>0</v>
      </c>
      <c r="P65" s="67">
        <f t="shared" si="5"/>
        <v>-5.693106004447742</v>
      </c>
      <c r="Q65" s="442">
        <f t="shared" si="6"/>
        <v>0.95492957746478868</v>
      </c>
      <c r="R65" s="511">
        <f>Q75</f>
        <v>0.9560020184597301</v>
      </c>
      <c r="S65" s="68">
        <v>8.3333333333333329E-2</v>
      </c>
      <c r="T65" s="68">
        <v>0.13263888888888889</v>
      </c>
      <c r="U65" s="73"/>
      <c r="V65" s="449">
        <f t="shared" ref="V65:V74" si="44">(T65-S65)*24*60</f>
        <v>71.000000000000014</v>
      </c>
      <c r="W65" s="69">
        <f>T65</f>
        <v>0.13263888888888889</v>
      </c>
      <c r="X65" s="69">
        <f>S66</f>
        <v>0.15138888888888888</v>
      </c>
      <c r="Y65" s="510"/>
      <c r="Z65" s="510"/>
      <c r="AA65" s="66">
        <f t="shared" si="8"/>
        <v>-108.16901408450713</v>
      </c>
      <c r="AB65" s="442">
        <f t="shared" si="9"/>
        <v>0.95492957746478868</v>
      </c>
      <c r="AC65" s="511">
        <f>AB75</f>
        <v>0.95600201845973021</v>
      </c>
    </row>
    <row r="66" spans="1:29" ht="15.75" customHeight="1">
      <c r="A66" s="515" t="s">
        <v>254</v>
      </c>
      <c r="B66" s="450" t="s">
        <v>16</v>
      </c>
      <c r="C66" s="512" t="s">
        <v>17</v>
      </c>
      <c r="D66" s="512"/>
      <c r="E66" s="62">
        <v>24.45</v>
      </c>
      <c r="F66" s="450">
        <v>2943</v>
      </c>
      <c r="G66" s="441">
        <f t="shared" si="42"/>
        <v>71956.349999999991</v>
      </c>
      <c r="H66" s="90" t="s">
        <v>5</v>
      </c>
      <c r="I66" s="448">
        <v>20</v>
      </c>
      <c r="J66" s="63">
        <v>2400</v>
      </c>
      <c r="K66" s="64">
        <f t="shared" si="1"/>
        <v>120</v>
      </c>
      <c r="L66" s="448">
        <v>20</v>
      </c>
      <c r="M66" s="65">
        <f t="shared" si="43"/>
        <v>2293.2467532467531</v>
      </c>
      <c r="N66" s="64">
        <f t="shared" si="3"/>
        <v>114.66233766233765</v>
      </c>
      <c r="O66" s="66">
        <f t="shared" si="4"/>
        <v>0</v>
      </c>
      <c r="P66" s="67">
        <f t="shared" si="5"/>
        <v>-5.3376623376623513</v>
      </c>
      <c r="Q66" s="442">
        <f t="shared" si="6"/>
        <v>0.95551948051948044</v>
      </c>
      <c r="R66" s="511"/>
      <c r="S66" s="68">
        <v>0.15138888888888888</v>
      </c>
      <c r="T66" s="68">
        <v>0.2048611111111111</v>
      </c>
      <c r="U66" s="441">
        <f t="shared" ref="U66:U74" si="45">(S66-T65)*24*60</f>
        <v>26.999999999999986</v>
      </c>
      <c r="V66" s="449">
        <f t="shared" si="44"/>
        <v>77</v>
      </c>
      <c r="W66" s="69"/>
      <c r="X66" s="69"/>
      <c r="Y66" s="510"/>
      <c r="Z66" s="510"/>
      <c r="AA66" s="66">
        <f t="shared" si="8"/>
        <v>-106.75324675324691</v>
      </c>
      <c r="AB66" s="442">
        <f t="shared" si="9"/>
        <v>0.95551948051948044</v>
      </c>
      <c r="AC66" s="511"/>
    </row>
    <row r="67" spans="1:29" ht="15.75" customHeight="1">
      <c r="A67" s="515" t="s">
        <v>254</v>
      </c>
      <c r="B67" s="450" t="s">
        <v>16</v>
      </c>
      <c r="C67" s="512" t="s">
        <v>18</v>
      </c>
      <c r="D67" s="512"/>
      <c r="E67" s="62">
        <v>22.35</v>
      </c>
      <c r="F67" s="450">
        <v>2225</v>
      </c>
      <c r="G67" s="441">
        <f t="shared" si="42"/>
        <v>49728.75</v>
      </c>
      <c r="H67" s="90" t="s">
        <v>5</v>
      </c>
      <c r="I67" s="448">
        <v>16</v>
      </c>
      <c r="J67" s="63">
        <v>2400</v>
      </c>
      <c r="K67" s="64">
        <f t="shared" si="1"/>
        <v>150</v>
      </c>
      <c r="L67" s="448">
        <v>16</v>
      </c>
      <c r="M67" s="65">
        <f t="shared" si="43"/>
        <v>2301.7241379310349</v>
      </c>
      <c r="N67" s="64">
        <f t="shared" si="3"/>
        <v>143.85775862068968</v>
      </c>
      <c r="O67" s="66">
        <f t="shared" si="4"/>
        <v>0</v>
      </c>
      <c r="P67" s="67">
        <f t="shared" si="5"/>
        <v>-6.1422413793103203</v>
      </c>
      <c r="Q67" s="442">
        <f t="shared" si="6"/>
        <v>0.95905172413793116</v>
      </c>
      <c r="R67" s="511"/>
      <c r="S67" s="68">
        <v>0.20902777777777778</v>
      </c>
      <c r="T67" s="68">
        <v>0.24930555555555556</v>
      </c>
      <c r="U67" s="441">
        <f t="shared" si="45"/>
        <v>6.0000000000000187</v>
      </c>
      <c r="V67" s="449">
        <f t="shared" si="44"/>
        <v>57.999999999999993</v>
      </c>
      <c r="W67" s="69"/>
      <c r="X67" s="69"/>
      <c r="Y67" s="510"/>
      <c r="Z67" s="510"/>
      <c r="AA67" s="66">
        <f t="shared" si="8"/>
        <v>-98.275862068965125</v>
      </c>
      <c r="AB67" s="442">
        <f t="shared" si="9"/>
        <v>0.95905172413793116</v>
      </c>
      <c r="AC67" s="511"/>
    </row>
    <row r="68" spans="1:29" ht="15.75" customHeight="1">
      <c r="A68" s="515" t="s">
        <v>163</v>
      </c>
      <c r="B68" s="450" t="s">
        <v>16</v>
      </c>
      <c r="C68" s="512" t="s">
        <v>34</v>
      </c>
      <c r="D68" s="512"/>
      <c r="E68" s="62">
        <v>24.25</v>
      </c>
      <c r="F68" s="450">
        <v>2861</v>
      </c>
      <c r="G68" s="441">
        <f t="shared" si="42"/>
        <v>69379.25</v>
      </c>
      <c r="H68" s="90" t="s">
        <v>5</v>
      </c>
      <c r="I68" s="448">
        <v>13</v>
      </c>
      <c r="J68" s="63">
        <v>2400</v>
      </c>
      <c r="K68" s="64">
        <f t="shared" si="1"/>
        <v>184.61538461538461</v>
      </c>
      <c r="L68" s="448">
        <v>13</v>
      </c>
      <c r="M68" s="65">
        <f t="shared" si="43"/>
        <v>2288.8000000000011</v>
      </c>
      <c r="N68" s="64">
        <f t="shared" si="3"/>
        <v>176.06153846153853</v>
      </c>
      <c r="O68" s="66">
        <f t="shared" si="4"/>
        <v>0</v>
      </c>
      <c r="P68" s="67">
        <f t="shared" si="5"/>
        <v>-8.5538461538460808</v>
      </c>
      <c r="Q68" s="442">
        <f t="shared" si="6"/>
        <v>0.95366666666666711</v>
      </c>
      <c r="R68" s="511"/>
      <c r="S68" s="68">
        <v>0.25277777777777777</v>
      </c>
      <c r="T68" s="68">
        <v>0.30486111111111108</v>
      </c>
      <c r="U68" s="441">
        <f t="shared" si="45"/>
        <v>4.9999999999999822</v>
      </c>
      <c r="V68" s="449">
        <f t="shared" si="44"/>
        <v>74.999999999999972</v>
      </c>
      <c r="W68" s="69"/>
      <c r="X68" s="69"/>
      <c r="Y68" s="510"/>
      <c r="Z68" s="510"/>
      <c r="AA68" s="66">
        <f t="shared" si="8"/>
        <v>-111.19999999999891</v>
      </c>
      <c r="AB68" s="442">
        <f t="shared" si="9"/>
        <v>0.95366666666666711</v>
      </c>
      <c r="AC68" s="511"/>
    </row>
    <row r="69" spans="1:29" ht="15.75" customHeight="1">
      <c r="A69" s="515" t="s">
        <v>2517</v>
      </c>
      <c r="B69" s="450" t="s">
        <v>16</v>
      </c>
      <c r="C69" s="512" t="s">
        <v>26</v>
      </c>
      <c r="D69" s="512"/>
      <c r="E69" s="62">
        <v>20.52</v>
      </c>
      <c r="F69" s="450">
        <v>3781</v>
      </c>
      <c r="G69" s="441">
        <f t="shared" si="42"/>
        <v>77586.12</v>
      </c>
      <c r="H69" s="90" t="s">
        <v>5</v>
      </c>
      <c r="I69" s="448">
        <v>18</v>
      </c>
      <c r="J69" s="63">
        <v>2400</v>
      </c>
      <c r="K69" s="64">
        <f t="shared" ref="K69:K89" si="46">J69/I69</f>
        <v>133.33333333333334</v>
      </c>
      <c r="L69" s="448">
        <v>18</v>
      </c>
      <c r="M69" s="65">
        <f t="shared" si="43"/>
        <v>2291.5151515151524</v>
      </c>
      <c r="N69" s="64">
        <f t="shared" ref="N69:N89" si="47">M69/L69</f>
        <v>127.30639730639736</v>
      </c>
      <c r="O69" s="66">
        <f t="shared" ref="O69:O89" si="48">L69-I69</f>
        <v>0</v>
      </c>
      <c r="P69" s="67">
        <f t="shared" ref="P69:P89" si="49">N69-K69</f>
        <v>-6.0269360269359851</v>
      </c>
      <c r="Q69" s="442">
        <f t="shared" ref="Q69:Q89" si="50">N69/K69</f>
        <v>0.95479797979798009</v>
      </c>
      <c r="R69" s="511"/>
      <c r="S69" s="68">
        <v>0.30902777777777773</v>
      </c>
      <c r="T69" s="68">
        <v>0.37777777777777771</v>
      </c>
      <c r="U69" s="441">
        <f t="shared" si="45"/>
        <v>5.9999999999999787</v>
      </c>
      <c r="V69" s="449">
        <f t="shared" si="44"/>
        <v>98.999999999999972</v>
      </c>
      <c r="W69" s="69"/>
      <c r="X69" s="69"/>
      <c r="Y69" s="510"/>
      <c r="Z69" s="510"/>
      <c r="AA69" s="66">
        <f t="shared" ref="AA69:AA89" si="51">M69-J69</f>
        <v>-108.48484848484759</v>
      </c>
      <c r="AB69" s="442">
        <f t="shared" ref="AB69:AB89" si="52">M69/J69</f>
        <v>0.9547979797979802</v>
      </c>
      <c r="AC69" s="511"/>
    </row>
    <row r="70" spans="1:29" ht="15.75" customHeight="1">
      <c r="A70" s="515" t="s">
        <v>2517</v>
      </c>
      <c r="B70" s="450" t="s">
        <v>16</v>
      </c>
      <c r="C70" s="512" t="s">
        <v>2115</v>
      </c>
      <c r="D70" s="512"/>
      <c r="E70" s="62">
        <v>22.69</v>
      </c>
      <c r="F70" s="450">
        <v>3600</v>
      </c>
      <c r="G70" s="441">
        <f t="shared" si="42"/>
        <v>81684</v>
      </c>
      <c r="H70" s="90">
        <v>2</v>
      </c>
      <c r="I70" s="448">
        <v>15</v>
      </c>
      <c r="J70" s="63">
        <v>2400</v>
      </c>
      <c r="K70" s="64">
        <f t="shared" si="46"/>
        <v>160</v>
      </c>
      <c r="L70" s="448">
        <v>15</v>
      </c>
      <c r="M70" s="65">
        <f t="shared" si="43"/>
        <v>2297.872340425532</v>
      </c>
      <c r="N70" s="64">
        <f t="shared" si="47"/>
        <v>153.19148936170214</v>
      </c>
      <c r="O70" s="66">
        <f t="shared" si="48"/>
        <v>0</v>
      </c>
      <c r="P70" s="67">
        <f t="shared" si="49"/>
        <v>-6.8085106382978609</v>
      </c>
      <c r="Q70" s="442">
        <f t="shared" si="50"/>
        <v>0.95744680851063835</v>
      </c>
      <c r="R70" s="511"/>
      <c r="S70" s="68">
        <v>0.38194444444444436</v>
      </c>
      <c r="T70" s="68">
        <v>0.44722222222222213</v>
      </c>
      <c r="U70" s="441">
        <f t="shared" si="45"/>
        <v>5.9999999999999787</v>
      </c>
      <c r="V70" s="449">
        <f t="shared" si="44"/>
        <v>93.999999999999986</v>
      </c>
      <c r="W70" s="69"/>
      <c r="X70" s="69"/>
      <c r="Y70" s="510"/>
      <c r="Z70" s="510"/>
      <c r="AA70" s="66">
        <f t="shared" si="51"/>
        <v>-102.127659574468</v>
      </c>
      <c r="AB70" s="442">
        <f t="shared" si="52"/>
        <v>0.95744680851063835</v>
      </c>
      <c r="AC70" s="511"/>
    </row>
    <row r="71" spans="1:29" ht="15.75" customHeight="1">
      <c r="A71" s="515" t="s">
        <v>254</v>
      </c>
      <c r="B71" s="450" t="s">
        <v>16</v>
      </c>
      <c r="C71" s="512" t="s">
        <v>33</v>
      </c>
      <c r="D71" s="512"/>
      <c r="E71" s="62">
        <v>24.43</v>
      </c>
      <c r="F71" s="450">
        <v>3500</v>
      </c>
      <c r="G71" s="441">
        <f t="shared" si="42"/>
        <v>85505</v>
      </c>
      <c r="H71" s="90">
        <v>2</v>
      </c>
      <c r="I71" s="448">
        <v>14</v>
      </c>
      <c r="J71" s="63">
        <v>2400</v>
      </c>
      <c r="K71" s="64">
        <f t="shared" si="46"/>
        <v>171.42857142857142</v>
      </c>
      <c r="L71" s="448">
        <v>14</v>
      </c>
      <c r="M71" s="65">
        <f t="shared" si="43"/>
        <v>2307.6923076923099</v>
      </c>
      <c r="N71" s="64">
        <f t="shared" si="47"/>
        <v>164.83516483516499</v>
      </c>
      <c r="O71" s="66">
        <f t="shared" si="48"/>
        <v>0</v>
      </c>
      <c r="P71" s="67">
        <f t="shared" si="49"/>
        <v>-6.5934065934064279</v>
      </c>
      <c r="Q71" s="442">
        <f t="shared" si="50"/>
        <v>0.96153846153846245</v>
      </c>
      <c r="R71" s="511"/>
      <c r="S71" s="68">
        <v>0.45138888888888878</v>
      </c>
      <c r="T71" s="68">
        <v>0.51458333333333317</v>
      </c>
      <c r="U71" s="441">
        <f t="shared" si="45"/>
        <v>5.9999999999999787</v>
      </c>
      <c r="V71" s="449">
        <f t="shared" si="44"/>
        <v>90.999999999999915</v>
      </c>
      <c r="W71" s="69">
        <f>T71</f>
        <v>0.51458333333333317</v>
      </c>
      <c r="X71" s="69">
        <f>S72</f>
        <v>0.55347222222222203</v>
      </c>
      <c r="Y71" s="517"/>
      <c r="Z71" s="518"/>
      <c r="AA71" s="66">
        <f t="shared" si="51"/>
        <v>-92.307692307690104</v>
      </c>
      <c r="AB71" s="442">
        <f t="shared" si="52"/>
        <v>0.96153846153846245</v>
      </c>
      <c r="AC71" s="511"/>
    </row>
    <row r="72" spans="1:29" ht="15.75" customHeight="1">
      <c r="A72" s="515" t="s">
        <v>254</v>
      </c>
      <c r="B72" s="450" t="s">
        <v>16</v>
      </c>
      <c r="C72" s="512" t="s">
        <v>33</v>
      </c>
      <c r="D72" s="512"/>
      <c r="E72" s="62">
        <v>24.43</v>
      </c>
      <c r="F72" s="450">
        <v>5203</v>
      </c>
      <c r="G72" s="441">
        <f t="shared" si="42"/>
        <v>127109.29</v>
      </c>
      <c r="H72" s="90" t="s">
        <v>5</v>
      </c>
      <c r="I72" s="448">
        <v>14</v>
      </c>
      <c r="J72" s="63">
        <v>2400</v>
      </c>
      <c r="K72" s="64">
        <f t="shared" si="46"/>
        <v>171.42857142857142</v>
      </c>
      <c r="L72" s="448">
        <v>14</v>
      </c>
      <c r="M72" s="65">
        <f t="shared" si="43"/>
        <v>2295.4411764705883</v>
      </c>
      <c r="N72" s="64">
        <f t="shared" si="47"/>
        <v>163.96008403361344</v>
      </c>
      <c r="O72" s="66">
        <f t="shared" si="48"/>
        <v>0</v>
      </c>
      <c r="P72" s="67">
        <f t="shared" si="49"/>
        <v>-7.4684873949579753</v>
      </c>
      <c r="Q72" s="442">
        <f t="shared" si="50"/>
        <v>0.95643382352941175</v>
      </c>
      <c r="R72" s="511"/>
      <c r="S72" s="68">
        <v>0.55347222222222203</v>
      </c>
      <c r="T72" s="68">
        <v>0.64791666666666647</v>
      </c>
      <c r="U72" s="441">
        <f t="shared" si="45"/>
        <v>55.999999999999957</v>
      </c>
      <c r="V72" s="449">
        <f t="shared" si="44"/>
        <v>136</v>
      </c>
      <c r="W72" s="69"/>
      <c r="X72" s="69"/>
      <c r="Y72" s="517"/>
      <c r="Z72" s="518"/>
      <c r="AA72" s="66">
        <f t="shared" si="51"/>
        <v>-104.55882352941171</v>
      </c>
      <c r="AB72" s="442">
        <f t="shared" si="52"/>
        <v>0.95643382352941175</v>
      </c>
      <c r="AC72" s="511"/>
    </row>
    <row r="73" spans="1:29" ht="15.75" customHeight="1">
      <c r="A73" s="515" t="s">
        <v>2516</v>
      </c>
      <c r="B73" s="450" t="s">
        <v>16</v>
      </c>
      <c r="C73" s="512" t="s">
        <v>2115</v>
      </c>
      <c r="D73" s="512"/>
      <c r="E73" s="62">
        <v>22.69</v>
      </c>
      <c r="F73" s="450">
        <v>2211</v>
      </c>
      <c r="G73" s="441">
        <f t="shared" si="42"/>
        <v>50167.590000000004</v>
      </c>
      <c r="H73" s="90" t="s">
        <v>5</v>
      </c>
      <c r="I73" s="448">
        <v>15</v>
      </c>
      <c r="J73" s="63">
        <v>2400</v>
      </c>
      <c r="K73" s="64">
        <f t="shared" si="46"/>
        <v>160</v>
      </c>
      <c r="L73" s="448">
        <v>15</v>
      </c>
      <c r="M73" s="65">
        <f t="shared" si="43"/>
        <v>2287.2413793103465</v>
      </c>
      <c r="N73" s="64">
        <f t="shared" si="47"/>
        <v>152.48275862068976</v>
      </c>
      <c r="O73" s="66">
        <f t="shared" si="48"/>
        <v>0</v>
      </c>
      <c r="P73" s="67">
        <f t="shared" si="49"/>
        <v>-7.5172413793102351</v>
      </c>
      <c r="Q73" s="442">
        <f t="shared" si="50"/>
        <v>0.95301724137931099</v>
      </c>
      <c r="R73" s="511"/>
      <c r="S73" s="68">
        <v>0.65277777777777757</v>
      </c>
      <c r="T73" s="68">
        <v>0.69305555555555531</v>
      </c>
      <c r="U73" s="441">
        <f t="shared" si="45"/>
        <v>6.9999999999999751</v>
      </c>
      <c r="V73" s="449">
        <f t="shared" si="44"/>
        <v>57.999999999999957</v>
      </c>
      <c r="W73" s="69"/>
      <c r="X73" s="69"/>
      <c r="Y73" s="517"/>
      <c r="Z73" s="518"/>
      <c r="AA73" s="66">
        <f t="shared" si="51"/>
        <v>-112.75862068965353</v>
      </c>
      <c r="AB73" s="442">
        <f t="shared" si="52"/>
        <v>0.95301724137931099</v>
      </c>
      <c r="AC73" s="511"/>
    </row>
    <row r="74" spans="1:29" ht="15.75" customHeight="1">
      <c r="A74" s="515" t="s">
        <v>2518</v>
      </c>
      <c r="B74" s="450" t="s">
        <v>16</v>
      </c>
      <c r="C74" s="512" t="s">
        <v>32</v>
      </c>
      <c r="D74" s="512"/>
      <c r="E74" s="62">
        <v>26.39</v>
      </c>
      <c r="F74" s="450">
        <v>2899</v>
      </c>
      <c r="G74" s="441">
        <f t="shared" si="42"/>
        <v>76504.61</v>
      </c>
      <c r="H74" s="90" t="s">
        <v>5</v>
      </c>
      <c r="I74" s="448">
        <v>19</v>
      </c>
      <c r="J74" s="63">
        <v>2400</v>
      </c>
      <c r="K74" s="64">
        <f t="shared" si="46"/>
        <v>126.31578947368421</v>
      </c>
      <c r="L74" s="448">
        <v>19</v>
      </c>
      <c r="M74" s="65">
        <f t="shared" si="43"/>
        <v>2288.684210526314</v>
      </c>
      <c r="N74" s="64">
        <f t="shared" si="47"/>
        <v>120.45706371191126</v>
      </c>
      <c r="O74" s="66">
        <f t="shared" si="48"/>
        <v>0</v>
      </c>
      <c r="P74" s="67">
        <f t="shared" si="49"/>
        <v>-5.8587257617729449</v>
      </c>
      <c r="Q74" s="442">
        <f t="shared" si="50"/>
        <v>0.95361842105263084</v>
      </c>
      <c r="R74" s="511"/>
      <c r="S74" s="68">
        <v>0.69722222222222197</v>
      </c>
      <c r="T74" s="68">
        <v>0.74999999999999978</v>
      </c>
      <c r="U74" s="441">
        <f t="shared" si="45"/>
        <v>5.9999999999999787</v>
      </c>
      <c r="V74" s="449">
        <f t="shared" si="44"/>
        <v>76.000000000000057</v>
      </c>
      <c r="W74" s="69"/>
      <c r="X74" s="69"/>
      <c r="Y74" s="517"/>
      <c r="Z74" s="518"/>
      <c r="AA74" s="66">
        <f t="shared" si="51"/>
        <v>-111.31578947368598</v>
      </c>
      <c r="AB74" s="442">
        <f t="shared" si="52"/>
        <v>0.95361842105263084</v>
      </c>
      <c r="AC74" s="511"/>
    </row>
    <row r="75" spans="1:29" ht="16.5" customHeight="1">
      <c r="A75" s="516" t="s">
        <v>163</v>
      </c>
      <c r="B75" s="62" t="s">
        <v>2506</v>
      </c>
      <c r="C75" s="508"/>
      <c r="D75" s="509"/>
      <c r="E75" s="443"/>
      <c r="F75" s="71"/>
      <c r="G75" s="64"/>
      <c r="H75" s="450"/>
      <c r="I75" s="72">
        <v>16.3</v>
      </c>
      <c r="J75" s="63">
        <v>2400</v>
      </c>
      <c r="K75" s="64">
        <f t="shared" si="46"/>
        <v>147.23926380368098</v>
      </c>
      <c r="L75" s="72">
        <v>16.3</v>
      </c>
      <c r="M75" s="65">
        <f>AVERAGE(M65:M74)</f>
        <v>2294.4048443033525</v>
      </c>
      <c r="N75" s="64">
        <f t="shared" si="47"/>
        <v>140.7610333928437</v>
      </c>
      <c r="O75" s="66">
        <f t="shared" si="48"/>
        <v>0</v>
      </c>
      <c r="P75" s="67">
        <f t="shared" si="49"/>
        <v>-6.4782304108372841</v>
      </c>
      <c r="Q75" s="442">
        <f t="shared" si="50"/>
        <v>0.9560020184597301</v>
      </c>
      <c r="R75" s="511"/>
      <c r="S75" s="68"/>
      <c r="T75" s="68"/>
      <c r="U75" s="64"/>
      <c r="V75" s="449"/>
      <c r="W75" s="64"/>
      <c r="X75" s="64"/>
      <c r="Y75" s="510"/>
      <c r="Z75" s="510"/>
      <c r="AA75" s="66">
        <f t="shared" si="51"/>
        <v>-105.59515569664745</v>
      </c>
      <c r="AB75" s="442">
        <f t="shared" si="52"/>
        <v>0.95600201845973021</v>
      </c>
      <c r="AC75" s="511"/>
    </row>
    <row r="76" spans="1:29">
      <c r="D76" s="566"/>
      <c r="E76" s="566"/>
    </row>
  </sheetData>
  <mergeCells count="198">
    <mergeCell ref="C75:D75"/>
    <mergeCell ref="Y75:Z75"/>
    <mergeCell ref="C72:D72"/>
    <mergeCell ref="Y72:Z72"/>
    <mergeCell ref="C73:D73"/>
    <mergeCell ref="Y73:Z73"/>
    <mergeCell ref="C74:D74"/>
    <mergeCell ref="Y74:Z74"/>
    <mergeCell ref="AC65:AC75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Y63:Z63"/>
    <mergeCell ref="C64:D64"/>
    <mergeCell ref="Y64:Z64"/>
    <mergeCell ref="A65:A75"/>
    <mergeCell ref="C65:D65"/>
    <mergeCell ref="R65:R75"/>
    <mergeCell ref="Y65:Z65"/>
    <mergeCell ref="Y70:Z70"/>
    <mergeCell ref="C71:D71"/>
    <mergeCell ref="Y71:Z71"/>
    <mergeCell ref="A60:A64"/>
    <mergeCell ref="C60:D60"/>
    <mergeCell ref="R60:R64"/>
    <mergeCell ref="Y60:Z60"/>
    <mergeCell ref="AC60:AC64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C51:D51"/>
    <mergeCell ref="Y51:Z51"/>
    <mergeCell ref="C52:D52"/>
    <mergeCell ref="Y52:Z52"/>
    <mergeCell ref="A53:A59"/>
    <mergeCell ref="C53:D53"/>
    <mergeCell ref="R53:R59"/>
    <mergeCell ref="Y53:Z53"/>
    <mergeCell ref="AC44:AC52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Y42:Z42"/>
    <mergeCell ref="C43:D43"/>
    <mergeCell ref="Y43:Z43"/>
    <mergeCell ref="A44:A52"/>
    <mergeCell ref="C44:D44"/>
    <mergeCell ref="R44:R52"/>
    <mergeCell ref="Y44:Z44"/>
    <mergeCell ref="Y49:Z49"/>
    <mergeCell ref="C50:D50"/>
    <mergeCell ref="Y50:Z50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34:D34"/>
    <mergeCell ref="Y34:Z34"/>
    <mergeCell ref="C35:D35"/>
    <mergeCell ref="Y35:Z35"/>
    <mergeCell ref="A36:A43"/>
    <mergeCell ref="C36:D36"/>
    <mergeCell ref="R36:R43"/>
    <mergeCell ref="Y36:Z36"/>
    <mergeCell ref="Y41:Z41"/>
    <mergeCell ref="C42:D42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25:Z25"/>
    <mergeCell ref="C26:D26"/>
    <mergeCell ref="Y26:Z26"/>
    <mergeCell ref="A27:A35"/>
    <mergeCell ref="C27:D27"/>
    <mergeCell ref="R27:R35"/>
    <mergeCell ref="Y27:Z27"/>
    <mergeCell ref="Y32:Z32"/>
    <mergeCell ref="C33:D33"/>
    <mergeCell ref="Y33:Z33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17:D17"/>
    <mergeCell ref="Y17:Z17"/>
    <mergeCell ref="A18:A26"/>
    <mergeCell ref="C18:D18"/>
    <mergeCell ref="R18:R26"/>
    <mergeCell ref="Y18:Z18"/>
    <mergeCell ref="Y23:Z23"/>
    <mergeCell ref="C24:D24"/>
    <mergeCell ref="Y24:Z24"/>
    <mergeCell ref="C25:D25"/>
    <mergeCell ref="C14:D14"/>
    <mergeCell ref="Y14:Z14"/>
    <mergeCell ref="C15:D15"/>
    <mergeCell ref="Y15:Z15"/>
    <mergeCell ref="C16:D16"/>
    <mergeCell ref="Y16:Z16"/>
    <mergeCell ref="AC10:AC11"/>
    <mergeCell ref="C11:D11"/>
    <mergeCell ref="Y11:Z11"/>
    <mergeCell ref="A12:A17"/>
    <mergeCell ref="C12:D12"/>
    <mergeCell ref="R12:R17"/>
    <mergeCell ref="Y12:Z12"/>
    <mergeCell ref="AC12:AC17"/>
    <mergeCell ref="C13:D13"/>
    <mergeCell ref="Y13:Z13"/>
    <mergeCell ref="C8:D8"/>
    <mergeCell ref="Y8:Z8"/>
    <mergeCell ref="C9:D9"/>
    <mergeCell ref="Y9:Z9"/>
    <mergeCell ref="A10:A11"/>
    <mergeCell ref="C10:D10"/>
    <mergeCell ref="R10:R11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Y1:Z2"/>
    <mergeCell ref="AA1:AC2"/>
  </mergeCells>
  <phoneticPr fontId="3" type="noConversion"/>
  <conditionalFormatting sqref="O63:O70 O75 O5:O13 O52:O60 O17:O49">
    <cfRule type="cellIs" dxfId="74" priority="67" operator="greaterThan">
      <formula>0</formula>
    </cfRule>
  </conditionalFormatting>
  <conditionalFormatting sqref="P5:P8 P63 AA63 P65:P70 P27:P34 P60 P10:P13 P18:P25 P53:P58 P36:P49 AA5:AA60 AA65:AA75">
    <cfRule type="cellIs" dxfId="73" priority="71" operator="lessThan">
      <formula>0</formula>
    </cfRule>
  </conditionalFormatting>
  <conditionalFormatting sqref="AB63 Q63:Q70 Q75 Q5:Q13 Q52:Q60 Q17:Q49 AB5:AB60 AB65:AB75">
    <cfRule type="cellIs" dxfId="72" priority="68" operator="greaterThan">
      <formula>1</formula>
    </cfRule>
    <cfRule type="cellIs" dxfId="71" priority="69" operator="lessThan">
      <formula>0.8</formula>
    </cfRule>
  </conditionalFormatting>
  <conditionalFormatting sqref="AC12:AC13 R12:R13 AC63 R63:R70 R17:R23 AC17:AC23 R75 AC5:AC10 R5:R10 R26:R49 AC26:AC49 AC52:AC60 R52:R60">
    <cfRule type="cellIs" dxfId="70" priority="73" operator="lessThan">
      <formula>0.8</formula>
    </cfRule>
  </conditionalFormatting>
  <conditionalFormatting sqref="AC44">
    <cfRule type="cellIs" dxfId="69" priority="75" operator="lessThan">
      <formula>0.8</formula>
    </cfRule>
  </conditionalFormatting>
  <conditionalFormatting sqref="AC18:AC23">
    <cfRule type="cellIs" dxfId="68" priority="72" operator="lessThan">
      <formula>0.8</formula>
    </cfRule>
  </conditionalFormatting>
  <conditionalFormatting sqref="AC27">
    <cfRule type="cellIs" dxfId="67" priority="74" operator="lessThan">
      <formula>0.8</formula>
    </cfRule>
  </conditionalFormatting>
  <conditionalFormatting sqref="AC36:AC42">
    <cfRule type="cellIs" dxfId="66" priority="70" operator="lessThan">
      <formula>0.8</formula>
    </cfRule>
  </conditionalFormatting>
  <conditionalFormatting sqref="AA64">
    <cfRule type="cellIs" dxfId="65" priority="66" operator="lessThan">
      <formula>0</formula>
    </cfRule>
  </conditionalFormatting>
  <conditionalFormatting sqref="AB64">
    <cfRule type="cellIs" dxfId="64" priority="64" operator="greaterThan">
      <formula>1</formula>
    </cfRule>
    <cfRule type="cellIs" dxfId="63" priority="65" operator="lessThan">
      <formula>0.8</formula>
    </cfRule>
  </conditionalFormatting>
  <conditionalFormatting sqref="O14:O15">
    <cfRule type="cellIs" dxfId="62" priority="59" operator="greaterThan">
      <formula>0</formula>
    </cfRule>
  </conditionalFormatting>
  <conditionalFormatting sqref="P14:P15">
    <cfRule type="cellIs" dxfId="61" priority="62" operator="lessThan">
      <formula>0</formula>
    </cfRule>
  </conditionalFormatting>
  <conditionalFormatting sqref="Q14:Q15">
    <cfRule type="cellIs" dxfId="60" priority="60" operator="greaterThan">
      <formula>1</formula>
    </cfRule>
    <cfRule type="cellIs" dxfId="59" priority="61" operator="lessThan">
      <formula>0.8</formula>
    </cfRule>
  </conditionalFormatting>
  <conditionalFormatting sqref="R14:R15 AC14:AC15">
    <cfRule type="cellIs" dxfId="58" priority="63" operator="lessThan">
      <formula>0.8</formula>
    </cfRule>
  </conditionalFormatting>
  <conditionalFormatting sqref="AC25 R25">
    <cfRule type="cellIs" dxfId="57" priority="58" operator="lessThan">
      <formula>0.8</formula>
    </cfRule>
  </conditionalFormatting>
  <conditionalFormatting sqref="O62">
    <cfRule type="cellIs" dxfId="56" priority="53" operator="greaterThan">
      <formula>0</formula>
    </cfRule>
  </conditionalFormatting>
  <conditionalFormatting sqref="P62 AA62">
    <cfRule type="cellIs" dxfId="55" priority="56" operator="lessThan">
      <formula>0</formula>
    </cfRule>
  </conditionalFormatting>
  <conditionalFormatting sqref="Q62 AB62">
    <cfRule type="cellIs" dxfId="54" priority="54" operator="greaterThan">
      <formula>1</formula>
    </cfRule>
    <cfRule type="cellIs" dxfId="53" priority="55" operator="lessThan">
      <formula>0.8</formula>
    </cfRule>
  </conditionalFormatting>
  <conditionalFormatting sqref="R62 AC62">
    <cfRule type="cellIs" dxfId="52" priority="57" operator="lessThan">
      <formula>0.8</formula>
    </cfRule>
  </conditionalFormatting>
  <conditionalFormatting sqref="O71">
    <cfRule type="cellIs" dxfId="51" priority="48" operator="greaterThan">
      <formula>0</formula>
    </cfRule>
  </conditionalFormatting>
  <conditionalFormatting sqref="P71">
    <cfRule type="cellIs" dxfId="50" priority="51" operator="lessThan">
      <formula>0</formula>
    </cfRule>
  </conditionalFormatting>
  <conditionalFormatting sqref="Q71">
    <cfRule type="cellIs" dxfId="49" priority="49" operator="greaterThan">
      <formula>1</formula>
    </cfRule>
    <cfRule type="cellIs" dxfId="48" priority="50" operator="lessThan">
      <formula>0.8</formula>
    </cfRule>
  </conditionalFormatting>
  <conditionalFormatting sqref="R71">
    <cfRule type="cellIs" dxfId="47" priority="52" operator="lessThan">
      <formula>0.8</formula>
    </cfRule>
  </conditionalFormatting>
  <conditionalFormatting sqref="O16">
    <cfRule type="cellIs" dxfId="46" priority="43" operator="greaterThan">
      <formula>0</formula>
    </cfRule>
  </conditionalFormatting>
  <conditionalFormatting sqref="P16">
    <cfRule type="cellIs" dxfId="45" priority="46" operator="lessThan">
      <formula>0</formula>
    </cfRule>
  </conditionalFormatting>
  <conditionalFormatting sqref="Q16">
    <cfRule type="cellIs" dxfId="44" priority="44" operator="greaterThan">
      <formula>1</formula>
    </cfRule>
    <cfRule type="cellIs" dxfId="43" priority="45" operator="lessThan">
      <formula>0.8</formula>
    </cfRule>
  </conditionalFormatting>
  <conditionalFormatting sqref="R16 AC16">
    <cfRule type="cellIs" dxfId="42" priority="47" operator="lessThan">
      <formula>0.8</formula>
    </cfRule>
  </conditionalFormatting>
  <conditionalFormatting sqref="O50">
    <cfRule type="cellIs" dxfId="41" priority="37" operator="greaterThan">
      <formula>0</formula>
    </cfRule>
  </conditionalFormatting>
  <conditionalFormatting sqref="P50">
    <cfRule type="cellIs" dxfId="40" priority="41" operator="lessThan">
      <formula>0</formula>
    </cfRule>
  </conditionalFormatting>
  <conditionalFormatting sqref="Q50">
    <cfRule type="cellIs" dxfId="39" priority="38" operator="greaterThan">
      <formula>1</formula>
    </cfRule>
    <cfRule type="cellIs" dxfId="38" priority="39" operator="lessThan">
      <formula>0.8</formula>
    </cfRule>
  </conditionalFormatting>
  <conditionalFormatting sqref="R50 AC50">
    <cfRule type="cellIs" dxfId="37" priority="42" operator="lessThan">
      <formula>0.8</formula>
    </cfRule>
  </conditionalFormatting>
  <conditionalFormatting sqref="AC50">
    <cfRule type="cellIs" dxfId="36" priority="40" operator="lessThan">
      <formula>0.8</formula>
    </cfRule>
  </conditionalFormatting>
  <conditionalFormatting sqref="O51">
    <cfRule type="cellIs" dxfId="35" priority="31" operator="greaterThan">
      <formula>0</formula>
    </cfRule>
  </conditionalFormatting>
  <conditionalFormatting sqref="P51">
    <cfRule type="cellIs" dxfId="34" priority="35" operator="lessThan">
      <formula>0</formula>
    </cfRule>
  </conditionalFormatting>
  <conditionalFormatting sqref="Q51">
    <cfRule type="cellIs" dxfId="33" priority="32" operator="greaterThan">
      <formula>1</formula>
    </cfRule>
    <cfRule type="cellIs" dxfId="32" priority="33" operator="lessThan">
      <formula>0.8</formula>
    </cfRule>
  </conditionalFormatting>
  <conditionalFormatting sqref="R51 AC51">
    <cfRule type="cellIs" dxfId="31" priority="36" operator="lessThan">
      <formula>0.8</formula>
    </cfRule>
  </conditionalFormatting>
  <conditionalFormatting sqref="AC51">
    <cfRule type="cellIs" dxfId="30" priority="34" operator="lessThan">
      <formula>0.8</formula>
    </cfRule>
  </conditionalFormatting>
  <conditionalFormatting sqref="R24 AC24">
    <cfRule type="cellIs" dxfId="29" priority="30" operator="lessThan">
      <formula>0.8</formula>
    </cfRule>
  </conditionalFormatting>
  <conditionalFormatting sqref="AC24">
    <cfRule type="cellIs" dxfId="28" priority="29" operator="lessThan">
      <formula>0.8</formula>
    </cfRule>
  </conditionalFormatting>
  <conditionalFormatting sqref="O61">
    <cfRule type="cellIs" dxfId="27" priority="24" operator="greaterThan">
      <formula>0</formula>
    </cfRule>
  </conditionalFormatting>
  <conditionalFormatting sqref="P61 AA61">
    <cfRule type="cellIs" dxfId="26" priority="27" operator="lessThan">
      <formula>0</formula>
    </cfRule>
  </conditionalFormatting>
  <conditionalFormatting sqref="Q61 AB61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61 AC61">
    <cfRule type="cellIs" dxfId="23" priority="28" operator="lessThan">
      <formula>0.8</formula>
    </cfRule>
  </conditionalFormatting>
  <conditionalFormatting sqref="P9">
    <cfRule type="cellIs" dxfId="22" priority="23" operator="lessThan">
      <formula>0</formula>
    </cfRule>
  </conditionalFormatting>
  <conditionalFormatting sqref="P17">
    <cfRule type="cellIs" dxfId="21" priority="22" operator="lessThan">
      <formula>0</formula>
    </cfRule>
  </conditionalFormatting>
  <conditionalFormatting sqref="P26">
    <cfRule type="cellIs" dxfId="20" priority="21" operator="lessThan">
      <formula>0</formula>
    </cfRule>
  </conditionalFormatting>
  <conditionalFormatting sqref="P35">
    <cfRule type="cellIs" dxfId="19" priority="20" operator="lessThan">
      <formula>0</formula>
    </cfRule>
  </conditionalFormatting>
  <conditionalFormatting sqref="P52">
    <cfRule type="cellIs" dxfId="18" priority="19" operator="lessThan">
      <formula>0</formula>
    </cfRule>
  </conditionalFormatting>
  <conditionalFormatting sqref="P59">
    <cfRule type="cellIs" dxfId="17" priority="18" operator="lessThan">
      <formula>0</formula>
    </cfRule>
  </conditionalFormatting>
  <conditionalFormatting sqref="P64">
    <cfRule type="cellIs" dxfId="16" priority="17" operator="lessThan">
      <formula>0</formula>
    </cfRule>
  </conditionalFormatting>
  <conditionalFormatting sqref="P75">
    <cfRule type="cellIs" dxfId="15" priority="16" operator="lessThan">
      <formula>0</formula>
    </cfRule>
  </conditionalFormatting>
  <conditionalFormatting sqref="O72">
    <cfRule type="cellIs" dxfId="14" priority="11" operator="greaterThan">
      <formula>0</formula>
    </cfRule>
  </conditionalFormatting>
  <conditionalFormatting sqref="P72">
    <cfRule type="cellIs" dxfId="13" priority="14" operator="lessThan">
      <formula>0</formula>
    </cfRule>
  </conditionalFormatting>
  <conditionalFormatting sqref="Q72">
    <cfRule type="cellIs" dxfId="12" priority="12" operator="greaterThan">
      <formula>1</formula>
    </cfRule>
    <cfRule type="cellIs" dxfId="11" priority="13" operator="lessThan">
      <formula>0.8</formula>
    </cfRule>
  </conditionalFormatting>
  <conditionalFormatting sqref="R72">
    <cfRule type="cellIs" dxfId="10" priority="15" operator="lessThan">
      <formula>0.8</formula>
    </cfRule>
  </conditionalFormatting>
  <conditionalFormatting sqref="O73">
    <cfRule type="cellIs" dxfId="9" priority="6" operator="greaterThan">
      <formula>0</formula>
    </cfRule>
  </conditionalFormatting>
  <conditionalFormatting sqref="P73">
    <cfRule type="cellIs" dxfId="8" priority="9" operator="lessThan">
      <formula>0</formula>
    </cfRule>
  </conditionalFormatting>
  <conditionalFormatting sqref="Q73">
    <cfRule type="cellIs" dxfId="7" priority="7" operator="greaterThan">
      <formula>1</formula>
    </cfRule>
    <cfRule type="cellIs" dxfId="6" priority="8" operator="lessThan">
      <formula>0.8</formula>
    </cfRule>
  </conditionalFormatting>
  <conditionalFormatting sqref="R73">
    <cfRule type="cellIs" dxfId="5" priority="10" operator="lessThan">
      <formula>0.8</formula>
    </cfRule>
  </conditionalFormatting>
  <conditionalFormatting sqref="O74">
    <cfRule type="cellIs" dxfId="4" priority="1" operator="greaterThan">
      <formula>0</formula>
    </cfRule>
  </conditionalFormatting>
  <conditionalFormatting sqref="P74">
    <cfRule type="cellIs" dxfId="3" priority="4" operator="lessThan">
      <formula>0</formula>
    </cfRule>
  </conditionalFormatting>
  <conditionalFormatting sqref="Q74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4">
    <cfRule type="cellIs" dxfId="0" priority="5" operator="lessThan">
      <formula>0.8</formula>
    </cfRule>
  </conditionalFormatting>
  <dataValidations count="1">
    <dataValidation type="list" allowBlank="1" showInputMessage="1" showErrorMessage="1" sqref="Z9 Y5:Z8 Y9:Y63 Z11:Z60 Y64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P9" sqref="P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2368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2369</v>
      </c>
      <c r="C3" s="497" t="str">
        <f>TEXT('1129 4度C'!A2,"yyyy.mm.ddaaaa")</f>
        <v>2025.11.29星期六</v>
      </c>
      <c r="D3" s="498"/>
      <c r="E3" s="4" t="s">
        <v>2370</v>
      </c>
      <c r="F3" s="499">
        <f>'1129 4度C'!D1</f>
        <v>148451</v>
      </c>
      <c r="G3" s="500"/>
      <c r="H3" s="4" t="s">
        <v>2371</v>
      </c>
      <c r="I3" s="501">
        <f>'1129 4度C'!F1</f>
        <v>5011799.32</v>
      </c>
      <c r="J3" s="502"/>
      <c r="K3" s="5"/>
      <c r="L3" s="6"/>
      <c r="M3" s="7"/>
      <c r="N3" s="7"/>
    </row>
    <row r="4" spans="2:17" ht="28.5" customHeight="1">
      <c r="B4" s="503" t="s">
        <v>2372</v>
      </c>
      <c r="C4" s="485" t="s">
        <v>2373</v>
      </c>
      <c r="D4" s="486"/>
      <c r="E4" s="506" t="s">
        <v>2374</v>
      </c>
      <c r="F4" s="507"/>
      <c r="G4" s="506" t="s">
        <v>2375</v>
      </c>
      <c r="H4" s="507"/>
      <c r="I4" s="506" t="s">
        <v>2376</v>
      </c>
      <c r="J4" s="507"/>
      <c r="L4" s="7"/>
      <c r="M4" s="7"/>
      <c r="N4" s="7"/>
    </row>
    <row r="5" spans="2:17" ht="28.5" customHeight="1">
      <c r="B5" s="504"/>
      <c r="C5" s="485" t="s">
        <v>2377</v>
      </c>
      <c r="D5" s="486"/>
      <c r="E5" s="485" t="s">
        <v>2378</v>
      </c>
      <c r="F5" s="486"/>
      <c r="G5" s="487" t="s">
        <v>2379</v>
      </c>
      <c r="H5" s="488"/>
      <c r="I5" s="489" t="s">
        <v>2380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153.17885806347783</v>
      </c>
      <c r="F6" s="492">
        <f>AVERAGE(D27:O27,D13:J13)</f>
        <v>158.95100309381024</v>
      </c>
      <c r="G6" s="493">
        <f>AVERAGE(D13:J13)</f>
        <v>158.95100309381024</v>
      </c>
      <c r="H6" s="494"/>
      <c r="I6" s="493">
        <f>AVERAGE(K13:M13)</f>
        <v>139.71051965936877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146.82198731532907</v>
      </c>
      <c r="F7" s="478">
        <f>AVERAGE(D28:O28,D14:J14)</f>
        <v>152.41674009344072</v>
      </c>
      <c r="G7" s="479">
        <f>AVERAGE(D14:J14)</f>
        <v>152.41674009344072</v>
      </c>
      <c r="H7" s="480"/>
      <c r="I7" s="479">
        <f>AVERAGE(K14:M14)</f>
        <v>133.76756416640194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0.95866218881698995</v>
      </c>
      <c r="F8" s="482">
        <f>AVERAGE(D15:J15,D29:O29)</f>
        <v>0.95921771677254664</v>
      </c>
      <c r="G8" s="483">
        <f>AVERAGE(D15:J15)</f>
        <v>0.95921771677254664</v>
      </c>
      <c r="H8" s="484"/>
      <c r="I8" s="483">
        <f>AVERAGE(K15:M15)</f>
        <v>0.95736595692069104</v>
      </c>
      <c r="J8" s="484"/>
      <c r="K8" s="8" t="s">
        <v>2381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2382</v>
      </c>
      <c r="C10" s="459"/>
      <c r="D10" s="460" t="s">
        <v>2383</v>
      </c>
      <c r="E10" s="461"/>
      <c r="F10" s="461"/>
      <c r="G10" s="461"/>
      <c r="H10" s="461"/>
      <c r="I10" s="461"/>
      <c r="J10" s="462"/>
      <c r="K10" s="463" t="s">
        <v>2384</v>
      </c>
      <c r="L10" s="464"/>
      <c r="M10" s="465"/>
      <c r="P10" s="11"/>
      <c r="Q10" s="11"/>
    </row>
    <row r="11" spans="2:17" ht="17.25" customHeight="1">
      <c r="B11" s="466" t="s">
        <v>2385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2386</v>
      </c>
      <c r="C13" s="18" t="s">
        <v>2387</v>
      </c>
      <c r="D13" s="19">
        <f>SUMIFS('1129 4度C'!$K:$K,'1129 4度C'!$A:$A,"新豐6線",'1129 4度C'!$B:$B,"平均")</f>
        <v>133.33333333333334</v>
      </c>
      <c r="E13" s="20">
        <f>SUMIFS('1129 4度C'!$K:$K,'1129 4度C'!$A:$A,"新豐2線",'1129 4度C'!$B:$B,"平均")</f>
        <v>81.081081081081081</v>
      </c>
      <c r="F13" s="21">
        <f>SUMIFS('1129 4度C'!$K:$K,'1129 4度C'!$A:$A,"新豐5線",'1129 4度C'!$B:$B,"平均")</f>
        <v>97.826086956521749</v>
      </c>
      <c r="G13" s="21">
        <f>SUMIFS('1129 4度C'!$K:$K,'1129 4度C'!$A:$A,"新豐7線",'1129 4度C'!$B:$B,"平均")</f>
        <v>114.81481481481481</v>
      </c>
      <c r="H13" s="21">
        <f>SUMIFS('1129 4度C'!$K:$K,'1129 4度C'!$A:$A,"新豐3線",'1129 4度C'!$B:$B,"平均")</f>
        <v>281.69014084507046</v>
      </c>
      <c r="I13" s="21">
        <f>SUMIFS('1129 4度C'!$K:$K,'1129 4度C'!$A:$A,"新豐1線",'1129 4度C'!$B:$B,"平均")</f>
        <v>112.24489795918367</v>
      </c>
      <c r="J13" s="22">
        <f>SUMIFS('1129 4度C'!$K:$K,'1129 4度C'!$A:$A,"新豐10線",'1129 4度C'!$B:$B,"平均")</f>
        <v>291.66666666666669</v>
      </c>
      <c r="K13" s="23">
        <f>SUMIFS('1129 4度C'!$K:$K,'1129 4度C'!$A:$A,"新豐8線",'1129 4度C'!$B:$B,"平均")</f>
        <v>131.86813186813188</v>
      </c>
      <c r="L13" s="24">
        <f>SUMIFS('1129 4度C'!$K:$K,'1129 4度C'!$A:$A,"新豐9線",'1129 4度C'!$B:$B,"平均")</f>
        <v>141.1764705882353</v>
      </c>
      <c r="M13" s="22">
        <f>SUMIFS('1129 4度C'!$K:$K,'1129 4度C'!$A:$A,"新豐4線",'1129 4度C'!$B:$B,"平均")</f>
        <v>146.08695652173915</v>
      </c>
    </row>
    <row r="14" spans="2:17" ht="39.6" customHeight="1">
      <c r="B14" s="471"/>
      <c r="C14" s="25" t="s">
        <v>2388</v>
      </c>
      <c r="D14" s="26">
        <f>SUMIFS('1129 4度C'!$N:$N,'1129 4度C'!$A:$A,"新豐6線",'1129 4度C'!$B:$B,"平均")</f>
        <v>127.97414416190294</v>
      </c>
      <c r="E14" s="27">
        <f>SUMIFS('1129 4度C'!$N:$N,'1129 4度C'!$A:$A,"新豐2線",'1129 4度C'!$B:$B,"平均")</f>
        <v>77.873380229544594</v>
      </c>
      <c r="F14" s="27">
        <f>SUMIFS('1129 4度C'!$N:$N,'1129 4度C'!$A:$A,"新豐5線",'1129 4度C'!$B:$B,"平均")</f>
        <v>93.73342752399796</v>
      </c>
      <c r="G14" s="27">
        <f>SUMIFS('1129 4度C'!$N:$N,'1129 4度C'!$A:$A,"新豐7線",'1129 4度C'!$B:$B,"平均")</f>
        <v>110.56692580630299</v>
      </c>
      <c r="H14" s="27">
        <f>SUMIFS('1129 4度C'!$N:$N,'1129 4度C'!$A:$A,"新豐3線",'1129 4度C'!$B:$B,"平均")</f>
        <v>270.10423958961462</v>
      </c>
      <c r="I14" s="27">
        <f>SUMIFS('1129 4度C'!$N:$N,'1129 4度C'!$A:$A,"新豐1線",'1129 4度C'!$B:$B,"平均")</f>
        <v>107.38663737093934</v>
      </c>
      <c r="J14" s="28">
        <f>SUMIFS('1129 4度C'!$N:$N,'1129 4度C'!$A:$A,"新豐10線",'1129 4度C'!$B:$B,"平均")</f>
        <v>279.27842597178267</v>
      </c>
      <c r="K14" s="29">
        <f>SUMIFS('1129 4度C'!$N:$N,'1129 4度C'!$A:$A,"新豐8線",'1129 4度C'!$B:$B,"平均")</f>
        <v>125.8914807906749</v>
      </c>
      <c r="L14" s="30">
        <f>SUMIFS('1129 4度C'!$N:$N,'1129 4度C'!$A:$A,"新豐9線",'1129 4度C'!$B:$B,"平均")</f>
        <v>135.09505739745174</v>
      </c>
      <c r="M14" s="28">
        <f>SUMIFS('1129 4度C'!$N:$N,'1129 4度C'!$A:$A,"新豐4線",'1129 4度C'!$B:$B,"平均")</f>
        <v>140.31615431107915</v>
      </c>
    </row>
    <row r="15" spans="2:17" ht="40.15" customHeight="1">
      <c r="B15" s="472"/>
      <c r="C15" s="31" t="s">
        <v>2389</v>
      </c>
      <c r="D15" s="32">
        <f t="shared" ref="D15:M15" si="0">D14/D13</f>
        <v>0.95980608121427202</v>
      </c>
      <c r="E15" s="33">
        <f t="shared" si="0"/>
        <v>0.96043835616438333</v>
      </c>
      <c r="F15" s="33">
        <f t="shared" si="0"/>
        <v>0.95816392580086795</v>
      </c>
      <c r="G15" s="33">
        <f t="shared" si="0"/>
        <v>0.96300225702263897</v>
      </c>
      <c r="H15" s="33">
        <f t="shared" si="0"/>
        <v>0.95887005054313179</v>
      </c>
      <c r="I15" s="33">
        <f t="shared" si="0"/>
        <v>0.95671731475927779</v>
      </c>
      <c r="J15" s="34">
        <f t="shared" si="0"/>
        <v>0.9575260319032548</v>
      </c>
      <c r="K15" s="32">
        <f t="shared" si="0"/>
        <v>0.95467706266261787</v>
      </c>
      <c r="L15" s="33">
        <f t="shared" si="0"/>
        <v>0.95692332323194973</v>
      </c>
      <c r="M15" s="34">
        <f t="shared" si="0"/>
        <v>0.96049748486750586</v>
      </c>
    </row>
    <row r="16" spans="2:17" ht="17.25" customHeight="1">
      <c r="B16" s="473" t="s">
        <v>2390</v>
      </c>
      <c r="C16" s="35" t="s">
        <v>2391</v>
      </c>
      <c r="D16" s="49">
        <f>VLOOKUP("新豐6線",'1129 4度C'!$A:$T,19,0)</f>
        <v>0.70833333333333337</v>
      </c>
      <c r="E16" s="50">
        <f>VLOOKUP("新豐2線",'1129 4度C'!$A:$T,19,0)</f>
        <v>0.20833333333333334</v>
      </c>
      <c r="F16" s="50">
        <f>VLOOKUP("新豐5線",'1129 4度C'!$A:$T,19,0)</f>
        <v>0.125</v>
      </c>
      <c r="G16" s="50">
        <f>VLOOKUP("新豐7線",'1129 4度C'!$A:$T,19,0)</f>
        <v>0.20833333333333334</v>
      </c>
      <c r="H16" s="50">
        <f>VLOOKUP("新豐3線",'1129 4度C'!$A:$T,19,0)</f>
        <v>8.3333333333333329E-2</v>
      </c>
      <c r="I16" s="50">
        <f>VLOOKUP("新豐1線",'1129 4度C'!$A:$T,19,0)</f>
        <v>0.20833333333333334</v>
      </c>
      <c r="J16" s="51">
        <f>VLOOKUP("新豐10線",'1129 4度C'!$A:$T,19,0)</f>
        <v>0.20833333333333334</v>
      </c>
      <c r="K16" s="36">
        <f>VLOOKUP("新豐8線",'1129 4度C'!$A:$T,19,0)</f>
        <v>8.3333333333333329E-2</v>
      </c>
      <c r="L16" s="37">
        <f>VLOOKUP("新豐9線",'1129 4度C'!$A:$T,19,0)</f>
        <v>8.3333333333333329E-2</v>
      </c>
      <c r="M16" s="38">
        <f>VLOOKUP("新豐4線",'1129 4度C'!$A:$T,19,0)</f>
        <v>8.3333333333333329E-2</v>
      </c>
    </row>
    <row r="17" spans="2:13" ht="17.25" customHeight="1">
      <c r="B17" s="474"/>
      <c r="C17" s="35" t="s">
        <v>2392</v>
      </c>
      <c r="D17" s="36">
        <f>LOOKUP(2,1/(('1129 4度C'!$A:$A="新豐6線")*('1129 4度C'!$T:$T&lt;&gt;"")),'1129 4度C'!$T:$T)</f>
        <v>0.85416666666666663</v>
      </c>
      <c r="E17" s="50">
        <f>LOOKUP(2,1/(('1129 4度C'!$A:$A="新豐2線")*('1129 4度C'!$T:$T&lt;&gt;"")),'1129 4度C'!$T:$T)</f>
        <v>0.40069444444444446</v>
      </c>
      <c r="F17" s="50">
        <f>LOOKUP(2,1/(('1129 4度C'!$A:$A="新豐5線")*('1129 4度C'!$T:$T&lt;&gt;"")),'1129 4度C'!$T:$T)</f>
        <v>0.84791666666666676</v>
      </c>
      <c r="G17" s="50">
        <f>LOOKUP(2,1/(('1129 4度C'!$A:$A="新豐7線")*('1129 4度C'!$T:$T&lt;&gt;"")),'1129 4度C'!$T:$T)</f>
        <v>0.83472222222222214</v>
      </c>
      <c r="H17" s="50">
        <f>LOOKUP(2,1/(('1129 4度C'!$A:$A="新豐3線")*('1129 4度C'!$T:$T&lt;&gt;"")),'1129 4度C'!$T:$T)</f>
        <v>0.45624999999999993</v>
      </c>
      <c r="I17" s="50">
        <f>LOOKUP(2,1/(('1129 4度C'!$A:$A="新豐1線")*('1129 4度C'!$T:$T&lt;&gt;"")),'1129 4度C'!$T:$T)</f>
        <v>0.92638888888888871</v>
      </c>
      <c r="J17" s="51">
        <f>LOOKUP(2,1/(('1129 4度C'!$A:$A="新豐10線")*('1129 4度C'!$T:$T&lt;&gt;"")),'1129 4度C'!$T:$T)</f>
        <v>0.40486111111111101</v>
      </c>
      <c r="K17" s="49">
        <f>LOOKUP(2,1/(('1129 4度C'!$A:$A="新豐8線")*('1129 4度C'!$T:$T&lt;&gt;"")),'1129 4度C'!$T:$T)</f>
        <v>0.52847222222222223</v>
      </c>
      <c r="L17" s="50">
        <f>LOOKUP(2,1/(('1129 4度C'!$A:$A="新豐9線")*('1129 4度C'!$T:$T&lt;&gt;"")),'1129 4度C'!$T:$T)</f>
        <v>0.61388888888888882</v>
      </c>
      <c r="M17" s="51">
        <f>LOOKUP(2,1/(('1129 4度C'!$A:$A="新豐4線")*('1129 4度C'!$T:$T&lt;&gt;"")),'1129 4度C'!$T:$T)</f>
        <v>0.52222222222222214</v>
      </c>
    </row>
    <row r="18" spans="2:13" ht="17.25" customHeight="1">
      <c r="B18" s="452" t="s">
        <v>2393</v>
      </c>
      <c r="C18" s="453"/>
      <c r="D18" s="39">
        <f>SUMIFS('1129 4度C'!$I:$I,'1129 4度C'!$A:$A,"新豐6線",'1129 4度C'!$B:$B,"平均")</f>
        <v>15</v>
      </c>
      <c r="E18" s="40">
        <f>SUMIFS('1129 4度C'!$I:$I,'1129 4度C'!$A:$A,"新豐2線",'1129 4度C'!$B:$B,"平均")</f>
        <v>18.5</v>
      </c>
      <c r="F18" s="40">
        <f>SUMIFS('1129 4度C'!$I:$I,'1129 4度C'!$A:$A,"新豐5線",'1129 4度C'!$B:$B,"平均")</f>
        <v>18.399999999999999</v>
      </c>
      <c r="G18" s="40">
        <f>SUMIFS('1129 4度C'!$I:$I,'1129 4度C'!$A:$A,"新豐7線",'1129 4度C'!$B:$B,"平均")</f>
        <v>16.875</v>
      </c>
      <c r="H18" s="40">
        <f>SUMIFS('1129 4度C'!$I:$I,'1129 4度C'!$A:$A,"新豐3線",'1129 4度C'!$B:$B,"平均")</f>
        <v>10.142857142857142</v>
      </c>
      <c r="I18" s="40">
        <f>SUMIFS('1129 4度C'!$I:$I,'1129 4度C'!$A:$A,"新豐1線",'1129 4度C'!$B:$B,"平均")</f>
        <v>16.333333333333332</v>
      </c>
      <c r="J18" s="41">
        <f>SUMIFS('1129 4度C'!$I:$I,'1129 4度C'!$A:$A,"新豐10線",'1129 4度C'!$B:$B,"平均")</f>
        <v>9</v>
      </c>
      <c r="K18" s="39">
        <f>SUMIFS('1129 4度C'!$I:$I,'1129 4度C'!$A:$A,"新豐8線",'1129 4度C'!$B:$B,"平均")</f>
        <v>18.2</v>
      </c>
      <c r="L18" s="40">
        <f>SUMIFS('1129 4度C'!$I:$I,'1129 4度C'!$A:$A,"新豐9線",'1129 4度C'!$B:$B,"平均")</f>
        <v>17</v>
      </c>
      <c r="M18" s="41">
        <f>SUMIFS('1129 4度C'!$I:$I,'1129 4度C'!$A:$A,"新豐4線",'1129 4度C'!$B:$B,"平均")</f>
        <v>16.428571428571427</v>
      </c>
    </row>
    <row r="19" spans="2:13" ht="17.25" customHeight="1">
      <c r="B19" s="452" t="s">
        <v>2394</v>
      </c>
      <c r="C19" s="453"/>
      <c r="D19" s="42" t="s">
        <v>65</v>
      </c>
      <c r="E19" s="43" t="s">
        <v>66</v>
      </c>
      <c r="F19" s="43" t="s">
        <v>2395</v>
      </c>
      <c r="G19" s="43" t="s">
        <v>2395</v>
      </c>
      <c r="H19" s="43" t="s">
        <v>67</v>
      </c>
      <c r="I19" s="43" t="s">
        <v>65</v>
      </c>
      <c r="J19" s="44" t="s">
        <v>67</v>
      </c>
      <c r="K19" s="42" t="s">
        <v>2396</v>
      </c>
      <c r="L19" s="43" t="s">
        <v>2396</v>
      </c>
      <c r="M19" s="44" t="s">
        <v>2396</v>
      </c>
    </row>
    <row r="20" spans="2:13" ht="17.25" customHeight="1">
      <c r="B20" s="452" t="s">
        <v>2397</v>
      </c>
      <c r="C20" s="453"/>
      <c r="D20" s="42"/>
      <c r="E20" s="43"/>
      <c r="F20" s="43" t="s">
        <v>2398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2399</v>
      </c>
      <c r="C21" s="455"/>
      <c r="D21" s="45"/>
      <c r="E21" s="46" t="s">
        <v>2400</v>
      </c>
      <c r="F21" s="456" t="s">
        <v>2401</v>
      </c>
      <c r="G21" s="457"/>
      <c r="H21" s="46" t="s">
        <v>2402</v>
      </c>
      <c r="I21" s="46" t="s">
        <v>2403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K10:M10"/>
    <mergeCell ref="B11:C12"/>
    <mergeCell ref="B13:B15"/>
    <mergeCell ref="B18:C18"/>
    <mergeCell ref="B19:C19"/>
    <mergeCell ref="B20:C20"/>
    <mergeCell ref="B21:C21"/>
    <mergeCell ref="F21:G21"/>
  </mergeCells>
  <phoneticPr fontId="3" type="noConversion"/>
  <conditionalFormatting sqref="D15:M15">
    <cfRule type="cellIs" dxfId="23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8"/>
  <sheetViews>
    <sheetView zoomScale="80" zoomScaleNormal="80" workbookViewId="0">
      <pane ySplit="4" topLeftCell="A5" activePane="bottomLeft" state="frozen"/>
      <selection activeCell="P9" sqref="P9"/>
      <selection pane="bottomLeft" activeCell="P9" sqref="P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120</v>
      </c>
      <c r="B1" s="52"/>
      <c r="C1" s="53" t="s">
        <v>2404</v>
      </c>
      <c r="D1" s="54">
        <f>SUM(F5:F67)</f>
        <v>148451</v>
      </c>
      <c r="E1" s="431" t="s">
        <v>2405</v>
      </c>
      <c r="F1" s="52">
        <f>SUM(G5:G67)</f>
        <v>5011799.32</v>
      </c>
      <c r="G1" s="52" t="s">
        <v>2406</v>
      </c>
      <c r="H1" s="55">
        <f>L8+L11+L47+L54+L17+L59+L32+L39+L26+L67</f>
        <v>155.87976190476186</v>
      </c>
      <c r="I1" s="556" t="s">
        <v>2407</v>
      </c>
      <c r="J1" s="556"/>
      <c r="K1" s="556"/>
      <c r="L1" s="556" t="s">
        <v>208</v>
      </c>
      <c r="M1" s="556"/>
      <c r="N1" s="556"/>
      <c r="O1" s="556" t="s">
        <v>2408</v>
      </c>
      <c r="P1" s="556"/>
      <c r="Q1" s="556"/>
      <c r="R1" s="556"/>
      <c r="S1" s="556" t="s">
        <v>2409</v>
      </c>
      <c r="T1" s="556"/>
      <c r="U1" s="556"/>
      <c r="V1" s="556"/>
      <c r="W1" s="556"/>
      <c r="X1" s="556"/>
      <c r="Y1" s="556" t="s">
        <v>2410</v>
      </c>
      <c r="Z1" s="556"/>
      <c r="AA1" s="556" t="s">
        <v>2411</v>
      </c>
      <c r="AB1" s="557"/>
      <c r="AC1" s="557"/>
    </row>
    <row r="2" spans="1:29" ht="26.25" customHeight="1">
      <c r="A2" s="57">
        <v>45990</v>
      </c>
      <c r="B2" s="58" t="s">
        <v>72</v>
      </c>
      <c r="C2" s="53" t="s">
        <v>78</v>
      </c>
      <c r="D2" s="59">
        <f>AVERAGE(N8,N11,N47,N54,N17,N59,N26,N32,N39,N67)</f>
        <v>146.82198731532907</v>
      </c>
      <c r="E2" s="60" t="s">
        <v>0</v>
      </c>
      <c r="F2" s="61">
        <f>F1/D1</f>
        <v>33.760630241628554</v>
      </c>
      <c r="G2" s="52" t="s">
        <v>2412</v>
      </c>
      <c r="H2" s="438">
        <f>COUNT(H5:H67)</f>
        <v>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2413</v>
      </c>
      <c r="B3" s="510" t="s">
        <v>2414</v>
      </c>
      <c r="C3" s="510" t="s">
        <v>2415</v>
      </c>
      <c r="D3" s="510"/>
      <c r="E3" s="554" t="s">
        <v>2416</v>
      </c>
      <c r="F3" s="510" t="s">
        <v>2417</v>
      </c>
      <c r="G3" s="554" t="s">
        <v>2418</v>
      </c>
      <c r="H3" s="547" t="s">
        <v>2419</v>
      </c>
      <c r="I3" s="545" t="s">
        <v>2420</v>
      </c>
      <c r="J3" s="550" t="s">
        <v>2421</v>
      </c>
      <c r="K3" s="552" t="s">
        <v>2422</v>
      </c>
      <c r="L3" s="545" t="s">
        <v>2420</v>
      </c>
      <c r="M3" s="550" t="s">
        <v>2423</v>
      </c>
      <c r="N3" s="552" t="s">
        <v>2422</v>
      </c>
      <c r="O3" s="545" t="s">
        <v>138</v>
      </c>
      <c r="P3" s="552" t="s">
        <v>2422</v>
      </c>
      <c r="Q3" s="551" t="s">
        <v>2424</v>
      </c>
      <c r="R3" s="523" t="s">
        <v>2425</v>
      </c>
      <c r="S3" s="553" t="s">
        <v>1</v>
      </c>
      <c r="T3" s="553"/>
      <c r="U3" s="547" t="s">
        <v>2</v>
      </c>
      <c r="V3" s="547" t="s">
        <v>2426</v>
      </c>
      <c r="W3" s="510" t="s">
        <v>2427</v>
      </c>
      <c r="X3" s="510"/>
      <c r="Y3" s="548" t="s">
        <v>2428</v>
      </c>
      <c r="Z3" s="549"/>
      <c r="AA3" s="550" t="s">
        <v>2423</v>
      </c>
      <c r="AB3" s="551" t="s">
        <v>2429</v>
      </c>
      <c r="AC3" s="523" t="s">
        <v>2430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439" t="s">
        <v>3</v>
      </c>
      <c r="T4" s="439" t="s">
        <v>4</v>
      </c>
      <c r="U4" s="547"/>
      <c r="V4" s="547"/>
      <c r="W4" s="431" t="s">
        <v>2431</v>
      </c>
      <c r="X4" s="431" t="s">
        <v>2432</v>
      </c>
      <c r="Y4" s="549"/>
      <c r="Z4" s="549"/>
      <c r="AA4" s="550"/>
      <c r="AB4" s="551"/>
      <c r="AC4" s="523"/>
    </row>
    <row r="5" spans="1:29">
      <c r="A5" s="544" t="s">
        <v>2433</v>
      </c>
      <c r="B5" s="62" t="s">
        <v>6</v>
      </c>
      <c r="C5" s="546" t="s">
        <v>9</v>
      </c>
      <c r="D5" s="546"/>
      <c r="E5" s="62">
        <v>50.67</v>
      </c>
      <c r="F5" s="439">
        <v>1550</v>
      </c>
      <c r="G5" s="431">
        <f t="shared" ref="G5:G7" si="0">E5*F5</f>
        <v>78538.5</v>
      </c>
      <c r="H5" s="90" t="s">
        <v>5</v>
      </c>
      <c r="I5" s="436">
        <v>17</v>
      </c>
      <c r="J5" s="63">
        <v>2000</v>
      </c>
      <c r="K5" s="64">
        <f t="shared" ref="K5:K67" si="1">J5/I5</f>
        <v>117.64705882352941</v>
      </c>
      <c r="L5" s="436">
        <v>17</v>
      </c>
      <c r="M5" s="65">
        <f t="shared" ref="M5:M7" si="2">F5/V5*60</f>
        <v>1937.5000000000007</v>
      </c>
      <c r="N5" s="64">
        <f t="shared" ref="N5:N67" si="3">M5/L5</f>
        <v>113.97058823529416</v>
      </c>
      <c r="O5" s="66">
        <f t="shared" ref="O5:O67" si="4">L5-I5</f>
        <v>0</v>
      </c>
      <c r="P5" s="67">
        <f t="shared" ref="P5:P67" si="5">N5-K5</f>
        <v>-3.6764705882352473</v>
      </c>
      <c r="Q5" s="432">
        <f t="shared" ref="Q5:Q67" si="6">N5/K5</f>
        <v>0.96875000000000044</v>
      </c>
      <c r="R5" s="511">
        <f>Q8</f>
        <v>0.95980608121427202</v>
      </c>
      <c r="S5" s="68">
        <v>0.70833333333333337</v>
      </c>
      <c r="T5" s="68">
        <v>0.7416666666666667</v>
      </c>
      <c r="U5" s="431"/>
      <c r="V5" s="437">
        <f t="shared" ref="V5:V7" si="7">(T5-S5)*24*60</f>
        <v>47.999999999999986</v>
      </c>
      <c r="W5" s="69"/>
      <c r="X5" s="70"/>
      <c r="Y5" s="510"/>
      <c r="Z5" s="510"/>
      <c r="AA5" s="66">
        <f t="shared" ref="AA5:AA67" si="8">M5-J5</f>
        <v>-62.499999999999318</v>
      </c>
      <c r="AB5" s="432">
        <f t="shared" ref="AB5:AB67" si="9">M5/J5</f>
        <v>0.96875000000000033</v>
      </c>
      <c r="AC5" s="511">
        <f>AB8</f>
        <v>0.95980608121427202</v>
      </c>
    </row>
    <row r="6" spans="1:29">
      <c r="A6" s="545" t="s">
        <v>2434</v>
      </c>
      <c r="B6" s="62" t="s">
        <v>6</v>
      </c>
      <c r="C6" s="546" t="s">
        <v>8</v>
      </c>
      <c r="D6" s="546"/>
      <c r="E6" s="62">
        <v>50.49</v>
      </c>
      <c r="F6" s="439">
        <v>1821</v>
      </c>
      <c r="G6" s="431">
        <f t="shared" si="0"/>
        <v>91942.290000000008</v>
      </c>
      <c r="H6" s="90" t="s">
        <v>5</v>
      </c>
      <c r="I6" s="436">
        <v>15</v>
      </c>
      <c r="J6" s="63">
        <v>2000</v>
      </c>
      <c r="K6" s="64">
        <f t="shared" si="1"/>
        <v>133.33333333333334</v>
      </c>
      <c r="L6" s="436">
        <v>15</v>
      </c>
      <c r="M6" s="65">
        <f t="shared" si="2"/>
        <v>1916.8421052631593</v>
      </c>
      <c r="N6" s="64">
        <f t="shared" si="3"/>
        <v>127.78947368421062</v>
      </c>
      <c r="O6" s="66">
        <f t="shared" si="4"/>
        <v>0</v>
      </c>
      <c r="P6" s="67">
        <f t="shared" si="5"/>
        <v>-5.543859649122723</v>
      </c>
      <c r="Q6" s="432">
        <f t="shared" si="6"/>
        <v>0.95842105263157962</v>
      </c>
      <c r="R6" s="511"/>
      <c r="S6" s="68">
        <v>0.74722222222222223</v>
      </c>
      <c r="T6" s="68">
        <v>0.78680555555555554</v>
      </c>
      <c r="U6" s="431">
        <f t="shared" ref="U6:U7" si="10">IF(S6=TIME(17,0,0),"",(S6-T5)*24*60)</f>
        <v>7.9999999999999716</v>
      </c>
      <c r="V6" s="437">
        <f t="shared" si="7"/>
        <v>56.999999999999957</v>
      </c>
      <c r="W6" s="69"/>
      <c r="X6" s="69"/>
      <c r="Y6" s="510"/>
      <c r="Z6" s="510"/>
      <c r="AA6" s="66">
        <f t="shared" si="8"/>
        <v>-83.157894736840717</v>
      </c>
      <c r="AB6" s="432">
        <f t="shared" si="9"/>
        <v>0.95842105263157962</v>
      </c>
      <c r="AC6" s="511"/>
    </row>
    <row r="7" spans="1:29">
      <c r="A7" s="545" t="s">
        <v>2434</v>
      </c>
      <c r="B7" s="62" t="s">
        <v>6</v>
      </c>
      <c r="C7" s="539" t="s">
        <v>886</v>
      </c>
      <c r="D7" s="540"/>
      <c r="E7" s="62">
        <v>57.3</v>
      </c>
      <c r="F7" s="439">
        <v>2825</v>
      </c>
      <c r="G7" s="431">
        <f t="shared" si="0"/>
        <v>161872.5</v>
      </c>
      <c r="H7" s="90" t="s">
        <v>5</v>
      </c>
      <c r="I7" s="436">
        <v>13</v>
      </c>
      <c r="J7" s="63">
        <v>2000</v>
      </c>
      <c r="K7" s="64">
        <f t="shared" si="1"/>
        <v>153.84615384615384</v>
      </c>
      <c r="L7" s="436">
        <v>13</v>
      </c>
      <c r="M7" s="65">
        <f t="shared" si="2"/>
        <v>1904.4943820224719</v>
      </c>
      <c r="N7" s="64">
        <f t="shared" si="3"/>
        <v>146.49956784788245</v>
      </c>
      <c r="O7" s="66">
        <f t="shared" si="4"/>
        <v>0</v>
      </c>
      <c r="P7" s="67">
        <f t="shared" si="5"/>
        <v>-7.3465859982713937</v>
      </c>
      <c r="Q7" s="432">
        <f t="shared" si="6"/>
        <v>0.95224719101123589</v>
      </c>
      <c r="R7" s="511"/>
      <c r="S7" s="68">
        <v>0.79236111111111107</v>
      </c>
      <c r="T7" s="68">
        <v>0.85416666666666663</v>
      </c>
      <c r="U7" s="431">
        <f t="shared" si="10"/>
        <v>7.9999999999999716</v>
      </c>
      <c r="V7" s="437">
        <f t="shared" si="7"/>
        <v>89</v>
      </c>
      <c r="W7" s="69"/>
      <c r="X7" s="69"/>
      <c r="Y7" s="517"/>
      <c r="Z7" s="518"/>
      <c r="AA7" s="66">
        <f t="shared" si="8"/>
        <v>-95.505617977528118</v>
      </c>
      <c r="AB7" s="432">
        <f t="shared" si="9"/>
        <v>0.95224719101123589</v>
      </c>
      <c r="AC7" s="511"/>
    </row>
    <row r="8" spans="1:29">
      <c r="A8" s="545" t="s">
        <v>2434</v>
      </c>
      <c r="B8" s="62" t="s">
        <v>2435</v>
      </c>
      <c r="C8" s="513"/>
      <c r="D8" s="513"/>
      <c r="E8" s="433"/>
      <c r="F8" s="71"/>
      <c r="G8" s="64"/>
      <c r="H8" s="439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1919.612162428544</v>
      </c>
      <c r="N8" s="64">
        <f t="shared" si="3"/>
        <v>127.97414416190294</v>
      </c>
      <c r="O8" s="66">
        <f t="shared" si="4"/>
        <v>0</v>
      </c>
      <c r="P8" s="67">
        <f t="shared" si="5"/>
        <v>-5.3591891714304012</v>
      </c>
      <c r="Q8" s="432">
        <f t="shared" si="6"/>
        <v>0.95980608121427202</v>
      </c>
      <c r="R8" s="511"/>
      <c r="S8" s="68"/>
      <c r="T8" s="68"/>
      <c r="U8" s="431"/>
      <c r="V8" s="437"/>
      <c r="W8" s="64"/>
      <c r="X8" s="64"/>
      <c r="Y8" s="510"/>
      <c r="Z8" s="510"/>
      <c r="AA8" s="66">
        <f t="shared" si="8"/>
        <v>-80.387837571455975</v>
      </c>
      <c r="AB8" s="432">
        <f t="shared" si="9"/>
        <v>0.95980608121427202</v>
      </c>
      <c r="AC8" s="511"/>
    </row>
    <row r="9" spans="1:29" ht="15.75" customHeight="1">
      <c r="A9" s="543" t="s">
        <v>2436</v>
      </c>
      <c r="B9" s="62" t="s">
        <v>10</v>
      </c>
      <c r="C9" s="539" t="s">
        <v>12</v>
      </c>
      <c r="D9" s="540"/>
      <c r="E9" s="62">
        <v>39.36</v>
      </c>
      <c r="F9" s="439">
        <v>1210</v>
      </c>
      <c r="G9" s="431">
        <f t="shared" ref="G9:G10" si="11">E9*F9</f>
        <v>47625.599999999999</v>
      </c>
      <c r="H9" s="90" t="s">
        <v>5</v>
      </c>
      <c r="I9" s="436">
        <v>20</v>
      </c>
      <c r="J9" s="63">
        <v>1500</v>
      </c>
      <c r="K9" s="64">
        <f t="shared" si="1"/>
        <v>75</v>
      </c>
      <c r="L9" s="436">
        <v>20</v>
      </c>
      <c r="M9" s="65">
        <f t="shared" ref="M9:M10" si="12">F9/V9*60</f>
        <v>1451.9999999999993</v>
      </c>
      <c r="N9" s="64">
        <f t="shared" si="3"/>
        <v>72.599999999999966</v>
      </c>
      <c r="O9" s="66">
        <f t="shared" si="4"/>
        <v>0</v>
      </c>
      <c r="P9" s="67">
        <f t="shared" si="5"/>
        <v>-2.4000000000000341</v>
      </c>
      <c r="Q9" s="432">
        <f t="shared" si="6"/>
        <v>0.96799999999999953</v>
      </c>
      <c r="R9" s="511">
        <f>Q11</f>
        <v>0.96043835616438333</v>
      </c>
      <c r="S9" s="68">
        <v>0.20833333333333334</v>
      </c>
      <c r="T9" s="68">
        <v>0.24305555555555558</v>
      </c>
      <c r="U9" s="431"/>
      <c r="V9" s="437">
        <f t="shared" ref="V9:V10" si="13">(T9-S9)*24*60</f>
        <v>50.000000000000021</v>
      </c>
      <c r="W9" s="69"/>
      <c r="X9" s="69"/>
      <c r="Y9" s="510"/>
      <c r="Z9" s="510"/>
      <c r="AA9" s="66">
        <f t="shared" si="8"/>
        <v>-48.000000000000682</v>
      </c>
      <c r="AB9" s="432">
        <f t="shared" si="9"/>
        <v>0.96799999999999953</v>
      </c>
      <c r="AC9" s="511">
        <f>AB11</f>
        <v>0.96043835616438344</v>
      </c>
    </row>
    <row r="10" spans="1:29" ht="15.75" customHeight="1">
      <c r="A10" s="543" t="s">
        <v>2436</v>
      </c>
      <c r="B10" s="62" t="s">
        <v>10</v>
      </c>
      <c r="C10" s="539" t="s">
        <v>11</v>
      </c>
      <c r="D10" s="540"/>
      <c r="E10" s="62">
        <v>39.799999999999997</v>
      </c>
      <c r="F10" s="439">
        <v>5217</v>
      </c>
      <c r="G10" s="431">
        <f t="shared" si="11"/>
        <v>207636.59999999998</v>
      </c>
      <c r="H10" s="90" t="s">
        <v>5</v>
      </c>
      <c r="I10" s="436">
        <v>17</v>
      </c>
      <c r="J10" s="63">
        <v>1500</v>
      </c>
      <c r="K10" s="64">
        <f t="shared" si="1"/>
        <v>88.235294117647058</v>
      </c>
      <c r="L10" s="436">
        <v>17</v>
      </c>
      <c r="M10" s="65">
        <f t="shared" si="12"/>
        <v>1429.3150684931509</v>
      </c>
      <c r="N10" s="64">
        <f t="shared" si="3"/>
        <v>84.077356970185349</v>
      </c>
      <c r="O10" s="66">
        <f t="shared" si="4"/>
        <v>0</v>
      </c>
      <c r="P10" s="67">
        <f t="shared" si="5"/>
        <v>-4.1579371474617091</v>
      </c>
      <c r="Q10" s="432">
        <f t="shared" si="6"/>
        <v>0.95287671232876725</v>
      </c>
      <c r="R10" s="511"/>
      <c r="S10" s="68">
        <v>0.24861111111111114</v>
      </c>
      <c r="T10" s="68">
        <v>0.40069444444444446</v>
      </c>
      <c r="U10" s="431">
        <f t="shared" ref="U10" si="14">IF(S10=TIME(17,0,0),"",(S10-T9)*24*60)</f>
        <v>8.0000000000000107</v>
      </c>
      <c r="V10" s="437">
        <f t="shared" si="13"/>
        <v>218.99999999999997</v>
      </c>
      <c r="W10" s="69"/>
      <c r="X10" s="69"/>
      <c r="Y10" s="510"/>
      <c r="Z10" s="510"/>
      <c r="AA10" s="66">
        <f t="shared" si="8"/>
        <v>-70.684931506849125</v>
      </c>
      <c r="AB10" s="432">
        <f t="shared" si="9"/>
        <v>0.95287671232876725</v>
      </c>
      <c r="AC10" s="511"/>
    </row>
    <row r="11" spans="1:29" ht="16.5" customHeight="1">
      <c r="A11" s="543" t="s">
        <v>2436</v>
      </c>
      <c r="B11" s="62" t="s">
        <v>2435</v>
      </c>
      <c r="C11" s="513"/>
      <c r="D11" s="513"/>
      <c r="E11" s="433"/>
      <c r="F11" s="63"/>
      <c r="G11" s="65"/>
      <c r="H11" s="439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1440.6575342465751</v>
      </c>
      <c r="N11" s="64">
        <f t="shared" si="3"/>
        <v>77.873380229544594</v>
      </c>
      <c r="O11" s="66">
        <f t="shared" si="4"/>
        <v>0</v>
      </c>
      <c r="P11" s="67">
        <f t="shared" si="5"/>
        <v>-3.2077008515364867</v>
      </c>
      <c r="Q11" s="432">
        <f t="shared" si="6"/>
        <v>0.96043835616438333</v>
      </c>
      <c r="R11" s="511"/>
      <c r="S11" s="68"/>
      <c r="T11" s="68"/>
      <c r="U11" s="64"/>
      <c r="V11" s="437"/>
      <c r="W11" s="64"/>
      <c r="X11" s="64"/>
      <c r="Y11" s="510"/>
      <c r="Z11" s="510"/>
      <c r="AA11" s="66">
        <f t="shared" si="8"/>
        <v>-59.342465753424904</v>
      </c>
      <c r="AB11" s="432">
        <f t="shared" si="9"/>
        <v>0.96043835616438344</v>
      </c>
      <c r="AC11" s="511"/>
    </row>
    <row r="12" spans="1:29" ht="16.5" customHeight="1">
      <c r="A12" s="541" t="s">
        <v>2437</v>
      </c>
      <c r="B12" s="439" t="s">
        <v>13</v>
      </c>
      <c r="C12" s="533" t="s">
        <v>14</v>
      </c>
      <c r="D12" s="533"/>
      <c r="E12" s="62">
        <v>41</v>
      </c>
      <c r="F12" s="439">
        <v>2103</v>
      </c>
      <c r="G12" s="431">
        <f t="shared" ref="G12:G16" si="15">E12*F12</f>
        <v>86223</v>
      </c>
      <c r="H12" s="90" t="s">
        <v>5</v>
      </c>
      <c r="I12" s="436">
        <v>26</v>
      </c>
      <c r="J12" s="63">
        <v>1500</v>
      </c>
      <c r="K12" s="64">
        <f t="shared" si="1"/>
        <v>57.692307692307693</v>
      </c>
      <c r="L12" s="436">
        <v>26</v>
      </c>
      <c r="M12" s="65">
        <f t="shared" ref="M12:M16" si="16">F12/V12*60</f>
        <v>1433.8636363636365</v>
      </c>
      <c r="N12" s="64">
        <f t="shared" si="3"/>
        <v>55.1486013986014</v>
      </c>
      <c r="O12" s="66">
        <f t="shared" si="4"/>
        <v>0</v>
      </c>
      <c r="P12" s="67">
        <f t="shared" si="5"/>
        <v>-2.5437062937062933</v>
      </c>
      <c r="Q12" s="432">
        <f t="shared" si="6"/>
        <v>0.95590909090909093</v>
      </c>
      <c r="R12" s="511">
        <f>Q17</f>
        <v>0.95816392580086795</v>
      </c>
      <c r="S12" s="68">
        <v>0.125</v>
      </c>
      <c r="T12" s="68">
        <v>0.18611111111111112</v>
      </c>
      <c r="U12" s="431"/>
      <c r="V12" s="437">
        <f t="shared" ref="V12:V16" si="17">(T12-S12)*24*60</f>
        <v>88</v>
      </c>
      <c r="W12" s="69">
        <f>T12</f>
        <v>0.18611111111111112</v>
      </c>
      <c r="X12" s="69">
        <f>S13</f>
        <v>0.2048611111111111</v>
      </c>
      <c r="Y12" s="510"/>
      <c r="Z12" s="510"/>
      <c r="AA12" s="66">
        <f t="shared" si="8"/>
        <v>-66.136363636363512</v>
      </c>
      <c r="AB12" s="432">
        <f t="shared" si="9"/>
        <v>0.95590909090909104</v>
      </c>
      <c r="AC12" s="511">
        <f>AB17</f>
        <v>0.95816392580086795</v>
      </c>
    </row>
    <row r="13" spans="1:29" ht="16.5" customHeight="1">
      <c r="A13" s="542" t="s">
        <v>153</v>
      </c>
      <c r="B13" s="439" t="s">
        <v>10</v>
      </c>
      <c r="C13" s="533" t="s">
        <v>15</v>
      </c>
      <c r="D13" s="533"/>
      <c r="E13" s="62">
        <v>39.619999999999997</v>
      </c>
      <c r="F13" s="439">
        <v>3361</v>
      </c>
      <c r="G13" s="431">
        <f t="shared" si="15"/>
        <v>133162.81999999998</v>
      </c>
      <c r="H13" s="90" t="s">
        <v>5</v>
      </c>
      <c r="I13" s="436">
        <v>19</v>
      </c>
      <c r="J13" s="63">
        <v>1500</v>
      </c>
      <c r="K13" s="64">
        <f t="shared" si="1"/>
        <v>78.94736842105263</v>
      </c>
      <c r="L13" s="436">
        <v>19</v>
      </c>
      <c r="M13" s="65">
        <f t="shared" si="16"/>
        <v>1430.2127659574471</v>
      </c>
      <c r="N13" s="64">
        <f t="shared" si="3"/>
        <v>75.274356103023536</v>
      </c>
      <c r="O13" s="66">
        <f t="shared" si="4"/>
        <v>0</v>
      </c>
      <c r="P13" s="67">
        <f t="shared" si="5"/>
        <v>-3.6730123180290946</v>
      </c>
      <c r="Q13" s="432">
        <f t="shared" si="6"/>
        <v>0.95347517730496478</v>
      </c>
      <c r="R13" s="511"/>
      <c r="S13" s="68">
        <v>0.2048611111111111</v>
      </c>
      <c r="T13" s="68">
        <v>0.30277777777777776</v>
      </c>
      <c r="U13" s="431">
        <f t="shared" ref="U13:U16" si="18">IF(S13=TIME(17,0,0),"",(S13-T12)*24*60)</f>
        <v>26.999999999999986</v>
      </c>
      <c r="V13" s="437">
        <f t="shared" si="17"/>
        <v>140.99999999999997</v>
      </c>
      <c r="W13" s="69"/>
      <c r="X13" s="69"/>
      <c r="Y13" s="510"/>
      <c r="Z13" s="510"/>
      <c r="AA13" s="66">
        <f t="shared" si="8"/>
        <v>-69.787234042552882</v>
      </c>
      <c r="AB13" s="432">
        <f t="shared" si="9"/>
        <v>0.95347517730496478</v>
      </c>
      <c r="AC13" s="511"/>
    </row>
    <row r="14" spans="1:29" ht="16.5" customHeight="1">
      <c r="A14" s="542" t="s">
        <v>2437</v>
      </c>
      <c r="B14" s="439" t="s">
        <v>6</v>
      </c>
      <c r="C14" s="533" t="s">
        <v>890</v>
      </c>
      <c r="D14" s="533"/>
      <c r="E14" s="62">
        <v>50.98</v>
      </c>
      <c r="F14" s="439">
        <v>2594</v>
      </c>
      <c r="G14" s="431">
        <f t="shared" si="15"/>
        <v>132242.12</v>
      </c>
      <c r="H14" s="90" t="s">
        <v>5</v>
      </c>
      <c r="I14" s="436">
        <v>16</v>
      </c>
      <c r="J14" s="63">
        <v>2000</v>
      </c>
      <c r="K14" s="64">
        <f t="shared" si="1"/>
        <v>125</v>
      </c>
      <c r="L14" s="436">
        <v>16</v>
      </c>
      <c r="M14" s="65">
        <f t="shared" si="16"/>
        <v>1921.4814814814808</v>
      </c>
      <c r="N14" s="64">
        <f t="shared" si="3"/>
        <v>120.09259259259255</v>
      </c>
      <c r="O14" s="66">
        <f t="shared" si="4"/>
        <v>0</v>
      </c>
      <c r="P14" s="67">
        <f t="shared" si="5"/>
        <v>-4.9074074074074474</v>
      </c>
      <c r="Q14" s="432">
        <f t="shared" si="6"/>
        <v>0.96074074074074045</v>
      </c>
      <c r="R14" s="511"/>
      <c r="S14" s="68">
        <v>0.70833333333333337</v>
      </c>
      <c r="T14" s="68">
        <v>0.76458333333333339</v>
      </c>
      <c r="U14" s="431" t="str">
        <f t="shared" si="18"/>
        <v/>
      </c>
      <c r="V14" s="437">
        <f t="shared" si="17"/>
        <v>81.000000000000028</v>
      </c>
      <c r="W14" s="69"/>
      <c r="X14" s="69"/>
      <c r="Y14" s="510"/>
      <c r="Z14" s="510"/>
      <c r="AA14" s="66">
        <f t="shared" si="8"/>
        <v>-78.518518518519159</v>
      </c>
      <c r="AB14" s="432">
        <f t="shared" si="9"/>
        <v>0.96074074074074045</v>
      </c>
      <c r="AC14" s="511"/>
    </row>
    <row r="15" spans="1:29" ht="16.5" customHeight="1">
      <c r="A15" s="542" t="s">
        <v>2437</v>
      </c>
      <c r="B15" s="439" t="s">
        <v>6</v>
      </c>
      <c r="C15" s="533" t="s">
        <v>20</v>
      </c>
      <c r="D15" s="533"/>
      <c r="E15" s="62">
        <v>50.92</v>
      </c>
      <c r="F15" s="439">
        <v>2618</v>
      </c>
      <c r="G15" s="431">
        <f t="shared" si="15"/>
        <v>133308.56</v>
      </c>
      <c r="H15" s="90" t="s">
        <v>5</v>
      </c>
      <c r="I15" s="436">
        <v>15</v>
      </c>
      <c r="J15" s="63">
        <v>2000</v>
      </c>
      <c r="K15" s="64">
        <f t="shared" si="1"/>
        <v>133.33333333333334</v>
      </c>
      <c r="L15" s="436">
        <v>15</v>
      </c>
      <c r="M15" s="65">
        <f t="shared" si="16"/>
        <v>1915.6097560975602</v>
      </c>
      <c r="N15" s="64">
        <f t="shared" si="3"/>
        <v>127.70731707317069</v>
      </c>
      <c r="O15" s="66">
        <f t="shared" si="4"/>
        <v>0</v>
      </c>
      <c r="P15" s="67">
        <f t="shared" si="5"/>
        <v>-5.6260162601626575</v>
      </c>
      <c r="Q15" s="432">
        <f t="shared" si="6"/>
        <v>0.95780487804878012</v>
      </c>
      <c r="R15" s="511"/>
      <c r="S15" s="68">
        <v>0.76944444444444449</v>
      </c>
      <c r="T15" s="68">
        <v>0.82638888888888895</v>
      </c>
      <c r="U15" s="431">
        <f t="shared" si="18"/>
        <v>6.9999999999999751</v>
      </c>
      <c r="V15" s="437">
        <f t="shared" si="17"/>
        <v>82.000000000000028</v>
      </c>
      <c r="W15" s="69"/>
      <c r="X15" s="69"/>
      <c r="Y15" s="510"/>
      <c r="Z15" s="510"/>
      <c r="AA15" s="66">
        <f t="shared" si="8"/>
        <v>-84.390243902439806</v>
      </c>
      <c r="AB15" s="432">
        <f t="shared" si="9"/>
        <v>0.95780487804878012</v>
      </c>
      <c r="AC15" s="511"/>
    </row>
    <row r="16" spans="1:29" ht="16.5" customHeight="1">
      <c r="A16" s="542" t="s">
        <v>153</v>
      </c>
      <c r="B16" s="439" t="s">
        <v>6</v>
      </c>
      <c r="C16" s="533" t="s">
        <v>7</v>
      </c>
      <c r="D16" s="533"/>
      <c r="E16" s="62">
        <v>46.93</v>
      </c>
      <c r="F16" s="439">
        <v>833</v>
      </c>
      <c r="G16" s="431">
        <f t="shared" si="15"/>
        <v>39092.69</v>
      </c>
      <c r="H16" s="90" t="s">
        <v>5</v>
      </c>
      <c r="I16" s="436">
        <v>16</v>
      </c>
      <c r="J16" s="63">
        <v>2000</v>
      </c>
      <c r="K16" s="64">
        <f t="shared" si="1"/>
        <v>125</v>
      </c>
      <c r="L16" s="436">
        <v>16</v>
      </c>
      <c r="M16" s="65">
        <f t="shared" si="16"/>
        <v>1922.3076923076874</v>
      </c>
      <c r="N16" s="64">
        <f t="shared" si="3"/>
        <v>120.14423076923046</v>
      </c>
      <c r="O16" s="66">
        <f t="shared" si="4"/>
        <v>0</v>
      </c>
      <c r="P16" s="67">
        <f t="shared" si="5"/>
        <v>-4.855769230769539</v>
      </c>
      <c r="Q16" s="432">
        <f t="shared" si="6"/>
        <v>0.96115384615384369</v>
      </c>
      <c r="R16" s="511"/>
      <c r="S16" s="68">
        <v>0.82986111111111116</v>
      </c>
      <c r="T16" s="68">
        <v>0.84791666666666676</v>
      </c>
      <c r="U16" s="431">
        <f t="shared" si="18"/>
        <v>4.9999999999999822</v>
      </c>
      <c r="V16" s="437">
        <f t="shared" si="17"/>
        <v>26.000000000000068</v>
      </c>
      <c r="W16" s="69"/>
      <c r="X16" s="69"/>
      <c r="Y16" s="510"/>
      <c r="Z16" s="510"/>
      <c r="AA16" s="66">
        <f t="shared" si="8"/>
        <v>-77.692307692312625</v>
      </c>
      <c r="AB16" s="432">
        <f t="shared" si="9"/>
        <v>0.96115384615384369</v>
      </c>
      <c r="AC16" s="511"/>
    </row>
    <row r="17" spans="1:29" ht="16.5" customHeight="1">
      <c r="A17" s="542" t="s">
        <v>2437</v>
      </c>
      <c r="B17" s="62" t="s">
        <v>79</v>
      </c>
      <c r="C17" s="513"/>
      <c r="D17" s="513"/>
      <c r="E17" s="433"/>
      <c r="F17" s="71"/>
      <c r="G17" s="64"/>
      <c r="H17" s="439"/>
      <c r="I17" s="72">
        <v>18.399999999999999</v>
      </c>
      <c r="J17" s="63">
        <v>1800</v>
      </c>
      <c r="K17" s="64">
        <f t="shared" si="1"/>
        <v>97.826086956521749</v>
      </c>
      <c r="L17" s="72">
        <v>18.399999999999999</v>
      </c>
      <c r="M17" s="65">
        <f>AVERAGE(M12:M16)</f>
        <v>1724.6950664415624</v>
      </c>
      <c r="N17" s="64">
        <f t="shared" si="3"/>
        <v>93.73342752399796</v>
      </c>
      <c r="O17" s="66">
        <f t="shared" si="4"/>
        <v>0</v>
      </c>
      <c r="P17" s="67">
        <f t="shared" si="5"/>
        <v>-4.0926594325237886</v>
      </c>
      <c r="Q17" s="432">
        <f t="shared" si="6"/>
        <v>0.95816392580086795</v>
      </c>
      <c r="R17" s="511"/>
      <c r="S17" s="68"/>
      <c r="T17" s="68"/>
      <c r="U17" s="431"/>
      <c r="V17" s="437"/>
      <c r="W17" s="64"/>
      <c r="X17" s="64"/>
      <c r="Y17" s="510"/>
      <c r="Z17" s="510"/>
      <c r="AA17" s="66">
        <f t="shared" si="8"/>
        <v>-75.304933558437597</v>
      </c>
      <c r="AB17" s="432">
        <f t="shared" si="9"/>
        <v>0.95816392580086795</v>
      </c>
      <c r="AC17" s="511"/>
    </row>
    <row r="18" spans="1:29" ht="15.75" customHeight="1">
      <c r="A18" s="537" t="s">
        <v>2438</v>
      </c>
      <c r="B18" s="62" t="s">
        <v>13</v>
      </c>
      <c r="C18" s="533" t="s">
        <v>21</v>
      </c>
      <c r="D18" s="533"/>
      <c r="E18" s="62">
        <v>43.14</v>
      </c>
      <c r="F18" s="439">
        <v>948</v>
      </c>
      <c r="G18" s="431">
        <f t="shared" ref="G18:G25" si="19">E18*F18</f>
        <v>40896.720000000001</v>
      </c>
      <c r="H18" s="90" t="s">
        <v>5</v>
      </c>
      <c r="I18" s="436">
        <v>17</v>
      </c>
      <c r="J18" s="63">
        <v>2000</v>
      </c>
      <c r="K18" s="64">
        <f t="shared" si="1"/>
        <v>117.64705882352941</v>
      </c>
      <c r="L18" s="436">
        <v>17</v>
      </c>
      <c r="M18" s="65">
        <f t="shared" ref="M18:M25" si="20">F18/V18*60</f>
        <v>1961.3793103448263</v>
      </c>
      <c r="N18" s="64">
        <f t="shared" si="3"/>
        <v>115.37525354969567</v>
      </c>
      <c r="O18" s="66">
        <f t="shared" si="4"/>
        <v>0</v>
      </c>
      <c r="P18" s="67">
        <f t="shared" si="5"/>
        <v>-2.2718052738337349</v>
      </c>
      <c r="Q18" s="432">
        <f t="shared" si="6"/>
        <v>0.98068965517241324</v>
      </c>
      <c r="R18" s="511">
        <f>Q26</f>
        <v>0.96300225702263897</v>
      </c>
      <c r="S18" s="68">
        <v>0.20833333333333334</v>
      </c>
      <c r="T18" s="68">
        <v>0.22847222222222224</v>
      </c>
      <c r="U18" s="431"/>
      <c r="V18" s="437">
        <f t="shared" ref="V18:V25" si="21">(T18-S18)*24*60</f>
        <v>29.000000000000018</v>
      </c>
      <c r="W18" s="73"/>
      <c r="X18" s="73"/>
      <c r="Y18" s="510"/>
      <c r="Z18" s="510"/>
      <c r="AA18" s="66">
        <f t="shared" si="8"/>
        <v>-38.620689655173692</v>
      </c>
      <c r="AB18" s="432">
        <f t="shared" si="9"/>
        <v>0.98068965517241313</v>
      </c>
      <c r="AC18" s="511">
        <f>AB26</f>
        <v>0.96300225702263886</v>
      </c>
    </row>
    <row r="19" spans="1:29" ht="15.75" customHeight="1">
      <c r="A19" s="538" t="s">
        <v>2438</v>
      </c>
      <c r="B19" s="62" t="s">
        <v>77</v>
      </c>
      <c r="C19" s="533" t="s">
        <v>980</v>
      </c>
      <c r="D19" s="533"/>
      <c r="E19" s="62">
        <v>49.9</v>
      </c>
      <c r="F19" s="439">
        <v>1507</v>
      </c>
      <c r="G19" s="431">
        <f t="shared" si="19"/>
        <v>75199.3</v>
      </c>
      <c r="H19" s="90" t="s">
        <v>5</v>
      </c>
      <c r="I19" s="436">
        <v>19</v>
      </c>
      <c r="J19" s="63">
        <v>2000</v>
      </c>
      <c r="K19" s="64">
        <f t="shared" si="1"/>
        <v>105.26315789473684</v>
      </c>
      <c r="L19" s="436">
        <v>19</v>
      </c>
      <c r="M19" s="65">
        <f t="shared" si="20"/>
        <v>1923.8297872340429</v>
      </c>
      <c r="N19" s="64">
        <f t="shared" si="3"/>
        <v>101.25419932810752</v>
      </c>
      <c r="O19" s="66">
        <f t="shared" si="4"/>
        <v>0</v>
      </c>
      <c r="P19" s="67">
        <f t="shared" si="5"/>
        <v>-4.0089585666293175</v>
      </c>
      <c r="Q19" s="432">
        <f t="shared" si="6"/>
        <v>0.96191489361702143</v>
      </c>
      <c r="R19" s="511"/>
      <c r="S19" s="68">
        <v>0.23194444444444445</v>
      </c>
      <c r="T19" s="68">
        <v>0.26458333333333334</v>
      </c>
      <c r="U19" s="431">
        <f t="shared" ref="U19:U25" si="22">IF(S19=TIME(17,0,0),"",(S19-T18)*24*60)</f>
        <v>4.9999999999999822</v>
      </c>
      <c r="V19" s="437">
        <f t="shared" si="21"/>
        <v>46.999999999999993</v>
      </c>
      <c r="W19" s="69"/>
      <c r="X19" s="431"/>
      <c r="Y19" s="510"/>
      <c r="Z19" s="510"/>
      <c r="AA19" s="66">
        <f t="shared" si="8"/>
        <v>-76.170212765957103</v>
      </c>
      <c r="AB19" s="432">
        <f t="shared" si="9"/>
        <v>0.96191489361702143</v>
      </c>
      <c r="AC19" s="511"/>
    </row>
    <row r="20" spans="1:29" ht="15.75" customHeight="1">
      <c r="A20" s="538" t="s">
        <v>2438</v>
      </c>
      <c r="B20" s="62" t="s">
        <v>6</v>
      </c>
      <c r="C20" s="533" t="s">
        <v>22</v>
      </c>
      <c r="D20" s="533"/>
      <c r="E20" s="62">
        <v>57.73</v>
      </c>
      <c r="F20" s="439">
        <v>2068</v>
      </c>
      <c r="G20" s="431">
        <f t="shared" si="19"/>
        <v>119385.64</v>
      </c>
      <c r="H20" s="90" t="s">
        <v>5</v>
      </c>
      <c r="I20" s="436">
        <v>14</v>
      </c>
      <c r="J20" s="63">
        <v>2000</v>
      </c>
      <c r="K20" s="64">
        <f t="shared" si="1"/>
        <v>142.85714285714286</v>
      </c>
      <c r="L20" s="436">
        <v>14</v>
      </c>
      <c r="M20" s="65">
        <f t="shared" si="20"/>
        <v>1908.9230769230765</v>
      </c>
      <c r="N20" s="64">
        <f t="shared" si="3"/>
        <v>136.35164835164832</v>
      </c>
      <c r="O20" s="66">
        <f t="shared" si="4"/>
        <v>0</v>
      </c>
      <c r="P20" s="67">
        <f t="shared" si="5"/>
        <v>-6.5054945054945392</v>
      </c>
      <c r="Q20" s="432">
        <f t="shared" si="6"/>
        <v>0.95446153846153825</v>
      </c>
      <c r="R20" s="511"/>
      <c r="S20" s="68">
        <v>0.26805555555555555</v>
      </c>
      <c r="T20" s="68">
        <v>0.31319444444444444</v>
      </c>
      <c r="U20" s="431">
        <f t="shared" si="22"/>
        <v>4.9999999999999822</v>
      </c>
      <c r="V20" s="437">
        <f t="shared" si="21"/>
        <v>65.000000000000014</v>
      </c>
      <c r="W20" s="69"/>
      <c r="X20" s="431"/>
      <c r="Y20" s="510"/>
      <c r="Z20" s="510"/>
      <c r="AA20" s="66">
        <f t="shared" si="8"/>
        <v>-91.076923076923549</v>
      </c>
      <c r="AB20" s="432">
        <f t="shared" si="9"/>
        <v>0.95446153846153825</v>
      </c>
      <c r="AC20" s="511"/>
    </row>
    <row r="21" spans="1:29" ht="15.75" customHeight="1">
      <c r="A21" s="538" t="s">
        <v>2438</v>
      </c>
      <c r="B21" s="62" t="s">
        <v>6</v>
      </c>
      <c r="C21" s="533" t="s">
        <v>23</v>
      </c>
      <c r="D21" s="533"/>
      <c r="E21" s="62">
        <v>53.68</v>
      </c>
      <c r="F21" s="439">
        <v>1380</v>
      </c>
      <c r="G21" s="431">
        <f t="shared" si="19"/>
        <v>74078.399999999994</v>
      </c>
      <c r="H21" s="90" t="s">
        <v>5</v>
      </c>
      <c r="I21" s="436">
        <v>16</v>
      </c>
      <c r="J21" s="63">
        <v>2000</v>
      </c>
      <c r="K21" s="64">
        <f t="shared" si="1"/>
        <v>125</v>
      </c>
      <c r="L21" s="436">
        <v>16</v>
      </c>
      <c r="M21" s="65">
        <f t="shared" si="20"/>
        <v>1925.5813953488368</v>
      </c>
      <c r="N21" s="64">
        <f t="shared" si="3"/>
        <v>120.3488372093023</v>
      </c>
      <c r="O21" s="66">
        <f t="shared" si="4"/>
        <v>0</v>
      </c>
      <c r="P21" s="67">
        <f t="shared" si="5"/>
        <v>-4.6511627906976969</v>
      </c>
      <c r="Q21" s="432">
        <f t="shared" si="6"/>
        <v>0.96279069767441838</v>
      </c>
      <c r="R21" s="511"/>
      <c r="S21" s="68">
        <v>0.31874999999999998</v>
      </c>
      <c r="T21" s="68">
        <v>0.34861111111111109</v>
      </c>
      <c r="U21" s="431">
        <f t="shared" si="22"/>
        <v>7.9999999999999716</v>
      </c>
      <c r="V21" s="437">
        <f t="shared" si="21"/>
        <v>43.000000000000007</v>
      </c>
      <c r="W21" s="69"/>
      <c r="X21" s="431"/>
      <c r="Y21" s="510"/>
      <c r="Z21" s="510"/>
      <c r="AA21" s="66">
        <f t="shared" si="8"/>
        <v>-74.41860465116315</v>
      </c>
      <c r="AB21" s="432">
        <f t="shared" si="9"/>
        <v>0.96279069767441838</v>
      </c>
      <c r="AC21" s="511"/>
    </row>
    <row r="22" spans="1:29" ht="15.75" customHeight="1">
      <c r="A22" s="538" t="s">
        <v>2438</v>
      </c>
      <c r="B22" s="62" t="s">
        <v>6</v>
      </c>
      <c r="C22" s="533" t="s">
        <v>971</v>
      </c>
      <c r="D22" s="533"/>
      <c r="E22" s="62">
        <v>49.91</v>
      </c>
      <c r="F22" s="439">
        <v>1377</v>
      </c>
      <c r="G22" s="431">
        <f t="shared" si="19"/>
        <v>68726.069999999992</v>
      </c>
      <c r="H22" s="90" t="s">
        <v>5</v>
      </c>
      <c r="I22" s="436">
        <v>19</v>
      </c>
      <c r="J22" s="63">
        <v>2000</v>
      </c>
      <c r="K22" s="64">
        <f t="shared" si="1"/>
        <v>105.26315789473684</v>
      </c>
      <c r="L22" s="436">
        <v>19</v>
      </c>
      <c r="M22" s="65">
        <f t="shared" si="20"/>
        <v>1921.395348837209</v>
      </c>
      <c r="N22" s="64">
        <f t="shared" si="3"/>
        <v>101.12607099143206</v>
      </c>
      <c r="O22" s="66">
        <f t="shared" si="4"/>
        <v>0</v>
      </c>
      <c r="P22" s="67">
        <f t="shared" si="5"/>
        <v>-4.1370869033047768</v>
      </c>
      <c r="Q22" s="432">
        <f t="shared" si="6"/>
        <v>0.96069767441860465</v>
      </c>
      <c r="R22" s="511"/>
      <c r="S22" s="68">
        <v>0.35416666666666663</v>
      </c>
      <c r="T22" s="68">
        <v>0.38402777777777775</v>
      </c>
      <c r="U22" s="431">
        <f t="shared" si="22"/>
        <v>7.9999999999999716</v>
      </c>
      <c r="V22" s="437">
        <f t="shared" si="21"/>
        <v>43.000000000000007</v>
      </c>
      <c r="W22" s="69"/>
      <c r="X22" s="431"/>
      <c r="Y22" s="510"/>
      <c r="Z22" s="510"/>
      <c r="AA22" s="66">
        <f t="shared" si="8"/>
        <v>-78.604651162791015</v>
      </c>
      <c r="AB22" s="432">
        <f t="shared" si="9"/>
        <v>0.96069767441860454</v>
      </c>
      <c r="AC22" s="511"/>
    </row>
    <row r="23" spans="1:29" ht="15.75" customHeight="1">
      <c r="A23" s="538" t="s">
        <v>155</v>
      </c>
      <c r="B23" s="62" t="s">
        <v>6</v>
      </c>
      <c r="C23" s="533" t="s">
        <v>24</v>
      </c>
      <c r="D23" s="533"/>
      <c r="E23" s="62">
        <v>54.09</v>
      </c>
      <c r="F23" s="439">
        <v>1833</v>
      </c>
      <c r="G23" s="431">
        <f t="shared" si="19"/>
        <v>99146.97</v>
      </c>
      <c r="H23" s="90" t="s">
        <v>5</v>
      </c>
      <c r="I23" s="436">
        <v>19</v>
      </c>
      <c r="J23" s="63">
        <v>2000</v>
      </c>
      <c r="K23" s="64">
        <f t="shared" si="1"/>
        <v>105.26315789473684</v>
      </c>
      <c r="L23" s="436">
        <v>19</v>
      </c>
      <c r="M23" s="65">
        <f t="shared" si="20"/>
        <v>1929.4736842105278</v>
      </c>
      <c r="N23" s="64">
        <f t="shared" si="3"/>
        <v>101.5512465373962</v>
      </c>
      <c r="O23" s="66">
        <f t="shared" si="4"/>
        <v>0</v>
      </c>
      <c r="P23" s="67">
        <f t="shared" si="5"/>
        <v>-3.7119113573406395</v>
      </c>
      <c r="Q23" s="432">
        <f t="shared" si="6"/>
        <v>0.96473684210526389</v>
      </c>
      <c r="R23" s="511"/>
      <c r="S23" s="68">
        <v>0.70833333333333337</v>
      </c>
      <c r="T23" s="68">
        <v>0.74791666666666667</v>
      </c>
      <c r="U23" s="431" t="str">
        <f t="shared" si="22"/>
        <v/>
      </c>
      <c r="V23" s="437">
        <f t="shared" si="21"/>
        <v>56.999999999999957</v>
      </c>
      <c r="W23" s="69"/>
      <c r="X23" s="73"/>
      <c r="Y23" s="510"/>
      <c r="Z23" s="510"/>
      <c r="AA23" s="66">
        <f t="shared" si="8"/>
        <v>-70.526315789472164</v>
      </c>
      <c r="AB23" s="432">
        <f t="shared" si="9"/>
        <v>0.96473684210526389</v>
      </c>
      <c r="AC23" s="511"/>
    </row>
    <row r="24" spans="1:29" ht="15.75" customHeight="1">
      <c r="A24" s="538" t="s">
        <v>155</v>
      </c>
      <c r="B24" s="62" t="s">
        <v>6</v>
      </c>
      <c r="C24" s="533" t="s">
        <v>82</v>
      </c>
      <c r="D24" s="533"/>
      <c r="E24" s="62">
        <v>57.73</v>
      </c>
      <c r="F24" s="439">
        <v>1334</v>
      </c>
      <c r="G24" s="431">
        <f t="shared" si="19"/>
        <v>77011.819999999992</v>
      </c>
      <c r="H24" s="90" t="s">
        <v>5</v>
      </c>
      <c r="I24" s="436">
        <v>16</v>
      </c>
      <c r="J24" s="63">
        <v>1500</v>
      </c>
      <c r="K24" s="64">
        <f t="shared" si="1"/>
        <v>93.75</v>
      </c>
      <c r="L24" s="436">
        <v>16</v>
      </c>
      <c r="M24" s="65">
        <f t="shared" si="20"/>
        <v>1429.2857142857154</v>
      </c>
      <c r="N24" s="64">
        <f t="shared" si="3"/>
        <v>89.33035714285721</v>
      </c>
      <c r="O24" s="66">
        <f t="shared" si="4"/>
        <v>0</v>
      </c>
      <c r="P24" s="67">
        <f t="shared" si="5"/>
        <v>-4.4196428571427901</v>
      </c>
      <c r="Q24" s="432">
        <f t="shared" si="6"/>
        <v>0.95285714285714362</v>
      </c>
      <c r="R24" s="511"/>
      <c r="S24" s="68">
        <v>0.75347222222222221</v>
      </c>
      <c r="T24" s="68">
        <v>0.79236111111111107</v>
      </c>
      <c r="U24" s="431">
        <f t="shared" si="22"/>
        <v>7.9999999999999716</v>
      </c>
      <c r="V24" s="437">
        <f t="shared" si="21"/>
        <v>55.999999999999957</v>
      </c>
      <c r="W24" s="69"/>
      <c r="X24" s="73"/>
      <c r="Y24" s="517"/>
      <c r="Z24" s="518"/>
      <c r="AA24" s="66">
        <f t="shared" si="8"/>
        <v>-70.714285714284642</v>
      </c>
      <c r="AB24" s="432">
        <f t="shared" si="9"/>
        <v>0.95285714285714362</v>
      </c>
      <c r="AC24" s="511"/>
    </row>
    <row r="25" spans="1:29" ht="15.75" customHeight="1">
      <c r="A25" s="538" t="s">
        <v>2438</v>
      </c>
      <c r="B25" s="62" t="s">
        <v>6</v>
      </c>
      <c r="C25" s="534" t="s">
        <v>81</v>
      </c>
      <c r="D25" s="535"/>
      <c r="E25" s="62">
        <v>50.67</v>
      </c>
      <c r="F25" s="439">
        <v>1734</v>
      </c>
      <c r="G25" s="431">
        <f t="shared" si="19"/>
        <v>87861.78</v>
      </c>
      <c r="H25" s="90" t="s">
        <v>5</v>
      </c>
      <c r="I25" s="436">
        <v>15</v>
      </c>
      <c r="J25" s="63">
        <v>2000</v>
      </c>
      <c r="K25" s="64">
        <f t="shared" si="1"/>
        <v>133.33333333333334</v>
      </c>
      <c r="L25" s="436">
        <v>15</v>
      </c>
      <c r="M25" s="65">
        <f t="shared" si="20"/>
        <v>1926.6666666666677</v>
      </c>
      <c r="N25" s="64">
        <f t="shared" si="3"/>
        <v>128.44444444444451</v>
      </c>
      <c r="O25" s="66">
        <f t="shared" si="4"/>
        <v>0</v>
      </c>
      <c r="P25" s="67">
        <f t="shared" si="5"/>
        <v>-4.8888888888888289</v>
      </c>
      <c r="Q25" s="432">
        <f t="shared" si="6"/>
        <v>0.96333333333333382</v>
      </c>
      <c r="R25" s="511"/>
      <c r="S25" s="68">
        <v>0.79722222222222217</v>
      </c>
      <c r="T25" s="68">
        <v>0.83472222222222214</v>
      </c>
      <c r="U25" s="431">
        <f t="shared" si="22"/>
        <v>6.9999999999999751</v>
      </c>
      <c r="V25" s="437">
        <f t="shared" si="21"/>
        <v>53.999999999999972</v>
      </c>
      <c r="W25" s="69"/>
      <c r="X25" s="69"/>
      <c r="Y25" s="517"/>
      <c r="Z25" s="518"/>
      <c r="AA25" s="66">
        <f t="shared" si="8"/>
        <v>-73.333333333332348</v>
      </c>
      <c r="AB25" s="432">
        <f t="shared" si="9"/>
        <v>0.96333333333333382</v>
      </c>
      <c r="AC25" s="511"/>
    </row>
    <row r="26" spans="1:29" ht="15.75" customHeight="1">
      <c r="A26" s="538" t="s">
        <v>155</v>
      </c>
      <c r="B26" s="62" t="s">
        <v>79</v>
      </c>
      <c r="C26" s="513"/>
      <c r="D26" s="513"/>
      <c r="E26" s="433"/>
      <c r="F26" s="439"/>
      <c r="G26" s="431"/>
      <c r="H26" s="439"/>
      <c r="I26" s="72">
        <v>16.875</v>
      </c>
      <c r="J26" s="63">
        <v>1937.5</v>
      </c>
      <c r="K26" s="64">
        <f t="shared" si="1"/>
        <v>114.81481481481481</v>
      </c>
      <c r="L26" s="72">
        <v>16.875</v>
      </c>
      <c r="M26" s="65">
        <f>AVERAGE(M18:M25)</f>
        <v>1865.8168729813628</v>
      </c>
      <c r="N26" s="64">
        <f t="shared" si="3"/>
        <v>110.56692580630299</v>
      </c>
      <c r="O26" s="66">
        <f t="shared" si="4"/>
        <v>0</v>
      </c>
      <c r="P26" s="67">
        <f t="shared" si="5"/>
        <v>-4.2478890085118195</v>
      </c>
      <c r="Q26" s="432">
        <f t="shared" si="6"/>
        <v>0.96300225702263897</v>
      </c>
      <c r="R26" s="511"/>
      <c r="S26" s="68"/>
      <c r="T26" s="68"/>
      <c r="U26" s="64"/>
      <c r="V26" s="437"/>
      <c r="W26" s="64"/>
      <c r="X26" s="64"/>
      <c r="Y26" s="510"/>
      <c r="Z26" s="510"/>
      <c r="AA26" s="66">
        <f t="shared" si="8"/>
        <v>-71.683127018637151</v>
      </c>
      <c r="AB26" s="432">
        <f t="shared" si="9"/>
        <v>0.96300225702263886</v>
      </c>
      <c r="AC26" s="511"/>
    </row>
    <row r="27" spans="1:29" ht="15.75" customHeight="1">
      <c r="A27" s="536" t="s">
        <v>159</v>
      </c>
      <c r="B27" s="62" t="s">
        <v>16</v>
      </c>
      <c r="C27" s="533" t="s">
        <v>30</v>
      </c>
      <c r="D27" s="533"/>
      <c r="E27" s="62">
        <v>31.29</v>
      </c>
      <c r="F27" s="439">
        <v>7080</v>
      </c>
      <c r="G27" s="431">
        <f t="shared" ref="G27:G31" si="23">E27*F27</f>
        <v>221533.19999999998</v>
      </c>
      <c r="H27" s="90" t="s">
        <v>5</v>
      </c>
      <c r="I27" s="436">
        <v>18</v>
      </c>
      <c r="J27" s="63">
        <v>2400</v>
      </c>
      <c r="K27" s="64">
        <f t="shared" si="1"/>
        <v>133.33333333333334</v>
      </c>
      <c r="L27" s="436">
        <v>18</v>
      </c>
      <c r="M27" s="65">
        <f t="shared" ref="M27:M31" si="24">F27/V27*60</f>
        <v>2296.2162162162158</v>
      </c>
      <c r="N27" s="64">
        <f t="shared" si="3"/>
        <v>127.56756756756755</v>
      </c>
      <c r="O27" s="66">
        <f t="shared" si="4"/>
        <v>0</v>
      </c>
      <c r="P27" s="67">
        <f t="shared" si="5"/>
        <v>-5.7657657657657921</v>
      </c>
      <c r="Q27" s="432">
        <f t="shared" si="6"/>
        <v>0.95675675675675653</v>
      </c>
      <c r="R27" s="511">
        <f>Q32</f>
        <v>0.95467706266261787</v>
      </c>
      <c r="S27" s="68">
        <v>8.3333333333333329E-2</v>
      </c>
      <c r="T27" s="68">
        <v>0.21180555555555558</v>
      </c>
      <c r="U27" s="431"/>
      <c r="V27" s="437">
        <f t="shared" ref="V27:V31" si="25">(T27-S27)*24*60</f>
        <v>185.00000000000006</v>
      </c>
      <c r="W27" s="69">
        <f>T27</f>
        <v>0.21180555555555558</v>
      </c>
      <c r="X27" s="69">
        <f>S28</f>
        <v>0.22986111111111113</v>
      </c>
      <c r="Y27" s="510"/>
      <c r="Z27" s="510"/>
      <c r="AA27" s="66">
        <f t="shared" si="8"/>
        <v>-103.7837837837842</v>
      </c>
      <c r="AB27" s="432">
        <f t="shared" si="9"/>
        <v>0.95675675675675653</v>
      </c>
      <c r="AC27" s="511">
        <f>AB32</f>
        <v>0.95467706266261798</v>
      </c>
    </row>
    <row r="28" spans="1:29" ht="15.75" customHeight="1">
      <c r="A28" s="536" t="s">
        <v>2439</v>
      </c>
      <c r="B28" s="62" t="s">
        <v>16</v>
      </c>
      <c r="C28" s="533" t="s">
        <v>25</v>
      </c>
      <c r="D28" s="533"/>
      <c r="E28" s="62">
        <v>26.2</v>
      </c>
      <c r="F28" s="439">
        <v>4151</v>
      </c>
      <c r="G28" s="431">
        <f t="shared" si="23"/>
        <v>108756.2</v>
      </c>
      <c r="H28" s="90" t="s">
        <v>5</v>
      </c>
      <c r="I28" s="436">
        <v>20</v>
      </c>
      <c r="J28" s="63">
        <v>2400</v>
      </c>
      <c r="K28" s="64">
        <f t="shared" si="1"/>
        <v>120</v>
      </c>
      <c r="L28" s="436">
        <v>20</v>
      </c>
      <c r="M28" s="65">
        <f t="shared" si="24"/>
        <v>2284.9541284403667</v>
      </c>
      <c r="N28" s="64">
        <f t="shared" si="3"/>
        <v>114.24770642201834</v>
      </c>
      <c r="O28" s="66">
        <f t="shared" si="4"/>
        <v>0</v>
      </c>
      <c r="P28" s="67">
        <f t="shared" si="5"/>
        <v>-5.7522935779816606</v>
      </c>
      <c r="Q28" s="432">
        <f t="shared" si="6"/>
        <v>0.95206422018348613</v>
      </c>
      <c r="R28" s="511"/>
      <c r="S28" s="68">
        <v>0.22986111111111113</v>
      </c>
      <c r="T28" s="68">
        <v>0.30555555555555558</v>
      </c>
      <c r="U28" s="431">
        <f t="shared" ref="U28:U31" si="26">(S28-T27)*24*60</f>
        <v>25.999999999999986</v>
      </c>
      <c r="V28" s="437">
        <f t="shared" si="25"/>
        <v>109.00000000000001</v>
      </c>
      <c r="W28" s="69"/>
      <c r="X28" s="69"/>
      <c r="Y28" s="510"/>
      <c r="Z28" s="510"/>
      <c r="AA28" s="66">
        <f t="shared" si="8"/>
        <v>-115.04587155963327</v>
      </c>
      <c r="AB28" s="432">
        <f t="shared" si="9"/>
        <v>0.95206422018348613</v>
      </c>
      <c r="AC28" s="511"/>
    </row>
    <row r="29" spans="1:29" ht="15.75" customHeight="1">
      <c r="A29" s="536" t="s">
        <v>2439</v>
      </c>
      <c r="B29" s="62" t="s">
        <v>16</v>
      </c>
      <c r="C29" s="533" t="s">
        <v>83</v>
      </c>
      <c r="D29" s="533"/>
      <c r="E29" s="62">
        <v>25.99</v>
      </c>
      <c r="F29" s="439">
        <v>4020</v>
      </c>
      <c r="G29" s="431">
        <f t="shared" si="23"/>
        <v>104479.79999999999</v>
      </c>
      <c r="H29" s="90" t="s">
        <v>5</v>
      </c>
      <c r="I29" s="436">
        <v>14</v>
      </c>
      <c r="J29" s="63">
        <v>2400</v>
      </c>
      <c r="K29" s="64">
        <f t="shared" si="1"/>
        <v>171.42857142857142</v>
      </c>
      <c r="L29" s="436">
        <v>14</v>
      </c>
      <c r="M29" s="65">
        <f t="shared" si="24"/>
        <v>2297.1428571428569</v>
      </c>
      <c r="N29" s="64">
        <f t="shared" si="3"/>
        <v>164.08163265306121</v>
      </c>
      <c r="O29" s="66">
        <f t="shared" si="4"/>
        <v>0</v>
      </c>
      <c r="P29" s="67">
        <f t="shared" si="5"/>
        <v>-7.3469387755102105</v>
      </c>
      <c r="Q29" s="432">
        <f t="shared" si="6"/>
        <v>0.95714285714285707</v>
      </c>
      <c r="R29" s="511"/>
      <c r="S29" s="68">
        <v>0.30902777777777779</v>
      </c>
      <c r="T29" s="68">
        <v>0.38194444444444448</v>
      </c>
      <c r="U29" s="431">
        <f t="shared" si="26"/>
        <v>4.9999999999999822</v>
      </c>
      <c r="V29" s="437">
        <f t="shared" si="25"/>
        <v>105.00000000000003</v>
      </c>
      <c r="W29" s="69"/>
      <c r="X29" s="69"/>
      <c r="Y29" s="510"/>
      <c r="Z29" s="510"/>
      <c r="AA29" s="66">
        <f t="shared" si="8"/>
        <v>-102.85714285714312</v>
      </c>
      <c r="AB29" s="432">
        <f t="shared" si="9"/>
        <v>0.95714285714285707</v>
      </c>
      <c r="AC29" s="511"/>
    </row>
    <row r="30" spans="1:29" ht="15.75" customHeight="1">
      <c r="A30" s="536" t="s">
        <v>2439</v>
      </c>
      <c r="B30" s="62" t="s">
        <v>16</v>
      </c>
      <c r="C30" s="533" t="s">
        <v>50</v>
      </c>
      <c r="D30" s="533"/>
      <c r="E30" s="62">
        <v>20.52</v>
      </c>
      <c r="F30" s="439">
        <v>3582</v>
      </c>
      <c r="G30" s="431">
        <f t="shared" si="23"/>
        <v>73502.64</v>
      </c>
      <c r="H30" s="90" t="s">
        <v>5</v>
      </c>
      <c r="I30" s="436">
        <v>18</v>
      </c>
      <c r="J30" s="63">
        <v>2400</v>
      </c>
      <c r="K30" s="64">
        <f t="shared" si="1"/>
        <v>133.33333333333334</v>
      </c>
      <c r="L30" s="436">
        <v>18</v>
      </c>
      <c r="M30" s="65">
        <f t="shared" si="24"/>
        <v>2286.3829787234044</v>
      </c>
      <c r="N30" s="64">
        <f t="shared" si="3"/>
        <v>127.02127659574469</v>
      </c>
      <c r="O30" s="66">
        <f t="shared" si="4"/>
        <v>0</v>
      </c>
      <c r="P30" s="67">
        <f t="shared" si="5"/>
        <v>-6.312056737588648</v>
      </c>
      <c r="Q30" s="432">
        <f t="shared" si="6"/>
        <v>0.95265957446808514</v>
      </c>
      <c r="R30" s="511"/>
      <c r="S30" s="68">
        <v>0.38541666666666669</v>
      </c>
      <c r="T30" s="68">
        <v>0.45069444444444445</v>
      </c>
      <c r="U30" s="431">
        <f t="shared" si="26"/>
        <v>4.9999999999999822</v>
      </c>
      <c r="V30" s="437">
        <f t="shared" si="25"/>
        <v>93.999999999999986</v>
      </c>
      <c r="W30" s="69"/>
      <c r="X30" s="69"/>
      <c r="Y30" s="510"/>
      <c r="Z30" s="510"/>
      <c r="AA30" s="66">
        <f t="shared" si="8"/>
        <v>-113.61702127659555</v>
      </c>
      <c r="AB30" s="432">
        <f t="shared" si="9"/>
        <v>0.95265957446808514</v>
      </c>
      <c r="AC30" s="511"/>
    </row>
    <row r="31" spans="1:29" ht="15.75" customHeight="1">
      <c r="A31" s="536" t="s">
        <v>159</v>
      </c>
      <c r="B31" s="62" t="s">
        <v>16</v>
      </c>
      <c r="C31" s="533" t="s">
        <v>982</v>
      </c>
      <c r="D31" s="533"/>
      <c r="E31" s="62">
        <v>25.98</v>
      </c>
      <c r="F31" s="439">
        <v>4010</v>
      </c>
      <c r="G31" s="431">
        <f t="shared" si="23"/>
        <v>104179.8</v>
      </c>
      <c r="H31" s="90" t="s">
        <v>5</v>
      </c>
      <c r="I31" s="436">
        <v>21</v>
      </c>
      <c r="J31" s="63">
        <v>2400</v>
      </c>
      <c r="K31" s="64">
        <f t="shared" si="1"/>
        <v>114.28571428571429</v>
      </c>
      <c r="L31" s="436">
        <v>21</v>
      </c>
      <c r="M31" s="65">
        <f t="shared" si="24"/>
        <v>2291.4285714285711</v>
      </c>
      <c r="N31" s="64">
        <f t="shared" si="3"/>
        <v>109.11564625850339</v>
      </c>
      <c r="O31" s="66">
        <f t="shared" si="4"/>
        <v>0</v>
      </c>
      <c r="P31" s="67">
        <f t="shared" si="5"/>
        <v>-5.1700680272109025</v>
      </c>
      <c r="Q31" s="432">
        <f t="shared" si="6"/>
        <v>0.95476190476190459</v>
      </c>
      <c r="R31" s="511"/>
      <c r="S31" s="68">
        <v>0.45555555555555555</v>
      </c>
      <c r="T31" s="68">
        <v>0.52847222222222223</v>
      </c>
      <c r="U31" s="431">
        <f t="shared" si="26"/>
        <v>6.9999999999999751</v>
      </c>
      <c r="V31" s="437">
        <f t="shared" si="25"/>
        <v>105.00000000000003</v>
      </c>
      <c r="W31" s="69"/>
      <c r="X31" s="69"/>
      <c r="Y31" s="510"/>
      <c r="Z31" s="510"/>
      <c r="AA31" s="66">
        <f t="shared" si="8"/>
        <v>-108.5714285714289</v>
      </c>
      <c r="AB31" s="432">
        <f t="shared" si="9"/>
        <v>0.95476190476190459</v>
      </c>
      <c r="AC31" s="511"/>
    </row>
    <row r="32" spans="1:29" ht="15.75" customHeight="1">
      <c r="A32" s="536" t="s">
        <v>2439</v>
      </c>
      <c r="B32" s="62" t="s">
        <v>2435</v>
      </c>
      <c r="C32" s="513"/>
      <c r="D32" s="513"/>
      <c r="E32" s="433"/>
      <c r="F32" s="439"/>
      <c r="G32" s="431"/>
      <c r="H32" s="439"/>
      <c r="I32" s="72">
        <v>18.2</v>
      </c>
      <c r="J32" s="63">
        <v>2400</v>
      </c>
      <c r="K32" s="64">
        <f t="shared" si="1"/>
        <v>131.86813186813188</v>
      </c>
      <c r="L32" s="72">
        <v>18.2</v>
      </c>
      <c r="M32" s="65">
        <f>AVERAGE(M27:M31)</f>
        <v>2291.2249503902831</v>
      </c>
      <c r="N32" s="64">
        <f t="shared" si="3"/>
        <v>125.8914807906749</v>
      </c>
      <c r="O32" s="66">
        <f t="shared" si="4"/>
        <v>0</v>
      </c>
      <c r="P32" s="67">
        <f t="shared" si="5"/>
        <v>-5.9766510774569781</v>
      </c>
      <c r="Q32" s="432">
        <f t="shared" si="6"/>
        <v>0.95467706266261787</v>
      </c>
      <c r="R32" s="511"/>
      <c r="S32" s="68"/>
      <c r="T32" s="68"/>
      <c r="U32" s="431"/>
      <c r="V32" s="437"/>
      <c r="W32" s="431"/>
      <c r="X32" s="431"/>
      <c r="Y32" s="510"/>
      <c r="Z32" s="510"/>
      <c r="AA32" s="66">
        <f t="shared" si="8"/>
        <v>-108.77504960971692</v>
      </c>
      <c r="AB32" s="432">
        <f t="shared" si="9"/>
        <v>0.95467706266261798</v>
      </c>
      <c r="AC32" s="511"/>
    </row>
    <row r="33" spans="1:29" ht="15.75" customHeight="1">
      <c r="A33" s="531" t="s">
        <v>160</v>
      </c>
      <c r="B33" s="62" t="s">
        <v>16</v>
      </c>
      <c r="C33" s="512" t="s">
        <v>49</v>
      </c>
      <c r="D33" s="512"/>
      <c r="E33" s="62">
        <v>19.02</v>
      </c>
      <c r="F33" s="439">
        <v>3500</v>
      </c>
      <c r="G33" s="431">
        <f t="shared" ref="G33:G38" si="27">E33*F33</f>
        <v>66570</v>
      </c>
      <c r="H33" s="90">
        <v>2</v>
      </c>
      <c r="I33" s="436">
        <v>15</v>
      </c>
      <c r="J33" s="63">
        <v>2400</v>
      </c>
      <c r="K33" s="64">
        <f t="shared" si="1"/>
        <v>160</v>
      </c>
      <c r="L33" s="436">
        <v>15</v>
      </c>
      <c r="M33" s="65">
        <f t="shared" ref="M33:M38" si="28">F33/V33*60</f>
        <v>2307.6923076923085</v>
      </c>
      <c r="N33" s="64">
        <f t="shared" si="3"/>
        <v>153.8461538461539</v>
      </c>
      <c r="O33" s="66">
        <f t="shared" si="4"/>
        <v>0</v>
      </c>
      <c r="P33" s="67">
        <f t="shared" si="5"/>
        <v>-6.1538461538461036</v>
      </c>
      <c r="Q33" s="432">
        <f t="shared" si="6"/>
        <v>0.9615384615384619</v>
      </c>
      <c r="R33" s="511">
        <f>Q39</f>
        <v>0.95692332323194973</v>
      </c>
      <c r="S33" s="68">
        <v>8.3333333333333329E-2</v>
      </c>
      <c r="T33" s="68">
        <v>0.14652777777777776</v>
      </c>
      <c r="U33" s="431"/>
      <c r="V33" s="437">
        <f t="shared" ref="V33:V38" si="29">(T33-S33)*24*60</f>
        <v>90.999999999999972</v>
      </c>
      <c r="W33" s="73">
        <f>T33</f>
        <v>0.14652777777777776</v>
      </c>
      <c r="X33" s="73">
        <f>S34</f>
        <v>0.16666666666666666</v>
      </c>
      <c r="Y33" s="510"/>
      <c r="Z33" s="510"/>
      <c r="AA33" s="66">
        <f t="shared" si="8"/>
        <v>-92.307692307691468</v>
      </c>
      <c r="AB33" s="432">
        <f t="shared" si="9"/>
        <v>0.9615384615384619</v>
      </c>
      <c r="AC33" s="511">
        <f>AB39</f>
        <v>0.95692332323194984</v>
      </c>
    </row>
    <row r="34" spans="1:29" ht="15.75" customHeight="1">
      <c r="A34" s="531" t="s">
        <v>160</v>
      </c>
      <c r="B34" s="62" t="s">
        <v>16</v>
      </c>
      <c r="C34" s="512" t="s">
        <v>31</v>
      </c>
      <c r="D34" s="512"/>
      <c r="E34" s="62">
        <v>26.2</v>
      </c>
      <c r="F34" s="439">
        <v>5259</v>
      </c>
      <c r="G34" s="431">
        <f t="shared" si="27"/>
        <v>137785.79999999999</v>
      </c>
      <c r="H34" s="90" t="s">
        <v>5</v>
      </c>
      <c r="I34" s="436">
        <v>18</v>
      </c>
      <c r="J34" s="63">
        <v>2400</v>
      </c>
      <c r="K34" s="64">
        <f t="shared" si="1"/>
        <v>133.33333333333334</v>
      </c>
      <c r="L34" s="436">
        <v>18</v>
      </c>
      <c r="M34" s="65">
        <f t="shared" si="28"/>
        <v>2286.5217391304359</v>
      </c>
      <c r="N34" s="64">
        <f t="shared" si="3"/>
        <v>127.02898550724643</v>
      </c>
      <c r="O34" s="66">
        <f t="shared" si="4"/>
        <v>0</v>
      </c>
      <c r="P34" s="67">
        <f t="shared" si="5"/>
        <v>-6.3043478260869108</v>
      </c>
      <c r="Q34" s="432">
        <f t="shared" si="6"/>
        <v>0.95271739130434818</v>
      </c>
      <c r="R34" s="511"/>
      <c r="S34" s="68">
        <v>0.16666666666666666</v>
      </c>
      <c r="T34" s="68">
        <v>0.26249999999999996</v>
      </c>
      <c r="U34" s="431">
        <f t="shared" ref="U34:U38" si="30">(S34-T33)*24*60</f>
        <v>29.000000000000018</v>
      </c>
      <c r="V34" s="437">
        <f t="shared" si="29"/>
        <v>137.99999999999994</v>
      </c>
      <c r="W34" s="431"/>
      <c r="X34" s="431"/>
      <c r="Y34" s="510"/>
      <c r="Z34" s="510"/>
      <c r="AA34" s="66">
        <f t="shared" si="8"/>
        <v>-113.47826086956411</v>
      </c>
      <c r="AB34" s="432">
        <f t="shared" si="9"/>
        <v>0.95271739130434829</v>
      </c>
      <c r="AC34" s="511"/>
    </row>
    <row r="35" spans="1:29">
      <c r="A35" s="532" t="s">
        <v>2440</v>
      </c>
      <c r="B35" s="62" t="s">
        <v>16</v>
      </c>
      <c r="C35" s="512" t="s">
        <v>28</v>
      </c>
      <c r="D35" s="512"/>
      <c r="E35" s="62">
        <v>26.18</v>
      </c>
      <c r="F35" s="439">
        <v>2229</v>
      </c>
      <c r="G35" s="431">
        <f t="shared" si="27"/>
        <v>58355.22</v>
      </c>
      <c r="H35" s="90" t="s">
        <v>5</v>
      </c>
      <c r="I35" s="436">
        <v>19</v>
      </c>
      <c r="J35" s="63">
        <v>2400</v>
      </c>
      <c r="K35" s="64">
        <f t="shared" si="1"/>
        <v>126.31578947368421</v>
      </c>
      <c r="L35" s="436">
        <v>19</v>
      </c>
      <c r="M35" s="65">
        <f t="shared" si="28"/>
        <v>2305.8620689655158</v>
      </c>
      <c r="N35" s="64">
        <f t="shared" si="3"/>
        <v>121.36116152450083</v>
      </c>
      <c r="O35" s="66">
        <f t="shared" si="4"/>
        <v>0</v>
      </c>
      <c r="P35" s="67">
        <f t="shared" si="5"/>
        <v>-4.9546279491833758</v>
      </c>
      <c r="Q35" s="432">
        <f t="shared" si="6"/>
        <v>0.96077586206896493</v>
      </c>
      <c r="R35" s="511"/>
      <c r="S35" s="68">
        <v>0.26805555555555549</v>
      </c>
      <c r="T35" s="68">
        <v>0.30833333333333329</v>
      </c>
      <c r="U35" s="431">
        <f t="shared" si="30"/>
        <v>7.9999999999999716</v>
      </c>
      <c r="V35" s="437">
        <f t="shared" si="29"/>
        <v>58.000000000000036</v>
      </c>
      <c r="W35" s="431"/>
      <c r="X35" s="431"/>
      <c r="Y35" s="510"/>
      <c r="Z35" s="510"/>
      <c r="AA35" s="66">
        <f t="shared" si="8"/>
        <v>-94.137931034484154</v>
      </c>
      <c r="AB35" s="432">
        <f t="shared" si="9"/>
        <v>0.96077586206896493</v>
      </c>
      <c r="AC35" s="511"/>
    </row>
    <row r="36" spans="1:29">
      <c r="A36" s="532" t="s">
        <v>160</v>
      </c>
      <c r="B36" s="62" t="s">
        <v>16</v>
      </c>
      <c r="C36" s="512" t="s">
        <v>32</v>
      </c>
      <c r="D36" s="512"/>
      <c r="E36" s="62">
        <v>26.39</v>
      </c>
      <c r="F36" s="439">
        <v>5148</v>
      </c>
      <c r="G36" s="431">
        <f t="shared" si="27"/>
        <v>135855.72</v>
      </c>
      <c r="H36" s="90" t="s">
        <v>5</v>
      </c>
      <c r="I36" s="436">
        <v>19</v>
      </c>
      <c r="J36" s="63">
        <v>2400</v>
      </c>
      <c r="K36" s="64">
        <f t="shared" si="1"/>
        <v>126.31578947368421</v>
      </c>
      <c r="L36" s="436">
        <v>19</v>
      </c>
      <c r="M36" s="65">
        <f t="shared" si="28"/>
        <v>2288</v>
      </c>
      <c r="N36" s="64">
        <f t="shared" si="3"/>
        <v>120.42105263157895</v>
      </c>
      <c r="O36" s="66">
        <f t="shared" si="4"/>
        <v>0</v>
      </c>
      <c r="P36" s="67">
        <f t="shared" si="5"/>
        <v>-5.8947368421052602</v>
      </c>
      <c r="Q36" s="432">
        <f t="shared" si="6"/>
        <v>0.95333333333333337</v>
      </c>
      <c r="R36" s="511"/>
      <c r="S36" s="68">
        <v>0.3118055555555555</v>
      </c>
      <c r="T36" s="68">
        <v>0.4055555555555555</v>
      </c>
      <c r="U36" s="431">
        <f t="shared" si="30"/>
        <v>4.9999999999999822</v>
      </c>
      <c r="V36" s="437">
        <f t="shared" si="29"/>
        <v>135</v>
      </c>
      <c r="W36" s="69"/>
      <c r="X36" s="69"/>
      <c r="Y36" s="510"/>
      <c r="Z36" s="510"/>
      <c r="AA36" s="66">
        <f t="shared" si="8"/>
        <v>-112</v>
      </c>
      <c r="AB36" s="432">
        <f t="shared" si="9"/>
        <v>0.95333333333333337</v>
      </c>
      <c r="AC36" s="511"/>
    </row>
    <row r="37" spans="1:29">
      <c r="A37" s="532" t="s">
        <v>160</v>
      </c>
      <c r="B37" s="62" t="s">
        <v>16</v>
      </c>
      <c r="C37" s="512" t="s">
        <v>2110</v>
      </c>
      <c r="D37" s="512"/>
      <c r="E37" s="62">
        <v>28.51</v>
      </c>
      <c r="F37" s="439">
        <v>4957</v>
      </c>
      <c r="G37" s="431">
        <f t="shared" si="27"/>
        <v>141324.07</v>
      </c>
      <c r="H37" s="90" t="s">
        <v>5</v>
      </c>
      <c r="I37" s="436">
        <v>16</v>
      </c>
      <c r="J37" s="63">
        <v>2400</v>
      </c>
      <c r="K37" s="64">
        <f t="shared" si="1"/>
        <v>150</v>
      </c>
      <c r="L37" s="436">
        <v>16</v>
      </c>
      <c r="M37" s="65">
        <f t="shared" si="28"/>
        <v>2287.8461538461534</v>
      </c>
      <c r="N37" s="64">
        <f t="shared" si="3"/>
        <v>142.99038461538458</v>
      </c>
      <c r="O37" s="66">
        <f t="shared" si="4"/>
        <v>0</v>
      </c>
      <c r="P37" s="67">
        <f t="shared" si="5"/>
        <v>-7.0096153846154152</v>
      </c>
      <c r="Q37" s="432">
        <f t="shared" si="6"/>
        <v>0.95326923076923054</v>
      </c>
      <c r="R37" s="511"/>
      <c r="S37" s="68">
        <v>0.40902777777777771</v>
      </c>
      <c r="T37" s="68">
        <v>0.4993055555555555</v>
      </c>
      <c r="U37" s="431">
        <f t="shared" si="30"/>
        <v>4.9999999999999822</v>
      </c>
      <c r="V37" s="437">
        <f t="shared" si="29"/>
        <v>130.00000000000003</v>
      </c>
      <c r="W37" s="69">
        <f>T37</f>
        <v>0.4993055555555555</v>
      </c>
      <c r="X37" s="69">
        <f>S38</f>
        <v>0.54027777777777775</v>
      </c>
      <c r="Y37" s="510"/>
      <c r="Z37" s="510"/>
      <c r="AA37" s="66">
        <f t="shared" si="8"/>
        <v>-112.15384615384664</v>
      </c>
      <c r="AB37" s="432">
        <f t="shared" si="9"/>
        <v>0.95326923076923054</v>
      </c>
      <c r="AC37" s="511"/>
    </row>
    <row r="38" spans="1:29">
      <c r="A38" s="532" t="s">
        <v>160</v>
      </c>
      <c r="B38" s="62" t="s">
        <v>16</v>
      </c>
      <c r="C38" s="512" t="s">
        <v>49</v>
      </c>
      <c r="D38" s="512"/>
      <c r="E38" s="62">
        <v>19.02</v>
      </c>
      <c r="F38" s="439">
        <v>4070</v>
      </c>
      <c r="G38" s="431">
        <f t="shared" si="27"/>
        <v>77411.399999999994</v>
      </c>
      <c r="H38" s="90" t="s">
        <v>5</v>
      </c>
      <c r="I38" s="436">
        <v>15</v>
      </c>
      <c r="J38" s="63">
        <v>2400</v>
      </c>
      <c r="K38" s="64">
        <f t="shared" si="1"/>
        <v>160</v>
      </c>
      <c r="L38" s="436">
        <v>15</v>
      </c>
      <c r="M38" s="65">
        <f t="shared" si="28"/>
        <v>2303.7735849056617</v>
      </c>
      <c r="N38" s="64">
        <f t="shared" si="3"/>
        <v>153.58490566037744</v>
      </c>
      <c r="O38" s="66">
        <f t="shared" si="4"/>
        <v>0</v>
      </c>
      <c r="P38" s="67">
        <f t="shared" si="5"/>
        <v>-6.4150943396225557</v>
      </c>
      <c r="Q38" s="432">
        <f t="shared" si="6"/>
        <v>0.95990566037735903</v>
      </c>
      <c r="R38" s="511"/>
      <c r="S38" s="68">
        <v>0.54027777777777775</v>
      </c>
      <c r="T38" s="68">
        <v>0.61388888888888882</v>
      </c>
      <c r="U38" s="431">
        <f t="shared" si="30"/>
        <v>59.000000000000028</v>
      </c>
      <c r="V38" s="437">
        <f t="shared" si="29"/>
        <v>105.99999999999994</v>
      </c>
      <c r="W38" s="69"/>
      <c r="X38" s="69"/>
      <c r="Y38" s="510"/>
      <c r="Z38" s="510"/>
      <c r="AA38" s="66">
        <f t="shared" si="8"/>
        <v>-96.226415094338336</v>
      </c>
      <c r="AB38" s="432">
        <f t="shared" si="9"/>
        <v>0.95990566037735903</v>
      </c>
      <c r="AC38" s="511"/>
    </row>
    <row r="39" spans="1:29">
      <c r="A39" s="532" t="s">
        <v>2440</v>
      </c>
      <c r="B39" s="71" t="s">
        <v>79</v>
      </c>
      <c r="C39" s="513"/>
      <c r="D39" s="513"/>
      <c r="E39" s="433"/>
      <c r="F39" s="71"/>
      <c r="G39" s="64"/>
      <c r="H39" s="439"/>
      <c r="I39" s="72">
        <v>17</v>
      </c>
      <c r="J39" s="63">
        <v>2400</v>
      </c>
      <c r="K39" s="64">
        <f t="shared" si="1"/>
        <v>141.1764705882353</v>
      </c>
      <c r="L39" s="72">
        <v>17</v>
      </c>
      <c r="M39" s="65">
        <f>AVERAGE(M33:M38)</f>
        <v>2296.6159757566797</v>
      </c>
      <c r="N39" s="64">
        <f t="shared" si="3"/>
        <v>135.09505739745174</v>
      </c>
      <c r="O39" s="66">
        <f t="shared" si="4"/>
        <v>0</v>
      </c>
      <c r="P39" s="67">
        <f t="shared" si="5"/>
        <v>-6.0814131907835645</v>
      </c>
      <c r="Q39" s="432">
        <f t="shared" si="6"/>
        <v>0.95692332323194973</v>
      </c>
      <c r="R39" s="511"/>
      <c r="S39" s="68"/>
      <c r="T39" s="68"/>
      <c r="U39" s="64"/>
      <c r="V39" s="437"/>
      <c r="W39" s="64"/>
      <c r="X39" s="64"/>
      <c r="Y39" s="510"/>
      <c r="Z39" s="510"/>
      <c r="AA39" s="66">
        <f t="shared" si="8"/>
        <v>-103.38402424332025</v>
      </c>
      <c r="AB39" s="432">
        <f t="shared" si="9"/>
        <v>0.95692332323194984</v>
      </c>
      <c r="AC39" s="511"/>
    </row>
    <row r="40" spans="1:29" ht="15.75" customHeight="1">
      <c r="A40" s="525" t="s">
        <v>161</v>
      </c>
      <c r="B40" s="62" t="s">
        <v>35</v>
      </c>
      <c r="C40" s="521" t="s">
        <v>36</v>
      </c>
      <c r="D40" s="522"/>
      <c r="E40" s="62">
        <v>21.13</v>
      </c>
      <c r="F40" s="439">
        <v>4250</v>
      </c>
      <c r="G40" s="431">
        <f t="shared" ref="G40:G46" si="31">E40*F40</f>
        <v>89802.5</v>
      </c>
      <c r="H40" s="90" t="s">
        <v>5</v>
      </c>
      <c r="I40" s="436">
        <v>10</v>
      </c>
      <c r="J40" s="63">
        <v>3000</v>
      </c>
      <c r="K40" s="64">
        <f t="shared" si="1"/>
        <v>300</v>
      </c>
      <c r="L40" s="436">
        <v>10</v>
      </c>
      <c r="M40" s="65">
        <f t="shared" ref="M40:M46" si="32">F40/V40*60</f>
        <v>2865.1685393258435</v>
      </c>
      <c r="N40" s="65">
        <f t="shared" si="3"/>
        <v>286.51685393258435</v>
      </c>
      <c r="O40" s="66">
        <f t="shared" si="4"/>
        <v>0</v>
      </c>
      <c r="P40" s="67">
        <f t="shared" si="5"/>
        <v>-13.483146067415646</v>
      </c>
      <c r="Q40" s="432">
        <f t="shared" si="6"/>
        <v>0.95505617977528123</v>
      </c>
      <c r="R40" s="528">
        <f>Q47</f>
        <v>0.95887005054313179</v>
      </c>
      <c r="S40" s="68">
        <v>8.3333333333333329E-2</v>
      </c>
      <c r="T40" s="68">
        <v>0.14513888888888887</v>
      </c>
      <c r="U40" s="73"/>
      <c r="V40" s="437">
        <f t="shared" ref="V40:V46" si="33">(T40-S40)*24*60</f>
        <v>88.999999999999972</v>
      </c>
      <c r="W40" s="69">
        <f>T40</f>
        <v>0.14513888888888887</v>
      </c>
      <c r="X40" s="69">
        <f>S41</f>
        <v>0.16458333333333333</v>
      </c>
      <c r="Y40" s="517"/>
      <c r="Z40" s="518"/>
      <c r="AA40" s="66">
        <f t="shared" si="8"/>
        <v>-134.83146067415646</v>
      </c>
      <c r="AB40" s="432">
        <f t="shared" si="9"/>
        <v>0.95505617977528123</v>
      </c>
      <c r="AC40" s="528">
        <f>AB47</f>
        <v>0.9588700505431319</v>
      </c>
    </row>
    <row r="41" spans="1:29" ht="15.75" customHeight="1">
      <c r="A41" s="526" t="s">
        <v>161</v>
      </c>
      <c r="B41" s="62" t="s">
        <v>35</v>
      </c>
      <c r="C41" s="521" t="s">
        <v>37</v>
      </c>
      <c r="D41" s="522"/>
      <c r="E41" s="62">
        <v>27.17</v>
      </c>
      <c r="F41" s="439">
        <v>5393</v>
      </c>
      <c r="G41" s="431">
        <f t="shared" si="31"/>
        <v>146527.81</v>
      </c>
      <c r="H41" s="90" t="s">
        <v>5</v>
      </c>
      <c r="I41" s="436">
        <v>10</v>
      </c>
      <c r="J41" s="63">
        <v>3000</v>
      </c>
      <c r="K41" s="64">
        <f t="shared" si="1"/>
        <v>300</v>
      </c>
      <c r="L41" s="436">
        <v>10</v>
      </c>
      <c r="M41" s="65">
        <f t="shared" si="32"/>
        <v>2863.5398230088495</v>
      </c>
      <c r="N41" s="65">
        <f t="shared" si="3"/>
        <v>286.35398230088492</v>
      </c>
      <c r="O41" s="66">
        <f t="shared" si="4"/>
        <v>0</v>
      </c>
      <c r="P41" s="67">
        <f t="shared" si="5"/>
        <v>-13.646017699115077</v>
      </c>
      <c r="Q41" s="432">
        <f t="shared" si="6"/>
        <v>0.95451327433628308</v>
      </c>
      <c r="R41" s="529"/>
      <c r="S41" s="68">
        <v>0.16458333333333333</v>
      </c>
      <c r="T41" s="68">
        <v>0.24305555555555555</v>
      </c>
      <c r="U41" s="431">
        <f t="shared" ref="U41:U46" si="34">(S41-T40)*24*60</f>
        <v>28.000000000000021</v>
      </c>
      <c r="V41" s="437">
        <f t="shared" si="33"/>
        <v>113</v>
      </c>
      <c r="W41" s="69"/>
      <c r="X41" s="69"/>
      <c r="Y41" s="517"/>
      <c r="Z41" s="518"/>
      <c r="AA41" s="66">
        <f t="shared" si="8"/>
        <v>-136.46017699115055</v>
      </c>
      <c r="AB41" s="432">
        <f t="shared" si="9"/>
        <v>0.95451327433628319</v>
      </c>
      <c r="AC41" s="529"/>
    </row>
    <row r="42" spans="1:29" ht="15.75" customHeight="1">
      <c r="A42" s="526" t="s">
        <v>161</v>
      </c>
      <c r="B42" s="62" t="s">
        <v>35</v>
      </c>
      <c r="C42" s="521" t="s">
        <v>38</v>
      </c>
      <c r="D42" s="522"/>
      <c r="E42" s="62">
        <v>35.119999999999997</v>
      </c>
      <c r="F42" s="439">
        <v>3680</v>
      </c>
      <c r="G42" s="431">
        <f t="shared" si="31"/>
        <v>129241.59999999999</v>
      </c>
      <c r="H42" s="90" t="s">
        <v>5</v>
      </c>
      <c r="I42" s="436">
        <v>10</v>
      </c>
      <c r="J42" s="63">
        <v>3000</v>
      </c>
      <c r="K42" s="64">
        <f t="shared" si="1"/>
        <v>300</v>
      </c>
      <c r="L42" s="436">
        <v>10</v>
      </c>
      <c r="M42" s="65">
        <f t="shared" si="32"/>
        <v>2867.5324675324673</v>
      </c>
      <c r="N42" s="65">
        <f t="shared" si="3"/>
        <v>286.75324675324674</v>
      </c>
      <c r="O42" s="66">
        <f t="shared" si="4"/>
        <v>0</v>
      </c>
      <c r="P42" s="67">
        <f t="shared" si="5"/>
        <v>-13.246753246753258</v>
      </c>
      <c r="Q42" s="432">
        <f t="shared" si="6"/>
        <v>0.95584415584415583</v>
      </c>
      <c r="R42" s="529"/>
      <c r="S42" s="68">
        <v>0.24652777777777776</v>
      </c>
      <c r="T42" s="68">
        <v>0.3</v>
      </c>
      <c r="U42" s="431">
        <f t="shared" si="34"/>
        <v>4.9999999999999822</v>
      </c>
      <c r="V42" s="437">
        <f t="shared" si="33"/>
        <v>77</v>
      </c>
      <c r="W42" s="69"/>
      <c r="X42" s="69"/>
      <c r="Y42" s="517"/>
      <c r="Z42" s="518"/>
      <c r="AA42" s="66">
        <f t="shared" si="8"/>
        <v>-132.46753246753269</v>
      </c>
      <c r="AB42" s="432">
        <f t="shared" si="9"/>
        <v>0.95584415584415572</v>
      </c>
      <c r="AC42" s="529"/>
    </row>
    <row r="43" spans="1:29" ht="15.75" customHeight="1">
      <c r="A43" s="526" t="s">
        <v>161</v>
      </c>
      <c r="B43" s="62" t="s">
        <v>35</v>
      </c>
      <c r="C43" s="521" t="s">
        <v>39</v>
      </c>
      <c r="D43" s="522"/>
      <c r="E43" s="62">
        <v>35.869999999999997</v>
      </c>
      <c r="F43" s="439">
        <v>2504</v>
      </c>
      <c r="G43" s="431">
        <f t="shared" si="31"/>
        <v>89818.48</v>
      </c>
      <c r="H43" s="90" t="s">
        <v>5</v>
      </c>
      <c r="I43" s="436">
        <v>9</v>
      </c>
      <c r="J43" s="63">
        <v>3000</v>
      </c>
      <c r="K43" s="64">
        <f t="shared" si="1"/>
        <v>333.33333333333331</v>
      </c>
      <c r="L43" s="436">
        <v>9</v>
      </c>
      <c r="M43" s="65">
        <f t="shared" si="32"/>
        <v>2889.2307692307709</v>
      </c>
      <c r="N43" s="65">
        <f t="shared" si="3"/>
        <v>321.02564102564122</v>
      </c>
      <c r="O43" s="66">
        <f t="shared" si="4"/>
        <v>0</v>
      </c>
      <c r="P43" s="67">
        <f t="shared" si="5"/>
        <v>-12.307692307692093</v>
      </c>
      <c r="Q43" s="432">
        <f t="shared" si="6"/>
        <v>0.96307692307692372</v>
      </c>
      <c r="R43" s="529"/>
      <c r="S43" s="68">
        <v>0.3034722222222222</v>
      </c>
      <c r="T43" s="68">
        <v>0.33958333333333329</v>
      </c>
      <c r="U43" s="431">
        <f t="shared" si="34"/>
        <v>4.9999999999999822</v>
      </c>
      <c r="V43" s="437">
        <f t="shared" si="33"/>
        <v>51.999999999999972</v>
      </c>
      <c r="W43" s="69"/>
      <c r="X43" s="69"/>
      <c r="Y43" s="517"/>
      <c r="Z43" s="518"/>
      <c r="AA43" s="66">
        <f t="shared" si="8"/>
        <v>-110.76923076922913</v>
      </c>
      <c r="AB43" s="432">
        <f t="shared" si="9"/>
        <v>0.96307692307692361</v>
      </c>
      <c r="AC43" s="529"/>
    </row>
    <row r="44" spans="1:29" ht="15.75" customHeight="1">
      <c r="A44" s="526" t="s">
        <v>2441</v>
      </c>
      <c r="B44" s="62" t="s">
        <v>35</v>
      </c>
      <c r="C44" s="521" t="s">
        <v>40</v>
      </c>
      <c r="D44" s="522"/>
      <c r="E44" s="62">
        <v>36.14</v>
      </c>
      <c r="F44" s="439">
        <v>1201</v>
      </c>
      <c r="G44" s="431">
        <f t="shared" si="31"/>
        <v>43404.14</v>
      </c>
      <c r="H44" s="90" t="s">
        <v>5</v>
      </c>
      <c r="I44" s="436">
        <v>9</v>
      </c>
      <c r="J44" s="63">
        <v>3000</v>
      </c>
      <c r="K44" s="64">
        <f t="shared" si="1"/>
        <v>333.33333333333331</v>
      </c>
      <c r="L44" s="436">
        <v>9</v>
      </c>
      <c r="M44" s="65">
        <f t="shared" si="32"/>
        <v>2882.400000000001</v>
      </c>
      <c r="N44" s="65">
        <f t="shared" si="3"/>
        <v>320.26666666666677</v>
      </c>
      <c r="O44" s="66">
        <f t="shared" si="4"/>
        <v>0</v>
      </c>
      <c r="P44" s="67">
        <f t="shared" si="5"/>
        <v>-13.066666666666549</v>
      </c>
      <c r="Q44" s="432">
        <f t="shared" si="6"/>
        <v>0.96080000000000032</v>
      </c>
      <c r="R44" s="529"/>
      <c r="S44" s="68">
        <v>0.34374999999999994</v>
      </c>
      <c r="T44" s="68">
        <v>0.36111111111111105</v>
      </c>
      <c r="U44" s="431">
        <f t="shared" si="34"/>
        <v>5.9999999999999787</v>
      </c>
      <c r="V44" s="437">
        <f t="shared" si="33"/>
        <v>24.999999999999993</v>
      </c>
      <c r="W44" s="69"/>
      <c r="X44" s="69"/>
      <c r="Y44" s="517"/>
      <c r="Z44" s="518"/>
      <c r="AA44" s="66">
        <f t="shared" si="8"/>
        <v>-117.599999999999</v>
      </c>
      <c r="AB44" s="432">
        <f t="shared" si="9"/>
        <v>0.96080000000000032</v>
      </c>
      <c r="AC44" s="529"/>
    </row>
    <row r="45" spans="1:29" ht="15.75" customHeight="1">
      <c r="A45" s="526" t="s">
        <v>2441</v>
      </c>
      <c r="B45" s="62" t="s">
        <v>35</v>
      </c>
      <c r="C45" s="521" t="s">
        <v>74</v>
      </c>
      <c r="D45" s="522"/>
      <c r="E45" s="62">
        <v>34.36</v>
      </c>
      <c r="F45" s="439">
        <v>1932</v>
      </c>
      <c r="G45" s="431">
        <f t="shared" si="31"/>
        <v>66383.520000000004</v>
      </c>
      <c r="H45" s="90" t="s">
        <v>5</v>
      </c>
      <c r="I45" s="436">
        <v>10</v>
      </c>
      <c r="J45" s="63">
        <v>3000</v>
      </c>
      <c r="K45" s="64">
        <f t="shared" si="1"/>
        <v>300</v>
      </c>
      <c r="L45" s="436">
        <v>10</v>
      </c>
      <c r="M45" s="65">
        <f t="shared" si="32"/>
        <v>2897.9999999999991</v>
      </c>
      <c r="N45" s="65">
        <f t="shared" si="3"/>
        <v>289.7999999999999</v>
      </c>
      <c r="O45" s="66">
        <f t="shared" si="4"/>
        <v>0</v>
      </c>
      <c r="P45" s="67">
        <f t="shared" si="5"/>
        <v>-10.200000000000102</v>
      </c>
      <c r="Q45" s="432">
        <f t="shared" si="6"/>
        <v>0.96599999999999964</v>
      </c>
      <c r="R45" s="529"/>
      <c r="S45" s="68">
        <v>0.3652777777777777</v>
      </c>
      <c r="T45" s="68">
        <v>0.39305555555555549</v>
      </c>
      <c r="U45" s="431">
        <f t="shared" si="34"/>
        <v>5.9999999999999787</v>
      </c>
      <c r="V45" s="437">
        <f t="shared" si="33"/>
        <v>40.000000000000014</v>
      </c>
      <c r="W45" s="69"/>
      <c r="X45" s="69"/>
      <c r="Y45" s="517"/>
      <c r="Z45" s="518"/>
      <c r="AA45" s="66">
        <f t="shared" si="8"/>
        <v>-102.00000000000091</v>
      </c>
      <c r="AB45" s="432">
        <f t="shared" si="9"/>
        <v>0.96599999999999975</v>
      </c>
      <c r="AC45" s="529"/>
    </row>
    <row r="46" spans="1:29" ht="15.75" customHeight="1">
      <c r="A46" s="526" t="s">
        <v>2441</v>
      </c>
      <c r="B46" s="62" t="s">
        <v>35</v>
      </c>
      <c r="C46" s="521" t="s">
        <v>84</v>
      </c>
      <c r="D46" s="522"/>
      <c r="E46" s="62">
        <v>31</v>
      </c>
      <c r="F46" s="439">
        <v>2708</v>
      </c>
      <c r="G46" s="431">
        <f t="shared" si="31"/>
        <v>83948</v>
      </c>
      <c r="H46" s="90" t="s">
        <v>5</v>
      </c>
      <c r="I46" s="436">
        <v>13</v>
      </c>
      <c r="J46" s="63">
        <v>2000</v>
      </c>
      <c r="K46" s="64">
        <f t="shared" si="1"/>
        <v>153.84615384615384</v>
      </c>
      <c r="L46" s="436">
        <v>13</v>
      </c>
      <c r="M46" s="65">
        <f t="shared" si="32"/>
        <v>1911.5294117647054</v>
      </c>
      <c r="N46" s="65">
        <f t="shared" si="3"/>
        <v>147.04072398190041</v>
      </c>
      <c r="O46" s="66">
        <f t="shared" si="4"/>
        <v>0</v>
      </c>
      <c r="P46" s="67">
        <f t="shared" si="5"/>
        <v>-6.8054298642534263</v>
      </c>
      <c r="Q46" s="432">
        <f t="shared" si="6"/>
        <v>0.95576470588235274</v>
      </c>
      <c r="R46" s="529"/>
      <c r="S46" s="68">
        <v>0.39722222222222214</v>
      </c>
      <c r="T46" s="68">
        <v>0.45624999999999993</v>
      </c>
      <c r="U46" s="431">
        <f t="shared" si="34"/>
        <v>5.9999999999999787</v>
      </c>
      <c r="V46" s="437">
        <f t="shared" si="33"/>
        <v>85.000000000000014</v>
      </c>
      <c r="W46" s="69"/>
      <c r="X46" s="69"/>
      <c r="Y46" s="517"/>
      <c r="Z46" s="518"/>
      <c r="AA46" s="66">
        <f t="shared" si="8"/>
        <v>-88.470588235294599</v>
      </c>
      <c r="AB46" s="432">
        <f t="shared" si="9"/>
        <v>0.95576470588235274</v>
      </c>
      <c r="AC46" s="529"/>
    </row>
    <row r="47" spans="1:29" ht="15.75" customHeight="1">
      <c r="A47" s="527" t="s">
        <v>161</v>
      </c>
      <c r="B47" s="62" t="s">
        <v>2435</v>
      </c>
      <c r="C47" s="508"/>
      <c r="D47" s="509"/>
      <c r="E47" s="430"/>
      <c r="F47" s="439"/>
      <c r="G47" s="431"/>
      <c r="H47" s="439"/>
      <c r="I47" s="72">
        <v>10.142857142857142</v>
      </c>
      <c r="J47" s="63">
        <v>2857.1428571428573</v>
      </c>
      <c r="K47" s="64">
        <f t="shared" si="1"/>
        <v>281.69014084507046</v>
      </c>
      <c r="L47" s="72">
        <v>10.142857142857142</v>
      </c>
      <c r="M47" s="65">
        <f>AVERAGE(M40:M46)</f>
        <v>2739.6287158375198</v>
      </c>
      <c r="N47" s="64">
        <f t="shared" si="3"/>
        <v>270.10423958961462</v>
      </c>
      <c r="O47" s="66">
        <f t="shared" si="4"/>
        <v>0</v>
      </c>
      <c r="P47" s="67">
        <f t="shared" si="5"/>
        <v>-11.585901255455838</v>
      </c>
      <c r="Q47" s="432">
        <f t="shared" si="6"/>
        <v>0.95887005054313179</v>
      </c>
      <c r="R47" s="530"/>
      <c r="S47" s="68"/>
      <c r="T47" s="68"/>
      <c r="U47" s="431"/>
      <c r="V47" s="437"/>
      <c r="W47" s="69"/>
      <c r="X47" s="69"/>
      <c r="Y47" s="517"/>
      <c r="Z47" s="518"/>
      <c r="AA47" s="66">
        <f t="shared" si="8"/>
        <v>-117.51414130533749</v>
      </c>
      <c r="AB47" s="432">
        <f t="shared" si="9"/>
        <v>0.9588700505431319</v>
      </c>
      <c r="AC47" s="530"/>
    </row>
    <row r="48" spans="1:29" ht="15.75" customHeight="1">
      <c r="A48" s="523" t="s">
        <v>339</v>
      </c>
      <c r="B48" s="62" t="s">
        <v>10</v>
      </c>
      <c r="C48" s="512" t="s">
        <v>41</v>
      </c>
      <c r="D48" s="512"/>
      <c r="E48" s="62">
        <v>46</v>
      </c>
      <c r="F48" s="74">
        <v>1869</v>
      </c>
      <c r="G48" s="431">
        <f t="shared" ref="G48:G53" si="35">E48*F48</f>
        <v>85974</v>
      </c>
      <c r="H48" s="90" t="s">
        <v>5</v>
      </c>
      <c r="I48" s="436">
        <v>17</v>
      </c>
      <c r="J48" s="63">
        <v>2000</v>
      </c>
      <c r="K48" s="64">
        <f t="shared" si="1"/>
        <v>117.64705882352941</v>
      </c>
      <c r="L48" s="436">
        <v>17</v>
      </c>
      <c r="M48" s="65">
        <f t="shared" ref="M48:M53" si="36">F48/V48*60</f>
        <v>1933.4482758620691</v>
      </c>
      <c r="N48" s="65">
        <f t="shared" si="3"/>
        <v>113.73225152129818</v>
      </c>
      <c r="O48" s="66">
        <f t="shared" si="4"/>
        <v>0</v>
      </c>
      <c r="P48" s="67">
        <f t="shared" si="5"/>
        <v>-3.9148073022312246</v>
      </c>
      <c r="Q48" s="432">
        <f t="shared" si="6"/>
        <v>0.96672413793103462</v>
      </c>
      <c r="R48" s="511">
        <f>Q54</f>
        <v>0.95671731475927779</v>
      </c>
      <c r="S48" s="68">
        <v>0.20833333333333334</v>
      </c>
      <c r="T48" s="68">
        <v>0.24861111111111112</v>
      </c>
      <c r="U48" s="73"/>
      <c r="V48" s="437">
        <f t="shared" ref="V48:V53" si="37">(T48-S48)*24*60</f>
        <v>57.999999999999993</v>
      </c>
      <c r="W48" s="73"/>
      <c r="X48" s="73"/>
      <c r="Y48" s="510"/>
      <c r="Z48" s="510"/>
      <c r="AA48" s="66">
        <f t="shared" si="8"/>
        <v>-66.551724137930933</v>
      </c>
      <c r="AB48" s="432">
        <f t="shared" si="9"/>
        <v>0.96672413793103451</v>
      </c>
      <c r="AC48" s="511">
        <f>AB54</f>
        <v>0.95671731475927768</v>
      </c>
    </row>
    <row r="49" spans="1:29" ht="15.75" customHeight="1">
      <c r="A49" s="523" t="s">
        <v>339</v>
      </c>
      <c r="B49" s="62" t="s">
        <v>10</v>
      </c>
      <c r="C49" s="512" t="s">
        <v>42</v>
      </c>
      <c r="D49" s="512"/>
      <c r="E49" s="62">
        <v>46</v>
      </c>
      <c r="F49" s="74">
        <v>2065</v>
      </c>
      <c r="G49" s="431">
        <f t="shared" si="35"/>
        <v>94990</v>
      </c>
      <c r="H49" s="90" t="s">
        <v>5</v>
      </c>
      <c r="I49" s="436">
        <v>17</v>
      </c>
      <c r="J49" s="63">
        <v>2000</v>
      </c>
      <c r="K49" s="64">
        <f t="shared" si="1"/>
        <v>117.64705882352941</v>
      </c>
      <c r="L49" s="436">
        <v>17</v>
      </c>
      <c r="M49" s="65">
        <f t="shared" si="36"/>
        <v>1906.1538461538457</v>
      </c>
      <c r="N49" s="65">
        <f t="shared" si="3"/>
        <v>112.12669683257916</v>
      </c>
      <c r="O49" s="66">
        <f t="shared" si="4"/>
        <v>0</v>
      </c>
      <c r="P49" s="67">
        <f t="shared" si="5"/>
        <v>-5.5203619909502493</v>
      </c>
      <c r="Q49" s="432">
        <f t="shared" si="6"/>
        <v>0.95307692307692293</v>
      </c>
      <c r="R49" s="511"/>
      <c r="S49" s="68">
        <v>0.25208333333333333</v>
      </c>
      <c r="T49" s="68">
        <v>0.29722222222222222</v>
      </c>
      <c r="U49" s="431">
        <f t="shared" ref="U49:U53" si="38">IF(S49=TIME(17,0,0),"",(S49-T48)*24*60)</f>
        <v>4.9999999999999822</v>
      </c>
      <c r="V49" s="437">
        <f t="shared" si="37"/>
        <v>65.000000000000014</v>
      </c>
      <c r="W49" s="69"/>
      <c r="X49" s="69"/>
      <c r="Y49" s="510"/>
      <c r="Z49" s="510"/>
      <c r="AA49" s="66">
        <f t="shared" si="8"/>
        <v>-93.846153846154266</v>
      </c>
      <c r="AB49" s="432">
        <f t="shared" si="9"/>
        <v>0.95307692307692282</v>
      </c>
      <c r="AC49" s="511"/>
    </row>
    <row r="50" spans="1:29" ht="15.75" customHeight="1">
      <c r="A50" s="523" t="s">
        <v>339</v>
      </c>
      <c r="B50" s="62" t="s">
        <v>6</v>
      </c>
      <c r="C50" s="521" t="s">
        <v>43</v>
      </c>
      <c r="D50" s="522"/>
      <c r="E50" s="62">
        <v>55.56</v>
      </c>
      <c r="F50" s="74">
        <v>2033</v>
      </c>
      <c r="G50" s="431">
        <f t="shared" si="35"/>
        <v>112953.48000000001</v>
      </c>
      <c r="H50" s="90" t="s">
        <v>5</v>
      </c>
      <c r="I50" s="436">
        <v>17</v>
      </c>
      <c r="J50" s="63">
        <v>2000</v>
      </c>
      <c r="K50" s="64">
        <f t="shared" si="1"/>
        <v>117.64705882352941</v>
      </c>
      <c r="L50" s="436">
        <v>17</v>
      </c>
      <c r="M50" s="65">
        <f t="shared" si="36"/>
        <v>1905.937500000002</v>
      </c>
      <c r="N50" s="65">
        <f t="shared" si="3"/>
        <v>112.11397058823542</v>
      </c>
      <c r="O50" s="66">
        <f t="shared" si="4"/>
        <v>0</v>
      </c>
      <c r="P50" s="67">
        <f t="shared" si="5"/>
        <v>-5.5330882352939881</v>
      </c>
      <c r="Q50" s="432">
        <f t="shared" si="6"/>
        <v>0.95296875000000114</v>
      </c>
      <c r="R50" s="511"/>
      <c r="S50" s="68">
        <v>0.70833333333333337</v>
      </c>
      <c r="T50" s="68">
        <v>0.75277777777777777</v>
      </c>
      <c r="U50" s="431" t="str">
        <f t="shared" si="38"/>
        <v/>
      </c>
      <c r="V50" s="437">
        <f t="shared" si="37"/>
        <v>63.999999999999929</v>
      </c>
      <c r="W50" s="69"/>
      <c r="X50" s="69"/>
      <c r="Y50" s="428"/>
      <c r="Z50" s="429"/>
      <c r="AA50" s="66">
        <f t="shared" si="8"/>
        <v>-94.062499999997954</v>
      </c>
      <c r="AB50" s="432">
        <f t="shared" si="9"/>
        <v>0.95296875000000103</v>
      </c>
      <c r="AC50" s="511"/>
    </row>
    <row r="51" spans="1:29" ht="15.75" customHeight="1">
      <c r="A51" s="523" t="s">
        <v>2442</v>
      </c>
      <c r="B51" s="62" t="s">
        <v>6</v>
      </c>
      <c r="C51" s="434" t="s">
        <v>44</v>
      </c>
      <c r="D51" s="435"/>
      <c r="E51" s="62">
        <v>55.32</v>
      </c>
      <c r="F51" s="74">
        <v>1525</v>
      </c>
      <c r="G51" s="431">
        <f t="shared" si="35"/>
        <v>84363</v>
      </c>
      <c r="H51" s="90" t="s">
        <v>5</v>
      </c>
      <c r="I51" s="436">
        <v>15</v>
      </c>
      <c r="J51" s="63">
        <v>2000</v>
      </c>
      <c r="K51" s="64">
        <f t="shared" si="1"/>
        <v>133.33333333333334</v>
      </c>
      <c r="L51" s="436">
        <v>15</v>
      </c>
      <c r="M51" s="65">
        <f t="shared" si="36"/>
        <v>1906.2500000000005</v>
      </c>
      <c r="N51" s="65">
        <f t="shared" si="3"/>
        <v>127.08333333333336</v>
      </c>
      <c r="O51" s="66">
        <f t="shared" si="4"/>
        <v>0</v>
      </c>
      <c r="P51" s="67">
        <f t="shared" si="5"/>
        <v>-6.2499999999999858</v>
      </c>
      <c r="Q51" s="432">
        <f t="shared" si="6"/>
        <v>0.95312500000000011</v>
      </c>
      <c r="R51" s="511"/>
      <c r="S51" s="68">
        <v>0.75624999999999998</v>
      </c>
      <c r="T51" s="68">
        <v>0.7895833333333333</v>
      </c>
      <c r="U51" s="431">
        <f t="shared" si="38"/>
        <v>4.9999999999999822</v>
      </c>
      <c r="V51" s="437">
        <f t="shared" si="37"/>
        <v>47.999999999999986</v>
      </c>
      <c r="W51" s="69"/>
      <c r="X51" s="69"/>
      <c r="Y51" s="428"/>
      <c r="Z51" s="429"/>
      <c r="AA51" s="66">
        <f t="shared" si="8"/>
        <v>-93.749999999999545</v>
      </c>
      <c r="AB51" s="432">
        <f t="shared" si="9"/>
        <v>0.95312500000000022</v>
      </c>
      <c r="AC51" s="511"/>
    </row>
    <row r="52" spans="1:29" ht="15.75" customHeight="1">
      <c r="A52" s="523" t="s">
        <v>339</v>
      </c>
      <c r="B52" s="62" t="s">
        <v>6</v>
      </c>
      <c r="C52" s="434" t="s">
        <v>1462</v>
      </c>
      <c r="D52" s="435"/>
      <c r="E52" s="62">
        <v>53.68</v>
      </c>
      <c r="F52" s="74">
        <v>1500</v>
      </c>
      <c r="G52" s="431">
        <f t="shared" si="35"/>
        <v>80520</v>
      </c>
      <c r="H52" s="90">
        <v>2</v>
      </c>
      <c r="I52" s="436">
        <v>16</v>
      </c>
      <c r="J52" s="63">
        <v>1500</v>
      </c>
      <c r="K52" s="64">
        <f t="shared" si="1"/>
        <v>93.75</v>
      </c>
      <c r="L52" s="436">
        <v>16</v>
      </c>
      <c r="M52" s="65">
        <f t="shared" si="36"/>
        <v>1428.57142857143</v>
      </c>
      <c r="N52" s="65">
        <f t="shared" si="3"/>
        <v>89.285714285714377</v>
      </c>
      <c r="O52" s="66">
        <f t="shared" si="4"/>
        <v>0</v>
      </c>
      <c r="P52" s="67">
        <f t="shared" si="5"/>
        <v>-4.4642857142856229</v>
      </c>
      <c r="Q52" s="432">
        <f t="shared" si="6"/>
        <v>0.95238095238095333</v>
      </c>
      <c r="R52" s="511"/>
      <c r="S52" s="68">
        <v>0.7944444444444444</v>
      </c>
      <c r="T52" s="68">
        <v>0.83819444444444435</v>
      </c>
      <c r="U52" s="431">
        <f t="shared" si="38"/>
        <v>6.9999999999999751</v>
      </c>
      <c r="V52" s="437">
        <f t="shared" si="37"/>
        <v>62.999999999999936</v>
      </c>
      <c r="W52" s="69">
        <f>T52</f>
        <v>0.83819444444444435</v>
      </c>
      <c r="X52" s="69">
        <f>S53</f>
        <v>0.87916666666666654</v>
      </c>
      <c r="Y52" s="428"/>
      <c r="Z52" s="429"/>
      <c r="AA52" s="66">
        <f t="shared" si="8"/>
        <v>-71.428571428569967</v>
      </c>
      <c r="AB52" s="432">
        <f t="shared" si="9"/>
        <v>0.95238095238095333</v>
      </c>
      <c r="AC52" s="511"/>
    </row>
    <row r="53" spans="1:29" ht="15.75" customHeight="1">
      <c r="A53" s="523" t="s">
        <v>339</v>
      </c>
      <c r="B53" s="62" t="s">
        <v>6</v>
      </c>
      <c r="C53" s="521" t="s">
        <v>1462</v>
      </c>
      <c r="D53" s="522"/>
      <c r="E53" s="62">
        <v>53.68</v>
      </c>
      <c r="F53" s="74">
        <v>1636</v>
      </c>
      <c r="G53" s="431">
        <f t="shared" si="35"/>
        <v>87820.479999999996</v>
      </c>
      <c r="H53" s="90" t="s">
        <v>5</v>
      </c>
      <c r="I53" s="436">
        <v>16</v>
      </c>
      <c r="J53" s="63">
        <v>1500</v>
      </c>
      <c r="K53" s="64">
        <f t="shared" si="1"/>
        <v>93.75</v>
      </c>
      <c r="L53" s="436">
        <v>16</v>
      </c>
      <c r="M53" s="65">
        <f t="shared" si="36"/>
        <v>1443.5294117647077</v>
      </c>
      <c r="N53" s="65">
        <f t="shared" si="3"/>
        <v>90.22058823529423</v>
      </c>
      <c r="O53" s="66">
        <f t="shared" si="4"/>
        <v>0</v>
      </c>
      <c r="P53" s="67">
        <f t="shared" si="5"/>
        <v>-3.5294117647057703</v>
      </c>
      <c r="Q53" s="432">
        <f t="shared" si="6"/>
        <v>0.96235294117647174</v>
      </c>
      <c r="R53" s="511"/>
      <c r="S53" s="68">
        <v>0.87916666666666654</v>
      </c>
      <c r="T53" s="68">
        <v>0.92638888888888871</v>
      </c>
      <c r="U53" s="431">
        <f t="shared" si="38"/>
        <v>58.99999999999995</v>
      </c>
      <c r="V53" s="437">
        <f t="shared" si="37"/>
        <v>67.999999999999915</v>
      </c>
      <c r="W53" s="69"/>
      <c r="X53" s="69"/>
      <c r="Y53" s="517"/>
      <c r="Z53" s="518"/>
      <c r="AA53" s="66">
        <f t="shared" si="8"/>
        <v>-56.470588235292325</v>
      </c>
      <c r="AB53" s="432">
        <f t="shared" si="9"/>
        <v>0.96235294117647174</v>
      </c>
      <c r="AC53" s="511"/>
    </row>
    <row r="54" spans="1:29">
      <c r="A54" s="524" t="s">
        <v>2442</v>
      </c>
      <c r="B54" s="62" t="s">
        <v>79</v>
      </c>
      <c r="C54" s="513"/>
      <c r="D54" s="513"/>
      <c r="E54" s="433"/>
      <c r="F54" s="71"/>
      <c r="G54" s="64"/>
      <c r="H54" s="439"/>
      <c r="I54" s="72">
        <v>16.333333333333332</v>
      </c>
      <c r="J54" s="63">
        <v>1833.3333333333333</v>
      </c>
      <c r="K54" s="64">
        <f t="shared" si="1"/>
        <v>112.24489795918367</v>
      </c>
      <c r="L54" s="72">
        <v>16.333333333333332</v>
      </c>
      <c r="M54" s="65">
        <f>AVERAGE(M48:M53)</f>
        <v>1753.9817437253423</v>
      </c>
      <c r="N54" s="64">
        <f t="shared" si="3"/>
        <v>107.38663737093934</v>
      </c>
      <c r="O54" s="66">
        <f t="shared" si="4"/>
        <v>0</v>
      </c>
      <c r="P54" s="67">
        <f t="shared" si="5"/>
        <v>-4.8582605882443346</v>
      </c>
      <c r="Q54" s="432">
        <f t="shared" si="6"/>
        <v>0.95671731475927779</v>
      </c>
      <c r="R54" s="511"/>
      <c r="S54" s="75"/>
      <c r="T54" s="68"/>
      <c r="U54" s="64"/>
      <c r="V54" s="437"/>
      <c r="W54" s="64"/>
      <c r="X54" s="64"/>
      <c r="Y54" s="510"/>
      <c r="Z54" s="510"/>
      <c r="AA54" s="66">
        <f t="shared" si="8"/>
        <v>-79.351589607990945</v>
      </c>
      <c r="AB54" s="432">
        <f t="shared" si="9"/>
        <v>0.95671731475927768</v>
      </c>
      <c r="AC54" s="511"/>
    </row>
    <row r="55" spans="1:29" ht="15.75" customHeight="1">
      <c r="A55" s="519" t="s">
        <v>2443</v>
      </c>
      <c r="B55" s="439" t="s">
        <v>10</v>
      </c>
      <c r="C55" s="512" t="s">
        <v>46</v>
      </c>
      <c r="D55" s="512"/>
      <c r="E55" s="62">
        <v>26.97</v>
      </c>
      <c r="F55" s="74">
        <v>2640</v>
      </c>
      <c r="G55" s="431">
        <f t="shared" ref="G55:G58" si="39">E55*F55</f>
        <v>71200.800000000003</v>
      </c>
      <c r="H55" s="90" t="s">
        <v>5</v>
      </c>
      <c r="I55" s="436">
        <v>8</v>
      </c>
      <c r="J55" s="63">
        <v>1500</v>
      </c>
      <c r="K55" s="64">
        <f t="shared" si="1"/>
        <v>187.5</v>
      </c>
      <c r="L55" s="436">
        <v>8</v>
      </c>
      <c r="M55" s="65">
        <f t="shared" ref="M55:M58" si="40">F55/V55*60</f>
        <v>1427.0270270270273</v>
      </c>
      <c r="N55" s="64">
        <f t="shared" si="3"/>
        <v>178.37837837837841</v>
      </c>
      <c r="O55" s="66">
        <f t="shared" si="4"/>
        <v>0</v>
      </c>
      <c r="P55" s="67">
        <f t="shared" si="5"/>
        <v>-9.1216216216215855</v>
      </c>
      <c r="Q55" s="432">
        <f t="shared" si="6"/>
        <v>0.95135135135135152</v>
      </c>
      <c r="R55" s="511">
        <f>Q59</f>
        <v>0.9575260319032548</v>
      </c>
      <c r="S55" s="68">
        <v>0.20833333333333334</v>
      </c>
      <c r="T55" s="68">
        <v>0.28541666666666665</v>
      </c>
      <c r="U55" s="431"/>
      <c r="V55" s="437">
        <f t="shared" ref="V55:V58" si="41">(T55-S55)*24*60</f>
        <v>110.99999999999997</v>
      </c>
      <c r="W55" s="73"/>
      <c r="X55" s="73"/>
      <c r="Y55" s="510"/>
      <c r="Z55" s="510"/>
      <c r="AA55" s="66">
        <f t="shared" si="8"/>
        <v>-72.972972972972684</v>
      </c>
      <c r="AB55" s="432">
        <f t="shared" si="9"/>
        <v>0.95135135135135152</v>
      </c>
      <c r="AC55" s="511">
        <f>AB59</f>
        <v>0.95752603190325492</v>
      </c>
    </row>
    <row r="56" spans="1:29" ht="15.75" customHeight="1">
      <c r="A56" s="519" t="s">
        <v>2443</v>
      </c>
      <c r="B56" s="439" t="s">
        <v>35</v>
      </c>
      <c r="C56" s="512" t="s">
        <v>45</v>
      </c>
      <c r="D56" s="512"/>
      <c r="E56" s="62">
        <v>26.78</v>
      </c>
      <c r="F56" s="74">
        <v>2347</v>
      </c>
      <c r="G56" s="431">
        <f t="shared" si="39"/>
        <v>62852.66</v>
      </c>
      <c r="H56" s="90" t="s">
        <v>5</v>
      </c>
      <c r="I56" s="436">
        <v>10</v>
      </c>
      <c r="J56" s="63">
        <v>3000</v>
      </c>
      <c r="K56" s="64">
        <f t="shared" si="1"/>
        <v>300</v>
      </c>
      <c r="L56" s="436">
        <v>10</v>
      </c>
      <c r="M56" s="65">
        <f t="shared" si="40"/>
        <v>2873.8775510204091</v>
      </c>
      <c r="N56" s="64">
        <f t="shared" si="3"/>
        <v>287.3877551020409</v>
      </c>
      <c r="O56" s="66">
        <f t="shared" si="4"/>
        <v>0</v>
      </c>
      <c r="P56" s="67">
        <f t="shared" si="5"/>
        <v>-12.612244897959101</v>
      </c>
      <c r="Q56" s="432">
        <f t="shared" si="6"/>
        <v>0.95795918367346966</v>
      </c>
      <c r="R56" s="511"/>
      <c r="S56" s="68">
        <v>0.29097222222222219</v>
      </c>
      <c r="T56" s="68">
        <v>0.32499999999999996</v>
      </c>
      <c r="U56" s="431">
        <f t="shared" ref="U56:U58" si="42">(S56-T55)*24*60</f>
        <v>7.9999999999999716</v>
      </c>
      <c r="V56" s="437">
        <f t="shared" si="41"/>
        <v>48.999999999999986</v>
      </c>
      <c r="W56" s="431"/>
      <c r="X56" s="431"/>
      <c r="Y56" s="510"/>
      <c r="Z56" s="510"/>
      <c r="AA56" s="66">
        <f t="shared" si="8"/>
        <v>-126.1224489795909</v>
      </c>
      <c r="AB56" s="432">
        <f t="shared" si="9"/>
        <v>0.95795918367346966</v>
      </c>
      <c r="AC56" s="511"/>
    </row>
    <row r="57" spans="1:29" ht="15.75" customHeight="1">
      <c r="A57" s="519" t="s">
        <v>2443</v>
      </c>
      <c r="B57" s="439" t="s">
        <v>35</v>
      </c>
      <c r="C57" s="512" t="s">
        <v>75</v>
      </c>
      <c r="D57" s="512"/>
      <c r="E57" s="62">
        <v>37.880000000000003</v>
      </c>
      <c r="F57" s="74">
        <v>2540</v>
      </c>
      <c r="G57" s="431">
        <f t="shared" si="39"/>
        <v>96215.200000000012</v>
      </c>
      <c r="H57" s="90" t="s">
        <v>5</v>
      </c>
      <c r="I57" s="436">
        <v>10</v>
      </c>
      <c r="J57" s="63">
        <v>3000</v>
      </c>
      <c r="K57" s="64">
        <f t="shared" si="1"/>
        <v>300</v>
      </c>
      <c r="L57" s="436">
        <v>10</v>
      </c>
      <c r="M57" s="65">
        <f t="shared" si="40"/>
        <v>2875.4716981132092</v>
      </c>
      <c r="N57" s="64">
        <f t="shared" si="3"/>
        <v>287.54716981132094</v>
      </c>
      <c r="O57" s="66">
        <f t="shared" si="4"/>
        <v>0</v>
      </c>
      <c r="P57" s="67">
        <f t="shared" si="5"/>
        <v>-12.452830188679059</v>
      </c>
      <c r="Q57" s="432">
        <f t="shared" si="6"/>
        <v>0.95849056603773652</v>
      </c>
      <c r="R57" s="511"/>
      <c r="S57" s="68">
        <v>0.32916666666666661</v>
      </c>
      <c r="T57" s="68">
        <v>0.36597222222222214</v>
      </c>
      <c r="U57" s="431">
        <f t="shared" si="42"/>
        <v>5.9999999999999787</v>
      </c>
      <c r="V57" s="437">
        <f t="shared" si="41"/>
        <v>52.999999999999972</v>
      </c>
      <c r="W57" s="431"/>
      <c r="X57" s="431"/>
      <c r="Y57" s="510"/>
      <c r="Z57" s="510"/>
      <c r="AA57" s="66">
        <f t="shared" si="8"/>
        <v>-124.52830188679081</v>
      </c>
      <c r="AB57" s="432">
        <f t="shared" si="9"/>
        <v>0.95849056603773641</v>
      </c>
      <c r="AC57" s="511"/>
    </row>
    <row r="58" spans="1:29" ht="15.75" customHeight="1">
      <c r="A58" s="519" t="s">
        <v>2443</v>
      </c>
      <c r="B58" s="439" t="s">
        <v>35</v>
      </c>
      <c r="C58" s="512" t="s">
        <v>85</v>
      </c>
      <c r="D58" s="512"/>
      <c r="E58" s="62">
        <v>40.51</v>
      </c>
      <c r="F58" s="74">
        <v>2446</v>
      </c>
      <c r="G58" s="431">
        <f t="shared" si="39"/>
        <v>99087.459999999992</v>
      </c>
      <c r="H58" s="90" t="s">
        <v>5</v>
      </c>
      <c r="I58" s="436">
        <v>8</v>
      </c>
      <c r="J58" s="63">
        <v>3000</v>
      </c>
      <c r="K58" s="64">
        <f t="shared" si="1"/>
        <v>375</v>
      </c>
      <c r="L58" s="436">
        <v>8</v>
      </c>
      <c r="M58" s="65">
        <f t="shared" si="40"/>
        <v>2877.6470588235306</v>
      </c>
      <c r="N58" s="64">
        <f t="shared" si="3"/>
        <v>359.70588235294133</v>
      </c>
      <c r="O58" s="66">
        <f t="shared" si="4"/>
        <v>0</v>
      </c>
      <c r="P58" s="67">
        <f t="shared" si="5"/>
        <v>-15.29411764705867</v>
      </c>
      <c r="Q58" s="432">
        <f t="shared" si="6"/>
        <v>0.95921568627451026</v>
      </c>
      <c r="R58" s="511"/>
      <c r="S58" s="68">
        <v>0.36944444444444435</v>
      </c>
      <c r="T58" s="68">
        <v>0.40486111111111101</v>
      </c>
      <c r="U58" s="431">
        <f t="shared" si="42"/>
        <v>4.9999999999999822</v>
      </c>
      <c r="V58" s="437">
        <f t="shared" si="41"/>
        <v>50.999999999999979</v>
      </c>
      <c r="W58" s="431"/>
      <c r="X58" s="431"/>
      <c r="Y58" s="510"/>
      <c r="Z58" s="510"/>
      <c r="AA58" s="66">
        <f t="shared" si="8"/>
        <v>-122.35294117646936</v>
      </c>
      <c r="AB58" s="432">
        <f t="shared" si="9"/>
        <v>0.95921568627451026</v>
      </c>
      <c r="AC58" s="511"/>
    </row>
    <row r="59" spans="1:29">
      <c r="A59" s="520" t="s">
        <v>162</v>
      </c>
      <c r="B59" s="62" t="s">
        <v>2435</v>
      </c>
      <c r="C59" s="513"/>
      <c r="D59" s="513"/>
      <c r="E59" s="433"/>
      <c r="F59" s="71"/>
      <c r="G59" s="64"/>
      <c r="H59" s="439"/>
      <c r="I59" s="72">
        <v>9</v>
      </c>
      <c r="J59" s="63">
        <v>2625</v>
      </c>
      <c r="K59" s="64">
        <f t="shared" si="1"/>
        <v>291.66666666666669</v>
      </c>
      <c r="L59" s="72">
        <v>9</v>
      </c>
      <c r="M59" s="65">
        <f>AVERAGE(M55:M58)</f>
        <v>2513.5058337460441</v>
      </c>
      <c r="N59" s="64">
        <f t="shared" si="3"/>
        <v>279.27842597178267</v>
      </c>
      <c r="O59" s="66">
        <f t="shared" si="4"/>
        <v>0</v>
      </c>
      <c r="P59" s="67">
        <f t="shared" si="5"/>
        <v>-12.388240694884018</v>
      </c>
      <c r="Q59" s="432">
        <f t="shared" si="6"/>
        <v>0.9575260319032548</v>
      </c>
      <c r="R59" s="511"/>
      <c r="S59" s="68"/>
      <c r="T59" s="68"/>
      <c r="U59" s="64"/>
      <c r="V59" s="437"/>
      <c r="W59" s="64"/>
      <c r="X59" s="64"/>
      <c r="Y59" s="510"/>
      <c r="Z59" s="510"/>
      <c r="AA59" s="66">
        <f t="shared" si="8"/>
        <v>-111.49416625395588</v>
      </c>
      <c r="AB59" s="432">
        <f t="shared" si="9"/>
        <v>0.95752603190325492</v>
      </c>
      <c r="AC59" s="511"/>
    </row>
    <row r="60" spans="1:29" ht="15.75" customHeight="1">
      <c r="A60" s="514" t="s">
        <v>163</v>
      </c>
      <c r="B60" s="439" t="s">
        <v>16</v>
      </c>
      <c r="C60" s="512" t="s">
        <v>48</v>
      </c>
      <c r="D60" s="512"/>
      <c r="E60" s="62">
        <v>20.2</v>
      </c>
      <c r="F60" s="439">
        <v>1768</v>
      </c>
      <c r="G60" s="431">
        <f t="shared" ref="G60:G66" si="43">E60*F60</f>
        <v>35713.599999999999</v>
      </c>
      <c r="H60" s="90" t="s">
        <v>5</v>
      </c>
      <c r="I60" s="436">
        <v>19</v>
      </c>
      <c r="J60" s="63">
        <v>2400</v>
      </c>
      <c r="K60" s="64">
        <f t="shared" si="1"/>
        <v>126.31578947368421</v>
      </c>
      <c r="L60" s="436">
        <v>19</v>
      </c>
      <c r="M60" s="65">
        <f t="shared" ref="M60:M66" si="44">F60/V60*60</f>
        <v>2306.0869565217386</v>
      </c>
      <c r="N60" s="64">
        <f t="shared" si="3"/>
        <v>121.37299771167045</v>
      </c>
      <c r="O60" s="66">
        <f t="shared" si="4"/>
        <v>0</v>
      </c>
      <c r="P60" s="67">
        <f t="shared" si="5"/>
        <v>-4.9427917620137549</v>
      </c>
      <c r="Q60" s="432">
        <f t="shared" si="6"/>
        <v>0.96086956521739109</v>
      </c>
      <c r="R60" s="511">
        <f>Q67</f>
        <v>0.96049748486750586</v>
      </c>
      <c r="S60" s="68">
        <v>8.3333333333333329E-2</v>
      </c>
      <c r="T60" s="68">
        <v>0.11527777777777778</v>
      </c>
      <c r="U60" s="73"/>
      <c r="V60" s="437">
        <f t="shared" ref="V60:V66" si="45">(T60-S60)*24*60</f>
        <v>46.000000000000014</v>
      </c>
      <c r="W60" s="69">
        <f>T60</f>
        <v>0.11527777777777778</v>
      </c>
      <c r="X60" s="69">
        <f>S61</f>
        <v>0.13472222222222224</v>
      </c>
      <c r="Y60" s="510"/>
      <c r="Z60" s="510"/>
      <c r="AA60" s="66">
        <f t="shared" si="8"/>
        <v>-93.913043478261443</v>
      </c>
      <c r="AB60" s="432">
        <f t="shared" si="9"/>
        <v>0.96086956521739109</v>
      </c>
      <c r="AC60" s="511">
        <f>AB67</f>
        <v>0.96049748486750597</v>
      </c>
    </row>
    <row r="61" spans="1:29" ht="15.75" customHeight="1">
      <c r="A61" s="515" t="s">
        <v>2444</v>
      </c>
      <c r="B61" s="439" t="s">
        <v>16</v>
      </c>
      <c r="C61" s="512" t="s">
        <v>17</v>
      </c>
      <c r="D61" s="512"/>
      <c r="E61" s="62">
        <v>24.45</v>
      </c>
      <c r="F61" s="439">
        <v>1932</v>
      </c>
      <c r="G61" s="431">
        <f t="shared" si="43"/>
        <v>47237.4</v>
      </c>
      <c r="H61" s="90" t="s">
        <v>5</v>
      </c>
      <c r="I61" s="436">
        <v>20</v>
      </c>
      <c r="J61" s="63">
        <v>2400</v>
      </c>
      <c r="K61" s="64">
        <f t="shared" si="1"/>
        <v>120</v>
      </c>
      <c r="L61" s="436">
        <v>20</v>
      </c>
      <c r="M61" s="65">
        <f t="shared" si="44"/>
        <v>2318.4000000000005</v>
      </c>
      <c r="N61" s="64">
        <f t="shared" si="3"/>
        <v>115.92000000000003</v>
      </c>
      <c r="O61" s="66">
        <f t="shared" si="4"/>
        <v>0</v>
      </c>
      <c r="P61" s="67">
        <f t="shared" si="5"/>
        <v>-4.0799999999999699</v>
      </c>
      <c r="Q61" s="432">
        <f t="shared" si="6"/>
        <v>0.9660000000000003</v>
      </c>
      <c r="R61" s="511"/>
      <c r="S61" s="68">
        <v>0.13472222222222224</v>
      </c>
      <c r="T61" s="68">
        <v>0.16944444444444445</v>
      </c>
      <c r="U61" s="431">
        <f t="shared" ref="U61:U66" si="46">(S61-T60)*24*60</f>
        <v>28.000000000000021</v>
      </c>
      <c r="V61" s="437">
        <f t="shared" si="45"/>
        <v>49.999999999999986</v>
      </c>
      <c r="W61" s="69"/>
      <c r="X61" s="69"/>
      <c r="Y61" s="510"/>
      <c r="Z61" s="510"/>
      <c r="AA61" s="66">
        <f t="shared" si="8"/>
        <v>-81.599999999999454</v>
      </c>
      <c r="AB61" s="432">
        <f t="shared" si="9"/>
        <v>0.96600000000000019</v>
      </c>
      <c r="AC61" s="511"/>
    </row>
    <row r="62" spans="1:29" ht="15.75" customHeight="1">
      <c r="A62" s="515" t="s">
        <v>163</v>
      </c>
      <c r="B62" s="439" t="s">
        <v>16</v>
      </c>
      <c r="C62" s="512" t="s">
        <v>18</v>
      </c>
      <c r="D62" s="512"/>
      <c r="E62" s="62">
        <v>22.35</v>
      </c>
      <c r="F62" s="439">
        <v>1521</v>
      </c>
      <c r="G62" s="431">
        <f t="shared" si="43"/>
        <v>33994.35</v>
      </c>
      <c r="H62" s="90" t="s">
        <v>5</v>
      </c>
      <c r="I62" s="436">
        <v>16</v>
      </c>
      <c r="J62" s="63">
        <v>2400</v>
      </c>
      <c r="K62" s="64">
        <f t="shared" si="1"/>
        <v>150</v>
      </c>
      <c r="L62" s="436">
        <v>16</v>
      </c>
      <c r="M62" s="65">
        <f t="shared" si="44"/>
        <v>2340.0000000000014</v>
      </c>
      <c r="N62" s="64">
        <f t="shared" si="3"/>
        <v>146.25000000000009</v>
      </c>
      <c r="O62" s="66">
        <f t="shared" si="4"/>
        <v>0</v>
      </c>
      <c r="P62" s="67">
        <f t="shared" si="5"/>
        <v>-3.7499999999999147</v>
      </c>
      <c r="Q62" s="432">
        <f t="shared" si="6"/>
        <v>0.97500000000000053</v>
      </c>
      <c r="R62" s="511"/>
      <c r="S62" s="68">
        <v>0.17430555555555557</v>
      </c>
      <c r="T62" s="68">
        <v>0.2013888888888889</v>
      </c>
      <c r="U62" s="431">
        <f t="shared" si="46"/>
        <v>7.0000000000000151</v>
      </c>
      <c r="V62" s="437">
        <f t="shared" si="45"/>
        <v>38.999999999999979</v>
      </c>
      <c r="W62" s="69"/>
      <c r="X62" s="69"/>
      <c r="Y62" s="510"/>
      <c r="Z62" s="510"/>
      <c r="AA62" s="66">
        <f t="shared" si="8"/>
        <v>-59.999999999998636</v>
      </c>
      <c r="AB62" s="432">
        <f t="shared" si="9"/>
        <v>0.97500000000000053</v>
      </c>
      <c r="AC62" s="511"/>
    </row>
    <row r="63" spans="1:29" ht="15.75" customHeight="1">
      <c r="A63" s="515" t="s">
        <v>2444</v>
      </c>
      <c r="B63" s="439" t="s">
        <v>16</v>
      </c>
      <c r="C63" s="512" t="s">
        <v>34</v>
      </c>
      <c r="D63" s="512"/>
      <c r="E63" s="62">
        <v>24.25</v>
      </c>
      <c r="F63" s="439">
        <v>2177</v>
      </c>
      <c r="G63" s="431">
        <f t="shared" si="43"/>
        <v>52792.25</v>
      </c>
      <c r="H63" s="90" t="s">
        <v>5</v>
      </c>
      <c r="I63" s="436">
        <v>13</v>
      </c>
      <c r="J63" s="63">
        <v>2400</v>
      </c>
      <c r="K63" s="64">
        <f t="shared" si="1"/>
        <v>184.61538461538461</v>
      </c>
      <c r="L63" s="436">
        <v>13</v>
      </c>
      <c r="M63" s="65">
        <f t="shared" si="44"/>
        <v>2291.5789473684208</v>
      </c>
      <c r="N63" s="64">
        <f t="shared" si="3"/>
        <v>176.27530364372467</v>
      </c>
      <c r="O63" s="66">
        <f t="shared" si="4"/>
        <v>0</v>
      </c>
      <c r="P63" s="67">
        <f t="shared" si="5"/>
        <v>-8.340080971659944</v>
      </c>
      <c r="Q63" s="432">
        <f t="shared" si="6"/>
        <v>0.95482456140350869</v>
      </c>
      <c r="R63" s="511"/>
      <c r="S63" s="68">
        <v>0.20694444444444446</v>
      </c>
      <c r="T63" s="68">
        <v>0.24652777777777779</v>
      </c>
      <c r="U63" s="431">
        <f t="shared" si="46"/>
        <v>8.0000000000000107</v>
      </c>
      <c r="V63" s="437">
        <f t="shared" si="45"/>
        <v>57</v>
      </c>
      <c r="W63" s="69"/>
      <c r="X63" s="69"/>
      <c r="Y63" s="510"/>
      <c r="Z63" s="510"/>
      <c r="AA63" s="66">
        <f t="shared" si="8"/>
        <v>-108.42105263157919</v>
      </c>
      <c r="AB63" s="432">
        <f t="shared" si="9"/>
        <v>0.95482456140350869</v>
      </c>
      <c r="AC63" s="511"/>
    </row>
    <row r="64" spans="1:29" ht="15.75" customHeight="1">
      <c r="A64" s="515" t="s">
        <v>2444</v>
      </c>
      <c r="B64" s="439" t="s">
        <v>16</v>
      </c>
      <c r="C64" s="512" t="s">
        <v>26</v>
      </c>
      <c r="D64" s="512"/>
      <c r="E64" s="62">
        <v>20.52</v>
      </c>
      <c r="F64" s="439">
        <v>2695</v>
      </c>
      <c r="G64" s="431">
        <f t="shared" si="43"/>
        <v>55301.4</v>
      </c>
      <c r="H64" s="90" t="s">
        <v>5</v>
      </c>
      <c r="I64" s="436">
        <v>18</v>
      </c>
      <c r="J64" s="63">
        <v>2400</v>
      </c>
      <c r="K64" s="64">
        <f t="shared" si="1"/>
        <v>133.33333333333334</v>
      </c>
      <c r="L64" s="436">
        <v>18</v>
      </c>
      <c r="M64" s="65">
        <f t="shared" si="44"/>
        <v>2310.0000000000005</v>
      </c>
      <c r="N64" s="64">
        <f t="shared" si="3"/>
        <v>128.33333333333337</v>
      </c>
      <c r="O64" s="66">
        <f t="shared" si="4"/>
        <v>0</v>
      </c>
      <c r="P64" s="67">
        <f t="shared" si="5"/>
        <v>-4.9999999999999716</v>
      </c>
      <c r="Q64" s="432">
        <f t="shared" si="6"/>
        <v>0.96250000000000024</v>
      </c>
      <c r="R64" s="511"/>
      <c r="S64" s="68">
        <v>0.25</v>
      </c>
      <c r="T64" s="68">
        <v>0.2986111111111111</v>
      </c>
      <c r="U64" s="431">
        <f t="shared" si="46"/>
        <v>4.9999999999999822</v>
      </c>
      <c r="V64" s="437">
        <f t="shared" si="45"/>
        <v>69.999999999999986</v>
      </c>
      <c r="W64" s="69"/>
      <c r="X64" s="69"/>
      <c r="Y64" s="510"/>
      <c r="Z64" s="510"/>
      <c r="AA64" s="66">
        <f t="shared" si="8"/>
        <v>-89.999999999999545</v>
      </c>
      <c r="AB64" s="432">
        <f t="shared" si="9"/>
        <v>0.96250000000000024</v>
      </c>
      <c r="AC64" s="511"/>
    </row>
    <row r="65" spans="1:29" ht="15.75" customHeight="1">
      <c r="A65" s="515" t="s">
        <v>163</v>
      </c>
      <c r="B65" s="439" t="s">
        <v>16</v>
      </c>
      <c r="C65" s="512" t="s">
        <v>2115</v>
      </c>
      <c r="D65" s="512"/>
      <c r="E65" s="62">
        <v>22.69</v>
      </c>
      <c r="F65" s="439">
        <v>5511</v>
      </c>
      <c r="G65" s="431">
        <f t="shared" si="43"/>
        <v>125044.59000000001</v>
      </c>
      <c r="H65" s="90" t="s">
        <v>5</v>
      </c>
      <c r="I65" s="436">
        <v>15</v>
      </c>
      <c r="J65" s="63">
        <v>2400</v>
      </c>
      <c r="K65" s="64">
        <f t="shared" si="1"/>
        <v>160</v>
      </c>
      <c r="L65" s="436">
        <v>15</v>
      </c>
      <c r="M65" s="65">
        <f t="shared" si="44"/>
        <v>2280.4137931034488</v>
      </c>
      <c r="N65" s="64">
        <f t="shared" si="3"/>
        <v>152.02758620689659</v>
      </c>
      <c r="O65" s="66">
        <f t="shared" si="4"/>
        <v>0</v>
      </c>
      <c r="P65" s="67">
        <f t="shared" si="5"/>
        <v>-7.9724137931034136</v>
      </c>
      <c r="Q65" s="432">
        <f t="shared" si="6"/>
        <v>0.95017241379310369</v>
      </c>
      <c r="R65" s="511"/>
      <c r="S65" s="68">
        <v>0.30277777777777776</v>
      </c>
      <c r="T65" s="68">
        <v>0.40347222222222218</v>
      </c>
      <c r="U65" s="431">
        <f t="shared" si="46"/>
        <v>5.9999999999999787</v>
      </c>
      <c r="V65" s="437">
        <f t="shared" si="45"/>
        <v>144.99999999999997</v>
      </c>
      <c r="W65" s="69"/>
      <c r="X65" s="69"/>
      <c r="Y65" s="510"/>
      <c r="Z65" s="510"/>
      <c r="AA65" s="66">
        <f t="shared" si="8"/>
        <v>-119.58620689655118</v>
      </c>
      <c r="AB65" s="432">
        <f t="shared" si="9"/>
        <v>0.95017241379310369</v>
      </c>
      <c r="AC65" s="511"/>
    </row>
    <row r="66" spans="1:29" ht="15.75" customHeight="1">
      <c r="A66" s="515" t="s">
        <v>163</v>
      </c>
      <c r="B66" s="439" t="s">
        <v>16</v>
      </c>
      <c r="C66" s="512" t="s">
        <v>33</v>
      </c>
      <c r="D66" s="512"/>
      <c r="E66" s="62">
        <v>24.43</v>
      </c>
      <c r="F66" s="439">
        <v>6259</v>
      </c>
      <c r="G66" s="431">
        <f t="shared" si="43"/>
        <v>152907.37</v>
      </c>
      <c r="H66" s="90" t="s">
        <v>5</v>
      </c>
      <c r="I66" s="436">
        <v>14</v>
      </c>
      <c r="J66" s="63">
        <v>2400</v>
      </c>
      <c r="K66" s="64">
        <f t="shared" si="1"/>
        <v>171.42857142857142</v>
      </c>
      <c r="L66" s="436">
        <v>14</v>
      </c>
      <c r="M66" s="65">
        <f t="shared" si="44"/>
        <v>2289.8780487804884</v>
      </c>
      <c r="N66" s="64">
        <f t="shared" si="3"/>
        <v>163.56271777003488</v>
      </c>
      <c r="O66" s="66">
        <f t="shared" si="4"/>
        <v>0</v>
      </c>
      <c r="P66" s="67">
        <f t="shared" si="5"/>
        <v>-7.8658536585365368</v>
      </c>
      <c r="Q66" s="432">
        <f t="shared" si="6"/>
        <v>0.95411585365853691</v>
      </c>
      <c r="R66" s="511"/>
      <c r="S66" s="68">
        <v>0.40833333333333327</v>
      </c>
      <c r="T66" s="68">
        <v>0.52222222222222214</v>
      </c>
      <c r="U66" s="431">
        <f t="shared" si="46"/>
        <v>6.9999999999999751</v>
      </c>
      <c r="V66" s="437">
        <f t="shared" si="45"/>
        <v>163.99999999999997</v>
      </c>
      <c r="W66" s="69"/>
      <c r="X66" s="69"/>
      <c r="Y66" s="517"/>
      <c r="Z66" s="518"/>
      <c r="AA66" s="66">
        <f t="shared" si="8"/>
        <v>-110.12195121951163</v>
      </c>
      <c r="AB66" s="432">
        <f t="shared" si="9"/>
        <v>0.95411585365853679</v>
      </c>
      <c r="AC66" s="511"/>
    </row>
    <row r="67" spans="1:29" ht="16.5" customHeight="1">
      <c r="A67" s="516" t="s">
        <v>163</v>
      </c>
      <c r="B67" s="62" t="s">
        <v>2435</v>
      </c>
      <c r="C67" s="508"/>
      <c r="D67" s="509"/>
      <c r="E67" s="433"/>
      <c r="F67" s="71"/>
      <c r="G67" s="64"/>
      <c r="H67" s="439"/>
      <c r="I67" s="72">
        <v>16.428571428571427</v>
      </c>
      <c r="J67" s="63">
        <v>2400</v>
      </c>
      <c r="K67" s="64">
        <f t="shared" si="1"/>
        <v>146.08695652173915</v>
      </c>
      <c r="L67" s="72">
        <v>16.428571428571427</v>
      </c>
      <c r="M67" s="65">
        <f>AVERAGE(M60:M66)</f>
        <v>2305.1939636820143</v>
      </c>
      <c r="N67" s="64">
        <f t="shared" si="3"/>
        <v>140.31615431107915</v>
      </c>
      <c r="O67" s="66">
        <f t="shared" si="4"/>
        <v>0</v>
      </c>
      <c r="P67" s="67">
        <f t="shared" si="5"/>
        <v>-5.7708022106600083</v>
      </c>
      <c r="Q67" s="432">
        <f t="shared" si="6"/>
        <v>0.96049748486750586</v>
      </c>
      <c r="R67" s="511"/>
      <c r="S67" s="68"/>
      <c r="T67" s="68"/>
      <c r="U67" s="64"/>
      <c r="V67" s="437"/>
      <c r="W67" s="64"/>
      <c r="X67" s="64"/>
      <c r="Y67" s="510"/>
      <c r="Z67" s="510"/>
      <c r="AA67" s="66">
        <f t="shared" si="8"/>
        <v>-94.806036317985672</v>
      </c>
      <c r="AB67" s="432">
        <f t="shared" si="9"/>
        <v>0.96049748486750597</v>
      </c>
      <c r="AC67" s="511"/>
    </row>
    <row r="68" spans="1:29">
      <c r="D68" s="76"/>
      <c r="E68" s="76"/>
    </row>
  </sheetData>
  <mergeCells count="18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A27:A32"/>
    <mergeCell ref="C27:D27"/>
    <mergeCell ref="R27:R32"/>
    <mergeCell ref="Y27:Z27"/>
    <mergeCell ref="Y32:Z32"/>
    <mergeCell ref="AC27:AC32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A33:A39"/>
    <mergeCell ref="C33:D33"/>
    <mergeCell ref="R33:R39"/>
    <mergeCell ref="Y33:Z33"/>
    <mergeCell ref="AC33:AC39"/>
    <mergeCell ref="C34:D34"/>
    <mergeCell ref="Y34:Z34"/>
    <mergeCell ref="C35:D35"/>
    <mergeCell ref="Y35:Z35"/>
    <mergeCell ref="C36:D36"/>
    <mergeCell ref="AC40:AC47"/>
    <mergeCell ref="C41:D41"/>
    <mergeCell ref="Y41:Z41"/>
    <mergeCell ref="C42:D42"/>
    <mergeCell ref="Y42:Z42"/>
    <mergeCell ref="C43:D43"/>
    <mergeCell ref="Y36:Z36"/>
    <mergeCell ref="C37:D37"/>
    <mergeCell ref="Y37:Z37"/>
    <mergeCell ref="C38:D38"/>
    <mergeCell ref="Y38:Z38"/>
    <mergeCell ref="C39:D39"/>
    <mergeCell ref="Y39:Z39"/>
    <mergeCell ref="C47:D47"/>
    <mergeCell ref="Y47:Z47"/>
    <mergeCell ref="A48:A54"/>
    <mergeCell ref="C48:D48"/>
    <mergeCell ref="R48:R54"/>
    <mergeCell ref="Y48:Z48"/>
    <mergeCell ref="Y43:Z43"/>
    <mergeCell ref="C44:D44"/>
    <mergeCell ref="Y44:Z44"/>
    <mergeCell ref="C45:D45"/>
    <mergeCell ref="Y45:Z45"/>
    <mergeCell ref="C46:D46"/>
    <mergeCell ref="Y46:Z46"/>
    <mergeCell ref="A40:A47"/>
    <mergeCell ref="C40:D40"/>
    <mergeCell ref="R40:R47"/>
    <mergeCell ref="Y40:Z40"/>
    <mergeCell ref="AC55:AC59"/>
    <mergeCell ref="C56:D56"/>
    <mergeCell ref="Y56:Z56"/>
    <mergeCell ref="C57:D57"/>
    <mergeCell ref="Y57:Z57"/>
    <mergeCell ref="C58:D58"/>
    <mergeCell ref="AC48:AC54"/>
    <mergeCell ref="C49:D49"/>
    <mergeCell ref="Y49:Z49"/>
    <mergeCell ref="C50:D50"/>
    <mergeCell ref="C53:D53"/>
    <mergeCell ref="Y53:Z53"/>
    <mergeCell ref="C54:D54"/>
    <mergeCell ref="Y54:Z54"/>
    <mergeCell ref="Y58:Z58"/>
    <mergeCell ref="C59:D59"/>
    <mergeCell ref="Y59:Z59"/>
    <mergeCell ref="A60:A67"/>
    <mergeCell ref="C60:D60"/>
    <mergeCell ref="R60:R67"/>
    <mergeCell ref="Y60:Z60"/>
    <mergeCell ref="Y65:Z65"/>
    <mergeCell ref="C66:D66"/>
    <mergeCell ref="Y66:Z66"/>
    <mergeCell ref="A55:A59"/>
    <mergeCell ref="C55:D55"/>
    <mergeCell ref="R55:R59"/>
    <mergeCell ref="Y55:Z55"/>
    <mergeCell ref="C67:D67"/>
    <mergeCell ref="Y67:Z67"/>
    <mergeCell ref="AC60:AC67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58:O65 O67 O5:O9 O11:O13 O47:O55 O17:O45">
    <cfRule type="cellIs" dxfId="2345" priority="50" operator="greaterThan">
      <formula>0</formula>
    </cfRule>
  </conditionalFormatting>
  <conditionalFormatting sqref="P5:P7 P58 AA58 P60:P65 P27:P31 P55 P9 P11:P13 P18:P25 P48:P53 P33:P45 AA5:AA55 AA60:AA67">
    <cfRule type="cellIs" dxfId="2344" priority="54" operator="lessThan">
      <formula>0</formula>
    </cfRule>
  </conditionalFormatting>
  <conditionalFormatting sqref="AB58 Q58:Q65 Q67 Q5:Q9 Q11:Q13 Q47:Q55 Q17:Q45 AB5:AB55 AB60:AB67">
    <cfRule type="cellIs" dxfId="2343" priority="51" operator="greaterThan">
      <formula>1</formula>
    </cfRule>
    <cfRule type="cellIs" dxfId="2342" priority="52" operator="lessThan">
      <formula>0.8</formula>
    </cfRule>
  </conditionalFormatting>
  <conditionalFormatting sqref="AC12:AC13 R12:R13 AC58 R58:R65 R17:R23 AC17:AC23 R67 AC5:AC9 R5:R9 R26:R45 AC26:AC45 AC47:AC55 R47:R55">
    <cfRule type="cellIs" dxfId="2341" priority="56" operator="lessThan">
      <formula>0.8</formula>
    </cfRule>
  </conditionalFormatting>
  <conditionalFormatting sqref="AC40">
    <cfRule type="cellIs" dxfId="2340" priority="58" operator="lessThan">
      <formula>0.8</formula>
    </cfRule>
  </conditionalFormatting>
  <conditionalFormatting sqref="AC18:AC23">
    <cfRule type="cellIs" dxfId="2339" priority="55" operator="lessThan">
      <formula>0.8</formula>
    </cfRule>
  </conditionalFormatting>
  <conditionalFormatting sqref="AC27">
    <cfRule type="cellIs" dxfId="2338" priority="57" operator="lessThan">
      <formula>0.8</formula>
    </cfRule>
  </conditionalFormatting>
  <conditionalFormatting sqref="AC33:AC38">
    <cfRule type="cellIs" dxfId="2337" priority="53" operator="lessThan">
      <formula>0.8</formula>
    </cfRule>
  </conditionalFormatting>
  <conditionalFormatting sqref="AA59">
    <cfRule type="cellIs" dxfId="2336" priority="49" operator="lessThan">
      <formula>0</formula>
    </cfRule>
  </conditionalFormatting>
  <conditionalFormatting sqref="AB59">
    <cfRule type="cellIs" dxfId="2335" priority="47" operator="greaterThan">
      <formula>1</formula>
    </cfRule>
    <cfRule type="cellIs" dxfId="2334" priority="48" operator="lessThan">
      <formula>0.8</formula>
    </cfRule>
  </conditionalFormatting>
  <conditionalFormatting sqref="O14:O15">
    <cfRule type="cellIs" dxfId="2333" priority="42" operator="greaterThan">
      <formula>0</formula>
    </cfRule>
  </conditionalFormatting>
  <conditionalFormatting sqref="P14:P15">
    <cfRule type="cellIs" dxfId="2332" priority="45" operator="lessThan">
      <formula>0</formula>
    </cfRule>
  </conditionalFormatting>
  <conditionalFormatting sqref="Q14:Q15">
    <cfRule type="cellIs" dxfId="2331" priority="43" operator="greaterThan">
      <formula>1</formula>
    </cfRule>
    <cfRule type="cellIs" dxfId="2330" priority="44" operator="lessThan">
      <formula>0.8</formula>
    </cfRule>
  </conditionalFormatting>
  <conditionalFormatting sqref="R14:R15 AC14:AC15">
    <cfRule type="cellIs" dxfId="2329" priority="46" operator="lessThan">
      <formula>0.8</formula>
    </cfRule>
  </conditionalFormatting>
  <conditionalFormatting sqref="O10">
    <cfRule type="cellIs" dxfId="2328" priority="38" operator="greaterThan">
      <formula>0</formula>
    </cfRule>
  </conditionalFormatting>
  <conditionalFormatting sqref="P10">
    <cfRule type="cellIs" dxfId="2327" priority="41" operator="lessThan">
      <formula>0</formula>
    </cfRule>
  </conditionalFormatting>
  <conditionalFormatting sqref="Q10">
    <cfRule type="cellIs" dxfId="2326" priority="39" operator="greaterThan">
      <formula>1</formula>
    </cfRule>
    <cfRule type="cellIs" dxfId="2325" priority="40" operator="lessThan">
      <formula>0.8</formula>
    </cfRule>
  </conditionalFormatting>
  <conditionalFormatting sqref="AC25 R25">
    <cfRule type="cellIs" dxfId="2324" priority="37" operator="lessThan">
      <formula>0.8</formula>
    </cfRule>
  </conditionalFormatting>
  <conditionalFormatting sqref="O57">
    <cfRule type="cellIs" dxfId="2323" priority="32" operator="greaterThan">
      <formula>0</formula>
    </cfRule>
  </conditionalFormatting>
  <conditionalFormatting sqref="P57 AA57">
    <cfRule type="cellIs" dxfId="2322" priority="35" operator="lessThan">
      <formula>0</formula>
    </cfRule>
  </conditionalFormatting>
  <conditionalFormatting sqref="Q57 AB57">
    <cfRule type="cellIs" dxfId="2321" priority="33" operator="greaterThan">
      <formula>1</formula>
    </cfRule>
    <cfRule type="cellIs" dxfId="2320" priority="34" operator="lessThan">
      <formula>0.8</formula>
    </cfRule>
  </conditionalFormatting>
  <conditionalFormatting sqref="R57 AC57">
    <cfRule type="cellIs" dxfId="2319" priority="36" operator="lessThan">
      <formula>0.8</formula>
    </cfRule>
  </conditionalFormatting>
  <conditionalFormatting sqref="O66">
    <cfRule type="cellIs" dxfId="2318" priority="27" operator="greaterThan">
      <formula>0</formula>
    </cfRule>
  </conditionalFormatting>
  <conditionalFormatting sqref="P66">
    <cfRule type="cellIs" dxfId="2317" priority="30" operator="lessThan">
      <formula>0</formula>
    </cfRule>
  </conditionalFormatting>
  <conditionalFormatting sqref="Q66">
    <cfRule type="cellIs" dxfId="2316" priority="28" operator="greaterThan">
      <formula>1</formula>
    </cfRule>
    <cfRule type="cellIs" dxfId="2315" priority="29" operator="lessThan">
      <formula>0.8</formula>
    </cfRule>
  </conditionalFormatting>
  <conditionalFormatting sqref="R66">
    <cfRule type="cellIs" dxfId="2314" priority="31" operator="lessThan">
      <formula>0.8</formula>
    </cfRule>
  </conditionalFormatting>
  <conditionalFormatting sqref="O16">
    <cfRule type="cellIs" dxfId="2313" priority="22" operator="greaterThan">
      <formula>0</formula>
    </cfRule>
  </conditionalFormatting>
  <conditionalFormatting sqref="P16">
    <cfRule type="cellIs" dxfId="2312" priority="25" operator="lessThan">
      <formula>0</formula>
    </cfRule>
  </conditionalFormatting>
  <conditionalFormatting sqref="Q16">
    <cfRule type="cellIs" dxfId="2311" priority="23" operator="greaterThan">
      <formula>1</formula>
    </cfRule>
    <cfRule type="cellIs" dxfId="2310" priority="24" operator="lessThan">
      <formula>0.8</formula>
    </cfRule>
  </conditionalFormatting>
  <conditionalFormatting sqref="R16 AC16">
    <cfRule type="cellIs" dxfId="2309" priority="26" operator="lessThan">
      <formula>0.8</formula>
    </cfRule>
  </conditionalFormatting>
  <conditionalFormatting sqref="O46">
    <cfRule type="cellIs" dxfId="2308" priority="16" operator="greaterThan">
      <formula>0</formula>
    </cfRule>
  </conditionalFormatting>
  <conditionalFormatting sqref="P46">
    <cfRule type="cellIs" dxfId="2307" priority="20" operator="lessThan">
      <formula>0</formula>
    </cfRule>
  </conditionalFormatting>
  <conditionalFormatting sqref="Q46">
    <cfRule type="cellIs" dxfId="2306" priority="17" operator="greaterThan">
      <formula>1</formula>
    </cfRule>
    <cfRule type="cellIs" dxfId="2305" priority="18" operator="lessThan">
      <formula>0.8</formula>
    </cfRule>
  </conditionalFormatting>
  <conditionalFormatting sqref="R46 AC46">
    <cfRule type="cellIs" dxfId="2304" priority="21" operator="lessThan">
      <formula>0.8</formula>
    </cfRule>
  </conditionalFormatting>
  <conditionalFormatting sqref="AC46">
    <cfRule type="cellIs" dxfId="2303" priority="19" operator="lessThan">
      <formula>0.8</formula>
    </cfRule>
  </conditionalFormatting>
  <conditionalFormatting sqref="R24 AC24">
    <cfRule type="cellIs" dxfId="2302" priority="15" operator="lessThan">
      <formula>0.8</formula>
    </cfRule>
  </conditionalFormatting>
  <conditionalFormatting sqref="AC24">
    <cfRule type="cellIs" dxfId="2301" priority="14" operator="lessThan">
      <formula>0.8</formula>
    </cfRule>
  </conditionalFormatting>
  <conditionalFormatting sqref="O56">
    <cfRule type="cellIs" dxfId="2300" priority="9" operator="greaterThan">
      <formula>0</formula>
    </cfRule>
  </conditionalFormatting>
  <conditionalFormatting sqref="P56 AA56">
    <cfRule type="cellIs" dxfId="2299" priority="12" operator="lessThan">
      <formula>0</formula>
    </cfRule>
  </conditionalFormatting>
  <conditionalFormatting sqref="Q56 AB56">
    <cfRule type="cellIs" dxfId="2298" priority="10" operator="greaterThan">
      <formula>1</formula>
    </cfRule>
    <cfRule type="cellIs" dxfId="2297" priority="11" operator="lessThan">
      <formula>0.8</formula>
    </cfRule>
  </conditionalFormatting>
  <conditionalFormatting sqref="R56 AC56">
    <cfRule type="cellIs" dxfId="2296" priority="13" operator="lessThan">
      <formula>0.8</formula>
    </cfRule>
  </conditionalFormatting>
  <conditionalFormatting sqref="P8">
    <cfRule type="cellIs" dxfId="2295" priority="8" operator="lessThan">
      <formula>0</formula>
    </cfRule>
  </conditionalFormatting>
  <conditionalFormatting sqref="P17">
    <cfRule type="cellIs" dxfId="2294" priority="7" operator="lessThan">
      <formula>0</formula>
    </cfRule>
  </conditionalFormatting>
  <conditionalFormatting sqref="P26">
    <cfRule type="cellIs" dxfId="2293" priority="6" operator="lessThan">
      <formula>0</formula>
    </cfRule>
  </conditionalFormatting>
  <conditionalFormatting sqref="P32">
    <cfRule type="cellIs" dxfId="2292" priority="5" operator="lessThan">
      <formula>0</formula>
    </cfRule>
  </conditionalFormatting>
  <conditionalFormatting sqref="P47">
    <cfRule type="cellIs" dxfId="2291" priority="4" operator="lessThan">
      <formula>0</formula>
    </cfRule>
  </conditionalFormatting>
  <conditionalFormatting sqref="P54">
    <cfRule type="cellIs" dxfId="2290" priority="3" operator="lessThan">
      <formula>0</formula>
    </cfRule>
  </conditionalFormatting>
  <conditionalFormatting sqref="P59">
    <cfRule type="cellIs" dxfId="2289" priority="2" operator="lessThan">
      <formula>0</formula>
    </cfRule>
  </conditionalFormatting>
  <conditionalFormatting sqref="P67">
    <cfRule type="cellIs" dxfId="2288" priority="1" operator="lessThan">
      <formula>0</formula>
    </cfRule>
  </conditionalFormatting>
  <dataValidations count="1">
    <dataValidation type="list" allowBlank="1" showInputMessage="1" showErrorMessage="1" sqref="Z8 Y5:Z7 Y8:Y58 Z10:Z55 Y59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I16" sqref="I16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2285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2286</v>
      </c>
      <c r="C3" s="497" t="str">
        <f>TEXT('1128 4度C'!A2,"yyyy.mm.ddaaaa")</f>
        <v>2025.11.28星期五</v>
      </c>
      <c r="D3" s="498"/>
      <c r="E3" s="4" t="s">
        <v>2287</v>
      </c>
      <c r="F3" s="499">
        <f>'1128 4度C'!D1</f>
        <v>134709</v>
      </c>
      <c r="G3" s="500"/>
      <c r="H3" s="4" t="s">
        <v>2288</v>
      </c>
      <c r="I3" s="501">
        <f>'1128 4度C'!F1</f>
        <v>4532055.28</v>
      </c>
      <c r="J3" s="502"/>
      <c r="K3" s="5"/>
      <c r="L3" s="6"/>
      <c r="M3" s="7"/>
      <c r="N3" s="7"/>
    </row>
    <row r="4" spans="2:17" ht="28.5" customHeight="1">
      <c r="B4" s="503" t="s">
        <v>2289</v>
      </c>
      <c r="C4" s="485" t="s">
        <v>2290</v>
      </c>
      <c r="D4" s="486"/>
      <c r="E4" s="506" t="s">
        <v>2291</v>
      </c>
      <c r="F4" s="507"/>
      <c r="G4" s="506" t="s">
        <v>2292</v>
      </c>
      <c r="H4" s="507"/>
      <c r="I4" s="506" t="s">
        <v>2293</v>
      </c>
      <c r="J4" s="507"/>
      <c r="L4" s="7"/>
      <c r="M4" s="7"/>
      <c r="N4" s="7"/>
    </row>
    <row r="5" spans="2:17" ht="28.5" customHeight="1">
      <c r="B5" s="504"/>
      <c r="C5" s="485" t="s">
        <v>2294</v>
      </c>
      <c r="D5" s="486"/>
      <c r="E5" s="485" t="s">
        <v>2295</v>
      </c>
      <c r="F5" s="486"/>
      <c r="G5" s="487" t="s">
        <v>2296</v>
      </c>
      <c r="H5" s="488"/>
      <c r="I5" s="489" t="s">
        <v>2297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152.85431445293017</v>
      </c>
      <c r="F6" s="492">
        <f>AVERAGE(D27:O27,D13:J13)</f>
        <v>158.95100309381024</v>
      </c>
      <c r="G6" s="493">
        <f>AVERAGE(D13:J13)</f>
        <v>158.95100309381024</v>
      </c>
      <c r="H6" s="494"/>
      <c r="I6" s="493">
        <f>AVERAGE(K13:M13)</f>
        <v>138.62870762420991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146.6222619391049</v>
      </c>
      <c r="F7" s="478">
        <f>AVERAGE(D28:O28,D14:J14)</f>
        <v>152.60814082881481</v>
      </c>
      <c r="G7" s="479">
        <f>AVERAGE(D14:J14)</f>
        <v>152.60814082881481</v>
      </c>
      <c r="H7" s="480"/>
      <c r="I7" s="479">
        <f>AVERAGE(K14:M14)</f>
        <v>132.65521119644851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0.95927866622987135</v>
      </c>
      <c r="F8" s="482">
        <f>AVERAGE(D15:J15,D29:O29)</f>
        <v>0.96031998311096312</v>
      </c>
      <c r="G8" s="483">
        <f>AVERAGE(D15:J15)</f>
        <v>0.96031998311096312</v>
      </c>
      <c r="H8" s="484"/>
      <c r="I8" s="483">
        <f>AVERAGE(K15:M15)</f>
        <v>0.95684892684065714</v>
      </c>
      <c r="J8" s="484"/>
      <c r="K8" s="8" t="s">
        <v>2298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2299</v>
      </c>
      <c r="C10" s="459"/>
      <c r="D10" s="460" t="s">
        <v>2300</v>
      </c>
      <c r="E10" s="461"/>
      <c r="F10" s="461"/>
      <c r="G10" s="461"/>
      <c r="H10" s="461"/>
      <c r="I10" s="461"/>
      <c r="J10" s="462"/>
      <c r="K10" s="463" t="s">
        <v>2301</v>
      </c>
      <c r="L10" s="464"/>
      <c r="M10" s="465"/>
      <c r="P10" s="11"/>
      <c r="Q10" s="11"/>
    </row>
    <row r="11" spans="2:17" ht="17.25" customHeight="1">
      <c r="B11" s="466" t="s">
        <v>2302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2303</v>
      </c>
      <c r="C13" s="18" t="s">
        <v>2304</v>
      </c>
      <c r="D13" s="19">
        <f>SUMIFS('1128 4度C'!$K:$K,'1128 4度C'!$A:$A,"新豐6線",'1128 4度C'!$B:$B,"平均")</f>
        <v>133.33333333333334</v>
      </c>
      <c r="E13" s="20">
        <f>SUMIFS('1128 4度C'!$K:$K,'1128 4度C'!$A:$A,"新豐2線",'1128 4度C'!$B:$B,"平均")</f>
        <v>81.081081081081081</v>
      </c>
      <c r="F13" s="21">
        <f>SUMIFS('1128 4度C'!$K:$K,'1128 4度C'!$A:$A,"新豐5線",'1128 4度C'!$B:$B,"平均")</f>
        <v>97.826086956521749</v>
      </c>
      <c r="G13" s="21">
        <f>SUMIFS('1128 4度C'!$K:$K,'1128 4度C'!$A:$A,"新豐7線",'1128 4度C'!$B:$B,"平均")</f>
        <v>114.81481481481481</v>
      </c>
      <c r="H13" s="21">
        <f>SUMIFS('1128 4度C'!$K:$K,'1128 4度C'!$A:$A,"新豐3線",'1128 4度C'!$B:$B,"平均")</f>
        <v>281.69014084507046</v>
      </c>
      <c r="I13" s="21">
        <f>SUMIFS('1128 4度C'!$K:$K,'1128 4度C'!$A:$A,"新豐1線",'1128 4度C'!$B:$B,"平均")</f>
        <v>112.24489795918367</v>
      </c>
      <c r="J13" s="22">
        <f>SUMIFS('1128 4度C'!$K:$K,'1128 4度C'!$A:$A,"新豐10線",'1128 4度C'!$B:$B,"平均")</f>
        <v>291.66666666666669</v>
      </c>
      <c r="K13" s="23">
        <f>SUMIFS('1128 4度C'!$K:$K,'1128 4度C'!$A:$A,"新豐8線",'1128 4度C'!$B:$B,"平均")</f>
        <v>131.86813186813188</v>
      </c>
      <c r="L13" s="24">
        <f>SUMIFS('1128 4度C'!$K:$K,'1128 4度C'!$A:$A,"新豐9線",'1128 4度C'!$B:$B,"平均")</f>
        <v>137.93103448275863</v>
      </c>
      <c r="M13" s="22">
        <f>SUMIFS('1128 4度C'!$K:$K,'1128 4度C'!$A:$A,"新豐4線",'1128 4度C'!$B:$B,"平均")</f>
        <v>146.08695652173915</v>
      </c>
    </row>
    <row r="14" spans="2:17" ht="39.6" customHeight="1">
      <c r="B14" s="471"/>
      <c r="C14" s="25" t="s">
        <v>2305</v>
      </c>
      <c r="D14" s="26">
        <f>SUMIFS('1128 4度C'!$N:$N,'1128 4度C'!$A:$A,"新豐6線",'1128 4度C'!$B:$B,"平均")</f>
        <v>128.19352686019349</v>
      </c>
      <c r="E14" s="27">
        <f>SUMIFS('1128 4度C'!$N:$N,'1128 4度C'!$A:$A,"新豐2線",'1128 4度C'!$B:$B,"平均")</f>
        <v>77.961922635289469</v>
      </c>
      <c r="F14" s="27">
        <f>SUMIFS('1128 4度C'!$N:$N,'1128 4度C'!$A:$A,"新豐5線",'1128 4度C'!$B:$B,"平均")</f>
        <v>93.643033897616135</v>
      </c>
      <c r="G14" s="27">
        <f>SUMIFS('1128 4度C'!$N:$N,'1128 4度C'!$A:$A,"新豐7線",'1128 4度C'!$B:$B,"平均")</f>
        <v>110.10650315682651</v>
      </c>
      <c r="H14" s="27">
        <f>SUMIFS('1128 4度C'!$N:$N,'1128 4度C'!$A:$A,"新豐3線",'1128 4度C'!$B:$B,"平均")</f>
        <v>270.36500517071073</v>
      </c>
      <c r="I14" s="27">
        <f>SUMIFS('1128 4度C'!$N:$N,'1128 4度C'!$A:$A,"新豐1線",'1128 4度C'!$B:$B,"平均")</f>
        <v>108.19943912455102</v>
      </c>
      <c r="J14" s="28">
        <f>SUMIFS('1128 4度C'!$N:$N,'1128 4度C'!$A:$A,"新豐10線",'1128 4度C'!$B:$B,"平均")</f>
        <v>279.7875549565162</v>
      </c>
      <c r="K14" s="29">
        <f>SUMIFS('1128 4度C'!$N:$N,'1128 4度C'!$A:$A,"新豐8線",'1128 4度C'!$B:$B,"平均")</f>
        <v>125.96726375501976</v>
      </c>
      <c r="L14" s="30">
        <f>SUMIFS('1128 4度C'!$N:$N,'1128 4度C'!$A:$A,"新豐9線",'1128 4度C'!$B:$B,"平均")</f>
        <v>131.9329381517874</v>
      </c>
      <c r="M14" s="28">
        <f>SUMIFS('1128 4度C'!$N:$N,'1128 4度C'!$A:$A,"新豐4線",'1128 4度C'!$B:$B,"平均")</f>
        <v>140.0654316825383</v>
      </c>
    </row>
    <row r="15" spans="2:17" ht="40.15" customHeight="1">
      <c r="B15" s="472"/>
      <c r="C15" s="31" t="s">
        <v>2306</v>
      </c>
      <c r="D15" s="32">
        <f t="shared" ref="D15:M15" si="0">D14/D13</f>
        <v>0.96145145145145106</v>
      </c>
      <c r="E15" s="33">
        <f t="shared" si="0"/>
        <v>0.96153037916857009</v>
      </c>
      <c r="F15" s="33">
        <f t="shared" si="0"/>
        <v>0.95723990206452036</v>
      </c>
      <c r="G15" s="33">
        <f t="shared" si="0"/>
        <v>0.95899212426913416</v>
      </c>
      <c r="H15" s="33">
        <f t="shared" si="0"/>
        <v>0.95979576835602298</v>
      </c>
      <c r="I15" s="33">
        <f t="shared" si="0"/>
        <v>0.96395863947327276</v>
      </c>
      <c r="J15" s="34">
        <f t="shared" si="0"/>
        <v>0.95927161699376973</v>
      </c>
      <c r="K15" s="32">
        <f t="shared" si="0"/>
        <v>0.95525175014223307</v>
      </c>
      <c r="L15" s="33">
        <f t="shared" si="0"/>
        <v>0.95651380160045851</v>
      </c>
      <c r="M15" s="34">
        <f t="shared" si="0"/>
        <v>0.95878122877927985</v>
      </c>
    </row>
    <row r="16" spans="2:17" ht="17.25" customHeight="1">
      <c r="B16" s="473" t="s">
        <v>2307</v>
      </c>
      <c r="C16" s="35" t="s">
        <v>2308</v>
      </c>
      <c r="D16" s="49">
        <f>VLOOKUP("新豐6線",'1128 4度C'!$A:$T,19,0)</f>
        <v>0.70833333333333337</v>
      </c>
      <c r="E16" s="50">
        <f>VLOOKUP("新豐2線",'1128 4度C'!$A:$T,19,0)</f>
        <v>0.20833333333333334</v>
      </c>
      <c r="F16" s="50">
        <f>VLOOKUP("新豐5線",'1128 4度C'!$A:$T,19,0)</f>
        <v>0.125</v>
      </c>
      <c r="G16" s="50">
        <f>VLOOKUP("新豐7線",'1128 4度C'!$A:$T,19,0)</f>
        <v>0.20833333333333334</v>
      </c>
      <c r="H16" s="50">
        <f>VLOOKUP("新豐3線",'1128 4度C'!$A:$T,19,0)</f>
        <v>8.3333333333333329E-2</v>
      </c>
      <c r="I16" s="50">
        <f>VLOOKUP("新豐1線",'1128 4度C'!$A:$T,19,0)</f>
        <v>0.20833333333333334</v>
      </c>
      <c r="J16" s="51">
        <f>VLOOKUP("新豐10線",'1128 4度C'!$A:$T,19,0)</f>
        <v>0.20833333333333334</v>
      </c>
      <c r="K16" s="36">
        <f>VLOOKUP("新豐8線",'1128 4度C'!$A:$T,19,0)</f>
        <v>8.3333333333333329E-2</v>
      </c>
      <c r="L16" s="37">
        <f>VLOOKUP("新豐9線",'1128 4度C'!$A:$T,19,0)</f>
        <v>8.3333333333333329E-2</v>
      </c>
      <c r="M16" s="38">
        <f>VLOOKUP("新豐4線",'1128 4度C'!$A:$T,19,0)</f>
        <v>8.3333333333333329E-2</v>
      </c>
    </row>
    <row r="17" spans="2:13" ht="17.25" customHeight="1">
      <c r="B17" s="474"/>
      <c r="C17" s="35" t="s">
        <v>2309</v>
      </c>
      <c r="D17" s="36">
        <f>LOOKUP(2,1/(('1128 4度C'!$A:$A="新豐6線")*('1128 4度C'!$T:$T&lt;&gt;"")),'1128 4度C'!$T:$T)</f>
        <v>0.83680555555555558</v>
      </c>
      <c r="E17" s="50">
        <f>LOOKUP(2,1/(('1128 4度C'!$A:$A="新豐2線")*('1128 4度C'!$T:$T&lt;&gt;"")),'1128 4度C'!$T:$T)</f>
        <v>0.38263888888888892</v>
      </c>
      <c r="F17" s="50">
        <f>LOOKUP(2,1/(('1128 4度C'!$A:$A="新豐5線")*('1128 4度C'!$T:$T&lt;&gt;"")),'1128 4度C'!$T:$T)</f>
        <v>0.82638888888888884</v>
      </c>
      <c r="G17" s="50">
        <f>LOOKUP(2,1/(('1128 4度C'!$A:$A="新豐7線")*('1128 4度C'!$T:$T&lt;&gt;"")),'1128 4度C'!$T:$T)</f>
        <v>0.8256944444444444</v>
      </c>
      <c r="H17" s="50">
        <f>LOOKUP(2,1/(('1128 4度C'!$A:$A="新豐3線")*('1128 4度C'!$T:$T&lt;&gt;"")),'1128 4度C'!$T:$T)</f>
        <v>0.4368055555555555</v>
      </c>
      <c r="I17" s="50">
        <f>LOOKUP(2,1/(('1128 4度C'!$A:$A="新豐1線")*('1128 4度C'!$T:$T&lt;&gt;"")),'1128 4度C'!$T:$T)</f>
        <v>0.90069444444444435</v>
      </c>
      <c r="J17" s="51">
        <f>LOOKUP(2,1/(('1128 4度C'!$A:$A="新豐10線")*('1128 4度C'!$T:$T&lt;&gt;"")),'1128 4度C'!$T:$T)</f>
        <v>0.39166666666666661</v>
      </c>
      <c r="K17" s="49">
        <f>LOOKUP(2,1/(('1128 4度C'!$A:$A="新豐8線")*('1128 4度C'!$T:$T&lt;&gt;"")),'1128 4度C'!$T:$T)</f>
        <v>0.50763888888888886</v>
      </c>
      <c r="L17" s="50">
        <f>LOOKUP(2,1/(('1128 4度C'!$A:$A="新豐9線")*('1128 4度C'!$T:$T&lt;&gt;"")),'1128 4度C'!$T:$T)</f>
        <v>0.51805555555555549</v>
      </c>
      <c r="M17" s="51">
        <f>LOOKUP(2,1/(('1128 4度C'!$A:$A="新豐4線")*('1128 4度C'!$T:$T&lt;&gt;"")),'1128 4度C'!$T:$T)</f>
        <v>0.48333333333333328</v>
      </c>
    </row>
    <row r="18" spans="2:13" ht="17.25" customHeight="1">
      <c r="B18" s="452" t="s">
        <v>2310</v>
      </c>
      <c r="C18" s="453"/>
      <c r="D18" s="39">
        <f>SUMIFS('1128 4度C'!$I:$I,'1128 4度C'!$A:$A,"新豐6線",'1128 4度C'!$B:$B,"平均")</f>
        <v>15</v>
      </c>
      <c r="E18" s="40">
        <f>SUMIFS('1128 4度C'!$I:$I,'1128 4度C'!$A:$A,"新豐2線",'1128 4度C'!$B:$B,"平均")</f>
        <v>18.5</v>
      </c>
      <c r="F18" s="40">
        <f>SUMIFS('1128 4度C'!$I:$I,'1128 4度C'!$A:$A,"新豐5線",'1128 4度C'!$B:$B,"平均")</f>
        <v>18.399999999999999</v>
      </c>
      <c r="G18" s="40">
        <f>SUMIFS('1128 4度C'!$I:$I,'1128 4度C'!$A:$A,"新豐7線",'1128 4度C'!$B:$B,"平均")</f>
        <v>16.875</v>
      </c>
      <c r="H18" s="40">
        <f>SUMIFS('1128 4度C'!$I:$I,'1128 4度C'!$A:$A,"新豐3線",'1128 4度C'!$B:$B,"平均")</f>
        <v>10.142857142857142</v>
      </c>
      <c r="I18" s="40">
        <f>SUMIFS('1128 4度C'!$I:$I,'1128 4度C'!$A:$A,"新豐1線",'1128 4度C'!$B:$B,"平均")</f>
        <v>16.333333333333332</v>
      </c>
      <c r="J18" s="41">
        <f>SUMIFS('1128 4度C'!$I:$I,'1128 4度C'!$A:$A,"新豐10線",'1128 4度C'!$B:$B,"平均")</f>
        <v>9</v>
      </c>
      <c r="K18" s="39">
        <f>SUMIFS('1128 4度C'!$I:$I,'1128 4度C'!$A:$A,"新豐8線",'1128 4度C'!$B:$B,"平均")</f>
        <v>18.2</v>
      </c>
      <c r="L18" s="40">
        <f>SUMIFS('1128 4度C'!$I:$I,'1128 4度C'!$A:$A,"新豐9線",'1128 4度C'!$B:$B,"平均")</f>
        <v>17.399999999999999</v>
      </c>
      <c r="M18" s="41">
        <f>SUMIFS('1128 4度C'!$I:$I,'1128 4度C'!$A:$A,"新豐4線",'1128 4度C'!$B:$B,"平均")</f>
        <v>16.428571428571427</v>
      </c>
    </row>
    <row r="19" spans="2:13" ht="17.25" customHeight="1">
      <c r="B19" s="452" t="s">
        <v>2311</v>
      </c>
      <c r="C19" s="453"/>
      <c r="D19" s="42" t="s">
        <v>65</v>
      </c>
      <c r="E19" s="43" t="s">
        <v>66</v>
      </c>
      <c r="F19" s="43" t="s">
        <v>2312</v>
      </c>
      <c r="G19" s="43" t="s">
        <v>2313</v>
      </c>
      <c r="H19" s="43" t="s">
        <v>67</v>
      </c>
      <c r="I19" s="43" t="s">
        <v>65</v>
      </c>
      <c r="J19" s="44" t="s">
        <v>67</v>
      </c>
      <c r="K19" s="42" t="s">
        <v>2314</v>
      </c>
      <c r="L19" s="43" t="s">
        <v>2314</v>
      </c>
      <c r="M19" s="44" t="s">
        <v>2314</v>
      </c>
    </row>
    <row r="20" spans="2:13" ht="17.25" customHeight="1">
      <c r="B20" s="452" t="s">
        <v>113</v>
      </c>
      <c r="C20" s="453"/>
      <c r="D20" s="42"/>
      <c r="E20" s="43"/>
      <c r="F20" s="43" t="s">
        <v>2315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2316</v>
      </c>
      <c r="C21" s="455"/>
      <c r="D21" s="45"/>
      <c r="E21" s="46" t="s">
        <v>2317</v>
      </c>
      <c r="F21" s="456" t="s">
        <v>2318</v>
      </c>
      <c r="G21" s="457"/>
      <c r="H21" s="46" t="s">
        <v>2319</v>
      </c>
      <c r="I21" s="46" t="s">
        <v>2320</v>
      </c>
      <c r="J21" s="47" t="s">
        <v>2321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2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7"/>
  <sheetViews>
    <sheetView zoomScale="80" zoomScaleNormal="80" workbookViewId="0">
      <pane ySplit="4" topLeftCell="A5" activePane="bottomLeft" state="frozen"/>
      <selection activeCell="B6" sqref="B6"/>
      <selection pane="bottomLeft" activeCell="I16" sqref="I16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2322</v>
      </c>
      <c r="B1" s="52"/>
      <c r="C1" s="53" t="s">
        <v>2323</v>
      </c>
      <c r="D1" s="54">
        <f>SUM(F5:F66)</f>
        <v>134709</v>
      </c>
      <c r="E1" s="419" t="s">
        <v>2324</v>
      </c>
      <c r="F1" s="52">
        <f>SUM(G5:G66)</f>
        <v>4532055.28</v>
      </c>
      <c r="G1" s="52" t="s">
        <v>2325</v>
      </c>
      <c r="H1" s="55">
        <f>L8+L11+L46+L53+L17+L58+L32+L38+L26+L66</f>
        <v>156.27976190476187</v>
      </c>
      <c r="I1" s="556" t="s">
        <v>2326</v>
      </c>
      <c r="J1" s="556"/>
      <c r="K1" s="556"/>
      <c r="L1" s="556" t="s">
        <v>2327</v>
      </c>
      <c r="M1" s="556"/>
      <c r="N1" s="556"/>
      <c r="O1" s="556" t="s">
        <v>2328</v>
      </c>
      <c r="P1" s="556"/>
      <c r="Q1" s="556"/>
      <c r="R1" s="556"/>
      <c r="S1" s="556" t="s">
        <v>2329</v>
      </c>
      <c r="T1" s="556"/>
      <c r="U1" s="556"/>
      <c r="V1" s="556"/>
      <c r="W1" s="556"/>
      <c r="X1" s="556"/>
      <c r="Y1" s="556" t="s">
        <v>2330</v>
      </c>
      <c r="Z1" s="556"/>
      <c r="AA1" s="556" t="s">
        <v>2331</v>
      </c>
      <c r="AB1" s="557"/>
      <c r="AC1" s="557"/>
    </row>
    <row r="2" spans="1:29" ht="26.25" customHeight="1">
      <c r="A2" s="57">
        <v>45989</v>
      </c>
      <c r="B2" s="58" t="s">
        <v>621</v>
      </c>
      <c r="C2" s="53" t="s">
        <v>2332</v>
      </c>
      <c r="D2" s="59">
        <f>AVERAGE(N8,N11,N46,N53,N17,N58,N26,N32,N38,N66)</f>
        <v>146.62226193910487</v>
      </c>
      <c r="E2" s="60" t="s">
        <v>0</v>
      </c>
      <c r="F2" s="61">
        <f>F1/D1</f>
        <v>33.643299853758847</v>
      </c>
      <c r="G2" s="52" t="s">
        <v>2333</v>
      </c>
      <c r="H2" s="426">
        <f>COUNT(H5:H66)</f>
        <v>1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2334</v>
      </c>
      <c r="B3" s="510" t="s">
        <v>2335</v>
      </c>
      <c r="C3" s="510" t="s">
        <v>2336</v>
      </c>
      <c r="D3" s="510"/>
      <c r="E3" s="554" t="s">
        <v>2337</v>
      </c>
      <c r="F3" s="510" t="s">
        <v>2338</v>
      </c>
      <c r="G3" s="554" t="s">
        <v>2339</v>
      </c>
      <c r="H3" s="547" t="s">
        <v>2340</v>
      </c>
      <c r="I3" s="545" t="s">
        <v>2341</v>
      </c>
      <c r="J3" s="550" t="s">
        <v>2342</v>
      </c>
      <c r="K3" s="552" t="s">
        <v>2332</v>
      </c>
      <c r="L3" s="545" t="s">
        <v>2341</v>
      </c>
      <c r="M3" s="550" t="s">
        <v>2342</v>
      </c>
      <c r="N3" s="552" t="s">
        <v>2332</v>
      </c>
      <c r="O3" s="545" t="s">
        <v>2341</v>
      </c>
      <c r="P3" s="552" t="s">
        <v>2332</v>
      </c>
      <c r="Q3" s="551" t="s">
        <v>2343</v>
      </c>
      <c r="R3" s="523" t="s">
        <v>2344</v>
      </c>
      <c r="S3" s="553" t="s">
        <v>1</v>
      </c>
      <c r="T3" s="553"/>
      <c r="U3" s="547" t="s">
        <v>2</v>
      </c>
      <c r="V3" s="547" t="s">
        <v>2345</v>
      </c>
      <c r="W3" s="510" t="s">
        <v>2346</v>
      </c>
      <c r="X3" s="510"/>
      <c r="Y3" s="548" t="s">
        <v>2347</v>
      </c>
      <c r="Z3" s="549"/>
      <c r="AA3" s="550" t="s">
        <v>2348</v>
      </c>
      <c r="AB3" s="551" t="s">
        <v>2349</v>
      </c>
      <c r="AC3" s="523" t="s">
        <v>2350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427" t="s">
        <v>3</v>
      </c>
      <c r="T4" s="427" t="s">
        <v>4</v>
      </c>
      <c r="U4" s="547"/>
      <c r="V4" s="547"/>
      <c r="W4" s="419" t="s">
        <v>2351</v>
      </c>
      <c r="X4" s="419" t="s">
        <v>2352</v>
      </c>
      <c r="Y4" s="549"/>
      <c r="Z4" s="549"/>
      <c r="AA4" s="550"/>
      <c r="AB4" s="551"/>
      <c r="AC4" s="523"/>
    </row>
    <row r="5" spans="1:29">
      <c r="A5" s="544" t="s">
        <v>2353</v>
      </c>
      <c r="B5" s="62" t="s">
        <v>6</v>
      </c>
      <c r="C5" s="546" t="s">
        <v>9</v>
      </c>
      <c r="D5" s="546"/>
      <c r="E5" s="62">
        <v>50.67</v>
      </c>
      <c r="F5" s="427">
        <v>1337</v>
      </c>
      <c r="G5" s="419">
        <f t="shared" ref="G5:G7" si="0">E5*F5</f>
        <v>67745.790000000008</v>
      </c>
      <c r="H5" s="90" t="s">
        <v>5</v>
      </c>
      <c r="I5" s="424">
        <v>17</v>
      </c>
      <c r="J5" s="63">
        <v>2000</v>
      </c>
      <c r="K5" s="64">
        <f t="shared" ref="K5:K66" si="1">J5/I5</f>
        <v>117.64705882352941</v>
      </c>
      <c r="L5" s="424">
        <v>17</v>
      </c>
      <c r="M5" s="65">
        <f t="shared" ref="M5:M7" si="2">F5/V5*60</f>
        <v>1909.9999999999993</v>
      </c>
      <c r="N5" s="64">
        <f t="shared" ref="N5:N66" si="3">M5/L5</f>
        <v>112.35294117647055</v>
      </c>
      <c r="O5" s="66">
        <f t="shared" ref="O5:O66" si="4">L5-I5</f>
        <v>0</v>
      </c>
      <c r="P5" s="67">
        <f t="shared" ref="P5:P66" si="5">N5-K5</f>
        <v>-5.2941176470588545</v>
      </c>
      <c r="Q5" s="420">
        <f t="shared" ref="Q5:Q66" si="6">N5/K5</f>
        <v>0.95499999999999974</v>
      </c>
      <c r="R5" s="511">
        <f>Q8</f>
        <v>0.96145145145145106</v>
      </c>
      <c r="S5" s="68">
        <v>0.70833333333333337</v>
      </c>
      <c r="T5" s="68">
        <v>0.73750000000000004</v>
      </c>
      <c r="U5" s="419"/>
      <c r="V5" s="425">
        <f t="shared" ref="V5:V7" si="7">(T5-S5)*24*60</f>
        <v>42.000000000000014</v>
      </c>
      <c r="W5" s="69"/>
      <c r="X5" s="70"/>
      <c r="Y5" s="510"/>
      <c r="Z5" s="510"/>
      <c r="AA5" s="66">
        <f t="shared" ref="AA5:AA66" si="8">M5-J5</f>
        <v>-90.000000000000682</v>
      </c>
      <c r="AB5" s="420">
        <f t="shared" ref="AB5:AB66" si="9">M5/J5</f>
        <v>0.95499999999999963</v>
      </c>
      <c r="AC5" s="511">
        <f>AB8</f>
        <v>0.96145145145145128</v>
      </c>
    </row>
    <row r="6" spans="1:29">
      <c r="A6" s="545" t="s">
        <v>2354</v>
      </c>
      <c r="B6" s="62" t="s">
        <v>6</v>
      </c>
      <c r="C6" s="546" t="s">
        <v>8</v>
      </c>
      <c r="D6" s="546"/>
      <c r="E6" s="62">
        <v>50.49</v>
      </c>
      <c r="F6" s="427">
        <v>1739</v>
      </c>
      <c r="G6" s="419">
        <f t="shared" si="0"/>
        <v>87802.11</v>
      </c>
      <c r="H6" s="90" t="s">
        <v>5</v>
      </c>
      <c r="I6" s="424">
        <v>15</v>
      </c>
      <c r="J6" s="63">
        <v>2000</v>
      </c>
      <c r="K6" s="64">
        <f t="shared" si="1"/>
        <v>133.33333333333334</v>
      </c>
      <c r="L6" s="424">
        <v>15</v>
      </c>
      <c r="M6" s="65">
        <f t="shared" si="2"/>
        <v>1932.2222222222235</v>
      </c>
      <c r="N6" s="64">
        <f t="shared" si="3"/>
        <v>128.81481481481489</v>
      </c>
      <c r="O6" s="66">
        <f t="shared" si="4"/>
        <v>0</v>
      </c>
      <c r="P6" s="67">
        <f t="shared" si="5"/>
        <v>-4.518518518518448</v>
      </c>
      <c r="Q6" s="420">
        <f t="shared" si="6"/>
        <v>0.9661111111111117</v>
      </c>
      <c r="R6" s="511"/>
      <c r="S6" s="68">
        <v>0.74305555555555558</v>
      </c>
      <c r="T6" s="68">
        <v>0.78055555555555556</v>
      </c>
      <c r="U6" s="419">
        <f t="shared" ref="U6:U7" si="10">IF(S6=TIME(17,0,0),"",(S6-T5)*24*60)</f>
        <v>7.9999999999999716</v>
      </c>
      <c r="V6" s="425">
        <f t="shared" si="7"/>
        <v>53.999999999999972</v>
      </c>
      <c r="W6" s="69"/>
      <c r="X6" s="69"/>
      <c r="Y6" s="510"/>
      <c r="Z6" s="510"/>
      <c r="AA6" s="66">
        <f t="shared" si="8"/>
        <v>-67.777777777776464</v>
      </c>
      <c r="AB6" s="420">
        <f t="shared" si="9"/>
        <v>0.96611111111111181</v>
      </c>
      <c r="AC6" s="511"/>
    </row>
    <row r="7" spans="1:29">
      <c r="A7" s="545" t="s">
        <v>2354</v>
      </c>
      <c r="B7" s="62" t="s">
        <v>6</v>
      </c>
      <c r="C7" s="539" t="s">
        <v>886</v>
      </c>
      <c r="D7" s="540"/>
      <c r="E7" s="62">
        <v>57.3</v>
      </c>
      <c r="F7" s="427">
        <v>2376</v>
      </c>
      <c r="G7" s="419">
        <f t="shared" si="0"/>
        <v>136144.79999999999</v>
      </c>
      <c r="H7" s="90" t="s">
        <v>5</v>
      </c>
      <c r="I7" s="424">
        <v>13</v>
      </c>
      <c r="J7" s="63">
        <v>2000</v>
      </c>
      <c r="K7" s="64">
        <f t="shared" si="1"/>
        <v>153.84615384615384</v>
      </c>
      <c r="L7" s="424">
        <v>13</v>
      </c>
      <c r="M7" s="65">
        <f t="shared" si="2"/>
        <v>1926.4864864864851</v>
      </c>
      <c r="N7" s="64">
        <f t="shared" si="3"/>
        <v>148.19126819126808</v>
      </c>
      <c r="O7" s="66">
        <f t="shared" si="4"/>
        <v>0</v>
      </c>
      <c r="P7" s="67">
        <f t="shared" si="5"/>
        <v>-5.65488565488576</v>
      </c>
      <c r="Q7" s="420">
        <f t="shared" si="6"/>
        <v>0.96324324324324251</v>
      </c>
      <c r="R7" s="511"/>
      <c r="S7" s="68">
        <v>0.78541666666666665</v>
      </c>
      <c r="T7" s="68">
        <v>0.83680555555555558</v>
      </c>
      <c r="U7" s="419">
        <f t="shared" si="10"/>
        <v>6.9999999999999751</v>
      </c>
      <c r="V7" s="425">
        <f t="shared" si="7"/>
        <v>74.000000000000057</v>
      </c>
      <c r="W7" s="69"/>
      <c r="X7" s="69"/>
      <c r="Y7" s="517"/>
      <c r="Z7" s="518"/>
      <c r="AA7" s="66">
        <f t="shared" si="8"/>
        <v>-73.513513513514908</v>
      </c>
      <c r="AB7" s="420">
        <f t="shared" si="9"/>
        <v>0.96324324324324251</v>
      </c>
      <c r="AC7" s="511"/>
    </row>
    <row r="8" spans="1:29">
      <c r="A8" s="545" t="s">
        <v>2354</v>
      </c>
      <c r="B8" s="62" t="s">
        <v>2355</v>
      </c>
      <c r="C8" s="513"/>
      <c r="D8" s="513"/>
      <c r="E8" s="421"/>
      <c r="F8" s="71"/>
      <c r="G8" s="64"/>
      <c r="H8" s="427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1922.9029029029025</v>
      </c>
      <c r="N8" s="64">
        <f t="shared" si="3"/>
        <v>128.19352686019349</v>
      </c>
      <c r="O8" s="66">
        <f t="shared" si="4"/>
        <v>0</v>
      </c>
      <c r="P8" s="67">
        <f t="shared" si="5"/>
        <v>-5.1398064731398563</v>
      </c>
      <c r="Q8" s="420">
        <f t="shared" si="6"/>
        <v>0.96145145145145106</v>
      </c>
      <c r="R8" s="511"/>
      <c r="S8" s="68"/>
      <c r="T8" s="68"/>
      <c r="U8" s="419"/>
      <c r="V8" s="425"/>
      <c r="W8" s="64"/>
      <c r="X8" s="64"/>
      <c r="Y8" s="510"/>
      <c r="Z8" s="510"/>
      <c r="AA8" s="66">
        <f t="shared" si="8"/>
        <v>-77.097097097097503</v>
      </c>
      <c r="AB8" s="420">
        <f t="shared" si="9"/>
        <v>0.96145145145145128</v>
      </c>
      <c r="AC8" s="511"/>
    </row>
    <row r="9" spans="1:29" ht="15.75" customHeight="1">
      <c r="A9" s="543" t="s">
        <v>1323</v>
      </c>
      <c r="B9" s="62" t="s">
        <v>10</v>
      </c>
      <c r="C9" s="539" t="s">
        <v>12</v>
      </c>
      <c r="D9" s="540"/>
      <c r="E9" s="62">
        <v>39.36</v>
      </c>
      <c r="F9" s="427">
        <v>1066</v>
      </c>
      <c r="G9" s="419">
        <f t="shared" ref="G9:G10" si="11">E9*F9</f>
        <v>41957.760000000002</v>
      </c>
      <c r="H9" s="90" t="s">
        <v>5</v>
      </c>
      <c r="I9" s="424">
        <v>20</v>
      </c>
      <c r="J9" s="63">
        <v>1500</v>
      </c>
      <c r="K9" s="64">
        <f t="shared" si="1"/>
        <v>75</v>
      </c>
      <c r="L9" s="424">
        <v>20</v>
      </c>
      <c r="M9" s="65">
        <f t="shared" ref="M9:M10" si="12">F9/V9*60</f>
        <v>1453.6363636363635</v>
      </c>
      <c r="N9" s="64">
        <f t="shared" si="3"/>
        <v>72.681818181818173</v>
      </c>
      <c r="O9" s="66">
        <f t="shared" si="4"/>
        <v>0</v>
      </c>
      <c r="P9" s="67">
        <f t="shared" si="5"/>
        <v>-2.3181818181818272</v>
      </c>
      <c r="Q9" s="420">
        <f t="shared" si="6"/>
        <v>0.969090909090909</v>
      </c>
      <c r="R9" s="511">
        <f>Q11</f>
        <v>0.96153037916857009</v>
      </c>
      <c r="S9" s="68">
        <v>0.20833333333333334</v>
      </c>
      <c r="T9" s="68">
        <v>0.2388888888888889</v>
      </c>
      <c r="U9" s="419"/>
      <c r="V9" s="425">
        <f t="shared" ref="V9:V10" si="13">(T9-S9)*24*60</f>
        <v>44</v>
      </c>
      <c r="W9" s="69"/>
      <c r="X9" s="69"/>
      <c r="Y9" s="510"/>
      <c r="Z9" s="510"/>
      <c r="AA9" s="66">
        <f t="shared" si="8"/>
        <v>-46.363636363636488</v>
      </c>
      <c r="AB9" s="420">
        <f t="shared" si="9"/>
        <v>0.969090909090909</v>
      </c>
      <c r="AC9" s="511">
        <f>AB11</f>
        <v>0.96153037916857009</v>
      </c>
    </row>
    <row r="10" spans="1:29" ht="15.75" customHeight="1">
      <c r="A10" s="543" t="s">
        <v>2356</v>
      </c>
      <c r="B10" s="62" t="s">
        <v>10</v>
      </c>
      <c r="C10" s="539" t="s">
        <v>11</v>
      </c>
      <c r="D10" s="540"/>
      <c r="E10" s="62">
        <v>39.799999999999997</v>
      </c>
      <c r="F10" s="427">
        <v>4746</v>
      </c>
      <c r="G10" s="419">
        <f t="shared" si="11"/>
        <v>188890.8</v>
      </c>
      <c r="H10" s="90" t="s">
        <v>5</v>
      </c>
      <c r="I10" s="424">
        <v>17</v>
      </c>
      <c r="J10" s="63">
        <v>1500</v>
      </c>
      <c r="K10" s="64">
        <f t="shared" si="1"/>
        <v>88.235294117647058</v>
      </c>
      <c r="L10" s="424">
        <v>17</v>
      </c>
      <c r="M10" s="65">
        <f t="shared" si="12"/>
        <v>1430.9547738693466</v>
      </c>
      <c r="N10" s="64">
        <f t="shared" si="3"/>
        <v>84.173810227608627</v>
      </c>
      <c r="O10" s="66">
        <f t="shared" si="4"/>
        <v>0</v>
      </c>
      <c r="P10" s="67">
        <f t="shared" si="5"/>
        <v>-4.0614838900384314</v>
      </c>
      <c r="Q10" s="420">
        <f t="shared" si="6"/>
        <v>0.95396984924623107</v>
      </c>
      <c r="R10" s="511"/>
      <c r="S10" s="68">
        <v>0.24444444444444446</v>
      </c>
      <c r="T10" s="68">
        <v>0.38263888888888892</v>
      </c>
      <c r="U10" s="419">
        <f t="shared" ref="U10" si="14">IF(S10=TIME(17,0,0),"",(S10-T9)*24*60)</f>
        <v>8.0000000000000107</v>
      </c>
      <c r="V10" s="425">
        <f t="shared" si="13"/>
        <v>199</v>
      </c>
      <c r="W10" s="69"/>
      <c r="X10" s="69"/>
      <c r="Y10" s="510"/>
      <c r="Z10" s="510"/>
      <c r="AA10" s="66">
        <f t="shared" si="8"/>
        <v>-69.045226130653418</v>
      </c>
      <c r="AB10" s="420">
        <f t="shared" si="9"/>
        <v>0.95396984924623107</v>
      </c>
      <c r="AC10" s="511"/>
    </row>
    <row r="11" spans="1:29" ht="16.5" customHeight="1">
      <c r="A11" s="543" t="s">
        <v>1323</v>
      </c>
      <c r="B11" s="62" t="s">
        <v>2355</v>
      </c>
      <c r="C11" s="513"/>
      <c r="D11" s="513"/>
      <c r="E11" s="421"/>
      <c r="F11" s="63"/>
      <c r="G11" s="65"/>
      <c r="H11" s="427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1442.2955687528552</v>
      </c>
      <c r="N11" s="64">
        <f t="shared" si="3"/>
        <v>77.961922635289469</v>
      </c>
      <c r="O11" s="66">
        <f t="shared" si="4"/>
        <v>0</v>
      </c>
      <c r="P11" s="67">
        <f t="shared" si="5"/>
        <v>-3.1191584457916122</v>
      </c>
      <c r="Q11" s="420">
        <f t="shared" si="6"/>
        <v>0.96153037916857009</v>
      </c>
      <c r="R11" s="511"/>
      <c r="S11" s="68"/>
      <c r="T11" s="68"/>
      <c r="U11" s="64"/>
      <c r="V11" s="425"/>
      <c r="W11" s="64"/>
      <c r="X11" s="64"/>
      <c r="Y11" s="510"/>
      <c r="Z11" s="510"/>
      <c r="AA11" s="66">
        <f t="shared" si="8"/>
        <v>-57.704431247144839</v>
      </c>
      <c r="AB11" s="420">
        <f t="shared" si="9"/>
        <v>0.96153037916857009</v>
      </c>
      <c r="AC11" s="511"/>
    </row>
    <row r="12" spans="1:29" ht="16.5" customHeight="1">
      <c r="A12" s="541" t="s">
        <v>2357</v>
      </c>
      <c r="B12" s="427" t="s">
        <v>13</v>
      </c>
      <c r="C12" s="533" t="s">
        <v>14</v>
      </c>
      <c r="D12" s="533"/>
      <c r="E12" s="62">
        <v>41</v>
      </c>
      <c r="F12" s="427">
        <v>1919</v>
      </c>
      <c r="G12" s="419">
        <f t="shared" ref="G12:G16" si="15">E12*F12</f>
        <v>78679</v>
      </c>
      <c r="H12" s="90" t="s">
        <v>5</v>
      </c>
      <c r="I12" s="424">
        <v>26</v>
      </c>
      <c r="J12" s="63">
        <v>1500</v>
      </c>
      <c r="K12" s="64">
        <f t="shared" si="1"/>
        <v>57.692307692307693</v>
      </c>
      <c r="L12" s="424">
        <v>26</v>
      </c>
      <c r="M12" s="65">
        <f t="shared" ref="M12:M16" si="16">F12/V12*60</f>
        <v>1439.25</v>
      </c>
      <c r="N12" s="64">
        <f t="shared" si="3"/>
        <v>55.355769230769234</v>
      </c>
      <c r="O12" s="66">
        <f t="shared" si="4"/>
        <v>0</v>
      </c>
      <c r="P12" s="67">
        <f t="shared" si="5"/>
        <v>-2.3365384615384599</v>
      </c>
      <c r="Q12" s="420">
        <f t="shared" si="6"/>
        <v>0.95950000000000002</v>
      </c>
      <c r="R12" s="511">
        <f>Q17</f>
        <v>0.95723990206452036</v>
      </c>
      <c r="S12" s="68">
        <v>0.125</v>
      </c>
      <c r="T12" s="68">
        <v>0.18055555555555555</v>
      </c>
      <c r="U12" s="419"/>
      <c r="V12" s="425">
        <f t="shared" ref="V12:V16" si="17">(T12-S12)*24*60</f>
        <v>80</v>
      </c>
      <c r="W12" s="69">
        <f>T12</f>
        <v>0.18055555555555555</v>
      </c>
      <c r="X12" s="69">
        <f>S13</f>
        <v>0.2</v>
      </c>
      <c r="Y12" s="510"/>
      <c r="Z12" s="510"/>
      <c r="AA12" s="66">
        <f t="shared" si="8"/>
        <v>-60.75</v>
      </c>
      <c r="AB12" s="420">
        <f t="shared" si="9"/>
        <v>0.95950000000000002</v>
      </c>
      <c r="AC12" s="511">
        <f>AB17</f>
        <v>0.95723990206452048</v>
      </c>
    </row>
    <row r="13" spans="1:29" ht="16.5" customHeight="1">
      <c r="A13" s="542" t="s">
        <v>2357</v>
      </c>
      <c r="B13" s="427" t="s">
        <v>10</v>
      </c>
      <c r="C13" s="533" t="s">
        <v>15</v>
      </c>
      <c r="D13" s="533"/>
      <c r="E13" s="62">
        <v>39.619999999999997</v>
      </c>
      <c r="F13" s="427">
        <v>3146</v>
      </c>
      <c r="G13" s="419">
        <f t="shared" si="15"/>
        <v>124644.51999999999</v>
      </c>
      <c r="H13" s="90" t="s">
        <v>5</v>
      </c>
      <c r="I13" s="424">
        <v>19</v>
      </c>
      <c r="J13" s="63">
        <v>1500</v>
      </c>
      <c r="K13" s="64">
        <f t="shared" si="1"/>
        <v>78.94736842105263</v>
      </c>
      <c r="L13" s="424">
        <v>19</v>
      </c>
      <c r="M13" s="65">
        <f t="shared" si="16"/>
        <v>1430</v>
      </c>
      <c r="N13" s="64">
        <f t="shared" si="3"/>
        <v>75.263157894736835</v>
      </c>
      <c r="O13" s="66">
        <f t="shared" si="4"/>
        <v>0</v>
      </c>
      <c r="P13" s="67">
        <f t="shared" si="5"/>
        <v>-3.6842105263157947</v>
      </c>
      <c r="Q13" s="420">
        <f t="shared" si="6"/>
        <v>0.95333333333333325</v>
      </c>
      <c r="R13" s="511"/>
      <c r="S13" s="68">
        <v>0.2</v>
      </c>
      <c r="T13" s="68">
        <v>0.29166666666666669</v>
      </c>
      <c r="U13" s="419">
        <f t="shared" ref="U13:U16" si="18">IF(S13=TIME(17,0,0),"",(S13-T12)*24*60)</f>
        <v>28.000000000000021</v>
      </c>
      <c r="V13" s="425">
        <f t="shared" si="17"/>
        <v>132</v>
      </c>
      <c r="W13" s="69"/>
      <c r="X13" s="69"/>
      <c r="Y13" s="510"/>
      <c r="Z13" s="510"/>
      <c r="AA13" s="66">
        <f t="shared" si="8"/>
        <v>-70</v>
      </c>
      <c r="AB13" s="420">
        <f t="shared" si="9"/>
        <v>0.95333333333333337</v>
      </c>
      <c r="AC13" s="511"/>
    </row>
    <row r="14" spans="1:29" ht="16.5" customHeight="1">
      <c r="A14" s="542" t="s">
        <v>2357</v>
      </c>
      <c r="B14" s="427" t="s">
        <v>6</v>
      </c>
      <c r="C14" s="533" t="s">
        <v>890</v>
      </c>
      <c r="D14" s="533"/>
      <c r="E14" s="62">
        <v>50.98</v>
      </c>
      <c r="F14" s="427">
        <v>2064</v>
      </c>
      <c r="G14" s="419">
        <f t="shared" si="15"/>
        <v>105222.71999999999</v>
      </c>
      <c r="H14" s="90" t="s">
        <v>5</v>
      </c>
      <c r="I14" s="424">
        <v>16</v>
      </c>
      <c r="J14" s="63">
        <v>2000</v>
      </c>
      <c r="K14" s="64">
        <f t="shared" si="1"/>
        <v>125</v>
      </c>
      <c r="L14" s="424">
        <v>16</v>
      </c>
      <c r="M14" s="65">
        <f t="shared" si="16"/>
        <v>1905.2307692307713</v>
      </c>
      <c r="N14" s="64">
        <f t="shared" si="3"/>
        <v>119.07692307692321</v>
      </c>
      <c r="O14" s="66">
        <f t="shared" si="4"/>
        <v>0</v>
      </c>
      <c r="P14" s="67">
        <f t="shared" si="5"/>
        <v>-5.9230769230767919</v>
      </c>
      <c r="Q14" s="420">
        <f t="shared" si="6"/>
        <v>0.95261538461538564</v>
      </c>
      <c r="R14" s="511"/>
      <c r="S14" s="68">
        <v>0.70833333333333337</v>
      </c>
      <c r="T14" s="68">
        <v>0.75347222222222221</v>
      </c>
      <c r="U14" s="419" t="str">
        <f t="shared" si="18"/>
        <v/>
      </c>
      <c r="V14" s="425">
        <f t="shared" si="17"/>
        <v>64.999999999999929</v>
      </c>
      <c r="W14" s="69"/>
      <c r="X14" s="69"/>
      <c r="Y14" s="510"/>
      <c r="Z14" s="510"/>
      <c r="AA14" s="66">
        <f t="shared" si="8"/>
        <v>-94.76923076922867</v>
      </c>
      <c r="AB14" s="420">
        <f t="shared" si="9"/>
        <v>0.95261538461538564</v>
      </c>
      <c r="AC14" s="511"/>
    </row>
    <row r="15" spans="1:29" ht="16.5" customHeight="1">
      <c r="A15" s="542" t="s">
        <v>2357</v>
      </c>
      <c r="B15" s="427" t="s">
        <v>6</v>
      </c>
      <c r="C15" s="533" t="s">
        <v>20</v>
      </c>
      <c r="D15" s="533"/>
      <c r="E15" s="62">
        <v>50.92</v>
      </c>
      <c r="F15" s="427">
        <v>1959</v>
      </c>
      <c r="G15" s="419">
        <f t="shared" si="15"/>
        <v>99752.28</v>
      </c>
      <c r="H15" s="90" t="s">
        <v>5</v>
      </c>
      <c r="I15" s="424">
        <v>15</v>
      </c>
      <c r="J15" s="63">
        <v>2000</v>
      </c>
      <c r="K15" s="64">
        <f t="shared" si="1"/>
        <v>133.33333333333334</v>
      </c>
      <c r="L15" s="424">
        <v>15</v>
      </c>
      <c r="M15" s="65">
        <f t="shared" si="16"/>
        <v>1926.8852459016412</v>
      </c>
      <c r="N15" s="64">
        <f t="shared" si="3"/>
        <v>128.45901639344274</v>
      </c>
      <c r="O15" s="66">
        <f t="shared" si="4"/>
        <v>0</v>
      </c>
      <c r="P15" s="67">
        <f t="shared" si="5"/>
        <v>-4.8743169398906048</v>
      </c>
      <c r="Q15" s="420">
        <f t="shared" si="6"/>
        <v>0.9634426229508205</v>
      </c>
      <c r="R15" s="511"/>
      <c r="S15" s="68">
        <v>0.75902777777777775</v>
      </c>
      <c r="T15" s="68">
        <v>0.80138888888888882</v>
      </c>
      <c r="U15" s="419">
        <f t="shared" si="18"/>
        <v>7.9999999999999716</v>
      </c>
      <c r="V15" s="425">
        <f t="shared" si="17"/>
        <v>60.999999999999943</v>
      </c>
      <c r="W15" s="69"/>
      <c r="X15" s="69"/>
      <c r="Y15" s="510"/>
      <c r="Z15" s="510"/>
      <c r="AA15" s="66">
        <f t="shared" si="8"/>
        <v>-73.114754098358844</v>
      </c>
      <c r="AB15" s="420">
        <f t="shared" si="9"/>
        <v>0.96344262295082062</v>
      </c>
      <c r="AC15" s="511"/>
    </row>
    <row r="16" spans="1:29" ht="16.5" customHeight="1">
      <c r="A16" s="542" t="s">
        <v>2357</v>
      </c>
      <c r="B16" s="427" t="s">
        <v>6</v>
      </c>
      <c r="C16" s="533" t="s">
        <v>7</v>
      </c>
      <c r="D16" s="533"/>
      <c r="E16" s="62">
        <v>46.93</v>
      </c>
      <c r="F16" s="427">
        <v>925</v>
      </c>
      <c r="G16" s="419">
        <f t="shared" si="15"/>
        <v>43410.25</v>
      </c>
      <c r="H16" s="90" t="s">
        <v>5</v>
      </c>
      <c r="I16" s="424">
        <v>16</v>
      </c>
      <c r="J16" s="63">
        <v>2000</v>
      </c>
      <c r="K16" s="64">
        <f t="shared" si="1"/>
        <v>125</v>
      </c>
      <c r="L16" s="424">
        <v>16</v>
      </c>
      <c r="M16" s="65">
        <f t="shared" si="16"/>
        <v>1913.7931034482722</v>
      </c>
      <c r="N16" s="64">
        <f t="shared" si="3"/>
        <v>119.61206896551701</v>
      </c>
      <c r="O16" s="66">
        <f t="shared" si="4"/>
        <v>0</v>
      </c>
      <c r="P16" s="67">
        <f t="shared" si="5"/>
        <v>-5.3879310344829889</v>
      </c>
      <c r="Q16" s="420">
        <f t="shared" si="6"/>
        <v>0.95689655172413612</v>
      </c>
      <c r="R16" s="511"/>
      <c r="S16" s="68">
        <v>0.80624999999999991</v>
      </c>
      <c r="T16" s="68">
        <v>0.82638888888888884</v>
      </c>
      <c r="U16" s="419">
        <f t="shared" si="18"/>
        <v>6.9999999999999751</v>
      </c>
      <c r="V16" s="425">
        <f t="shared" si="17"/>
        <v>29.000000000000057</v>
      </c>
      <c r="W16" s="69"/>
      <c r="X16" s="69"/>
      <c r="Y16" s="510"/>
      <c r="Z16" s="510"/>
      <c r="AA16" s="66">
        <f t="shared" si="8"/>
        <v>-86.206896551727823</v>
      </c>
      <c r="AB16" s="420">
        <f t="shared" si="9"/>
        <v>0.95689655172413612</v>
      </c>
      <c r="AC16" s="511"/>
    </row>
    <row r="17" spans="1:29" ht="16.5" customHeight="1">
      <c r="A17" s="542" t="s">
        <v>2357</v>
      </c>
      <c r="B17" s="62" t="s">
        <v>2355</v>
      </c>
      <c r="C17" s="513"/>
      <c r="D17" s="513"/>
      <c r="E17" s="421"/>
      <c r="F17" s="71"/>
      <c r="G17" s="64"/>
      <c r="H17" s="427"/>
      <c r="I17" s="424">
        <v>18.399999999999999</v>
      </c>
      <c r="J17" s="63">
        <v>1800</v>
      </c>
      <c r="K17" s="64">
        <f t="shared" si="1"/>
        <v>97.826086956521749</v>
      </c>
      <c r="L17" s="72">
        <v>18.399999999999999</v>
      </c>
      <c r="M17" s="65">
        <f>AVERAGE(M12:M16)</f>
        <v>1723.0318237161368</v>
      </c>
      <c r="N17" s="64">
        <f t="shared" si="3"/>
        <v>93.643033897616135</v>
      </c>
      <c r="O17" s="66">
        <f t="shared" si="4"/>
        <v>0</v>
      </c>
      <c r="P17" s="67">
        <f t="shared" si="5"/>
        <v>-4.1830530589056139</v>
      </c>
      <c r="Q17" s="420">
        <f t="shared" si="6"/>
        <v>0.95723990206452036</v>
      </c>
      <c r="R17" s="511"/>
      <c r="S17" s="68"/>
      <c r="T17" s="68"/>
      <c r="U17" s="419"/>
      <c r="V17" s="425"/>
      <c r="W17" s="64"/>
      <c r="X17" s="64"/>
      <c r="Y17" s="510"/>
      <c r="Z17" s="510"/>
      <c r="AA17" s="66">
        <f t="shared" si="8"/>
        <v>-76.968176283863158</v>
      </c>
      <c r="AB17" s="420">
        <f t="shared" si="9"/>
        <v>0.95723990206452048</v>
      </c>
      <c r="AC17" s="511"/>
    </row>
    <row r="18" spans="1:29" ht="15.75" customHeight="1">
      <c r="A18" s="537" t="s">
        <v>2358</v>
      </c>
      <c r="B18" s="62" t="s">
        <v>13</v>
      </c>
      <c r="C18" s="533" t="s">
        <v>21</v>
      </c>
      <c r="D18" s="533"/>
      <c r="E18" s="62">
        <v>43.14</v>
      </c>
      <c r="F18" s="427">
        <v>892</v>
      </c>
      <c r="G18" s="419">
        <f t="shared" ref="G18:G25" si="19">E18*F18</f>
        <v>38480.879999999997</v>
      </c>
      <c r="H18" s="90" t="s">
        <v>5</v>
      </c>
      <c r="I18" s="424">
        <v>17</v>
      </c>
      <c r="J18" s="63">
        <v>2000</v>
      </c>
      <c r="K18" s="64">
        <f t="shared" si="1"/>
        <v>117.64705882352941</v>
      </c>
      <c r="L18" s="424">
        <v>17</v>
      </c>
      <c r="M18" s="65">
        <f t="shared" ref="M18:M25" si="20">F18/V18*60</f>
        <v>1911.42857142857</v>
      </c>
      <c r="N18" s="64">
        <f t="shared" si="3"/>
        <v>112.43697478991588</v>
      </c>
      <c r="O18" s="66">
        <f t="shared" si="4"/>
        <v>0</v>
      </c>
      <c r="P18" s="67">
        <f t="shared" si="5"/>
        <v>-5.2100840336135263</v>
      </c>
      <c r="Q18" s="420">
        <f t="shared" si="6"/>
        <v>0.95571428571428507</v>
      </c>
      <c r="R18" s="511">
        <f>Q26</f>
        <v>0.95899212426913416</v>
      </c>
      <c r="S18" s="68">
        <v>0.20833333333333334</v>
      </c>
      <c r="T18" s="68">
        <v>0.2277777777777778</v>
      </c>
      <c r="U18" s="419"/>
      <c r="V18" s="425">
        <f t="shared" ref="V18:V25" si="21">(T18-S18)*24*60</f>
        <v>28.000000000000021</v>
      </c>
      <c r="W18" s="73"/>
      <c r="X18" s="73"/>
      <c r="Y18" s="510"/>
      <c r="Z18" s="510"/>
      <c r="AA18" s="66">
        <f t="shared" si="8"/>
        <v>-88.571428571430033</v>
      </c>
      <c r="AB18" s="420">
        <f t="shared" si="9"/>
        <v>0.95571428571428496</v>
      </c>
      <c r="AC18" s="511">
        <f>AB26</f>
        <v>0.95899212426913416</v>
      </c>
    </row>
    <row r="19" spans="1:29" ht="15.75" customHeight="1">
      <c r="A19" s="538" t="s">
        <v>2358</v>
      </c>
      <c r="B19" s="62" t="s">
        <v>77</v>
      </c>
      <c r="C19" s="533" t="s">
        <v>980</v>
      </c>
      <c r="D19" s="533"/>
      <c r="E19" s="62">
        <v>49.9</v>
      </c>
      <c r="F19" s="427">
        <v>1469</v>
      </c>
      <c r="G19" s="419">
        <f t="shared" si="19"/>
        <v>73303.099999999991</v>
      </c>
      <c r="H19" s="90" t="s">
        <v>5</v>
      </c>
      <c r="I19" s="424">
        <v>19</v>
      </c>
      <c r="J19" s="63">
        <v>2000</v>
      </c>
      <c r="K19" s="64">
        <f t="shared" si="1"/>
        <v>105.26315789473684</v>
      </c>
      <c r="L19" s="424">
        <v>19</v>
      </c>
      <c r="M19" s="65">
        <f t="shared" si="20"/>
        <v>1916.0869565217392</v>
      </c>
      <c r="N19" s="64">
        <f t="shared" si="3"/>
        <v>100.84668192219681</v>
      </c>
      <c r="O19" s="66">
        <f t="shared" si="4"/>
        <v>0</v>
      </c>
      <c r="P19" s="67">
        <f t="shared" si="5"/>
        <v>-4.4164759725400273</v>
      </c>
      <c r="Q19" s="420">
        <f t="shared" si="6"/>
        <v>0.95804347826086977</v>
      </c>
      <c r="R19" s="511"/>
      <c r="S19" s="68">
        <v>0.23125000000000001</v>
      </c>
      <c r="T19" s="68">
        <v>0.26319444444444445</v>
      </c>
      <c r="U19" s="419">
        <f t="shared" ref="U19:U25" si="22">IF(S19=TIME(17,0,0),"",(S19-T18)*24*60)</f>
        <v>4.9999999999999822</v>
      </c>
      <c r="V19" s="425">
        <f t="shared" si="21"/>
        <v>46</v>
      </c>
      <c r="W19" s="69"/>
      <c r="X19" s="419"/>
      <c r="Y19" s="510"/>
      <c r="Z19" s="510"/>
      <c r="AA19" s="66">
        <f t="shared" si="8"/>
        <v>-83.913043478260761</v>
      </c>
      <c r="AB19" s="420">
        <f t="shared" si="9"/>
        <v>0.95804347826086966</v>
      </c>
      <c r="AC19" s="511"/>
    </row>
    <row r="20" spans="1:29" ht="15.75" customHeight="1">
      <c r="A20" s="538" t="s">
        <v>2358</v>
      </c>
      <c r="B20" s="62" t="s">
        <v>6</v>
      </c>
      <c r="C20" s="533" t="s">
        <v>22</v>
      </c>
      <c r="D20" s="533"/>
      <c r="E20" s="62">
        <v>57.73</v>
      </c>
      <c r="F20" s="427">
        <v>1943</v>
      </c>
      <c r="G20" s="419">
        <f t="shared" si="19"/>
        <v>112169.39</v>
      </c>
      <c r="H20" s="90" t="s">
        <v>5</v>
      </c>
      <c r="I20" s="72">
        <v>14</v>
      </c>
      <c r="J20" s="63">
        <v>2000</v>
      </c>
      <c r="K20" s="64">
        <f t="shared" si="1"/>
        <v>142.85714285714286</v>
      </c>
      <c r="L20" s="424">
        <v>14</v>
      </c>
      <c r="M20" s="65">
        <f t="shared" si="20"/>
        <v>1911.1475409836059</v>
      </c>
      <c r="N20" s="64">
        <f t="shared" si="3"/>
        <v>136.51053864168614</v>
      </c>
      <c r="O20" s="66">
        <f t="shared" si="4"/>
        <v>0</v>
      </c>
      <c r="P20" s="67">
        <f t="shared" si="5"/>
        <v>-6.3466042154567219</v>
      </c>
      <c r="Q20" s="420">
        <f t="shared" si="6"/>
        <v>0.95557377049180292</v>
      </c>
      <c r="R20" s="511"/>
      <c r="S20" s="68">
        <v>0.26805555555555555</v>
      </c>
      <c r="T20" s="68">
        <v>0.31041666666666667</v>
      </c>
      <c r="U20" s="419">
        <f t="shared" si="22"/>
        <v>6.9999999999999751</v>
      </c>
      <c r="V20" s="425">
        <f t="shared" si="21"/>
        <v>61.000000000000021</v>
      </c>
      <c r="W20" s="69"/>
      <c r="X20" s="419"/>
      <c r="Y20" s="510"/>
      <c r="Z20" s="510"/>
      <c r="AA20" s="66">
        <f t="shared" si="8"/>
        <v>-88.85245901639405</v>
      </c>
      <c r="AB20" s="420">
        <f t="shared" si="9"/>
        <v>0.95557377049180292</v>
      </c>
      <c r="AC20" s="511"/>
    </row>
    <row r="21" spans="1:29" ht="15.75" customHeight="1">
      <c r="A21" s="538" t="s">
        <v>2358</v>
      </c>
      <c r="B21" s="62" t="s">
        <v>6</v>
      </c>
      <c r="C21" s="533" t="s">
        <v>23</v>
      </c>
      <c r="D21" s="533"/>
      <c r="E21" s="62">
        <v>53.68</v>
      </c>
      <c r="F21" s="427">
        <v>1223</v>
      </c>
      <c r="G21" s="419">
        <f t="shared" si="19"/>
        <v>65650.64</v>
      </c>
      <c r="H21" s="90" t="s">
        <v>5</v>
      </c>
      <c r="I21" s="424">
        <v>16</v>
      </c>
      <c r="J21" s="63">
        <v>2000</v>
      </c>
      <c r="K21" s="64">
        <f t="shared" si="1"/>
        <v>125</v>
      </c>
      <c r="L21" s="424">
        <v>16</v>
      </c>
      <c r="M21" s="65">
        <f t="shared" si="20"/>
        <v>1931.0526315789459</v>
      </c>
      <c r="N21" s="64">
        <f t="shared" si="3"/>
        <v>120.69078947368412</v>
      </c>
      <c r="O21" s="66">
        <f t="shared" si="4"/>
        <v>0</v>
      </c>
      <c r="P21" s="67">
        <f t="shared" si="5"/>
        <v>-4.30921052631588</v>
      </c>
      <c r="Q21" s="420">
        <f t="shared" si="6"/>
        <v>0.96552631578947301</v>
      </c>
      <c r="R21" s="511"/>
      <c r="S21" s="68">
        <v>0.31458333333333333</v>
      </c>
      <c r="T21" s="68">
        <v>0.34097222222222223</v>
      </c>
      <c r="U21" s="419">
        <f t="shared" si="22"/>
        <v>5.9999999999999787</v>
      </c>
      <c r="V21" s="425">
        <f t="shared" si="21"/>
        <v>38.000000000000028</v>
      </c>
      <c r="W21" s="69"/>
      <c r="X21" s="419"/>
      <c r="Y21" s="510"/>
      <c r="Z21" s="510"/>
      <c r="AA21" s="66">
        <f t="shared" si="8"/>
        <v>-68.94736842105408</v>
      </c>
      <c r="AB21" s="420">
        <f t="shared" si="9"/>
        <v>0.96552631578947301</v>
      </c>
      <c r="AC21" s="511"/>
    </row>
    <row r="22" spans="1:29" ht="15.75" customHeight="1">
      <c r="A22" s="538" t="s">
        <v>2358</v>
      </c>
      <c r="B22" s="62" t="s">
        <v>6</v>
      </c>
      <c r="C22" s="533" t="s">
        <v>971</v>
      </c>
      <c r="D22" s="533"/>
      <c r="E22" s="62">
        <v>49.91</v>
      </c>
      <c r="F22" s="427">
        <v>1369</v>
      </c>
      <c r="G22" s="419">
        <f t="shared" si="19"/>
        <v>68326.789999999994</v>
      </c>
      <c r="H22" s="90" t="s">
        <v>5</v>
      </c>
      <c r="I22" s="424">
        <v>19</v>
      </c>
      <c r="J22" s="63">
        <v>2000</v>
      </c>
      <c r="K22" s="64">
        <f t="shared" si="1"/>
        <v>105.26315789473684</v>
      </c>
      <c r="L22" s="424">
        <v>19</v>
      </c>
      <c r="M22" s="65">
        <f t="shared" si="20"/>
        <v>1910.2325581395346</v>
      </c>
      <c r="N22" s="64">
        <f t="shared" si="3"/>
        <v>100.53855569155445</v>
      </c>
      <c r="O22" s="66">
        <f t="shared" si="4"/>
        <v>0</v>
      </c>
      <c r="P22" s="67">
        <f t="shared" si="5"/>
        <v>-4.7246022031823856</v>
      </c>
      <c r="Q22" s="420">
        <f t="shared" si="6"/>
        <v>0.95511627906976737</v>
      </c>
      <c r="R22" s="511"/>
      <c r="S22" s="68">
        <v>0.34513888888888888</v>
      </c>
      <c r="T22" s="68">
        <v>0.375</v>
      </c>
      <c r="U22" s="419">
        <f t="shared" si="22"/>
        <v>5.9999999999999787</v>
      </c>
      <c r="V22" s="425">
        <f t="shared" si="21"/>
        <v>43.000000000000007</v>
      </c>
      <c r="W22" s="69"/>
      <c r="X22" s="419"/>
      <c r="Y22" s="510"/>
      <c r="Z22" s="510"/>
      <c r="AA22" s="66">
        <f t="shared" si="8"/>
        <v>-89.767441860465397</v>
      </c>
      <c r="AB22" s="420">
        <f t="shared" si="9"/>
        <v>0.95511627906976726</v>
      </c>
      <c r="AC22" s="511"/>
    </row>
    <row r="23" spans="1:29" ht="15.75" customHeight="1">
      <c r="A23" s="538" t="s">
        <v>2358</v>
      </c>
      <c r="B23" s="62" t="s">
        <v>6</v>
      </c>
      <c r="C23" s="533" t="s">
        <v>24</v>
      </c>
      <c r="D23" s="533"/>
      <c r="E23" s="62">
        <v>54.09</v>
      </c>
      <c r="F23" s="427">
        <v>1468</v>
      </c>
      <c r="G23" s="419">
        <f t="shared" si="19"/>
        <v>79404.12000000001</v>
      </c>
      <c r="H23" s="90" t="s">
        <v>5</v>
      </c>
      <c r="I23" s="72">
        <v>19</v>
      </c>
      <c r="J23" s="63">
        <v>2000</v>
      </c>
      <c r="K23" s="64">
        <f t="shared" si="1"/>
        <v>105.26315789473684</v>
      </c>
      <c r="L23" s="424">
        <v>19</v>
      </c>
      <c r="M23" s="65">
        <f t="shared" si="20"/>
        <v>1914.7826086956522</v>
      </c>
      <c r="N23" s="64">
        <f t="shared" si="3"/>
        <v>100.77803203661328</v>
      </c>
      <c r="O23" s="66">
        <f t="shared" si="4"/>
        <v>0</v>
      </c>
      <c r="P23" s="67">
        <f t="shared" si="5"/>
        <v>-4.4851258581235527</v>
      </c>
      <c r="Q23" s="420">
        <f t="shared" si="6"/>
        <v>0.95739130434782627</v>
      </c>
      <c r="R23" s="511"/>
      <c r="S23" s="68">
        <v>0.70833333333333337</v>
      </c>
      <c r="T23" s="68">
        <v>0.74027777777777781</v>
      </c>
      <c r="U23" s="419" t="str">
        <f t="shared" si="22"/>
        <v/>
      </c>
      <c r="V23" s="425">
        <f t="shared" si="21"/>
        <v>46</v>
      </c>
      <c r="W23" s="69"/>
      <c r="X23" s="73"/>
      <c r="Y23" s="510"/>
      <c r="Z23" s="510"/>
      <c r="AA23" s="66">
        <f t="shared" si="8"/>
        <v>-85.217391304347757</v>
      </c>
      <c r="AB23" s="420">
        <f t="shared" si="9"/>
        <v>0.95739130434782616</v>
      </c>
      <c r="AC23" s="511"/>
    </row>
    <row r="24" spans="1:29" ht="15.75" customHeight="1">
      <c r="A24" s="538" t="s">
        <v>2358</v>
      </c>
      <c r="B24" s="62" t="s">
        <v>6</v>
      </c>
      <c r="C24" s="533" t="s">
        <v>82</v>
      </c>
      <c r="D24" s="533"/>
      <c r="E24" s="62">
        <v>57.73</v>
      </c>
      <c r="F24" s="427">
        <v>1452</v>
      </c>
      <c r="G24" s="419">
        <f t="shared" si="19"/>
        <v>83823.959999999992</v>
      </c>
      <c r="H24" s="90" t="s">
        <v>5</v>
      </c>
      <c r="I24" s="424">
        <v>16</v>
      </c>
      <c r="J24" s="63">
        <v>1500</v>
      </c>
      <c r="K24" s="64">
        <f t="shared" si="1"/>
        <v>93.75</v>
      </c>
      <c r="L24" s="424">
        <v>16</v>
      </c>
      <c r="M24" s="65">
        <f t="shared" si="20"/>
        <v>1452.0000000000014</v>
      </c>
      <c r="N24" s="64">
        <f t="shared" si="3"/>
        <v>90.750000000000085</v>
      </c>
      <c r="O24" s="66">
        <f t="shared" si="4"/>
        <v>0</v>
      </c>
      <c r="P24" s="67">
        <f t="shared" si="5"/>
        <v>-2.9999999999999147</v>
      </c>
      <c r="Q24" s="420">
        <f t="shared" si="6"/>
        <v>0.96800000000000086</v>
      </c>
      <c r="R24" s="511"/>
      <c r="S24" s="68">
        <v>0.74513888888888891</v>
      </c>
      <c r="T24" s="68">
        <v>0.78680555555555554</v>
      </c>
      <c r="U24" s="419">
        <f t="shared" si="22"/>
        <v>6.9999999999999751</v>
      </c>
      <c r="V24" s="425">
        <f t="shared" si="21"/>
        <v>59.999999999999943</v>
      </c>
      <c r="W24" s="69"/>
      <c r="X24" s="73"/>
      <c r="Y24" s="517"/>
      <c r="Z24" s="518"/>
      <c r="AA24" s="66">
        <f t="shared" si="8"/>
        <v>-47.999999999998636</v>
      </c>
      <c r="AB24" s="420">
        <f t="shared" si="9"/>
        <v>0.96800000000000086</v>
      </c>
      <c r="AC24" s="511"/>
    </row>
    <row r="25" spans="1:29" ht="15.75" customHeight="1">
      <c r="A25" s="538" t="s">
        <v>2358</v>
      </c>
      <c r="B25" s="62" t="s">
        <v>6</v>
      </c>
      <c r="C25" s="534" t="s">
        <v>81</v>
      </c>
      <c r="D25" s="535"/>
      <c r="E25" s="62">
        <v>50.67</v>
      </c>
      <c r="F25" s="427">
        <v>1630</v>
      </c>
      <c r="G25" s="419">
        <f t="shared" si="19"/>
        <v>82592.100000000006</v>
      </c>
      <c r="H25" s="90" t="s">
        <v>5</v>
      </c>
      <c r="I25" s="424">
        <v>15</v>
      </c>
      <c r="J25" s="63">
        <v>2000</v>
      </c>
      <c r="K25" s="64">
        <f t="shared" si="1"/>
        <v>133.33333333333334</v>
      </c>
      <c r="L25" s="424">
        <v>15</v>
      </c>
      <c r="M25" s="65">
        <f t="shared" si="20"/>
        <v>1917.6470588235302</v>
      </c>
      <c r="N25" s="64">
        <f t="shared" si="3"/>
        <v>127.84313725490202</v>
      </c>
      <c r="O25" s="66">
        <f t="shared" si="4"/>
        <v>0</v>
      </c>
      <c r="P25" s="67">
        <f t="shared" si="5"/>
        <v>-5.4901960784313246</v>
      </c>
      <c r="Q25" s="420">
        <f t="shared" si="6"/>
        <v>0.95882352941176507</v>
      </c>
      <c r="R25" s="511"/>
      <c r="S25" s="68">
        <v>0.79027777777777775</v>
      </c>
      <c r="T25" s="68">
        <v>0.8256944444444444</v>
      </c>
      <c r="U25" s="419">
        <f t="shared" si="22"/>
        <v>4.9999999999999822</v>
      </c>
      <c r="V25" s="425">
        <f t="shared" si="21"/>
        <v>50.999999999999979</v>
      </c>
      <c r="W25" s="69"/>
      <c r="X25" s="69"/>
      <c r="Y25" s="517"/>
      <c r="Z25" s="518"/>
      <c r="AA25" s="66">
        <f t="shared" si="8"/>
        <v>-82.352941176469812</v>
      </c>
      <c r="AB25" s="420">
        <f t="shared" si="9"/>
        <v>0.95882352941176507</v>
      </c>
      <c r="AC25" s="511"/>
    </row>
    <row r="26" spans="1:29" ht="15.75" customHeight="1">
      <c r="A26" s="538" t="s">
        <v>2358</v>
      </c>
      <c r="B26" s="62" t="s">
        <v>2355</v>
      </c>
      <c r="C26" s="513"/>
      <c r="D26" s="513"/>
      <c r="E26" s="421"/>
      <c r="F26" s="427"/>
      <c r="G26" s="419"/>
      <c r="H26" s="427"/>
      <c r="I26" s="424">
        <v>16.875</v>
      </c>
      <c r="J26" s="63">
        <v>1937.5</v>
      </c>
      <c r="K26" s="64">
        <f t="shared" si="1"/>
        <v>114.81481481481481</v>
      </c>
      <c r="L26" s="72">
        <v>16.875</v>
      </c>
      <c r="M26" s="65">
        <f>AVERAGE(M18:M25)</f>
        <v>1858.0472407714474</v>
      </c>
      <c r="N26" s="64">
        <f t="shared" si="3"/>
        <v>110.10650315682651</v>
      </c>
      <c r="O26" s="66">
        <f t="shared" si="4"/>
        <v>0</v>
      </c>
      <c r="P26" s="67">
        <f t="shared" si="5"/>
        <v>-4.708311657988304</v>
      </c>
      <c r="Q26" s="420">
        <f t="shared" si="6"/>
        <v>0.95899212426913416</v>
      </c>
      <c r="R26" s="511"/>
      <c r="S26" s="68"/>
      <c r="T26" s="68"/>
      <c r="U26" s="64"/>
      <c r="V26" s="425"/>
      <c r="W26" s="64"/>
      <c r="X26" s="64"/>
      <c r="Y26" s="510"/>
      <c r="Z26" s="510"/>
      <c r="AA26" s="66">
        <f t="shared" si="8"/>
        <v>-79.452759228552623</v>
      </c>
      <c r="AB26" s="420">
        <f t="shared" si="9"/>
        <v>0.95899212426913416</v>
      </c>
      <c r="AC26" s="511"/>
    </row>
    <row r="27" spans="1:29" ht="15.75" customHeight="1">
      <c r="A27" s="536" t="s">
        <v>2359</v>
      </c>
      <c r="B27" s="62" t="s">
        <v>16</v>
      </c>
      <c r="C27" s="533" t="s">
        <v>30</v>
      </c>
      <c r="D27" s="533"/>
      <c r="E27" s="62">
        <v>31.29</v>
      </c>
      <c r="F27" s="427">
        <v>6338</v>
      </c>
      <c r="G27" s="419">
        <f t="shared" ref="G27:G31" si="23">E27*F27</f>
        <v>198316.02</v>
      </c>
      <c r="H27" s="90" t="s">
        <v>5</v>
      </c>
      <c r="I27" s="424">
        <v>18</v>
      </c>
      <c r="J27" s="63">
        <v>2400</v>
      </c>
      <c r="K27" s="64">
        <f t="shared" si="1"/>
        <v>133.33333333333334</v>
      </c>
      <c r="L27" s="424">
        <v>18</v>
      </c>
      <c r="M27" s="65">
        <f t="shared" ref="M27:M31" si="24">F27/V27*60</f>
        <v>2290.8433734939758</v>
      </c>
      <c r="N27" s="64">
        <f t="shared" si="3"/>
        <v>127.26907630522088</v>
      </c>
      <c r="O27" s="66">
        <f t="shared" si="4"/>
        <v>0</v>
      </c>
      <c r="P27" s="67">
        <f t="shared" si="5"/>
        <v>-6.0642570281124648</v>
      </c>
      <c r="Q27" s="420">
        <f t="shared" si="6"/>
        <v>0.95451807228915653</v>
      </c>
      <c r="R27" s="511">
        <f>Q32</f>
        <v>0.95525175014223307</v>
      </c>
      <c r="S27" s="68">
        <v>8.3333333333333329E-2</v>
      </c>
      <c r="T27" s="68">
        <v>0.1986111111111111</v>
      </c>
      <c r="U27" s="419"/>
      <c r="V27" s="425">
        <f t="shared" ref="V27:V31" si="25">(T27-S27)*24*60</f>
        <v>166</v>
      </c>
      <c r="W27" s="69">
        <f>T27</f>
        <v>0.1986111111111111</v>
      </c>
      <c r="X27" s="69">
        <f>S28</f>
        <v>0.21805555555555553</v>
      </c>
      <c r="Y27" s="510"/>
      <c r="Z27" s="510"/>
      <c r="AA27" s="66">
        <f t="shared" si="8"/>
        <v>-109.15662650602417</v>
      </c>
      <c r="AB27" s="420">
        <f t="shared" si="9"/>
        <v>0.95451807228915664</v>
      </c>
      <c r="AC27" s="511">
        <f>AB32</f>
        <v>0.95525175014223318</v>
      </c>
    </row>
    <row r="28" spans="1:29" ht="15.75" customHeight="1">
      <c r="A28" s="536" t="s">
        <v>2359</v>
      </c>
      <c r="B28" s="62" t="s">
        <v>16</v>
      </c>
      <c r="C28" s="533" t="s">
        <v>25</v>
      </c>
      <c r="D28" s="533"/>
      <c r="E28" s="62">
        <v>26.2</v>
      </c>
      <c r="F28" s="427">
        <v>3942</v>
      </c>
      <c r="G28" s="419">
        <f t="shared" si="23"/>
        <v>103280.4</v>
      </c>
      <c r="H28" s="90" t="s">
        <v>5</v>
      </c>
      <c r="I28" s="424">
        <v>20</v>
      </c>
      <c r="J28" s="63">
        <v>2400</v>
      </c>
      <c r="K28" s="64">
        <f t="shared" si="1"/>
        <v>120</v>
      </c>
      <c r="L28" s="424">
        <v>20</v>
      </c>
      <c r="M28" s="65">
        <f t="shared" si="24"/>
        <v>2296.3106796116508</v>
      </c>
      <c r="N28" s="64">
        <f t="shared" si="3"/>
        <v>114.81553398058254</v>
      </c>
      <c r="O28" s="66">
        <f t="shared" si="4"/>
        <v>0</v>
      </c>
      <c r="P28" s="67">
        <f t="shared" si="5"/>
        <v>-5.1844660194174566</v>
      </c>
      <c r="Q28" s="420">
        <f t="shared" si="6"/>
        <v>0.95679611650485452</v>
      </c>
      <c r="R28" s="511"/>
      <c r="S28" s="68">
        <v>0.21805555555555553</v>
      </c>
      <c r="T28" s="68">
        <v>0.2895833333333333</v>
      </c>
      <c r="U28" s="419">
        <f t="shared" ref="U28:U31" si="26">(S28-T27)*24*60</f>
        <v>27.999999999999979</v>
      </c>
      <c r="V28" s="425">
        <f t="shared" si="25"/>
        <v>103</v>
      </c>
      <c r="W28" s="69"/>
      <c r="X28" s="69"/>
      <c r="Y28" s="510"/>
      <c r="Z28" s="510"/>
      <c r="AA28" s="66">
        <f t="shared" si="8"/>
        <v>-103.68932038834919</v>
      </c>
      <c r="AB28" s="420">
        <f t="shared" si="9"/>
        <v>0.95679611650485452</v>
      </c>
      <c r="AC28" s="511"/>
    </row>
    <row r="29" spans="1:29" ht="15.75" customHeight="1">
      <c r="A29" s="536" t="s">
        <v>2359</v>
      </c>
      <c r="B29" s="62" t="s">
        <v>16</v>
      </c>
      <c r="C29" s="533" t="s">
        <v>83</v>
      </c>
      <c r="D29" s="533"/>
      <c r="E29" s="62">
        <v>25.99</v>
      </c>
      <c r="F29" s="427">
        <v>3965</v>
      </c>
      <c r="G29" s="419">
        <f t="shared" si="23"/>
        <v>103050.34999999999</v>
      </c>
      <c r="H29" s="90" t="s">
        <v>5</v>
      </c>
      <c r="I29" s="424">
        <v>14</v>
      </c>
      <c r="J29" s="63">
        <v>2400</v>
      </c>
      <c r="K29" s="64">
        <f t="shared" si="1"/>
        <v>171.42857142857142</v>
      </c>
      <c r="L29" s="424">
        <v>14</v>
      </c>
      <c r="M29" s="65">
        <f t="shared" si="24"/>
        <v>2287.4999999999995</v>
      </c>
      <c r="N29" s="64">
        <f t="shared" si="3"/>
        <v>163.39285714285711</v>
      </c>
      <c r="O29" s="66">
        <f t="shared" si="4"/>
        <v>0</v>
      </c>
      <c r="P29" s="67">
        <f t="shared" si="5"/>
        <v>-8.035714285714306</v>
      </c>
      <c r="Q29" s="420">
        <f t="shared" si="6"/>
        <v>0.95312499999999989</v>
      </c>
      <c r="R29" s="511"/>
      <c r="S29" s="68">
        <v>0.29374999999999996</v>
      </c>
      <c r="T29" s="68">
        <v>0.3659722222222222</v>
      </c>
      <c r="U29" s="419">
        <f t="shared" si="26"/>
        <v>5.9999999999999787</v>
      </c>
      <c r="V29" s="425">
        <f t="shared" si="25"/>
        <v>104.00000000000003</v>
      </c>
      <c r="W29" s="69"/>
      <c r="X29" s="69"/>
      <c r="Y29" s="510"/>
      <c r="Z29" s="510"/>
      <c r="AA29" s="66">
        <f t="shared" si="8"/>
        <v>-112.50000000000045</v>
      </c>
      <c r="AB29" s="420">
        <f t="shared" si="9"/>
        <v>0.95312499999999978</v>
      </c>
      <c r="AC29" s="511"/>
    </row>
    <row r="30" spans="1:29" ht="15.75" customHeight="1">
      <c r="A30" s="536" t="s">
        <v>2359</v>
      </c>
      <c r="B30" s="62" t="s">
        <v>16</v>
      </c>
      <c r="C30" s="533" t="s">
        <v>50</v>
      </c>
      <c r="D30" s="533"/>
      <c r="E30" s="62">
        <v>20.52</v>
      </c>
      <c r="F30" s="427">
        <v>3334</v>
      </c>
      <c r="G30" s="419">
        <f t="shared" si="23"/>
        <v>68413.679999999993</v>
      </c>
      <c r="H30" s="90" t="s">
        <v>5</v>
      </c>
      <c r="I30" s="424">
        <v>18</v>
      </c>
      <c r="J30" s="63">
        <v>2400</v>
      </c>
      <c r="K30" s="64">
        <f t="shared" si="1"/>
        <v>133.33333333333334</v>
      </c>
      <c r="L30" s="424">
        <v>18</v>
      </c>
      <c r="M30" s="65">
        <f t="shared" si="24"/>
        <v>2299.3103448275856</v>
      </c>
      <c r="N30" s="64">
        <f t="shared" si="3"/>
        <v>127.73946360153253</v>
      </c>
      <c r="O30" s="66">
        <f t="shared" si="4"/>
        <v>0</v>
      </c>
      <c r="P30" s="67">
        <f t="shared" si="5"/>
        <v>-5.5938697318008082</v>
      </c>
      <c r="Q30" s="420">
        <f t="shared" si="6"/>
        <v>0.95804597701149397</v>
      </c>
      <c r="R30" s="511"/>
      <c r="S30" s="68">
        <v>0.36944444444444441</v>
      </c>
      <c r="T30" s="68">
        <v>0.42986111111111108</v>
      </c>
      <c r="U30" s="419">
        <f t="shared" si="26"/>
        <v>4.9999999999999822</v>
      </c>
      <c r="V30" s="425">
        <f t="shared" si="25"/>
        <v>87.000000000000014</v>
      </c>
      <c r="W30" s="69"/>
      <c r="X30" s="69"/>
      <c r="Y30" s="510"/>
      <c r="Z30" s="510"/>
      <c r="AA30" s="66">
        <f t="shared" si="8"/>
        <v>-100.6896551724144</v>
      </c>
      <c r="AB30" s="420">
        <f t="shared" si="9"/>
        <v>0.95804597701149397</v>
      </c>
      <c r="AC30" s="511"/>
    </row>
    <row r="31" spans="1:29" ht="15.75" customHeight="1">
      <c r="A31" s="536" t="s">
        <v>2359</v>
      </c>
      <c r="B31" s="62" t="s">
        <v>16</v>
      </c>
      <c r="C31" s="533" t="s">
        <v>982</v>
      </c>
      <c r="D31" s="533"/>
      <c r="E31" s="62">
        <v>25.98</v>
      </c>
      <c r="F31" s="427">
        <v>4044</v>
      </c>
      <c r="G31" s="419">
        <f t="shared" si="23"/>
        <v>105063.12</v>
      </c>
      <c r="H31" s="90" t="s">
        <v>5</v>
      </c>
      <c r="I31" s="424">
        <v>21</v>
      </c>
      <c r="J31" s="63">
        <v>2400</v>
      </c>
      <c r="K31" s="64">
        <f t="shared" si="1"/>
        <v>114.28571428571429</v>
      </c>
      <c r="L31" s="424">
        <v>21</v>
      </c>
      <c r="M31" s="65">
        <f t="shared" si="24"/>
        <v>2289.0566037735844</v>
      </c>
      <c r="N31" s="64">
        <f t="shared" si="3"/>
        <v>109.00269541778974</v>
      </c>
      <c r="O31" s="66">
        <f t="shared" si="4"/>
        <v>0</v>
      </c>
      <c r="P31" s="67">
        <f t="shared" si="5"/>
        <v>-5.2830188679245538</v>
      </c>
      <c r="Q31" s="420">
        <f t="shared" si="6"/>
        <v>0.95377358490566011</v>
      </c>
      <c r="R31" s="511"/>
      <c r="S31" s="68">
        <v>0.43402777777777773</v>
      </c>
      <c r="T31" s="68">
        <v>0.50763888888888886</v>
      </c>
      <c r="U31" s="419">
        <f t="shared" si="26"/>
        <v>5.9999999999999787</v>
      </c>
      <c r="V31" s="425">
        <f t="shared" si="25"/>
        <v>106.00000000000003</v>
      </c>
      <c r="W31" s="69"/>
      <c r="X31" s="69"/>
      <c r="Y31" s="510"/>
      <c r="Z31" s="510"/>
      <c r="AA31" s="66">
        <f t="shared" si="8"/>
        <v>-110.94339622641564</v>
      </c>
      <c r="AB31" s="420">
        <f t="shared" si="9"/>
        <v>0.95377358490566011</v>
      </c>
      <c r="AC31" s="511"/>
    </row>
    <row r="32" spans="1:29" ht="15.75" customHeight="1">
      <c r="A32" s="536" t="s">
        <v>2359</v>
      </c>
      <c r="B32" s="62" t="s">
        <v>2355</v>
      </c>
      <c r="C32" s="513"/>
      <c r="D32" s="513"/>
      <c r="E32" s="421"/>
      <c r="F32" s="427"/>
      <c r="G32" s="419"/>
      <c r="H32" s="427"/>
      <c r="I32" s="72">
        <v>18.2</v>
      </c>
      <c r="J32" s="63">
        <v>2400</v>
      </c>
      <c r="K32" s="64">
        <f t="shared" si="1"/>
        <v>131.86813186813188</v>
      </c>
      <c r="L32" s="72">
        <v>18.2</v>
      </c>
      <c r="M32" s="65">
        <f>AVERAGE(M27:M31)</f>
        <v>2292.6042003413595</v>
      </c>
      <c r="N32" s="64">
        <f t="shared" si="3"/>
        <v>125.96726375501976</v>
      </c>
      <c r="O32" s="66">
        <f t="shared" si="4"/>
        <v>0</v>
      </c>
      <c r="P32" s="67">
        <f t="shared" si="5"/>
        <v>-5.900868113112125</v>
      </c>
      <c r="Q32" s="420">
        <f t="shared" si="6"/>
        <v>0.95525175014223307</v>
      </c>
      <c r="R32" s="511"/>
      <c r="S32" s="68"/>
      <c r="T32" s="68"/>
      <c r="U32" s="419"/>
      <c r="V32" s="425"/>
      <c r="W32" s="419"/>
      <c r="X32" s="419"/>
      <c r="Y32" s="510"/>
      <c r="Z32" s="510"/>
      <c r="AA32" s="66">
        <f t="shared" si="8"/>
        <v>-107.3957996586405</v>
      </c>
      <c r="AB32" s="420">
        <f t="shared" si="9"/>
        <v>0.95525175014223318</v>
      </c>
      <c r="AC32" s="511"/>
    </row>
    <row r="33" spans="1:29" ht="15.75" customHeight="1">
      <c r="A33" s="531" t="s">
        <v>2360</v>
      </c>
      <c r="B33" s="62" t="s">
        <v>16</v>
      </c>
      <c r="C33" s="512" t="s">
        <v>49</v>
      </c>
      <c r="D33" s="512"/>
      <c r="E33" s="62">
        <v>19.02</v>
      </c>
      <c r="F33" s="427">
        <v>6856</v>
      </c>
      <c r="G33" s="419">
        <f t="shared" ref="G33:G37" si="27">E33*F33</f>
        <v>130401.12</v>
      </c>
      <c r="H33" s="90" t="s">
        <v>5</v>
      </c>
      <c r="I33" s="424">
        <v>15</v>
      </c>
      <c r="J33" s="63">
        <v>2400</v>
      </c>
      <c r="K33" s="64">
        <f t="shared" si="1"/>
        <v>160</v>
      </c>
      <c r="L33" s="424">
        <v>15</v>
      </c>
      <c r="M33" s="65">
        <f t="shared" ref="M33:M37" si="28">F33/V33*60</f>
        <v>2285.3333333333339</v>
      </c>
      <c r="N33" s="64">
        <f t="shared" si="3"/>
        <v>152.35555555555558</v>
      </c>
      <c r="O33" s="66">
        <f t="shared" si="4"/>
        <v>0</v>
      </c>
      <c r="P33" s="67">
        <f t="shared" si="5"/>
        <v>-7.6444444444444173</v>
      </c>
      <c r="Q33" s="420">
        <f t="shared" si="6"/>
        <v>0.95222222222222241</v>
      </c>
      <c r="R33" s="511">
        <f>Q38</f>
        <v>0.95651380160045851</v>
      </c>
      <c r="S33" s="68">
        <v>8.3333333333333329E-2</v>
      </c>
      <c r="T33" s="68">
        <v>0.20833333333333331</v>
      </c>
      <c r="U33" s="419"/>
      <c r="V33" s="425">
        <f t="shared" ref="V33:V37" si="29">(T33-S33)*24*60</f>
        <v>179.99999999999997</v>
      </c>
      <c r="W33" s="73">
        <f>T33</f>
        <v>0.20833333333333331</v>
      </c>
      <c r="X33" s="73">
        <f>S34</f>
        <v>0.2298611111111111</v>
      </c>
      <c r="Y33" s="510"/>
      <c r="Z33" s="510"/>
      <c r="AA33" s="66">
        <f t="shared" si="8"/>
        <v>-114.66666666666606</v>
      </c>
      <c r="AB33" s="420">
        <f t="shared" si="9"/>
        <v>0.95222222222222253</v>
      </c>
      <c r="AC33" s="511">
        <f>AB38</f>
        <v>0.95651380160045851</v>
      </c>
    </row>
    <row r="34" spans="1:29" ht="15.75" customHeight="1">
      <c r="A34" s="531" t="s">
        <v>2360</v>
      </c>
      <c r="B34" s="62" t="s">
        <v>16</v>
      </c>
      <c r="C34" s="512" t="s">
        <v>31</v>
      </c>
      <c r="D34" s="512"/>
      <c r="E34" s="62">
        <v>26.2</v>
      </c>
      <c r="F34" s="427">
        <v>4769</v>
      </c>
      <c r="G34" s="419">
        <f t="shared" si="27"/>
        <v>124947.8</v>
      </c>
      <c r="H34" s="90" t="s">
        <v>5</v>
      </c>
      <c r="I34" s="424">
        <v>18</v>
      </c>
      <c r="J34" s="63">
        <v>2400</v>
      </c>
      <c r="K34" s="64">
        <f t="shared" si="1"/>
        <v>133.33333333333334</v>
      </c>
      <c r="L34" s="424">
        <v>18</v>
      </c>
      <c r="M34" s="65">
        <f t="shared" si="28"/>
        <v>2289.12</v>
      </c>
      <c r="N34" s="64">
        <f t="shared" si="3"/>
        <v>127.17333333333333</v>
      </c>
      <c r="O34" s="66">
        <f t="shared" si="4"/>
        <v>0</v>
      </c>
      <c r="P34" s="67">
        <f t="shared" si="5"/>
        <v>-6.1600000000000108</v>
      </c>
      <c r="Q34" s="420">
        <f t="shared" si="6"/>
        <v>0.95379999999999987</v>
      </c>
      <c r="R34" s="511"/>
      <c r="S34" s="68">
        <v>0.2298611111111111</v>
      </c>
      <c r="T34" s="68">
        <v>0.31666666666666665</v>
      </c>
      <c r="U34" s="419">
        <f t="shared" ref="U34:U37" si="30">(S34-T33)*24*60</f>
        <v>31.000000000000011</v>
      </c>
      <c r="V34" s="425">
        <f t="shared" si="29"/>
        <v>124.99999999999999</v>
      </c>
      <c r="W34" s="419"/>
      <c r="X34" s="419"/>
      <c r="Y34" s="510"/>
      <c r="Z34" s="510"/>
      <c r="AA34" s="66">
        <f t="shared" si="8"/>
        <v>-110.88000000000011</v>
      </c>
      <c r="AB34" s="420">
        <f t="shared" si="9"/>
        <v>0.95379999999999998</v>
      </c>
      <c r="AC34" s="511"/>
    </row>
    <row r="35" spans="1:29">
      <c r="A35" s="532" t="s">
        <v>2360</v>
      </c>
      <c r="B35" s="62" t="s">
        <v>16</v>
      </c>
      <c r="C35" s="512" t="s">
        <v>28</v>
      </c>
      <c r="D35" s="512"/>
      <c r="E35" s="62">
        <v>26.18</v>
      </c>
      <c r="F35" s="427">
        <v>2316</v>
      </c>
      <c r="G35" s="419">
        <f t="shared" si="27"/>
        <v>60632.88</v>
      </c>
      <c r="H35" s="90" t="s">
        <v>5</v>
      </c>
      <c r="I35" s="72">
        <v>19</v>
      </c>
      <c r="J35" s="63">
        <v>2400</v>
      </c>
      <c r="K35" s="64">
        <f t="shared" si="1"/>
        <v>126.31578947368421</v>
      </c>
      <c r="L35" s="424">
        <v>19</v>
      </c>
      <c r="M35" s="65">
        <f t="shared" si="28"/>
        <v>2315.9999999999986</v>
      </c>
      <c r="N35" s="64">
        <f t="shared" si="3"/>
        <v>121.89473684210519</v>
      </c>
      <c r="O35" s="66">
        <f t="shared" si="4"/>
        <v>0</v>
      </c>
      <c r="P35" s="67">
        <f t="shared" si="5"/>
        <v>-4.4210526315790162</v>
      </c>
      <c r="Q35" s="420">
        <f t="shared" si="6"/>
        <v>0.96499999999999941</v>
      </c>
      <c r="R35" s="511"/>
      <c r="S35" s="68">
        <v>0.3208333333333333</v>
      </c>
      <c r="T35" s="68">
        <v>0.36249999999999999</v>
      </c>
      <c r="U35" s="419">
        <f t="shared" si="30"/>
        <v>5.9999999999999787</v>
      </c>
      <c r="V35" s="425">
        <f t="shared" si="29"/>
        <v>60.000000000000028</v>
      </c>
      <c r="W35" s="419"/>
      <c r="X35" s="419"/>
      <c r="Y35" s="510"/>
      <c r="Z35" s="510"/>
      <c r="AA35" s="66">
        <f t="shared" si="8"/>
        <v>-84.000000000001364</v>
      </c>
      <c r="AB35" s="420">
        <f t="shared" si="9"/>
        <v>0.96499999999999941</v>
      </c>
      <c r="AC35" s="511"/>
    </row>
    <row r="36" spans="1:29">
      <c r="A36" s="532" t="s">
        <v>2360</v>
      </c>
      <c r="B36" s="62" t="s">
        <v>16</v>
      </c>
      <c r="C36" s="512" t="s">
        <v>32</v>
      </c>
      <c r="D36" s="512"/>
      <c r="E36" s="62">
        <v>26.39</v>
      </c>
      <c r="F36" s="427">
        <v>4643</v>
      </c>
      <c r="G36" s="419">
        <f t="shared" si="27"/>
        <v>122528.77</v>
      </c>
      <c r="H36" s="90" t="s">
        <v>5</v>
      </c>
      <c r="I36" s="424">
        <v>19</v>
      </c>
      <c r="J36" s="63">
        <v>2400</v>
      </c>
      <c r="K36" s="64">
        <f t="shared" si="1"/>
        <v>126.31578947368421</v>
      </c>
      <c r="L36" s="424">
        <v>19</v>
      </c>
      <c r="M36" s="65">
        <f t="shared" si="28"/>
        <v>2283.4426229508204</v>
      </c>
      <c r="N36" s="64">
        <f t="shared" si="3"/>
        <v>120.18119068162213</v>
      </c>
      <c r="O36" s="66">
        <f t="shared" si="4"/>
        <v>0</v>
      </c>
      <c r="P36" s="67">
        <f t="shared" si="5"/>
        <v>-6.1345987920620786</v>
      </c>
      <c r="Q36" s="420">
        <f t="shared" si="6"/>
        <v>0.95143442622950858</v>
      </c>
      <c r="R36" s="511"/>
      <c r="S36" s="68">
        <v>0.36666666666666664</v>
      </c>
      <c r="T36" s="68">
        <v>0.45138888888888884</v>
      </c>
      <c r="U36" s="419">
        <f t="shared" si="30"/>
        <v>5.9999999999999787</v>
      </c>
      <c r="V36" s="425">
        <f t="shared" si="29"/>
        <v>121.99999999999997</v>
      </c>
      <c r="W36" s="69"/>
      <c r="X36" s="69"/>
      <c r="Y36" s="510"/>
      <c r="Z36" s="510"/>
      <c r="AA36" s="66">
        <f t="shared" si="8"/>
        <v>-116.55737704917965</v>
      </c>
      <c r="AB36" s="420">
        <f t="shared" si="9"/>
        <v>0.95143442622950847</v>
      </c>
      <c r="AC36" s="511"/>
    </row>
    <row r="37" spans="1:29">
      <c r="A37" s="532" t="s">
        <v>2360</v>
      </c>
      <c r="B37" s="62" t="s">
        <v>16</v>
      </c>
      <c r="C37" s="512" t="s">
        <v>2110</v>
      </c>
      <c r="D37" s="512"/>
      <c r="E37" s="62">
        <v>28.51</v>
      </c>
      <c r="F37" s="427">
        <v>3418</v>
      </c>
      <c r="G37" s="419">
        <f t="shared" si="27"/>
        <v>97447.180000000008</v>
      </c>
      <c r="H37" s="90" t="s">
        <v>5</v>
      </c>
      <c r="I37" s="424">
        <v>16</v>
      </c>
      <c r="J37" s="63">
        <v>2400</v>
      </c>
      <c r="K37" s="64">
        <f t="shared" si="1"/>
        <v>150</v>
      </c>
      <c r="L37" s="424">
        <v>16</v>
      </c>
      <c r="M37" s="65">
        <f t="shared" si="28"/>
        <v>2304.2696629213483</v>
      </c>
      <c r="N37" s="64">
        <f t="shared" si="3"/>
        <v>144.01685393258427</v>
      </c>
      <c r="O37" s="66">
        <f t="shared" si="4"/>
        <v>0</v>
      </c>
      <c r="P37" s="67">
        <f t="shared" si="5"/>
        <v>-5.9831460674157313</v>
      </c>
      <c r="Q37" s="420">
        <f t="shared" si="6"/>
        <v>0.96011235955056184</v>
      </c>
      <c r="R37" s="511"/>
      <c r="S37" s="68">
        <v>0.45624999999999993</v>
      </c>
      <c r="T37" s="68">
        <v>0.51805555555555549</v>
      </c>
      <c r="U37" s="419">
        <f t="shared" si="30"/>
        <v>6.9999999999999751</v>
      </c>
      <c r="V37" s="425">
        <f t="shared" si="29"/>
        <v>89</v>
      </c>
      <c r="W37" s="69"/>
      <c r="X37" s="69"/>
      <c r="Y37" s="510"/>
      <c r="Z37" s="510"/>
      <c r="AA37" s="66">
        <f t="shared" si="8"/>
        <v>-95.730337078651701</v>
      </c>
      <c r="AB37" s="420">
        <f t="shared" si="9"/>
        <v>0.96011235955056184</v>
      </c>
      <c r="AC37" s="511"/>
    </row>
    <row r="38" spans="1:29">
      <c r="A38" s="532" t="s">
        <v>2360</v>
      </c>
      <c r="B38" s="71" t="s">
        <v>2355</v>
      </c>
      <c r="C38" s="513"/>
      <c r="D38" s="513"/>
      <c r="E38" s="421"/>
      <c r="F38" s="71"/>
      <c r="G38" s="64"/>
      <c r="H38" s="427"/>
      <c r="I38" s="424">
        <v>17.399999999999999</v>
      </c>
      <c r="J38" s="63">
        <v>2400</v>
      </c>
      <c r="K38" s="64">
        <f t="shared" si="1"/>
        <v>137.93103448275863</v>
      </c>
      <c r="L38" s="72">
        <v>17.399999999999999</v>
      </c>
      <c r="M38" s="65">
        <f>AVERAGE(M33:M37)</f>
        <v>2295.6331238411003</v>
      </c>
      <c r="N38" s="64">
        <f t="shared" si="3"/>
        <v>131.9329381517874</v>
      </c>
      <c r="O38" s="66">
        <f t="shared" si="4"/>
        <v>0</v>
      </c>
      <c r="P38" s="67">
        <f t="shared" si="5"/>
        <v>-5.9980963309712365</v>
      </c>
      <c r="Q38" s="420">
        <f t="shared" si="6"/>
        <v>0.95651380160045851</v>
      </c>
      <c r="R38" s="511"/>
      <c r="S38" s="68"/>
      <c r="T38" s="68"/>
      <c r="U38" s="64"/>
      <c r="V38" s="425"/>
      <c r="W38" s="64"/>
      <c r="X38" s="64"/>
      <c r="Y38" s="510"/>
      <c r="Z38" s="510"/>
      <c r="AA38" s="66">
        <f t="shared" si="8"/>
        <v>-104.36687615889969</v>
      </c>
      <c r="AB38" s="420">
        <f t="shared" si="9"/>
        <v>0.95651380160045851</v>
      </c>
      <c r="AC38" s="511"/>
    </row>
    <row r="39" spans="1:29" ht="15.75" customHeight="1">
      <c r="A39" s="525" t="s">
        <v>2361</v>
      </c>
      <c r="B39" s="62" t="s">
        <v>35</v>
      </c>
      <c r="C39" s="521" t="s">
        <v>36</v>
      </c>
      <c r="D39" s="522"/>
      <c r="E39" s="62">
        <v>21.13</v>
      </c>
      <c r="F39" s="427">
        <v>3953</v>
      </c>
      <c r="G39" s="419">
        <f t="shared" ref="G39:G45" si="31">E39*F39</f>
        <v>83526.89</v>
      </c>
      <c r="H39" s="90" t="s">
        <v>5</v>
      </c>
      <c r="I39" s="424">
        <v>10</v>
      </c>
      <c r="J39" s="63">
        <v>3000</v>
      </c>
      <c r="K39" s="64">
        <f t="shared" si="1"/>
        <v>300</v>
      </c>
      <c r="L39" s="424">
        <v>10</v>
      </c>
      <c r="M39" s="65">
        <f t="shared" ref="M39:M45" si="32">F39/V39*60</f>
        <v>2857.5903614457829</v>
      </c>
      <c r="N39" s="65">
        <f t="shared" si="3"/>
        <v>285.75903614457832</v>
      </c>
      <c r="O39" s="66">
        <f t="shared" si="4"/>
        <v>0</v>
      </c>
      <c r="P39" s="67">
        <f t="shared" si="5"/>
        <v>-14.240963855421683</v>
      </c>
      <c r="Q39" s="420">
        <f t="shared" si="6"/>
        <v>0.95253012048192776</v>
      </c>
      <c r="R39" s="528">
        <f>Q46</f>
        <v>0.95979576835602298</v>
      </c>
      <c r="S39" s="68">
        <v>8.3333333333333329E-2</v>
      </c>
      <c r="T39" s="68">
        <v>0.14097222222222222</v>
      </c>
      <c r="U39" s="73"/>
      <c r="V39" s="425">
        <f t="shared" ref="V39:V45" si="33">(T39-S39)*24*60</f>
        <v>83</v>
      </c>
      <c r="W39" s="69">
        <f>T39</f>
        <v>0.14097222222222222</v>
      </c>
      <c r="X39" s="69">
        <f>S40</f>
        <v>0.16111111111111112</v>
      </c>
      <c r="Y39" s="517"/>
      <c r="Z39" s="518"/>
      <c r="AA39" s="66">
        <f t="shared" si="8"/>
        <v>-142.40963855421705</v>
      </c>
      <c r="AB39" s="420">
        <f t="shared" si="9"/>
        <v>0.95253012048192764</v>
      </c>
      <c r="AC39" s="528">
        <f>AB46</f>
        <v>0.95979576835602298</v>
      </c>
    </row>
    <row r="40" spans="1:29" ht="15.75" customHeight="1">
      <c r="A40" s="526" t="s">
        <v>2361</v>
      </c>
      <c r="B40" s="62" t="s">
        <v>35</v>
      </c>
      <c r="C40" s="521" t="s">
        <v>37</v>
      </c>
      <c r="D40" s="522"/>
      <c r="E40" s="62">
        <v>27.17</v>
      </c>
      <c r="F40" s="427">
        <v>5122</v>
      </c>
      <c r="G40" s="419">
        <f t="shared" si="31"/>
        <v>139164.74000000002</v>
      </c>
      <c r="H40" s="90" t="s">
        <v>5</v>
      </c>
      <c r="I40" s="424">
        <v>10</v>
      </c>
      <c r="J40" s="63">
        <v>3000</v>
      </c>
      <c r="K40" s="64">
        <f t="shared" si="1"/>
        <v>300</v>
      </c>
      <c r="L40" s="424">
        <v>10</v>
      </c>
      <c r="M40" s="65">
        <f t="shared" si="32"/>
        <v>2872.1495327102807</v>
      </c>
      <c r="N40" s="65">
        <f t="shared" si="3"/>
        <v>287.21495327102809</v>
      </c>
      <c r="O40" s="66">
        <f t="shared" si="4"/>
        <v>0</v>
      </c>
      <c r="P40" s="67">
        <f t="shared" si="5"/>
        <v>-12.785046728971906</v>
      </c>
      <c r="Q40" s="420">
        <f t="shared" si="6"/>
        <v>0.95738317757009361</v>
      </c>
      <c r="R40" s="529"/>
      <c r="S40" s="68">
        <v>0.16111111111111112</v>
      </c>
      <c r="T40" s="68">
        <v>0.23541666666666666</v>
      </c>
      <c r="U40" s="419">
        <f t="shared" ref="U40:U45" si="34">(S40-T39)*24*60</f>
        <v>29.000000000000018</v>
      </c>
      <c r="V40" s="425">
        <f t="shared" si="33"/>
        <v>106.99999999999999</v>
      </c>
      <c r="W40" s="69"/>
      <c r="X40" s="69"/>
      <c r="Y40" s="517"/>
      <c r="Z40" s="518"/>
      <c r="AA40" s="66">
        <f t="shared" si="8"/>
        <v>-127.85046728971929</v>
      </c>
      <c r="AB40" s="420">
        <f t="shared" si="9"/>
        <v>0.95738317757009361</v>
      </c>
      <c r="AC40" s="529"/>
    </row>
    <row r="41" spans="1:29" ht="15.75" customHeight="1">
      <c r="A41" s="526" t="s">
        <v>2361</v>
      </c>
      <c r="B41" s="62" t="s">
        <v>35</v>
      </c>
      <c r="C41" s="521" t="s">
        <v>38</v>
      </c>
      <c r="D41" s="522"/>
      <c r="E41" s="62">
        <v>35.119999999999997</v>
      </c>
      <c r="F41" s="427">
        <v>3308</v>
      </c>
      <c r="G41" s="419">
        <f t="shared" si="31"/>
        <v>116176.95999999999</v>
      </c>
      <c r="H41" s="90" t="s">
        <v>5</v>
      </c>
      <c r="I41" s="424">
        <v>10</v>
      </c>
      <c r="J41" s="63">
        <v>3000</v>
      </c>
      <c r="K41" s="64">
        <f t="shared" si="1"/>
        <v>300</v>
      </c>
      <c r="L41" s="424">
        <v>10</v>
      </c>
      <c r="M41" s="65">
        <f t="shared" si="32"/>
        <v>2876.5217391304368</v>
      </c>
      <c r="N41" s="65">
        <f t="shared" si="3"/>
        <v>287.65217391304367</v>
      </c>
      <c r="O41" s="66">
        <f t="shared" si="4"/>
        <v>0</v>
      </c>
      <c r="P41" s="67">
        <f t="shared" si="5"/>
        <v>-12.347826086956331</v>
      </c>
      <c r="Q41" s="420">
        <f t="shared" si="6"/>
        <v>0.95884057971014558</v>
      </c>
      <c r="R41" s="529"/>
      <c r="S41" s="68">
        <v>0.24027777777777778</v>
      </c>
      <c r="T41" s="68">
        <v>0.28819444444444442</v>
      </c>
      <c r="U41" s="419">
        <f t="shared" si="34"/>
        <v>7.0000000000000151</v>
      </c>
      <c r="V41" s="425">
        <f t="shared" si="33"/>
        <v>68.999999999999957</v>
      </c>
      <c r="W41" s="69"/>
      <c r="X41" s="69"/>
      <c r="Y41" s="517"/>
      <c r="Z41" s="518"/>
      <c r="AA41" s="66">
        <f t="shared" si="8"/>
        <v>-123.4782608695632</v>
      </c>
      <c r="AB41" s="420">
        <f t="shared" si="9"/>
        <v>0.95884057971014558</v>
      </c>
      <c r="AC41" s="529"/>
    </row>
    <row r="42" spans="1:29" ht="15.75" customHeight="1">
      <c r="A42" s="526" t="s">
        <v>2361</v>
      </c>
      <c r="B42" s="62" t="s">
        <v>35</v>
      </c>
      <c r="C42" s="521" t="s">
        <v>39</v>
      </c>
      <c r="D42" s="522"/>
      <c r="E42" s="62">
        <v>35.869999999999997</v>
      </c>
      <c r="F42" s="427">
        <v>2278</v>
      </c>
      <c r="G42" s="419">
        <f t="shared" si="31"/>
        <v>81711.86</v>
      </c>
      <c r="H42" s="90" t="s">
        <v>5</v>
      </c>
      <c r="I42" s="424">
        <v>9</v>
      </c>
      <c r="J42" s="63">
        <v>3000</v>
      </c>
      <c r="K42" s="64">
        <f t="shared" si="1"/>
        <v>333.33333333333331</v>
      </c>
      <c r="L42" s="424">
        <v>9</v>
      </c>
      <c r="M42" s="65">
        <f t="shared" si="32"/>
        <v>2908.0851063829791</v>
      </c>
      <c r="N42" s="65">
        <f t="shared" si="3"/>
        <v>323.12056737588659</v>
      </c>
      <c r="O42" s="66">
        <f t="shared" si="4"/>
        <v>0</v>
      </c>
      <c r="P42" s="67">
        <f t="shared" si="5"/>
        <v>-10.21276595744672</v>
      </c>
      <c r="Q42" s="420">
        <f t="shared" si="6"/>
        <v>0.96936170212765982</v>
      </c>
      <c r="R42" s="529"/>
      <c r="S42" s="68">
        <v>0.29166666666666663</v>
      </c>
      <c r="T42" s="68">
        <v>0.32430555555555551</v>
      </c>
      <c r="U42" s="419">
        <f t="shared" si="34"/>
        <v>4.9999999999999822</v>
      </c>
      <c r="V42" s="425">
        <f t="shared" si="33"/>
        <v>46.999999999999993</v>
      </c>
      <c r="W42" s="69"/>
      <c r="X42" s="69"/>
      <c r="Y42" s="517"/>
      <c r="Z42" s="518"/>
      <c r="AA42" s="66">
        <f t="shared" si="8"/>
        <v>-91.91489361702088</v>
      </c>
      <c r="AB42" s="420">
        <f t="shared" si="9"/>
        <v>0.96936170212765971</v>
      </c>
      <c r="AC42" s="529"/>
    </row>
    <row r="43" spans="1:29" ht="15.75" customHeight="1">
      <c r="A43" s="526" t="s">
        <v>2361</v>
      </c>
      <c r="B43" s="62" t="s">
        <v>35</v>
      </c>
      <c r="C43" s="521" t="s">
        <v>40</v>
      </c>
      <c r="D43" s="522"/>
      <c r="E43" s="62">
        <v>36.14</v>
      </c>
      <c r="F43" s="427">
        <v>953</v>
      </c>
      <c r="G43" s="419">
        <f t="shared" si="31"/>
        <v>34441.42</v>
      </c>
      <c r="H43" s="90" t="s">
        <v>5</v>
      </c>
      <c r="I43" s="424">
        <v>9</v>
      </c>
      <c r="J43" s="63">
        <v>3000</v>
      </c>
      <c r="K43" s="64">
        <f t="shared" si="1"/>
        <v>333.33333333333331</v>
      </c>
      <c r="L43" s="424">
        <v>9</v>
      </c>
      <c r="M43" s="65">
        <f t="shared" si="32"/>
        <v>2858.9999999999991</v>
      </c>
      <c r="N43" s="65">
        <f t="shared" si="3"/>
        <v>317.66666666666657</v>
      </c>
      <c r="O43" s="66">
        <f t="shared" si="4"/>
        <v>0</v>
      </c>
      <c r="P43" s="67">
        <f t="shared" si="5"/>
        <v>-15.666666666666742</v>
      </c>
      <c r="Q43" s="420">
        <f t="shared" si="6"/>
        <v>0.95299999999999974</v>
      </c>
      <c r="R43" s="529"/>
      <c r="S43" s="68">
        <v>0.32777777777777772</v>
      </c>
      <c r="T43" s="68">
        <v>0.34166666666666662</v>
      </c>
      <c r="U43" s="419">
        <f t="shared" si="34"/>
        <v>4.9999999999999822</v>
      </c>
      <c r="V43" s="425">
        <f t="shared" si="33"/>
        <v>20.000000000000007</v>
      </c>
      <c r="W43" s="69"/>
      <c r="X43" s="69"/>
      <c r="Y43" s="517"/>
      <c r="Z43" s="518"/>
      <c r="AA43" s="66">
        <f t="shared" si="8"/>
        <v>-141.00000000000091</v>
      </c>
      <c r="AB43" s="420">
        <f t="shared" si="9"/>
        <v>0.95299999999999974</v>
      </c>
      <c r="AC43" s="529"/>
    </row>
    <row r="44" spans="1:29" ht="15.75" customHeight="1">
      <c r="A44" s="526" t="s">
        <v>2361</v>
      </c>
      <c r="B44" s="62" t="s">
        <v>35</v>
      </c>
      <c r="C44" s="521" t="s">
        <v>74</v>
      </c>
      <c r="D44" s="522"/>
      <c r="E44" s="62">
        <v>34.36</v>
      </c>
      <c r="F44" s="427">
        <v>1739</v>
      </c>
      <c r="G44" s="419">
        <f t="shared" si="31"/>
        <v>59752.04</v>
      </c>
      <c r="H44" s="90" t="s">
        <v>5</v>
      </c>
      <c r="I44" s="72">
        <v>10</v>
      </c>
      <c r="J44" s="63">
        <v>3000</v>
      </c>
      <c r="K44" s="64">
        <f t="shared" si="1"/>
        <v>300</v>
      </c>
      <c r="L44" s="424">
        <v>10</v>
      </c>
      <c r="M44" s="65">
        <f t="shared" si="32"/>
        <v>2898.3333333333308</v>
      </c>
      <c r="N44" s="65">
        <f t="shared" si="3"/>
        <v>289.83333333333309</v>
      </c>
      <c r="O44" s="66">
        <f t="shared" si="4"/>
        <v>0</v>
      </c>
      <c r="P44" s="67">
        <f t="shared" si="5"/>
        <v>-10.166666666666913</v>
      </c>
      <c r="Q44" s="420">
        <f t="shared" si="6"/>
        <v>0.96611111111111025</v>
      </c>
      <c r="R44" s="529"/>
      <c r="S44" s="68">
        <v>0.34722222222222215</v>
      </c>
      <c r="T44" s="68">
        <v>0.37222222222222218</v>
      </c>
      <c r="U44" s="419">
        <f t="shared" si="34"/>
        <v>7.9999999999999716</v>
      </c>
      <c r="V44" s="425">
        <f t="shared" si="33"/>
        <v>36.000000000000028</v>
      </c>
      <c r="W44" s="69"/>
      <c r="X44" s="69"/>
      <c r="Y44" s="517"/>
      <c r="Z44" s="518"/>
      <c r="AA44" s="66">
        <f t="shared" si="8"/>
        <v>-101.66666666666924</v>
      </c>
      <c r="AB44" s="420">
        <f t="shared" si="9"/>
        <v>0.96611111111111025</v>
      </c>
      <c r="AC44" s="529"/>
    </row>
    <row r="45" spans="1:29" ht="15.75" customHeight="1">
      <c r="A45" s="526" t="s">
        <v>2361</v>
      </c>
      <c r="B45" s="62" t="s">
        <v>35</v>
      </c>
      <c r="C45" s="521" t="s">
        <v>84</v>
      </c>
      <c r="D45" s="522"/>
      <c r="E45" s="62">
        <v>31</v>
      </c>
      <c r="F45" s="427">
        <v>2726</v>
      </c>
      <c r="G45" s="419">
        <f t="shared" si="31"/>
        <v>84506</v>
      </c>
      <c r="H45" s="90" t="s">
        <v>5</v>
      </c>
      <c r="I45" s="424">
        <v>13</v>
      </c>
      <c r="J45" s="63">
        <v>2000</v>
      </c>
      <c r="K45" s="64">
        <f t="shared" si="1"/>
        <v>153.84615384615384</v>
      </c>
      <c r="L45" s="424">
        <v>13</v>
      </c>
      <c r="M45" s="65">
        <f t="shared" si="32"/>
        <v>1924.2352941176466</v>
      </c>
      <c r="N45" s="65">
        <f t="shared" si="3"/>
        <v>148.01809954751127</v>
      </c>
      <c r="O45" s="66">
        <f t="shared" si="4"/>
        <v>0</v>
      </c>
      <c r="P45" s="67">
        <f t="shared" si="5"/>
        <v>-5.8280542986425701</v>
      </c>
      <c r="Q45" s="420">
        <f t="shared" si="6"/>
        <v>0.9621176470588233</v>
      </c>
      <c r="R45" s="529"/>
      <c r="S45" s="68">
        <v>0.37777777777777771</v>
      </c>
      <c r="T45" s="68">
        <v>0.4368055555555555</v>
      </c>
      <c r="U45" s="419">
        <f t="shared" si="34"/>
        <v>7.9999999999999716</v>
      </c>
      <c r="V45" s="425">
        <f t="shared" si="33"/>
        <v>85.000000000000014</v>
      </c>
      <c r="W45" s="69"/>
      <c r="X45" s="69"/>
      <c r="Y45" s="517"/>
      <c r="Z45" s="518"/>
      <c r="AA45" s="66">
        <f t="shared" si="8"/>
        <v>-75.764705882353383</v>
      </c>
      <c r="AB45" s="420">
        <f t="shared" si="9"/>
        <v>0.9621176470588233</v>
      </c>
      <c r="AC45" s="529"/>
    </row>
    <row r="46" spans="1:29" ht="15.75" customHeight="1">
      <c r="A46" s="527" t="s">
        <v>2361</v>
      </c>
      <c r="B46" s="62" t="s">
        <v>2355</v>
      </c>
      <c r="C46" s="508"/>
      <c r="D46" s="509"/>
      <c r="E46" s="418"/>
      <c r="F46" s="427"/>
      <c r="G46" s="419"/>
      <c r="H46" s="427"/>
      <c r="I46" s="424">
        <v>10.142857142857142</v>
      </c>
      <c r="J46" s="63">
        <v>2857.1428571428573</v>
      </c>
      <c r="K46" s="64">
        <f t="shared" si="1"/>
        <v>281.69014084507046</v>
      </c>
      <c r="L46" s="72">
        <v>10.142857142857142</v>
      </c>
      <c r="M46" s="65">
        <f>AVERAGE(M39:M45)</f>
        <v>2742.2736238743514</v>
      </c>
      <c r="N46" s="64">
        <f t="shared" si="3"/>
        <v>270.36500517071073</v>
      </c>
      <c r="O46" s="66">
        <f t="shared" si="4"/>
        <v>0</v>
      </c>
      <c r="P46" s="67">
        <f t="shared" si="5"/>
        <v>-11.325135674359728</v>
      </c>
      <c r="Q46" s="420">
        <f t="shared" si="6"/>
        <v>0.95979576835602298</v>
      </c>
      <c r="R46" s="530"/>
      <c r="S46" s="68"/>
      <c r="T46" s="68"/>
      <c r="U46" s="419"/>
      <c r="V46" s="425"/>
      <c r="W46" s="69"/>
      <c r="X46" s="69"/>
      <c r="Y46" s="517"/>
      <c r="Z46" s="518"/>
      <c r="AA46" s="66">
        <f t="shared" si="8"/>
        <v>-114.86923326850592</v>
      </c>
      <c r="AB46" s="420">
        <f t="shared" si="9"/>
        <v>0.95979576835602298</v>
      </c>
      <c r="AC46" s="530"/>
    </row>
    <row r="47" spans="1:29" ht="15.75" customHeight="1">
      <c r="A47" s="523" t="s">
        <v>2362</v>
      </c>
      <c r="B47" s="62" t="s">
        <v>10</v>
      </c>
      <c r="C47" s="512" t="s">
        <v>41</v>
      </c>
      <c r="D47" s="512"/>
      <c r="E47" s="62">
        <v>46</v>
      </c>
      <c r="F47" s="74">
        <v>1714</v>
      </c>
      <c r="G47" s="419">
        <f t="shared" ref="G47:G52" si="35">E47*F47</f>
        <v>78844</v>
      </c>
      <c r="H47" s="90" t="s">
        <v>5</v>
      </c>
      <c r="I47" s="72">
        <v>17</v>
      </c>
      <c r="J47" s="63">
        <v>2000</v>
      </c>
      <c r="K47" s="64">
        <f t="shared" si="1"/>
        <v>117.64705882352941</v>
      </c>
      <c r="L47" s="424">
        <v>17</v>
      </c>
      <c r="M47" s="65">
        <f t="shared" ref="M47:M52" si="36">F47/V47*60</f>
        <v>1940.3773584905653</v>
      </c>
      <c r="N47" s="65">
        <f t="shared" si="3"/>
        <v>114.13984461709208</v>
      </c>
      <c r="O47" s="66">
        <f t="shared" si="4"/>
        <v>0</v>
      </c>
      <c r="P47" s="67">
        <f t="shared" si="5"/>
        <v>-3.5072142064373253</v>
      </c>
      <c r="Q47" s="420">
        <f t="shared" si="6"/>
        <v>0.97018867924528274</v>
      </c>
      <c r="R47" s="511">
        <f>Q53</f>
        <v>0.96395863947327276</v>
      </c>
      <c r="S47" s="68">
        <v>0.20833333333333334</v>
      </c>
      <c r="T47" s="68">
        <v>0.24513888888888891</v>
      </c>
      <c r="U47" s="73"/>
      <c r="V47" s="425">
        <f t="shared" ref="V47:V52" si="37">(T47-S47)*24*60</f>
        <v>53.000000000000014</v>
      </c>
      <c r="W47" s="73"/>
      <c r="X47" s="73"/>
      <c r="Y47" s="510"/>
      <c r="Z47" s="510"/>
      <c r="AA47" s="66">
        <f t="shared" si="8"/>
        <v>-59.622641509434743</v>
      </c>
      <c r="AB47" s="420">
        <f t="shared" si="9"/>
        <v>0.97018867924528263</v>
      </c>
      <c r="AC47" s="511">
        <f>AB53</f>
        <v>0.96395863947327276</v>
      </c>
    </row>
    <row r="48" spans="1:29" ht="15.75" customHeight="1">
      <c r="A48" s="523" t="s">
        <v>2362</v>
      </c>
      <c r="B48" s="62" t="s">
        <v>10</v>
      </c>
      <c r="C48" s="512" t="s">
        <v>42</v>
      </c>
      <c r="D48" s="512"/>
      <c r="E48" s="62">
        <v>46</v>
      </c>
      <c r="F48" s="74">
        <v>1899</v>
      </c>
      <c r="G48" s="419">
        <f t="shared" si="35"/>
        <v>87354</v>
      </c>
      <c r="H48" s="90" t="s">
        <v>5</v>
      </c>
      <c r="I48" s="424">
        <v>17</v>
      </c>
      <c r="J48" s="63">
        <v>2000</v>
      </c>
      <c r="K48" s="64">
        <f t="shared" si="1"/>
        <v>117.64705882352941</v>
      </c>
      <c r="L48" s="424">
        <v>17</v>
      </c>
      <c r="M48" s="65">
        <f t="shared" si="36"/>
        <v>1931.1864406779662</v>
      </c>
      <c r="N48" s="65">
        <f t="shared" si="3"/>
        <v>113.59920239282154</v>
      </c>
      <c r="O48" s="66">
        <f t="shared" si="4"/>
        <v>0</v>
      </c>
      <c r="P48" s="67">
        <f t="shared" si="5"/>
        <v>-4.047856430707867</v>
      </c>
      <c r="Q48" s="420">
        <f t="shared" si="6"/>
        <v>0.96559322033898309</v>
      </c>
      <c r="R48" s="511"/>
      <c r="S48" s="68">
        <v>0.24930555555555559</v>
      </c>
      <c r="T48" s="68">
        <v>0.2902777777777778</v>
      </c>
      <c r="U48" s="419">
        <f t="shared" ref="U48:U52" si="38">IF(S48=TIME(17,0,0),"",(S48-T47)*24*60)</f>
        <v>6.0000000000000187</v>
      </c>
      <c r="V48" s="425">
        <f t="shared" si="37"/>
        <v>58.999999999999993</v>
      </c>
      <c r="W48" s="69"/>
      <c r="X48" s="69"/>
      <c r="Y48" s="510"/>
      <c r="Z48" s="510"/>
      <c r="AA48" s="66">
        <f t="shared" si="8"/>
        <v>-68.813559322033825</v>
      </c>
      <c r="AB48" s="420">
        <f t="shared" si="9"/>
        <v>0.96559322033898309</v>
      </c>
      <c r="AC48" s="511"/>
    </row>
    <row r="49" spans="1:29" ht="15.75" customHeight="1">
      <c r="A49" s="523" t="s">
        <v>2362</v>
      </c>
      <c r="B49" s="62" t="s">
        <v>6</v>
      </c>
      <c r="C49" s="521" t="s">
        <v>43</v>
      </c>
      <c r="D49" s="522"/>
      <c r="E49" s="62">
        <v>55.56</v>
      </c>
      <c r="F49" s="74">
        <v>1751</v>
      </c>
      <c r="G49" s="419">
        <f t="shared" si="35"/>
        <v>97285.56</v>
      </c>
      <c r="H49" s="90" t="s">
        <v>5</v>
      </c>
      <c r="I49" s="424">
        <v>17</v>
      </c>
      <c r="J49" s="63">
        <v>2000</v>
      </c>
      <c r="K49" s="64">
        <f t="shared" si="1"/>
        <v>117.64705882352941</v>
      </c>
      <c r="L49" s="424">
        <v>17</v>
      </c>
      <c r="M49" s="65">
        <f t="shared" si="36"/>
        <v>1910.1818181818194</v>
      </c>
      <c r="N49" s="65">
        <f t="shared" si="3"/>
        <v>112.36363636363643</v>
      </c>
      <c r="O49" s="66">
        <f t="shared" si="4"/>
        <v>0</v>
      </c>
      <c r="P49" s="67">
        <f t="shared" si="5"/>
        <v>-5.2834224598929751</v>
      </c>
      <c r="Q49" s="420">
        <f t="shared" si="6"/>
        <v>0.95509090909090966</v>
      </c>
      <c r="R49" s="511"/>
      <c r="S49" s="68">
        <v>0.70833333333333337</v>
      </c>
      <c r="T49" s="68">
        <v>0.74652777777777779</v>
      </c>
      <c r="U49" s="419" t="str">
        <f t="shared" si="38"/>
        <v/>
      </c>
      <c r="V49" s="425">
        <f t="shared" si="37"/>
        <v>54.999999999999964</v>
      </c>
      <c r="W49" s="69"/>
      <c r="X49" s="69"/>
      <c r="Y49" s="416"/>
      <c r="Z49" s="417"/>
      <c r="AA49" s="66">
        <f t="shared" si="8"/>
        <v>-89.818181818180619</v>
      </c>
      <c r="AB49" s="420">
        <f t="shared" si="9"/>
        <v>0.95509090909090966</v>
      </c>
      <c r="AC49" s="511"/>
    </row>
    <row r="50" spans="1:29" ht="15.75" customHeight="1">
      <c r="A50" s="523" t="s">
        <v>2362</v>
      </c>
      <c r="B50" s="62" t="s">
        <v>6</v>
      </c>
      <c r="C50" s="422" t="s">
        <v>44</v>
      </c>
      <c r="D50" s="423"/>
      <c r="E50" s="62">
        <v>55.32</v>
      </c>
      <c r="F50" s="74">
        <v>1327</v>
      </c>
      <c r="G50" s="419">
        <f t="shared" si="35"/>
        <v>73409.64</v>
      </c>
      <c r="H50" s="90" t="s">
        <v>5</v>
      </c>
      <c r="I50" s="424">
        <v>15</v>
      </c>
      <c r="J50" s="63">
        <v>2000</v>
      </c>
      <c r="K50" s="64">
        <f t="shared" si="1"/>
        <v>133.33333333333334</v>
      </c>
      <c r="L50" s="424">
        <v>15</v>
      </c>
      <c r="M50" s="65">
        <f t="shared" si="36"/>
        <v>1941.9512195121943</v>
      </c>
      <c r="N50" s="65">
        <f t="shared" si="3"/>
        <v>129.46341463414629</v>
      </c>
      <c r="O50" s="66">
        <f t="shared" si="4"/>
        <v>0</v>
      </c>
      <c r="P50" s="67">
        <f t="shared" si="5"/>
        <v>-3.8699186991870533</v>
      </c>
      <c r="Q50" s="420">
        <f t="shared" si="6"/>
        <v>0.97097560975609709</v>
      </c>
      <c r="R50" s="511"/>
      <c r="S50" s="68">
        <v>0.75069444444444444</v>
      </c>
      <c r="T50" s="68">
        <v>0.77916666666666667</v>
      </c>
      <c r="U50" s="419">
        <f t="shared" si="38"/>
        <v>5.9999999999999787</v>
      </c>
      <c r="V50" s="425">
        <f t="shared" si="37"/>
        <v>41.000000000000014</v>
      </c>
      <c r="W50" s="69"/>
      <c r="X50" s="69"/>
      <c r="Y50" s="416"/>
      <c r="Z50" s="417"/>
      <c r="AA50" s="66">
        <f t="shared" si="8"/>
        <v>-58.048780487805743</v>
      </c>
      <c r="AB50" s="420">
        <f t="shared" si="9"/>
        <v>0.97097560975609709</v>
      </c>
      <c r="AC50" s="511"/>
    </row>
    <row r="51" spans="1:29" ht="15.75" customHeight="1">
      <c r="A51" s="523" t="s">
        <v>2362</v>
      </c>
      <c r="B51" s="62" t="s">
        <v>6</v>
      </c>
      <c r="C51" s="422" t="s">
        <v>1462</v>
      </c>
      <c r="D51" s="423"/>
      <c r="E51" s="62">
        <v>53.68</v>
      </c>
      <c r="F51" s="74">
        <v>1500</v>
      </c>
      <c r="G51" s="419">
        <f t="shared" si="35"/>
        <v>80520</v>
      </c>
      <c r="H51" s="90">
        <v>2</v>
      </c>
      <c r="I51" s="424">
        <v>16</v>
      </c>
      <c r="J51" s="63">
        <v>1500</v>
      </c>
      <c r="K51" s="64">
        <f t="shared" si="1"/>
        <v>93.75</v>
      </c>
      <c r="L51" s="424">
        <v>16</v>
      </c>
      <c r="M51" s="65">
        <f t="shared" si="36"/>
        <v>1451.6129032258077</v>
      </c>
      <c r="N51" s="65">
        <f t="shared" si="3"/>
        <v>90.725806451612982</v>
      </c>
      <c r="O51" s="66">
        <f t="shared" si="4"/>
        <v>0</v>
      </c>
      <c r="P51" s="67">
        <f t="shared" si="5"/>
        <v>-3.0241935483870179</v>
      </c>
      <c r="Q51" s="420">
        <f t="shared" si="6"/>
        <v>0.96774193548387177</v>
      </c>
      <c r="R51" s="511"/>
      <c r="S51" s="68">
        <v>0.78263888888888888</v>
      </c>
      <c r="T51" s="68">
        <v>0.8256944444444444</v>
      </c>
      <c r="U51" s="419">
        <f t="shared" si="38"/>
        <v>4.9999999999999822</v>
      </c>
      <c r="V51" s="425">
        <f t="shared" si="37"/>
        <v>61.999999999999943</v>
      </c>
      <c r="W51" s="69">
        <f>T51</f>
        <v>0.8256944444444444</v>
      </c>
      <c r="X51" s="69">
        <f>S52</f>
        <v>0.8652777777777777</v>
      </c>
      <c r="Y51" s="416"/>
      <c r="Z51" s="417"/>
      <c r="AA51" s="66">
        <f t="shared" si="8"/>
        <v>-48.387096774192287</v>
      </c>
      <c r="AB51" s="420">
        <f t="shared" si="9"/>
        <v>0.96774193548387177</v>
      </c>
      <c r="AC51" s="511"/>
    </row>
    <row r="52" spans="1:29" ht="15.6" customHeight="1">
      <c r="A52" s="523" t="s">
        <v>2363</v>
      </c>
      <c r="B52" s="62" t="s">
        <v>6</v>
      </c>
      <c r="C52" s="521" t="s">
        <v>1462</v>
      </c>
      <c r="D52" s="522"/>
      <c r="E52" s="62">
        <v>53.68</v>
      </c>
      <c r="F52" s="74">
        <v>1214</v>
      </c>
      <c r="G52" s="419">
        <f t="shared" si="35"/>
        <v>65167.519999999997</v>
      </c>
      <c r="H52" s="90" t="s">
        <v>5</v>
      </c>
      <c r="I52" s="424">
        <v>16</v>
      </c>
      <c r="J52" s="63">
        <v>1500</v>
      </c>
      <c r="K52" s="64">
        <f t="shared" si="1"/>
        <v>93.75</v>
      </c>
      <c r="L52" s="424">
        <v>16</v>
      </c>
      <c r="M52" s="65">
        <f t="shared" si="36"/>
        <v>1428.2352941176478</v>
      </c>
      <c r="N52" s="65">
        <f t="shared" si="3"/>
        <v>89.264705882352985</v>
      </c>
      <c r="O52" s="66">
        <f t="shared" si="4"/>
        <v>0</v>
      </c>
      <c r="P52" s="67">
        <f t="shared" si="5"/>
        <v>-4.4852941176470154</v>
      </c>
      <c r="Q52" s="420">
        <f t="shared" si="6"/>
        <v>0.95215686274509848</v>
      </c>
      <c r="R52" s="511"/>
      <c r="S52" s="68">
        <v>0.8652777777777777</v>
      </c>
      <c r="T52" s="68">
        <v>0.90069444444444435</v>
      </c>
      <c r="U52" s="419">
        <f t="shared" si="38"/>
        <v>56.999999999999957</v>
      </c>
      <c r="V52" s="425">
        <f t="shared" si="37"/>
        <v>50.999999999999979</v>
      </c>
      <c r="W52" s="69"/>
      <c r="X52" s="69"/>
      <c r="Y52" s="517"/>
      <c r="Z52" s="518"/>
      <c r="AA52" s="66">
        <f t="shared" si="8"/>
        <v>-71.764705882352246</v>
      </c>
      <c r="AB52" s="420">
        <f t="shared" si="9"/>
        <v>0.95215686274509848</v>
      </c>
      <c r="AC52" s="511"/>
    </row>
    <row r="53" spans="1:29">
      <c r="A53" s="524" t="s">
        <v>2363</v>
      </c>
      <c r="B53" s="62" t="s">
        <v>2364</v>
      </c>
      <c r="C53" s="513"/>
      <c r="D53" s="513"/>
      <c r="E53" s="421"/>
      <c r="F53" s="71"/>
      <c r="G53" s="64"/>
      <c r="H53" s="427"/>
      <c r="I53" s="424">
        <v>16.333333333333332</v>
      </c>
      <c r="J53" s="63">
        <v>1833.3333333333333</v>
      </c>
      <c r="K53" s="64">
        <f t="shared" si="1"/>
        <v>112.24489795918367</v>
      </c>
      <c r="L53" s="72">
        <v>16.333333333333332</v>
      </c>
      <c r="M53" s="65">
        <f>AVERAGE(M47:M52)</f>
        <v>1767.2575057009999</v>
      </c>
      <c r="N53" s="64">
        <f t="shared" si="3"/>
        <v>108.19943912455102</v>
      </c>
      <c r="O53" s="66">
        <f t="shared" si="4"/>
        <v>0</v>
      </c>
      <c r="P53" s="67">
        <f t="shared" si="5"/>
        <v>-4.0454588346326545</v>
      </c>
      <c r="Q53" s="420">
        <f t="shared" si="6"/>
        <v>0.96395863947327276</v>
      </c>
      <c r="R53" s="511"/>
      <c r="S53" s="75"/>
      <c r="T53" s="68"/>
      <c r="U53" s="64"/>
      <c r="V53" s="425"/>
      <c r="W53" s="64"/>
      <c r="X53" s="64"/>
      <c r="Y53" s="510"/>
      <c r="Z53" s="510"/>
      <c r="AA53" s="66">
        <f t="shared" si="8"/>
        <v>-66.075827632333358</v>
      </c>
      <c r="AB53" s="420">
        <f t="shared" si="9"/>
        <v>0.96395863947327276</v>
      </c>
      <c r="AC53" s="511"/>
    </row>
    <row r="54" spans="1:29" ht="15.75" customHeight="1">
      <c r="A54" s="519" t="s">
        <v>2365</v>
      </c>
      <c r="B54" s="427" t="s">
        <v>10</v>
      </c>
      <c r="C54" s="512" t="s">
        <v>46</v>
      </c>
      <c r="D54" s="512"/>
      <c r="E54" s="62">
        <v>26.97</v>
      </c>
      <c r="F54" s="74">
        <v>2436</v>
      </c>
      <c r="G54" s="419">
        <f t="shared" ref="G54:G57" si="39">E54*F54</f>
        <v>65698.92</v>
      </c>
      <c r="H54" s="90" t="s">
        <v>5</v>
      </c>
      <c r="I54" s="424">
        <v>8</v>
      </c>
      <c r="J54" s="63">
        <v>1500</v>
      </c>
      <c r="K54" s="64">
        <f t="shared" si="1"/>
        <v>187.5</v>
      </c>
      <c r="L54" s="424">
        <v>8</v>
      </c>
      <c r="M54" s="65">
        <f t="shared" ref="M54:M57" si="40">F54/V54*60</f>
        <v>1432.9411764705883</v>
      </c>
      <c r="N54" s="64">
        <f t="shared" si="3"/>
        <v>179.11764705882354</v>
      </c>
      <c r="O54" s="66">
        <f t="shared" si="4"/>
        <v>0</v>
      </c>
      <c r="P54" s="67">
        <f t="shared" si="5"/>
        <v>-8.3823529411764639</v>
      </c>
      <c r="Q54" s="420">
        <f t="shared" si="6"/>
        <v>0.95529411764705885</v>
      </c>
      <c r="R54" s="511">
        <f>Q58</f>
        <v>0.95927161699376973</v>
      </c>
      <c r="S54" s="68">
        <v>0.20833333333333334</v>
      </c>
      <c r="T54" s="68">
        <v>0.27916666666666667</v>
      </c>
      <c r="U54" s="419"/>
      <c r="V54" s="425">
        <f t="shared" ref="V54:V57" si="41">(T54-S54)*24*60</f>
        <v>102</v>
      </c>
      <c r="W54" s="73"/>
      <c r="X54" s="73"/>
      <c r="Y54" s="510"/>
      <c r="Z54" s="510"/>
      <c r="AA54" s="66">
        <f t="shared" si="8"/>
        <v>-67.058823529411711</v>
      </c>
      <c r="AB54" s="420">
        <f t="shared" si="9"/>
        <v>0.95529411764705885</v>
      </c>
      <c r="AC54" s="511">
        <f>AB58</f>
        <v>0.95927161699376973</v>
      </c>
    </row>
    <row r="55" spans="1:29" ht="15.75" customHeight="1">
      <c r="A55" s="519" t="s">
        <v>2365</v>
      </c>
      <c r="B55" s="427" t="s">
        <v>35</v>
      </c>
      <c r="C55" s="512" t="s">
        <v>45</v>
      </c>
      <c r="D55" s="512"/>
      <c r="E55" s="62">
        <v>26.78</v>
      </c>
      <c r="F55" s="74">
        <v>2016</v>
      </c>
      <c r="G55" s="419">
        <f t="shared" si="39"/>
        <v>53988.480000000003</v>
      </c>
      <c r="H55" s="90" t="s">
        <v>5</v>
      </c>
      <c r="I55" s="424">
        <v>10</v>
      </c>
      <c r="J55" s="63">
        <v>3000</v>
      </c>
      <c r="K55" s="64">
        <f t="shared" si="1"/>
        <v>300</v>
      </c>
      <c r="L55" s="424">
        <v>10</v>
      </c>
      <c r="M55" s="65">
        <f t="shared" si="40"/>
        <v>2879.9999999999991</v>
      </c>
      <c r="N55" s="64">
        <f t="shared" si="3"/>
        <v>287.99999999999989</v>
      </c>
      <c r="O55" s="66">
        <f t="shared" si="4"/>
        <v>0</v>
      </c>
      <c r="P55" s="67">
        <f t="shared" si="5"/>
        <v>-12.000000000000114</v>
      </c>
      <c r="Q55" s="420">
        <f t="shared" si="6"/>
        <v>0.95999999999999963</v>
      </c>
      <c r="R55" s="511"/>
      <c r="S55" s="68">
        <v>0.28472222222222221</v>
      </c>
      <c r="T55" s="68">
        <v>0.31388888888888888</v>
      </c>
      <c r="U55" s="419">
        <f t="shared" ref="U55:U57" si="42">(S55-T54)*24*60</f>
        <v>7.9999999999999716</v>
      </c>
      <c r="V55" s="425">
        <f t="shared" si="41"/>
        <v>42.000000000000014</v>
      </c>
      <c r="W55" s="419"/>
      <c r="X55" s="419"/>
      <c r="Y55" s="510"/>
      <c r="Z55" s="510"/>
      <c r="AA55" s="66">
        <f t="shared" si="8"/>
        <v>-120.00000000000091</v>
      </c>
      <c r="AB55" s="420">
        <f t="shared" si="9"/>
        <v>0.95999999999999974</v>
      </c>
      <c r="AC55" s="511"/>
    </row>
    <row r="56" spans="1:29" ht="15.75" customHeight="1">
      <c r="A56" s="519" t="s">
        <v>2365</v>
      </c>
      <c r="B56" s="427" t="s">
        <v>35</v>
      </c>
      <c r="C56" s="512" t="s">
        <v>75</v>
      </c>
      <c r="D56" s="512"/>
      <c r="E56" s="62">
        <v>37.880000000000003</v>
      </c>
      <c r="F56" s="74">
        <v>2480</v>
      </c>
      <c r="G56" s="419">
        <f t="shared" si="39"/>
        <v>93942.400000000009</v>
      </c>
      <c r="H56" s="90" t="s">
        <v>5</v>
      </c>
      <c r="I56" s="72">
        <v>10</v>
      </c>
      <c r="J56" s="63">
        <v>3000</v>
      </c>
      <c r="K56" s="64">
        <f t="shared" si="1"/>
        <v>300</v>
      </c>
      <c r="L56" s="424">
        <v>10</v>
      </c>
      <c r="M56" s="65">
        <f t="shared" si="40"/>
        <v>2861.5384615384633</v>
      </c>
      <c r="N56" s="64">
        <f t="shared" si="3"/>
        <v>286.1538461538463</v>
      </c>
      <c r="O56" s="66">
        <f t="shared" si="4"/>
        <v>0</v>
      </c>
      <c r="P56" s="67">
        <f t="shared" si="5"/>
        <v>-13.846153846153697</v>
      </c>
      <c r="Q56" s="420">
        <f t="shared" si="6"/>
        <v>0.95384615384615434</v>
      </c>
      <c r="R56" s="511"/>
      <c r="S56" s="68">
        <v>0.31874999999999998</v>
      </c>
      <c r="T56" s="68">
        <v>0.35486111111111107</v>
      </c>
      <c r="U56" s="419">
        <f t="shared" si="42"/>
        <v>6.9999999999999751</v>
      </c>
      <c r="V56" s="425">
        <f t="shared" si="41"/>
        <v>51.999999999999972</v>
      </c>
      <c r="W56" s="419"/>
      <c r="X56" s="419"/>
      <c r="Y56" s="510"/>
      <c r="Z56" s="510"/>
      <c r="AA56" s="66">
        <f t="shared" si="8"/>
        <v>-138.46153846153675</v>
      </c>
      <c r="AB56" s="420">
        <f t="shared" si="9"/>
        <v>0.95384615384615445</v>
      </c>
      <c r="AC56" s="511"/>
    </row>
    <row r="57" spans="1:29" ht="15.75" customHeight="1">
      <c r="A57" s="519" t="s">
        <v>2365</v>
      </c>
      <c r="B57" s="427" t="s">
        <v>35</v>
      </c>
      <c r="C57" s="512" t="s">
        <v>85</v>
      </c>
      <c r="D57" s="512"/>
      <c r="E57" s="62">
        <v>40.51</v>
      </c>
      <c r="F57" s="74">
        <v>2270</v>
      </c>
      <c r="G57" s="419">
        <f t="shared" si="39"/>
        <v>91957.7</v>
      </c>
      <c r="H57" s="90" t="s">
        <v>5</v>
      </c>
      <c r="I57" s="424">
        <v>8</v>
      </c>
      <c r="J57" s="63">
        <v>3000</v>
      </c>
      <c r="K57" s="64">
        <f t="shared" si="1"/>
        <v>375</v>
      </c>
      <c r="L57" s="424">
        <v>8</v>
      </c>
      <c r="M57" s="65">
        <f t="shared" si="40"/>
        <v>2897.8723404255325</v>
      </c>
      <c r="N57" s="64">
        <f t="shared" si="3"/>
        <v>362.23404255319156</v>
      </c>
      <c r="O57" s="66">
        <f t="shared" si="4"/>
        <v>0</v>
      </c>
      <c r="P57" s="67">
        <f t="shared" si="5"/>
        <v>-12.765957446808443</v>
      </c>
      <c r="Q57" s="420">
        <f t="shared" si="6"/>
        <v>0.96595744680851081</v>
      </c>
      <c r="R57" s="511"/>
      <c r="S57" s="68">
        <v>0.35902777777777772</v>
      </c>
      <c r="T57" s="68">
        <v>0.39166666666666661</v>
      </c>
      <c r="U57" s="419">
        <f t="shared" si="42"/>
        <v>5.9999999999999787</v>
      </c>
      <c r="V57" s="425">
        <f t="shared" si="41"/>
        <v>46.999999999999993</v>
      </c>
      <c r="W57" s="419"/>
      <c r="X57" s="419"/>
      <c r="Y57" s="510"/>
      <c r="Z57" s="510"/>
      <c r="AA57" s="66">
        <f t="shared" si="8"/>
        <v>-102.12765957446754</v>
      </c>
      <c r="AB57" s="420">
        <f t="shared" si="9"/>
        <v>0.96595744680851081</v>
      </c>
      <c r="AC57" s="511"/>
    </row>
    <row r="58" spans="1:29">
      <c r="A58" s="520" t="s">
        <v>2365</v>
      </c>
      <c r="B58" s="62" t="s">
        <v>2366</v>
      </c>
      <c r="C58" s="513"/>
      <c r="D58" s="513"/>
      <c r="E58" s="421"/>
      <c r="F58" s="71"/>
      <c r="G58" s="64"/>
      <c r="H58" s="427"/>
      <c r="I58" s="424">
        <v>9</v>
      </c>
      <c r="J58" s="63">
        <v>2625</v>
      </c>
      <c r="K58" s="64">
        <f t="shared" si="1"/>
        <v>291.66666666666669</v>
      </c>
      <c r="L58" s="72">
        <v>9</v>
      </c>
      <c r="M58" s="65">
        <f>AVERAGE(M54:M57)</f>
        <v>2518.0879946086457</v>
      </c>
      <c r="N58" s="64">
        <f t="shared" si="3"/>
        <v>279.7875549565162</v>
      </c>
      <c r="O58" s="66">
        <f t="shared" si="4"/>
        <v>0</v>
      </c>
      <c r="P58" s="67">
        <f t="shared" si="5"/>
        <v>-11.879111710150482</v>
      </c>
      <c r="Q58" s="420">
        <f t="shared" si="6"/>
        <v>0.95927161699376973</v>
      </c>
      <c r="R58" s="511"/>
      <c r="S58" s="68"/>
      <c r="T58" s="68"/>
      <c r="U58" s="64"/>
      <c r="V58" s="425"/>
      <c r="W58" s="64"/>
      <c r="X58" s="64"/>
      <c r="Y58" s="510"/>
      <c r="Z58" s="510"/>
      <c r="AA58" s="66">
        <f t="shared" si="8"/>
        <v>-106.91200539135434</v>
      </c>
      <c r="AB58" s="420">
        <f t="shared" si="9"/>
        <v>0.95927161699376973</v>
      </c>
      <c r="AC58" s="511"/>
    </row>
    <row r="59" spans="1:29" ht="15.75" customHeight="1">
      <c r="A59" s="514" t="s">
        <v>2367</v>
      </c>
      <c r="B59" s="427" t="s">
        <v>16</v>
      </c>
      <c r="C59" s="512" t="s">
        <v>48</v>
      </c>
      <c r="D59" s="512"/>
      <c r="E59" s="62">
        <v>20.2</v>
      </c>
      <c r="F59" s="427">
        <v>1769</v>
      </c>
      <c r="G59" s="419">
        <f t="shared" ref="G59:G65" si="43">E59*F59</f>
        <v>35733.799999999996</v>
      </c>
      <c r="H59" s="90" t="s">
        <v>5</v>
      </c>
      <c r="I59" s="72">
        <v>19</v>
      </c>
      <c r="J59" s="63">
        <v>2400</v>
      </c>
      <c r="K59" s="64">
        <f t="shared" si="1"/>
        <v>126.31578947368421</v>
      </c>
      <c r="L59" s="424">
        <v>19</v>
      </c>
      <c r="M59" s="65">
        <f t="shared" ref="M59:M65" si="44">F59/V59*60</f>
        <v>2307.3913043478256</v>
      </c>
      <c r="N59" s="64">
        <f t="shared" si="3"/>
        <v>121.44164759725398</v>
      </c>
      <c r="O59" s="66">
        <f t="shared" si="4"/>
        <v>0</v>
      </c>
      <c r="P59" s="67">
        <f t="shared" si="5"/>
        <v>-4.8741418764302296</v>
      </c>
      <c r="Q59" s="420">
        <f t="shared" si="6"/>
        <v>0.96141304347826073</v>
      </c>
      <c r="R59" s="511">
        <f>Q66</f>
        <v>0.95878122877927985</v>
      </c>
      <c r="S59" s="68">
        <v>8.3333333333333329E-2</v>
      </c>
      <c r="T59" s="68">
        <v>0.11527777777777778</v>
      </c>
      <c r="U59" s="73"/>
      <c r="V59" s="425">
        <f t="shared" ref="V59:V65" si="45">(T59-S59)*24*60</f>
        <v>46.000000000000014</v>
      </c>
      <c r="W59" s="69">
        <f>T59</f>
        <v>0.11527777777777778</v>
      </c>
      <c r="X59" s="69">
        <f>S60</f>
        <v>0.1340277777777778</v>
      </c>
      <c r="Y59" s="510"/>
      <c r="Z59" s="510"/>
      <c r="AA59" s="66">
        <f t="shared" si="8"/>
        <v>-92.608695652174447</v>
      </c>
      <c r="AB59" s="420">
        <f t="shared" si="9"/>
        <v>0.96141304347826062</v>
      </c>
      <c r="AC59" s="511">
        <f>AB66</f>
        <v>0.95878122877927996</v>
      </c>
    </row>
    <row r="60" spans="1:29" ht="15.75" customHeight="1">
      <c r="A60" s="515" t="s">
        <v>2367</v>
      </c>
      <c r="B60" s="427" t="s">
        <v>16</v>
      </c>
      <c r="C60" s="512" t="s">
        <v>17</v>
      </c>
      <c r="D60" s="512"/>
      <c r="E60" s="62">
        <v>24.45</v>
      </c>
      <c r="F60" s="427">
        <v>1933</v>
      </c>
      <c r="G60" s="419">
        <f t="shared" si="43"/>
        <v>47261.85</v>
      </c>
      <c r="H60" s="90" t="s">
        <v>5</v>
      </c>
      <c r="I60" s="424">
        <v>20</v>
      </c>
      <c r="J60" s="63">
        <v>2400</v>
      </c>
      <c r="K60" s="64">
        <f t="shared" si="1"/>
        <v>120</v>
      </c>
      <c r="L60" s="424">
        <v>20</v>
      </c>
      <c r="M60" s="65">
        <f t="shared" si="44"/>
        <v>2319.6000000000008</v>
      </c>
      <c r="N60" s="64">
        <f t="shared" si="3"/>
        <v>115.98000000000005</v>
      </c>
      <c r="O60" s="66">
        <f t="shared" si="4"/>
        <v>0</v>
      </c>
      <c r="P60" s="67">
        <f t="shared" si="5"/>
        <v>-4.0199999999999534</v>
      </c>
      <c r="Q60" s="420">
        <f t="shared" si="6"/>
        <v>0.96650000000000036</v>
      </c>
      <c r="R60" s="511"/>
      <c r="S60" s="68">
        <v>0.1340277777777778</v>
      </c>
      <c r="T60" s="68">
        <v>0.16875000000000001</v>
      </c>
      <c r="U60" s="419">
        <f t="shared" ref="U60:U65" si="46">(S60-T59)*24*60</f>
        <v>27.000000000000025</v>
      </c>
      <c r="V60" s="425">
        <f t="shared" si="45"/>
        <v>49.999999999999986</v>
      </c>
      <c r="W60" s="69"/>
      <c r="X60" s="69"/>
      <c r="Y60" s="510"/>
      <c r="Z60" s="510"/>
      <c r="AA60" s="66">
        <f t="shared" si="8"/>
        <v>-80.399999999999181</v>
      </c>
      <c r="AB60" s="420">
        <f t="shared" si="9"/>
        <v>0.96650000000000036</v>
      </c>
      <c r="AC60" s="511"/>
    </row>
    <row r="61" spans="1:29" ht="15.75" customHeight="1">
      <c r="A61" s="515" t="s">
        <v>2367</v>
      </c>
      <c r="B61" s="427" t="s">
        <v>16</v>
      </c>
      <c r="C61" s="512" t="s">
        <v>18</v>
      </c>
      <c r="D61" s="512"/>
      <c r="E61" s="62">
        <v>22.35</v>
      </c>
      <c r="F61" s="427">
        <v>1542</v>
      </c>
      <c r="G61" s="419">
        <f t="shared" si="43"/>
        <v>34463.700000000004</v>
      </c>
      <c r="H61" s="90" t="s">
        <v>5</v>
      </c>
      <c r="I61" s="424">
        <v>16</v>
      </c>
      <c r="J61" s="63">
        <v>2400</v>
      </c>
      <c r="K61" s="64">
        <f t="shared" si="1"/>
        <v>150</v>
      </c>
      <c r="L61" s="424">
        <v>16</v>
      </c>
      <c r="M61" s="65">
        <f t="shared" si="44"/>
        <v>2313.0000000000009</v>
      </c>
      <c r="N61" s="64">
        <f t="shared" si="3"/>
        <v>144.56250000000006</v>
      </c>
      <c r="O61" s="66">
        <f t="shared" si="4"/>
        <v>0</v>
      </c>
      <c r="P61" s="67">
        <f t="shared" si="5"/>
        <v>-5.4374999999999432</v>
      </c>
      <c r="Q61" s="420">
        <f t="shared" si="6"/>
        <v>0.96375000000000033</v>
      </c>
      <c r="R61" s="511"/>
      <c r="S61" s="68">
        <v>0.17430555555555557</v>
      </c>
      <c r="T61" s="68">
        <v>0.20208333333333334</v>
      </c>
      <c r="U61" s="419">
        <f t="shared" si="46"/>
        <v>8.0000000000000107</v>
      </c>
      <c r="V61" s="425">
        <f t="shared" si="45"/>
        <v>39.999999999999979</v>
      </c>
      <c r="W61" s="69"/>
      <c r="X61" s="69"/>
      <c r="Y61" s="510"/>
      <c r="Z61" s="510"/>
      <c r="AA61" s="66">
        <f t="shared" si="8"/>
        <v>-86.999999999999091</v>
      </c>
      <c r="AB61" s="420">
        <f t="shared" si="9"/>
        <v>0.96375000000000033</v>
      </c>
      <c r="AC61" s="511"/>
    </row>
    <row r="62" spans="1:29" ht="15.75" customHeight="1">
      <c r="A62" s="515" t="s">
        <v>2367</v>
      </c>
      <c r="B62" s="427" t="s">
        <v>16</v>
      </c>
      <c r="C62" s="512" t="s">
        <v>34</v>
      </c>
      <c r="D62" s="512"/>
      <c r="E62" s="62">
        <v>24.25</v>
      </c>
      <c r="F62" s="427">
        <v>2290</v>
      </c>
      <c r="G62" s="419">
        <f t="shared" si="43"/>
        <v>55532.5</v>
      </c>
      <c r="H62" s="90" t="s">
        <v>5</v>
      </c>
      <c r="I62" s="424">
        <v>13</v>
      </c>
      <c r="J62" s="63">
        <v>2400</v>
      </c>
      <c r="K62" s="64">
        <f t="shared" si="1"/>
        <v>184.61538461538461</v>
      </c>
      <c r="L62" s="424">
        <v>13</v>
      </c>
      <c r="M62" s="65">
        <f t="shared" si="44"/>
        <v>2290.0000000000009</v>
      </c>
      <c r="N62" s="64">
        <f t="shared" si="3"/>
        <v>176.15384615384622</v>
      </c>
      <c r="O62" s="66">
        <f t="shared" si="4"/>
        <v>0</v>
      </c>
      <c r="P62" s="67">
        <f t="shared" si="5"/>
        <v>-8.4615384615383959</v>
      </c>
      <c r="Q62" s="420">
        <f t="shared" si="6"/>
        <v>0.95416666666666705</v>
      </c>
      <c r="R62" s="511"/>
      <c r="S62" s="68">
        <v>0.20625000000000002</v>
      </c>
      <c r="T62" s="68">
        <v>0.24791666666666667</v>
      </c>
      <c r="U62" s="419">
        <f t="shared" si="46"/>
        <v>6.0000000000000187</v>
      </c>
      <c r="V62" s="425">
        <f t="shared" si="45"/>
        <v>59.999999999999986</v>
      </c>
      <c r="W62" s="69"/>
      <c r="X62" s="69"/>
      <c r="Y62" s="510"/>
      <c r="Z62" s="510"/>
      <c r="AA62" s="66">
        <f t="shared" si="8"/>
        <v>-109.99999999999909</v>
      </c>
      <c r="AB62" s="420">
        <f t="shared" si="9"/>
        <v>0.95416666666666705</v>
      </c>
      <c r="AC62" s="511"/>
    </row>
    <row r="63" spans="1:29" ht="15.75" customHeight="1">
      <c r="A63" s="515" t="s">
        <v>2367</v>
      </c>
      <c r="B63" s="427" t="s">
        <v>16</v>
      </c>
      <c r="C63" s="512" t="s">
        <v>26</v>
      </c>
      <c r="D63" s="512"/>
      <c r="E63" s="62">
        <v>20.52</v>
      </c>
      <c r="F63" s="427">
        <v>2680</v>
      </c>
      <c r="G63" s="419">
        <f t="shared" si="43"/>
        <v>54993.599999999999</v>
      </c>
      <c r="H63" s="90" t="s">
        <v>5</v>
      </c>
      <c r="I63" s="424">
        <v>18</v>
      </c>
      <c r="J63" s="63">
        <v>2400</v>
      </c>
      <c r="K63" s="64">
        <f t="shared" si="1"/>
        <v>133.33333333333334</v>
      </c>
      <c r="L63" s="424">
        <v>18</v>
      </c>
      <c r="M63" s="65">
        <f t="shared" si="44"/>
        <v>2297.1428571428573</v>
      </c>
      <c r="N63" s="64">
        <f t="shared" si="3"/>
        <v>127.61904761904763</v>
      </c>
      <c r="O63" s="66">
        <f t="shared" si="4"/>
        <v>0</v>
      </c>
      <c r="P63" s="67">
        <f t="shared" si="5"/>
        <v>-5.7142857142857082</v>
      </c>
      <c r="Q63" s="420">
        <f t="shared" si="6"/>
        <v>0.95714285714285718</v>
      </c>
      <c r="R63" s="511"/>
      <c r="S63" s="68">
        <v>0.25138888888888888</v>
      </c>
      <c r="T63" s="68">
        <v>0.3</v>
      </c>
      <c r="U63" s="419">
        <f t="shared" si="46"/>
        <v>4.9999999999999822</v>
      </c>
      <c r="V63" s="425">
        <f t="shared" si="45"/>
        <v>69.999999999999986</v>
      </c>
      <c r="W63" s="69"/>
      <c r="X63" s="69"/>
      <c r="Y63" s="510"/>
      <c r="Z63" s="510"/>
      <c r="AA63" s="66">
        <f t="shared" si="8"/>
        <v>-102.85714285714266</v>
      </c>
      <c r="AB63" s="420">
        <f t="shared" si="9"/>
        <v>0.95714285714285718</v>
      </c>
      <c r="AC63" s="511"/>
    </row>
    <row r="64" spans="1:29" ht="15.75" customHeight="1">
      <c r="A64" s="515" t="s">
        <v>1331</v>
      </c>
      <c r="B64" s="427" t="s">
        <v>16</v>
      </c>
      <c r="C64" s="512" t="s">
        <v>2115</v>
      </c>
      <c r="D64" s="512"/>
      <c r="E64" s="62">
        <v>22.69</v>
      </c>
      <c r="F64" s="427">
        <v>3789</v>
      </c>
      <c r="G64" s="419">
        <f t="shared" si="43"/>
        <v>85972.41</v>
      </c>
      <c r="H64" s="90" t="s">
        <v>5</v>
      </c>
      <c r="I64" s="424">
        <v>15</v>
      </c>
      <c r="J64" s="63">
        <v>2400</v>
      </c>
      <c r="K64" s="64">
        <f t="shared" si="1"/>
        <v>160</v>
      </c>
      <c r="L64" s="424">
        <v>15</v>
      </c>
      <c r="M64" s="65">
        <f t="shared" si="44"/>
        <v>2296.3636363636369</v>
      </c>
      <c r="N64" s="64">
        <f t="shared" si="3"/>
        <v>153.09090909090912</v>
      </c>
      <c r="O64" s="66">
        <f t="shared" si="4"/>
        <v>0</v>
      </c>
      <c r="P64" s="67">
        <f t="shared" si="5"/>
        <v>-6.9090909090908781</v>
      </c>
      <c r="Q64" s="420">
        <f t="shared" si="6"/>
        <v>0.95681818181818201</v>
      </c>
      <c r="R64" s="511"/>
      <c r="S64" s="68">
        <v>0.30555555555555552</v>
      </c>
      <c r="T64" s="68">
        <v>0.3743055555555555</v>
      </c>
      <c r="U64" s="419">
        <f t="shared" si="46"/>
        <v>7.9999999999999716</v>
      </c>
      <c r="V64" s="425">
        <f t="shared" si="45"/>
        <v>98.999999999999972</v>
      </c>
      <c r="W64" s="69"/>
      <c r="X64" s="69"/>
      <c r="Y64" s="510"/>
      <c r="Z64" s="510"/>
      <c r="AA64" s="66">
        <f t="shared" si="8"/>
        <v>-103.63636363636306</v>
      </c>
      <c r="AB64" s="420">
        <f t="shared" si="9"/>
        <v>0.95681818181818201</v>
      </c>
      <c r="AC64" s="511"/>
    </row>
    <row r="65" spans="1:29" ht="15.75" customHeight="1">
      <c r="A65" s="515" t="s">
        <v>2367</v>
      </c>
      <c r="B65" s="427" t="s">
        <v>16</v>
      </c>
      <c r="C65" s="512" t="s">
        <v>33</v>
      </c>
      <c r="D65" s="512"/>
      <c r="E65" s="62">
        <v>24.43</v>
      </c>
      <c r="F65" s="427">
        <v>5672</v>
      </c>
      <c r="G65" s="419">
        <f t="shared" si="43"/>
        <v>138566.96</v>
      </c>
      <c r="H65" s="90" t="s">
        <v>5</v>
      </c>
      <c r="I65" s="424">
        <v>14</v>
      </c>
      <c r="J65" s="63">
        <v>2400</v>
      </c>
      <c r="K65" s="64">
        <f t="shared" si="1"/>
        <v>171.42857142857142</v>
      </c>
      <c r="L65" s="424">
        <v>14</v>
      </c>
      <c r="M65" s="65">
        <f t="shared" si="44"/>
        <v>2284.0268456375834</v>
      </c>
      <c r="N65" s="64">
        <f t="shared" si="3"/>
        <v>163.14477468839883</v>
      </c>
      <c r="O65" s="66">
        <f t="shared" si="4"/>
        <v>0</v>
      </c>
      <c r="P65" s="67">
        <f t="shared" si="5"/>
        <v>-8.2837967401725905</v>
      </c>
      <c r="Q65" s="420">
        <f t="shared" si="6"/>
        <v>0.95167785234899327</v>
      </c>
      <c r="R65" s="511"/>
      <c r="S65" s="68">
        <v>0.37986111111111104</v>
      </c>
      <c r="T65" s="68">
        <v>0.48333333333333328</v>
      </c>
      <c r="U65" s="419">
        <f t="shared" si="46"/>
        <v>7.9999999999999716</v>
      </c>
      <c r="V65" s="425">
        <f t="shared" si="45"/>
        <v>149.00000000000003</v>
      </c>
      <c r="W65" s="69"/>
      <c r="X65" s="69"/>
      <c r="Y65" s="517"/>
      <c r="Z65" s="518"/>
      <c r="AA65" s="66">
        <f t="shared" si="8"/>
        <v>-115.97315436241661</v>
      </c>
      <c r="AB65" s="420">
        <f t="shared" si="9"/>
        <v>0.95167785234899305</v>
      </c>
      <c r="AC65" s="511"/>
    </row>
    <row r="66" spans="1:29" ht="16.5" customHeight="1">
      <c r="A66" s="516" t="s">
        <v>2367</v>
      </c>
      <c r="B66" s="62" t="s">
        <v>2366</v>
      </c>
      <c r="C66" s="508"/>
      <c r="D66" s="509"/>
      <c r="E66" s="421"/>
      <c r="F66" s="71"/>
      <c r="G66" s="64"/>
      <c r="H66" s="427"/>
      <c r="I66" s="424">
        <v>16.428571428571427</v>
      </c>
      <c r="J66" s="63">
        <v>2400</v>
      </c>
      <c r="K66" s="64">
        <f t="shared" si="1"/>
        <v>146.08695652173915</v>
      </c>
      <c r="L66" s="72">
        <v>16.428571428571427</v>
      </c>
      <c r="M66" s="65">
        <f>AVERAGE(M59:M65)</f>
        <v>2301.0749490702719</v>
      </c>
      <c r="N66" s="64">
        <f t="shared" si="3"/>
        <v>140.0654316825383</v>
      </c>
      <c r="O66" s="66">
        <f t="shared" si="4"/>
        <v>0</v>
      </c>
      <c r="P66" s="67">
        <f t="shared" si="5"/>
        <v>-6.0215248392008505</v>
      </c>
      <c r="Q66" s="420">
        <f t="shared" si="6"/>
        <v>0.95878122877927985</v>
      </c>
      <c r="R66" s="511"/>
      <c r="S66" s="68"/>
      <c r="T66" s="68"/>
      <c r="U66" s="64"/>
      <c r="V66" s="425"/>
      <c r="W66" s="64"/>
      <c r="X66" s="64"/>
      <c r="Y66" s="510"/>
      <c r="Z66" s="510"/>
      <c r="AA66" s="66">
        <f t="shared" si="8"/>
        <v>-98.925050929728059</v>
      </c>
      <c r="AB66" s="420">
        <f t="shared" si="9"/>
        <v>0.95878122877927996</v>
      </c>
      <c r="AC66" s="511"/>
    </row>
    <row r="67" spans="1:29">
      <c r="D67" s="76"/>
      <c r="E67" s="76"/>
    </row>
  </sheetData>
  <mergeCells count="180">
    <mergeCell ref="AC59:AC66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A59:A66"/>
    <mergeCell ref="C59:D59"/>
    <mergeCell ref="R59:R66"/>
    <mergeCell ref="Y59:Z59"/>
    <mergeCell ref="Y64:Z64"/>
    <mergeCell ref="C65:D65"/>
    <mergeCell ref="Y65:Z65"/>
    <mergeCell ref="A54:A58"/>
    <mergeCell ref="C54:D54"/>
    <mergeCell ref="R54:R58"/>
    <mergeCell ref="Y54:Z54"/>
    <mergeCell ref="C66:D66"/>
    <mergeCell ref="Y66:Z66"/>
    <mergeCell ref="AC54:AC58"/>
    <mergeCell ref="C55:D55"/>
    <mergeCell ref="Y55:Z55"/>
    <mergeCell ref="C56:D56"/>
    <mergeCell ref="Y56:Z56"/>
    <mergeCell ref="C57:D57"/>
    <mergeCell ref="AC47:AC53"/>
    <mergeCell ref="C48:D48"/>
    <mergeCell ref="Y48:Z48"/>
    <mergeCell ref="C49:D49"/>
    <mergeCell ref="C52:D52"/>
    <mergeCell ref="Y52:Z52"/>
    <mergeCell ref="C53:D53"/>
    <mergeCell ref="Y53:Z53"/>
    <mergeCell ref="Y57:Z57"/>
    <mergeCell ref="C58:D58"/>
    <mergeCell ref="Y58:Z58"/>
    <mergeCell ref="A47:A53"/>
    <mergeCell ref="C47:D47"/>
    <mergeCell ref="R47:R53"/>
    <mergeCell ref="Y47:Z47"/>
    <mergeCell ref="AC39:AC46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38:D38"/>
    <mergeCell ref="Y38:Z38"/>
    <mergeCell ref="A39:A46"/>
    <mergeCell ref="C39:D39"/>
    <mergeCell ref="R39:R46"/>
    <mergeCell ref="Y39:Z39"/>
    <mergeCell ref="Y44:Z44"/>
    <mergeCell ref="A33:A38"/>
    <mergeCell ref="C33:D33"/>
    <mergeCell ref="R33:R38"/>
    <mergeCell ref="Y33:Z33"/>
    <mergeCell ref="C45:D45"/>
    <mergeCell ref="Y45:Z45"/>
    <mergeCell ref="C46:D46"/>
    <mergeCell ref="Y46:Z46"/>
    <mergeCell ref="A27:A32"/>
    <mergeCell ref="C27:D27"/>
    <mergeCell ref="R27:R32"/>
    <mergeCell ref="Y27:Z27"/>
    <mergeCell ref="Y32:Z32"/>
    <mergeCell ref="AC33:AC38"/>
    <mergeCell ref="C34:D34"/>
    <mergeCell ref="Y34:Z34"/>
    <mergeCell ref="C35:D35"/>
    <mergeCell ref="Y35:Z35"/>
    <mergeCell ref="C36:D36"/>
    <mergeCell ref="AC27:AC32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6:Z36"/>
    <mergeCell ref="C37:D37"/>
    <mergeCell ref="Y37:Z3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7:O64 O66 O5:O9 O11:O13 O46:O54 O17:O44">
    <cfRule type="cellIs" dxfId="2286" priority="50" operator="greaterThan">
      <formula>0</formula>
    </cfRule>
  </conditionalFormatting>
  <conditionalFormatting sqref="P5:P7 P57 AA57 P59:P64 P27:P31 P54 P9 P11:P13 P18:P25 P47:P52 P33:P44 AA5:AA54 AA59:AA66">
    <cfRule type="cellIs" dxfId="2285" priority="54" operator="lessThan">
      <formula>0</formula>
    </cfRule>
  </conditionalFormatting>
  <conditionalFormatting sqref="AB57 Q57:Q64 Q66 Q5:Q9 Q11:Q13 Q46:Q54 Q17:Q44 AB5:AB54 AB59:AB66">
    <cfRule type="cellIs" dxfId="2284" priority="51" operator="greaterThan">
      <formula>1</formula>
    </cfRule>
    <cfRule type="cellIs" dxfId="2283" priority="52" operator="lessThan">
      <formula>0.8</formula>
    </cfRule>
  </conditionalFormatting>
  <conditionalFormatting sqref="AC12:AC13 R12:R13 AC57 R57:R64 R17:R23 AC17:AC23 R66 AC5:AC9 R5:R9 R26:R44 AC26:AC44 AC46:AC54 R46:R54">
    <cfRule type="cellIs" dxfId="2282" priority="56" operator="lessThan">
      <formula>0.8</formula>
    </cfRule>
  </conditionalFormatting>
  <conditionalFormatting sqref="AC39">
    <cfRule type="cellIs" dxfId="2281" priority="58" operator="lessThan">
      <formula>0.8</formula>
    </cfRule>
  </conditionalFormatting>
  <conditionalFormatting sqref="AC18:AC23">
    <cfRule type="cellIs" dxfId="2280" priority="55" operator="lessThan">
      <formula>0.8</formula>
    </cfRule>
  </conditionalFormatting>
  <conditionalFormatting sqref="AC27">
    <cfRule type="cellIs" dxfId="2279" priority="57" operator="lessThan">
      <formula>0.8</formula>
    </cfRule>
  </conditionalFormatting>
  <conditionalFormatting sqref="AC33:AC37">
    <cfRule type="cellIs" dxfId="2278" priority="53" operator="lessThan">
      <formula>0.8</formula>
    </cfRule>
  </conditionalFormatting>
  <conditionalFormatting sqref="AA58">
    <cfRule type="cellIs" dxfId="2277" priority="49" operator="lessThan">
      <formula>0</formula>
    </cfRule>
  </conditionalFormatting>
  <conditionalFormatting sqref="AB58">
    <cfRule type="cellIs" dxfId="2276" priority="47" operator="greaterThan">
      <formula>1</formula>
    </cfRule>
    <cfRule type="cellIs" dxfId="2275" priority="48" operator="lessThan">
      <formula>0.8</formula>
    </cfRule>
  </conditionalFormatting>
  <conditionalFormatting sqref="O14:O15">
    <cfRule type="cellIs" dxfId="2274" priority="42" operator="greaterThan">
      <formula>0</formula>
    </cfRule>
  </conditionalFormatting>
  <conditionalFormatting sqref="P14:P15">
    <cfRule type="cellIs" dxfId="2273" priority="45" operator="lessThan">
      <formula>0</formula>
    </cfRule>
  </conditionalFormatting>
  <conditionalFormatting sqref="Q14:Q15">
    <cfRule type="cellIs" dxfId="2272" priority="43" operator="greaterThan">
      <formula>1</formula>
    </cfRule>
    <cfRule type="cellIs" dxfId="2271" priority="44" operator="lessThan">
      <formula>0.8</formula>
    </cfRule>
  </conditionalFormatting>
  <conditionalFormatting sqref="R14:R15 AC14:AC15">
    <cfRule type="cellIs" dxfId="2270" priority="46" operator="lessThan">
      <formula>0.8</formula>
    </cfRule>
  </conditionalFormatting>
  <conditionalFormatting sqref="O10">
    <cfRule type="cellIs" dxfId="2269" priority="38" operator="greaterThan">
      <formula>0</formula>
    </cfRule>
  </conditionalFormatting>
  <conditionalFormatting sqref="P10">
    <cfRule type="cellIs" dxfId="2268" priority="41" operator="lessThan">
      <formula>0</formula>
    </cfRule>
  </conditionalFormatting>
  <conditionalFormatting sqref="Q10">
    <cfRule type="cellIs" dxfId="2267" priority="39" operator="greaterThan">
      <formula>1</formula>
    </cfRule>
    <cfRule type="cellIs" dxfId="2266" priority="40" operator="lessThan">
      <formula>0.8</formula>
    </cfRule>
  </conditionalFormatting>
  <conditionalFormatting sqref="AC25 R25">
    <cfRule type="cellIs" dxfId="2265" priority="37" operator="lessThan">
      <formula>0.8</formula>
    </cfRule>
  </conditionalFormatting>
  <conditionalFormatting sqref="O56">
    <cfRule type="cellIs" dxfId="2264" priority="32" operator="greaterThan">
      <formula>0</formula>
    </cfRule>
  </conditionalFormatting>
  <conditionalFormatting sqref="P56 AA56">
    <cfRule type="cellIs" dxfId="2263" priority="35" operator="lessThan">
      <formula>0</formula>
    </cfRule>
  </conditionalFormatting>
  <conditionalFormatting sqref="Q56 AB56">
    <cfRule type="cellIs" dxfId="2262" priority="33" operator="greaterThan">
      <formula>1</formula>
    </cfRule>
    <cfRule type="cellIs" dxfId="2261" priority="34" operator="lessThan">
      <formula>0.8</formula>
    </cfRule>
  </conditionalFormatting>
  <conditionalFormatting sqref="R56 AC56">
    <cfRule type="cellIs" dxfId="2260" priority="36" operator="lessThan">
      <formula>0.8</formula>
    </cfRule>
  </conditionalFormatting>
  <conditionalFormatting sqref="O65">
    <cfRule type="cellIs" dxfId="2259" priority="27" operator="greaterThan">
      <formula>0</formula>
    </cfRule>
  </conditionalFormatting>
  <conditionalFormatting sqref="P65">
    <cfRule type="cellIs" dxfId="2258" priority="30" operator="lessThan">
      <formula>0</formula>
    </cfRule>
  </conditionalFormatting>
  <conditionalFormatting sqref="Q65">
    <cfRule type="cellIs" dxfId="2257" priority="28" operator="greaterThan">
      <formula>1</formula>
    </cfRule>
    <cfRule type="cellIs" dxfId="2256" priority="29" operator="lessThan">
      <formula>0.8</formula>
    </cfRule>
  </conditionalFormatting>
  <conditionalFormatting sqref="R65">
    <cfRule type="cellIs" dxfId="2255" priority="31" operator="lessThan">
      <formula>0.8</formula>
    </cfRule>
  </conditionalFormatting>
  <conditionalFormatting sqref="O16">
    <cfRule type="cellIs" dxfId="2254" priority="22" operator="greaterThan">
      <formula>0</formula>
    </cfRule>
  </conditionalFormatting>
  <conditionalFormatting sqref="P16">
    <cfRule type="cellIs" dxfId="2253" priority="25" operator="lessThan">
      <formula>0</formula>
    </cfRule>
  </conditionalFormatting>
  <conditionalFormatting sqref="Q16">
    <cfRule type="cellIs" dxfId="2252" priority="23" operator="greaterThan">
      <formula>1</formula>
    </cfRule>
    <cfRule type="cellIs" dxfId="2251" priority="24" operator="lessThan">
      <formula>0.8</formula>
    </cfRule>
  </conditionalFormatting>
  <conditionalFormatting sqref="R16 AC16">
    <cfRule type="cellIs" dxfId="2250" priority="26" operator="lessThan">
      <formula>0.8</formula>
    </cfRule>
  </conditionalFormatting>
  <conditionalFormatting sqref="O45">
    <cfRule type="cellIs" dxfId="2249" priority="16" operator="greaterThan">
      <formula>0</formula>
    </cfRule>
  </conditionalFormatting>
  <conditionalFormatting sqref="P45">
    <cfRule type="cellIs" dxfId="2248" priority="20" operator="lessThan">
      <formula>0</formula>
    </cfRule>
  </conditionalFormatting>
  <conditionalFormatting sqref="Q45">
    <cfRule type="cellIs" dxfId="2247" priority="17" operator="greaterThan">
      <formula>1</formula>
    </cfRule>
    <cfRule type="cellIs" dxfId="2246" priority="18" operator="lessThan">
      <formula>0.8</formula>
    </cfRule>
  </conditionalFormatting>
  <conditionalFormatting sqref="R45 AC45">
    <cfRule type="cellIs" dxfId="2245" priority="21" operator="lessThan">
      <formula>0.8</formula>
    </cfRule>
  </conditionalFormatting>
  <conditionalFormatting sqref="AC45">
    <cfRule type="cellIs" dxfId="2244" priority="19" operator="lessThan">
      <formula>0.8</formula>
    </cfRule>
  </conditionalFormatting>
  <conditionalFormatting sqref="R24 AC24">
    <cfRule type="cellIs" dxfId="2243" priority="15" operator="lessThan">
      <formula>0.8</formula>
    </cfRule>
  </conditionalFormatting>
  <conditionalFormatting sqref="AC24">
    <cfRule type="cellIs" dxfId="2242" priority="14" operator="lessThan">
      <formula>0.8</formula>
    </cfRule>
  </conditionalFormatting>
  <conditionalFormatting sqref="O55">
    <cfRule type="cellIs" dxfId="2241" priority="9" operator="greaterThan">
      <formula>0</formula>
    </cfRule>
  </conditionalFormatting>
  <conditionalFormatting sqref="P55 AA55">
    <cfRule type="cellIs" dxfId="2240" priority="12" operator="lessThan">
      <formula>0</formula>
    </cfRule>
  </conditionalFormatting>
  <conditionalFormatting sqref="Q55 AB55">
    <cfRule type="cellIs" dxfId="2239" priority="10" operator="greaterThan">
      <formula>1</formula>
    </cfRule>
    <cfRule type="cellIs" dxfId="2238" priority="11" operator="lessThan">
      <formula>0.8</formula>
    </cfRule>
  </conditionalFormatting>
  <conditionalFormatting sqref="R55 AC55">
    <cfRule type="cellIs" dxfId="2237" priority="13" operator="lessThan">
      <formula>0.8</formula>
    </cfRule>
  </conditionalFormatting>
  <conditionalFormatting sqref="P8">
    <cfRule type="cellIs" dxfId="2236" priority="8" operator="lessThan">
      <formula>0</formula>
    </cfRule>
  </conditionalFormatting>
  <conditionalFormatting sqref="P17">
    <cfRule type="cellIs" dxfId="2235" priority="7" operator="lessThan">
      <formula>0</formula>
    </cfRule>
  </conditionalFormatting>
  <conditionalFormatting sqref="P26">
    <cfRule type="cellIs" dxfId="2234" priority="6" operator="lessThan">
      <formula>0</formula>
    </cfRule>
  </conditionalFormatting>
  <conditionalFormatting sqref="P32">
    <cfRule type="cellIs" dxfId="2233" priority="5" operator="lessThan">
      <formula>0</formula>
    </cfRule>
  </conditionalFormatting>
  <conditionalFormatting sqref="P46">
    <cfRule type="cellIs" dxfId="2232" priority="4" operator="lessThan">
      <formula>0</formula>
    </cfRule>
  </conditionalFormatting>
  <conditionalFormatting sqref="P53">
    <cfRule type="cellIs" dxfId="2231" priority="3" operator="lessThan">
      <formula>0</formula>
    </cfRule>
  </conditionalFormatting>
  <conditionalFormatting sqref="P58">
    <cfRule type="cellIs" dxfId="2230" priority="2" operator="lessThan">
      <formula>0</formula>
    </cfRule>
  </conditionalFormatting>
  <conditionalFormatting sqref="P66">
    <cfRule type="cellIs" dxfId="2229" priority="1" operator="lessThan">
      <formula>0</formula>
    </cfRule>
  </conditionalFormatting>
  <dataValidations count="1">
    <dataValidation type="list" allowBlank="1" showInputMessage="1" showErrorMessage="1" sqref="Z8 Y5:Z7 Y8:Y57 Z10:Z54 Y58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L6" sqref="L6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2193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2194</v>
      </c>
      <c r="C3" s="497" t="str">
        <f>TEXT('1127 4度C'!A2,"yyyy.mm.ddaaaa")</f>
        <v>2025.11.27星期四</v>
      </c>
      <c r="D3" s="498"/>
      <c r="E3" s="4" t="s">
        <v>2195</v>
      </c>
      <c r="F3" s="499">
        <f>'1127 4度C'!D1</f>
        <v>169315</v>
      </c>
      <c r="G3" s="500"/>
      <c r="H3" s="4" t="s">
        <v>2196</v>
      </c>
      <c r="I3" s="501">
        <f>'1127 4度C'!F1</f>
        <v>5501388.7599999988</v>
      </c>
      <c r="J3" s="502"/>
      <c r="K3" s="5"/>
      <c r="L3" s="6"/>
      <c r="M3" s="7"/>
      <c r="N3" s="7"/>
    </row>
    <row r="4" spans="2:17" ht="28.5" customHeight="1">
      <c r="B4" s="503" t="s">
        <v>2197</v>
      </c>
      <c r="C4" s="485" t="s">
        <v>2198</v>
      </c>
      <c r="D4" s="486"/>
      <c r="E4" s="506" t="s">
        <v>2199</v>
      </c>
      <c r="F4" s="507"/>
      <c r="G4" s="506" t="s">
        <v>2200</v>
      </c>
      <c r="H4" s="507"/>
      <c r="I4" s="506" t="s">
        <v>2201</v>
      </c>
      <c r="J4" s="507"/>
      <c r="L4" s="7"/>
      <c r="M4" s="7"/>
      <c r="N4" s="7"/>
    </row>
    <row r="5" spans="2:17" ht="28.5" customHeight="1">
      <c r="B5" s="504"/>
      <c r="C5" s="485" t="s">
        <v>2202</v>
      </c>
      <c r="D5" s="486"/>
      <c r="E5" s="485" t="s">
        <v>97</v>
      </c>
      <c r="F5" s="486"/>
      <c r="G5" s="487" t="s">
        <v>2203</v>
      </c>
      <c r="H5" s="488"/>
      <c r="I5" s="489" t="s">
        <v>2204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153.08030070581316</v>
      </c>
      <c r="F6" s="492">
        <f>AVERAGE(D27:O27,D13:J13)</f>
        <v>158.95100309381024</v>
      </c>
      <c r="G6" s="493">
        <f>AVERAGE(D13:J13)</f>
        <v>158.95100309381024</v>
      </c>
      <c r="H6" s="494"/>
      <c r="I6" s="493">
        <f>AVERAGE(K13:M13)</f>
        <v>139.38199513381994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146.65994720932753</v>
      </c>
      <c r="F7" s="478">
        <f>AVERAGE(D28:O28,D14:J14)</f>
        <v>152.32357456744467</v>
      </c>
      <c r="G7" s="479">
        <f>AVERAGE(D14:J14)</f>
        <v>152.32357456744467</v>
      </c>
      <c r="H7" s="480"/>
      <c r="I7" s="479">
        <f>AVERAGE(K14:M14)</f>
        <v>133.4448167070542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0.95821369634454157</v>
      </c>
      <c r="F8" s="482">
        <f>AVERAGE(D15:J15,D29:O29)</f>
        <v>0.95856648688433144</v>
      </c>
      <c r="G8" s="483">
        <f>AVERAGE(D15:J15)</f>
        <v>0.95856648688433144</v>
      </c>
      <c r="H8" s="484"/>
      <c r="I8" s="483">
        <f>AVERAGE(K15:M15)</f>
        <v>0.9573905184183652</v>
      </c>
      <c r="J8" s="484"/>
      <c r="K8" s="8" t="s">
        <v>2205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2206</v>
      </c>
      <c r="C10" s="459"/>
      <c r="D10" s="460" t="s">
        <v>101</v>
      </c>
      <c r="E10" s="461"/>
      <c r="F10" s="461"/>
      <c r="G10" s="461"/>
      <c r="H10" s="461"/>
      <c r="I10" s="461"/>
      <c r="J10" s="462"/>
      <c r="K10" s="463" t="s">
        <v>2207</v>
      </c>
      <c r="L10" s="464"/>
      <c r="M10" s="465"/>
      <c r="P10" s="11"/>
      <c r="Q10" s="11"/>
    </row>
    <row r="11" spans="2:17" ht="17.25" customHeight="1">
      <c r="B11" s="466" t="s">
        <v>2208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2209</v>
      </c>
      <c r="C13" s="18" t="s">
        <v>2210</v>
      </c>
      <c r="D13" s="19">
        <f>SUMIFS('1127 4度C'!$K:$K,'1127 4度C'!$A:$A,"新豐6線",'1127 4度C'!$B:$B,"平均")</f>
        <v>133.33333333333334</v>
      </c>
      <c r="E13" s="20">
        <f>SUMIFS('1127 4度C'!$K:$K,'1127 4度C'!$A:$A,"新豐2線",'1127 4度C'!$B:$B,"平均")</f>
        <v>81.081081081081081</v>
      </c>
      <c r="F13" s="21">
        <f>SUMIFS('1127 4度C'!$K:$K,'1127 4度C'!$A:$A,"新豐5線",'1127 4度C'!$B:$B,"平均")</f>
        <v>97.826086956521749</v>
      </c>
      <c r="G13" s="21">
        <f>SUMIFS('1127 4度C'!$K:$K,'1127 4度C'!$A:$A,"新豐7線",'1127 4度C'!$B:$B,"平均")</f>
        <v>114.81481481481481</v>
      </c>
      <c r="H13" s="21">
        <f>SUMIFS('1127 4度C'!$K:$K,'1127 4度C'!$A:$A,"新豐3線",'1127 4度C'!$B:$B,"平均")</f>
        <v>281.69014084507046</v>
      </c>
      <c r="I13" s="21">
        <f>SUMIFS('1127 4度C'!$K:$K,'1127 4度C'!$A:$A,"新豐1線",'1127 4度C'!$B:$B,"平均")</f>
        <v>112.24489795918367</v>
      </c>
      <c r="J13" s="22">
        <f>SUMIFS('1127 4度C'!$K:$K,'1127 4度C'!$A:$A,"新豐10線",'1127 4度C'!$B:$B,"平均")</f>
        <v>291.66666666666669</v>
      </c>
      <c r="K13" s="23">
        <f>SUMIFS('1127 4度C'!$K:$K,'1127 4度C'!$A:$A,"新豐8線",'1127 4度C'!$B:$B,"平均")</f>
        <v>128</v>
      </c>
      <c r="L13" s="24">
        <f>SUMIFS('1127 4度C'!$K:$K,'1127 4度C'!$A:$A,"新豐9線",'1127 4度C'!$B:$B,"平均")</f>
        <v>140.14598540145985</v>
      </c>
      <c r="M13" s="22">
        <f>SUMIFS('1127 4度C'!$K:$K,'1127 4度C'!$A:$A,"新豐4線",'1127 4度C'!$B:$B,"平均")</f>
        <v>150</v>
      </c>
    </row>
    <row r="14" spans="2:17" ht="39.6" customHeight="1">
      <c r="B14" s="471"/>
      <c r="C14" s="25" t="s">
        <v>2211</v>
      </c>
      <c r="D14" s="26">
        <f>SUMIFS('1127 4度C'!$N:$N,'1127 4度C'!$A:$A,"新豐6線",'1127 4度C'!$B:$B,"平均")</f>
        <v>127.81665169212337</v>
      </c>
      <c r="E14" s="27">
        <f>SUMIFS('1127 4度C'!$N:$N,'1127 4度C'!$A:$A,"新豐2線",'1127 4度C'!$B:$B,"平均")</f>
        <v>77.406497406497394</v>
      </c>
      <c r="F14" s="27">
        <f>SUMIFS('1127 4度C'!$N:$N,'1127 4度C'!$A:$A,"新豐5線",'1127 4度C'!$B:$B,"平均")</f>
        <v>94.017543866085816</v>
      </c>
      <c r="G14" s="27">
        <f>SUMIFS('1127 4度C'!$N:$N,'1127 4度C'!$A:$A,"新豐7線",'1127 4度C'!$B:$B,"平均")</f>
        <v>110.25648050720842</v>
      </c>
      <c r="H14" s="27">
        <f>SUMIFS('1127 4度C'!$N:$N,'1127 4度C'!$A:$A,"新豐3線",'1127 4度C'!$B:$B,"平均")</f>
        <v>269.95193026247114</v>
      </c>
      <c r="I14" s="27">
        <f>SUMIFS('1127 4度C'!$N:$N,'1127 4度C'!$A:$A,"新豐1線",'1127 4度C'!$B:$B,"平均")</f>
        <v>107.78876442332745</v>
      </c>
      <c r="J14" s="28">
        <f>SUMIFS('1127 4度C'!$N:$N,'1127 4度C'!$A:$A,"新豐10線",'1127 4度C'!$B:$B,"平均")</f>
        <v>279.02715381439913</v>
      </c>
      <c r="K14" s="29">
        <f>SUMIFS('1127 4度C'!$N:$N,'1127 4度C'!$A:$A,"新豐8線",'1127 4度C'!$B:$B,"平均")</f>
        <v>122.5743806391049</v>
      </c>
      <c r="L14" s="30">
        <f>SUMIFS('1127 4度C'!$N:$N,'1127 4度C'!$A:$A,"新豐9線",'1127 4度C'!$B:$B,"平均")</f>
        <v>134.02754125874645</v>
      </c>
      <c r="M14" s="28">
        <f>SUMIFS('1127 4度C'!$N:$N,'1127 4度C'!$A:$A,"新豐4線",'1127 4度C'!$B:$B,"平均")</f>
        <v>143.73252822331122</v>
      </c>
    </row>
    <row r="15" spans="2:17" ht="40.15" customHeight="1">
      <c r="B15" s="472"/>
      <c r="C15" s="31" t="s">
        <v>2212</v>
      </c>
      <c r="D15" s="32">
        <f t="shared" ref="D15:M15" si="0">D14/D13</f>
        <v>0.95862488769092524</v>
      </c>
      <c r="E15" s="33">
        <f t="shared" si="0"/>
        <v>0.95468013468013457</v>
      </c>
      <c r="F15" s="33">
        <f t="shared" si="0"/>
        <v>0.96106822618665488</v>
      </c>
      <c r="G15" s="33">
        <f t="shared" si="0"/>
        <v>0.96029837861117018</v>
      </c>
      <c r="H15" s="33">
        <f t="shared" si="0"/>
        <v>0.95832935243177242</v>
      </c>
      <c r="I15" s="33">
        <f t="shared" si="0"/>
        <v>0.96029990122600817</v>
      </c>
      <c r="J15" s="34">
        <f t="shared" si="0"/>
        <v>0.95666452736365404</v>
      </c>
      <c r="K15" s="32">
        <f t="shared" si="0"/>
        <v>0.95761234874300705</v>
      </c>
      <c r="L15" s="33">
        <f t="shared" si="0"/>
        <v>0.9563423516900138</v>
      </c>
      <c r="M15" s="34">
        <f t="shared" si="0"/>
        <v>0.95821685482207475</v>
      </c>
    </row>
    <row r="16" spans="2:17" ht="17.25" customHeight="1">
      <c r="B16" s="473" t="s">
        <v>2213</v>
      </c>
      <c r="C16" s="35" t="s">
        <v>2214</v>
      </c>
      <c r="D16" s="49">
        <f>VLOOKUP("新豐6線",'1127 4度C'!$A:$T,19,0)</f>
        <v>0.70833333333333337</v>
      </c>
      <c r="E16" s="50">
        <f>VLOOKUP("新豐2線",'1127 4度C'!$A:$T,19,0)</f>
        <v>0.20833333333333334</v>
      </c>
      <c r="F16" s="50">
        <f>VLOOKUP("新豐5線",'1127 4度C'!$A:$T,19,0)</f>
        <v>0.125</v>
      </c>
      <c r="G16" s="50">
        <f>VLOOKUP("新豐7線",'1127 4度C'!$A:$T,19,0)</f>
        <v>0.20833333333333334</v>
      </c>
      <c r="H16" s="50">
        <f>VLOOKUP("新豐3線",'1127 4度C'!$A:$T,19,0)</f>
        <v>8.3333333333333329E-2</v>
      </c>
      <c r="I16" s="50">
        <f>VLOOKUP("新豐1線",'1127 4度C'!$A:$T,19,0)</f>
        <v>0.20833333333333334</v>
      </c>
      <c r="J16" s="51">
        <f>VLOOKUP("新豐10線",'1127 4度C'!$A:$T,19,0)</f>
        <v>0.20833333333333334</v>
      </c>
      <c r="K16" s="36">
        <f>VLOOKUP("新豐8線",'1127 4度C'!$A:$T,19,0)</f>
        <v>8.3333333333333329E-2</v>
      </c>
      <c r="L16" s="37">
        <f>VLOOKUP("新豐9線",'1127 4度C'!$A:$T,19,0)</f>
        <v>8.3333333333333329E-2</v>
      </c>
      <c r="M16" s="38">
        <f>VLOOKUP("新豐4線",'1127 4度C'!$A:$T,19,0)</f>
        <v>8.3333333333333329E-2</v>
      </c>
    </row>
    <row r="17" spans="2:13" ht="17.25" customHeight="1">
      <c r="B17" s="474"/>
      <c r="C17" s="35" t="s">
        <v>2215</v>
      </c>
      <c r="D17" s="36">
        <f>LOOKUP(2,1/(('1127 4度C'!$A:$A="新豐6線")*('1127 4度C'!$T:$T&lt;&gt;"")),'1127 4度C'!$T:$T)</f>
        <v>0.83958333333333335</v>
      </c>
      <c r="E17" s="50">
        <f>LOOKUP(2,1/(('1127 4度C'!$A:$A="新豐2線")*('1127 4度C'!$T:$T&lt;&gt;"")),'1127 4度C'!$T:$T)</f>
        <v>0.40277777777777779</v>
      </c>
      <c r="F17" s="50">
        <f>LOOKUP(2,1/(('1127 4度C'!$A:$A="新豐5線")*('1127 4度C'!$T:$T&lt;&gt;"")),'1127 4度C'!$T:$T)</f>
        <v>0.82847222222222217</v>
      </c>
      <c r="G17" s="50">
        <f>LOOKUP(2,1/(('1127 4度C'!$A:$A="新豐7線")*('1127 4度C'!$T:$T&lt;&gt;"")),'1127 4度C'!$T:$T)</f>
        <v>0.82708333333333328</v>
      </c>
      <c r="H17" s="50">
        <f>LOOKUP(2,1/(('1127 4度C'!$A:$A="新豐3線")*('1127 4度C'!$T:$T&lt;&gt;"")),'1127 4度C'!$T:$T)</f>
        <v>0.51597222222222217</v>
      </c>
      <c r="I17" s="50">
        <f>LOOKUP(2,1/(('1127 4度C'!$A:$A="新豐1線")*('1127 4度C'!$T:$T&lt;&gt;"")),'1127 4度C'!$T:$T)</f>
        <v>0.90138888888888891</v>
      </c>
      <c r="J17" s="51">
        <f>LOOKUP(2,1/(('1127 4度C'!$A:$A="新豐10線")*('1127 4度C'!$T:$T&lt;&gt;"")),'1127 4度C'!$T:$T)</f>
        <v>0.42083333333333328</v>
      </c>
      <c r="K17" s="49">
        <f>LOOKUP(2,1/(('1127 4度C'!$A:$A="新豐8線")*('1127 4度C'!$T:$T&lt;&gt;"")),'1127 4度C'!$T:$T)</f>
        <v>0.68402777777777768</v>
      </c>
      <c r="L17" s="50">
        <f>LOOKUP(2,1/(('1127 4度C'!$A:$A="新豐9線")*('1127 4度C'!$T:$T&lt;&gt;"")),'1127 4度C'!$T:$T)</f>
        <v>0.73194444444444418</v>
      </c>
      <c r="M17" s="51">
        <f>LOOKUP(2,1/(('1127 4度C'!$A:$A="新豐4線")*('1127 4度C'!$T:$T&lt;&gt;"")),'1127 4度C'!$T:$T)</f>
        <v>0.67222222222222217</v>
      </c>
    </row>
    <row r="18" spans="2:13" ht="17.25" customHeight="1">
      <c r="B18" s="452" t="s">
        <v>2216</v>
      </c>
      <c r="C18" s="453"/>
      <c r="D18" s="39">
        <f>SUMIFS('1127 4度C'!$I:$I,'1127 4度C'!$A:$A,"新豐6線",'1127 4度C'!$B:$B,"平均")</f>
        <v>15</v>
      </c>
      <c r="E18" s="40">
        <f>SUMIFS('1127 4度C'!$I:$I,'1127 4度C'!$A:$A,"新豐2線",'1127 4度C'!$B:$B,"平均")</f>
        <v>18.5</v>
      </c>
      <c r="F18" s="40">
        <f>SUMIFS('1127 4度C'!$I:$I,'1127 4度C'!$A:$A,"新豐5線",'1127 4度C'!$B:$B,"平均")</f>
        <v>18.399999999999999</v>
      </c>
      <c r="G18" s="40">
        <f>SUMIFS('1127 4度C'!$I:$I,'1127 4度C'!$A:$A,"新豐7線",'1127 4度C'!$B:$B,"平均")</f>
        <v>16.875</v>
      </c>
      <c r="H18" s="40">
        <f>SUMIFS('1127 4度C'!$I:$I,'1127 4度C'!$A:$A,"新豐3線",'1127 4度C'!$B:$B,"平均")</f>
        <v>10.142857142857142</v>
      </c>
      <c r="I18" s="40">
        <f>SUMIFS('1127 4度C'!$I:$I,'1127 4度C'!$A:$A,"新豐1線",'1127 4度C'!$B:$B,"平均")</f>
        <v>16.333333333333332</v>
      </c>
      <c r="J18" s="41">
        <f>SUMIFS('1127 4度C'!$I:$I,'1127 4度C'!$A:$A,"新豐10線",'1127 4度C'!$B:$B,"平均")</f>
        <v>9</v>
      </c>
      <c r="K18" s="39">
        <f>SUMIFS('1127 4度C'!$I:$I,'1127 4度C'!$A:$A,"新豐8線",'1127 4度C'!$B:$B,"平均")</f>
        <v>18.75</v>
      </c>
      <c r="L18" s="40">
        <f>SUMIFS('1127 4度C'!$I:$I,'1127 4度C'!$A:$A,"新豐9線",'1127 4度C'!$B:$B,"平均")</f>
        <v>17.125</v>
      </c>
      <c r="M18" s="41">
        <f>SUMIFS('1127 4度C'!$I:$I,'1127 4度C'!$A:$A,"新豐4線",'1127 4度C'!$B:$B,"平均")</f>
        <v>16</v>
      </c>
    </row>
    <row r="19" spans="2:13" ht="17.25" customHeight="1">
      <c r="B19" s="452" t="s">
        <v>2217</v>
      </c>
      <c r="C19" s="453"/>
      <c r="D19" s="42" t="s">
        <v>65</v>
      </c>
      <c r="E19" s="43" t="s">
        <v>66</v>
      </c>
      <c r="F19" s="43" t="s">
        <v>2218</v>
      </c>
      <c r="G19" s="43" t="s">
        <v>2218</v>
      </c>
      <c r="H19" s="43" t="s">
        <v>67</v>
      </c>
      <c r="I19" s="43" t="s">
        <v>65</v>
      </c>
      <c r="J19" s="44" t="s">
        <v>67</v>
      </c>
      <c r="K19" s="42" t="s">
        <v>111</v>
      </c>
      <c r="L19" s="43" t="s">
        <v>2219</v>
      </c>
      <c r="M19" s="44" t="s">
        <v>2219</v>
      </c>
    </row>
    <row r="20" spans="2:13" ht="17.25" customHeight="1">
      <c r="B20" s="452" t="s">
        <v>2220</v>
      </c>
      <c r="C20" s="453"/>
      <c r="D20" s="42"/>
      <c r="E20" s="43"/>
      <c r="F20" s="43" t="s">
        <v>2221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2222</v>
      </c>
      <c r="C21" s="455"/>
      <c r="D21" s="45"/>
      <c r="E21" s="46" t="s">
        <v>2223</v>
      </c>
      <c r="F21" s="456" t="s">
        <v>2224</v>
      </c>
      <c r="G21" s="457"/>
      <c r="H21" s="46" t="s">
        <v>2225</v>
      </c>
      <c r="I21" s="46" t="s">
        <v>2226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22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zoomScale="80" zoomScaleNormal="80" workbookViewId="0">
      <pane ySplit="4" topLeftCell="A5" activePane="bottomLeft" state="frozen"/>
      <selection activeCell="L6" sqref="L6"/>
      <selection pane="bottomLeft" activeCell="L6" sqref="L6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2227</v>
      </c>
      <c r="B1" s="52"/>
      <c r="C1" s="53" t="s">
        <v>2228</v>
      </c>
      <c r="D1" s="54">
        <f>SUM(F5:F74)</f>
        <v>169315</v>
      </c>
      <c r="E1" s="407" t="s">
        <v>2229</v>
      </c>
      <c r="F1" s="52">
        <f>SUM(G5:G74)</f>
        <v>5501388.7599999988</v>
      </c>
      <c r="G1" s="52" t="s">
        <v>2230</v>
      </c>
      <c r="H1" s="55">
        <f>L8+L11+L52+L59+L17+L64+L35+L44+L26+L74</f>
        <v>156.12619047619046</v>
      </c>
      <c r="I1" s="556" t="s">
        <v>2231</v>
      </c>
      <c r="J1" s="556"/>
      <c r="K1" s="556"/>
      <c r="L1" s="556" t="s">
        <v>2232</v>
      </c>
      <c r="M1" s="556"/>
      <c r="N1" s="556"/>
      <c r="O1" s="556" t="s">
        <v>2233</v>
      </c>
      <c r="P1" s="556"/>
      <c r="Q1" s="556"/>
      <c r="R1" s="556"/>
      <c r="S1" s="556" t="s">
        <v>2234</v>
      </c>
      <c r="T1" s="556"/>
      <c r="U1" s="556"/>
      <c r="V1" s="556"/>
      <c r="W1" s="556"/>
      <c r="X1" s="556"/>
      <c r="Y1" s="556" t="s">
        <v>2235</v>
      </c>
      <c r="Z1" s="556"/>
      <c r="AA1" s="556" t="s">
        <v>2236</v>
      </c>
      <c r="AB1" s="557"/>
      <c r="AC1" s="557"/>
    </row>
    <row r="2" spans="1:29" ht="26.25" customHeight="1">
      <c r="A2" s="57">
        <v>45988</v>
      </c>
      <c r="B2" s="58" t="s">
        <v>552</v>
      </c>
      <c r="C2" s="53" t="s">
        <v>2237</v>
      </c>
      <c r="D2" s="59">
        <f>AVERAGE(N8,N11,N52,N59,N17,N64,N26,N35,N44,N74)</f>
        <v>146.65994720932753</v>
      </c>
      <c r="E2" s="60" t="s">
        <v>0</v>
      </c>
      <c r="F2" s="61">
        <f>F1/D1</f>
        <v>32.492034137554256</v>
      </c>
      <c r="G2" s="52" t="s">
        <v>2238</v>
      </c>
      <c r="H2" s="415">
        <f>COUNT(H5:H74)</f>
        <v>9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2239</v>
      </c>
      <c r="B3" s="510" t="s">
        <v>2240</v>
      </c>
      <c r="C3" s="510" t="s">
        <v>2241</v>
      </c>
      <c r="D3" s="510"/>
      <c r="E3" s="554" t="s">
        <v>2242</v>
      </c>
      <c r="F3" s="510" t="s">
        <v>2243</v>
      </c>
      <c r="G3" s="554" t="s">
        <v>2244</v>
      </c>
      <c r="H3" s="547" t="s">
        <v>2245</v>
      </c>
      <c r="I3" s="545" t="s">
        <v>2246</v>
      </c>
      <c r="J3" s="550" t="s">
        <v>2247</v>
      </c>
      <c r="K3" s="552" t="s">
        <v>2237</v>
      </c>
      <c r="L3" s="545" t="s">
        <v>2246</v>
      </c>
      <c r="M3" s="550" t="s">
        <v>2247</v>
      </c>
      <c r="N3" s="552" t="s">
        <v>2237</v>
      </c>
      <c r="O3" s="545" t="s">
        <v>2246</v>
      </c>
      <c r="P3" s="552" t="s">
        <v>2237</v>
      </c>
      <c r="Q3" s="551" t="s">
        <v>2248</v>
      </c>
      <c r="R3" s="523" t="s">
        <v>2249</v>
      </c>
      <c r="S3" s="510" t="s">
        <v>1</v>
      </c>
      <c r="T3" s="510"/>
      <c r="U3" s="547" t="s">
        <v>2</v>
      </c>
      <c r="V3" s="547" t="s">
        <v>2250</v>
      </c>
      <c r="W3" s="510" t="s">
        <v>2251</v>
      </c>
      <c r="X3" s="510"/>
      <c r="Y3" s="548" t="s">
        <v>2252</v>
      </c>
      <c r="Z3" s="549"/>
      <c r="AA3" s="550" t="s">
        <v>2253</v>
      </c>
      <c r="AB3" s="551" t="s">
        <v>2254</v>
      </c>
      <c r="AC3" s="523" t="s">
        <v>2255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407" t="s">
        <v>3</v>
      </c>
      <c r="T4" s="407" t="s">
        <v>4</v>
      </c>
      <c r="U4" s="547"/>
      <c r="V4" s="547"/>
      <c r="W4" s="407" t="s">
        <v>2256</v>
      </c>
      <c r="X4" s="407" t="s">
        <v>2257</v>
      </c>
      <c r="Y4" s="549"/>
      <c r="Z4" s="549"/>
      <c r="AA4" s="550"/>
      <c r="AB4" s="551"/>
      <c r="AC4" s="523"/>
    </row>
    <row r="5" spans="1:29">
      <c r="A5" s="544" t="s">
        <v>2258</v>
      </c>
      <c r="B5" s="62" t="s">
        <v>6</v>
      </c>
      <c r="C5" s="546" t="s">
        <v>9</v>
      </c>
      <c r="D5" s="546"/>
      <c r="E5" s="62">
        <v>50.67</v>
      </c>
      <c r="F5" s="414">
        <v>1276</v>
      </c>
      <c r="G5" s="407">
        <f t="shared" ref="G5:G7" si="0">E5*F5</f>
        <v>64654.920000000006</v>
      </c>
      <c r="H5" s="90" t="s">
        <v>5</v>
      </c>
      <c r="I5" s="412">
        <v>17</v>
      </c>
      <c r="J5" s="63">
        <v>2000</v>
      </c>
      <c r="K5" s="64">
        <f t="shared" ref="K5:K68" si="1">J5/I5</f>
        <v>117.64705882352941</v>
      </c>
      <c r="L5" s="412">
        <v>17</v>
      </c>
      <c r="M5" s="65">
        <f t="shared" ref="M5:M7" si="2">F5/V5*60</f>
        <v>1913.9999999999993</v>
      </c>
      <c r="N5" s="64">
        <f t="shared" ref="N5:N68" si="3">M5/L5</f>
        <v>112.58823529411761</v>
      </c>
      <c r="O5" s="66">
        <f t="shared" ref="O5:O68" si="4">L5-I5</f>
        <v>0</v>
      </c>
      <c r="P5" s="67">
        <f t="shared" ref="P5:P68" si="5">N5-K5</f>
        <v>-5.0588235294117965</v>
      </c>
      <c r="Q5" s="408">
        <f t="shared" ref="Q5:Q68" si="6">N5/K5</f>
        <v>0.95699999999999974</v>
      </c>
      <c r="R5" s="511">
        <f>Q8</f>
        <v>0.95862488769092524</v>
      </c>
      <c r="S5" s="68">
        <v>0.70833333333333337</v>
      </c>
      <c r="T5" s="68">
        <v>0.73611111111111116</v>
      </c>
      <c r="U5" s="407"/>
      <c r="V5" s="413">
        <f t="shared" ref="V5:V7" si="7">(T5-S5)*24*60</f>
        <v>40.000000000000014</v>
      </c>
      <c r="W5" s="69"/>
      <c r="X5" s="70"/>
      <c r="Y5" s="510"/>
      <c r="Z5" s="510"/>
      <c r="AA5" s="66">
        <f t="shared" ref="AA5:AA68" si="8">M5-J5</f>
        <v>-86.000000000000682</v>
      </c>
      <c r="AB5" s="408">
        <f t="shared" ref="AB5:AB68" si="9">M5/J5</f>
        <v>0.95699999999999963</v>
      </c>
      <c r="AC5" s="511">
        <f>AB8</f>
        <v>0.95862488769092535</v>
      </c>
    </row>
    <row r="6" spans="1:29">
      <c r="A6" s="545" t="s">
        <v>2259</v>
      </c>
      <c r="B6" s="62" t="s">
        <v>6</v>
      </c>
      <c r="C6" s="546" t="s">
        <v>8</v>
      </c>
      <c r="D6" s="546"/>
      <c r="E6" s="62">
        <v>50.49</v>
      </c>
      <c r="F6" s="414">
        <v>1706</v>
      </c>
      <c r="G6" s="407">
        <f t="shared" si="0"/>
        <v>86135.94</v>
      </c>
      <c r="H6" s="90" t="s">
        <v>5</v>
      </c>
      <c r="I6" s="412">
        <v>15</v>
      </c>
      <c r="J6" s="63">
        <v>2000</v>
      </c>
      <c r="K6" s="64">
        <f t="shared" si="1"/>
        <v>133.33333333333334</v>
      </c>
      <c r="L6" s="412">
        <v>15</v>
      </c>
      <c r="M6" s="65">
        <f t="shared" si="2"/>
        <v>1931.320754716982</v>
      </c>
      <c r="N6" s="64">
        <f t="shared" si="3"/>
        <v>128.75471698113213</v>
      </c>
      <c r="O6" s="66">
        <f t="shared" si="4"/>
        <v>0</v>
      </c>
      <c r="P6" s="67">
        <f t="shared" si="5"/>
        <v>-4.5786163522012089</v>
      </c>
      <c r="Q6" s="408">
        <f t="shared" si="6"/>
        <v>0.96566037735849097</v>
      </c>
      <c r="R6" s="511"/>
      <c r="S6" s="68">
        <v>0.73958333333333337</v>
      </c>
      <c r="T6" s="68">
        <v>0.77638888888888891</v>
      </c>
      <c r="U6" s="407">
        <f t="shared" ref="U6:U7" si="10">IF(S6=TIME(17,0,0),"",(S6-T5)*24*60)</f>
        <v>4.9999999999999822</v>
      </c>
      <c r="V6" s="413">
        <f t="shared" si="7"/>
        <v>52.999999999999972</v>
      </c>
      <c r="W6" s="69"/>
      <c r="X6" s="69"/>
      <c r="Y6" s="510"/>
      <c r="Z6" s="510"/>
      <c r="AA6" s="66">
        <f t="shared" si="8"/>
        <v>-68.679245283017963</v>
      </c>
      <c r="AB6" s="408">
        <f t="shared" si="9"/>
        <v>0.96566037735849097</v>
      </c>
      <c r="AC6" s="511"/>
    </row>
    <row r="7" spans="1:29">
      <c r="A7" s="545" t="s">
        <v>2259</v>
      </c>
      <c r="B7" s="62" t="s">
        <v>6</v>
      </c>
      <c r="C7" s="539" t="s">
        <v>886</v>
      </c>
      <c r="D7" s="540"/>
      <c r="E7" s="62">
        <v>57.3</v>
      </c>
      <c r="F7" s="414">
        <v>2669</v>
      </c>
      <c r="G7" s="407">
        <f t="shared" si="0"/>
        <v>152933.69999999998</v>
      </c>
      <c r="H7" s="90" t="s">
        <v>5</v>
      </c>
      <c r="I7" s="412">
        <v>13</v>
      </c>
      <c r="J7" s="63">
        <v>2000</v>
      </c>
      <c r="K7" s="64">
        <f t="shared" si="1"/>
        <v>153.84615384615384</v>
      </c>
      <c r="L7" s="412">
        <v>13</v>
      </c>
      <c r="M7" s="65">
        <f t="shared" si="2"/>
        <v>1906.4285714285706</v>
      </c>
      <c r="N7" s="64">
        <f t="shared" si="3"/>
        <v>146.64835164835159</v>
      </c>
      <c r="O7" s="66">
        <f t="shared" si="4"/>
        <v>0</v>
      </c>
      <c r="P7" s="67">
        <f t="shared" si="5"/>
        <v>-7.1978021978022468</v>
      </c>
      <c r="Q7" s="408">
        <f t="shared" si="6"/>
        <v>0.95321428571428535</v>
      </c>
      <c r="R7" s="511"/>
      <c r="S7" s="68">
        <v>0.78125</v>
      </c>
      <c r="T7" s="68">
        <v>0.83958333333333335</v>
      </c>
      <c r="U7" s="407">
        <f t="shared" si="10"/>
        <v>6.9999999999999751</v>
      </c>
      <c r="V7" s="413">
        <f t="shared" si="7"/>
        <v>84.000000000000028</v>
      </c>
      <c r="W7" s="69"/>
      <c r="X7" s="69"/>
      <c r="Y7" s="517"/>
      <c r="Z7" s="518"/>
      <c r="AA7" s="66">
        <f t="shared" si="8"/>
        <v>-93.571428571429351</v>
      </c>
      <c r="AB7" s="408">
        <f t="shared" si="9"/>
        <v>0.95321428571428535</v>
      </c>
      <c r="AC7" s="511"/>
    </row>
    <row r="8" spans="1:29">
      <c r="A8" s="545" t="s">
        <v>2259</v>
      </c>
      <c r="B8" s="62" t="s">
        <v>2260</v>
      </c>
      <c r="C8" s="513"/>
      <c r="D8" s="513"/>
      <c r="E8" s="409"/>
      <c r="F8" s="71"/>
      <c r="G8" s="64"/>
      <c r="H8" s="414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1917.2497753818507</v>
      </c>
      <c r="N8" s="64">
        <f t="shared" si="3"/>
        <v>127.81665169212337</v>
      </c>
      <c r="O8" s="66">
        <f t="shared" si="4"/>
        <v>0</v>
      </c>
      <c r="P8" s="67">
        <f t="shared" si="5"/>
        <v>-5.5166816412099706</v>
      </c>
      <c r="Q8" s="408">
        <f t="shared" si="6"/>
        <v>0.95862488769092524</v>
      </c>
      <c r="R8" s="511"/>
      <c r="S8" s="68"/>
      <c r="T8" s="68"/>
      <c r="U8" s="407"/>
      <c r="V8" s="413"/>
      <c r="W8" s="64"/>
      <c r="X8" s="64"/>
      <c r="Y8" s="510"/>
      <c r="Z8" s="510"/>
      <c r="AA8" s="66">
        <f t="shared" si="8"/>
        <v>-82.750224618149332</v>
      </c>
      <c r="AB8" s="408">
        <f t="shared" si="9"/>
        <v>0.95862488769092535</v>
      </c>
      <c r="AC8" s="511"/>
    </row>
    <row r="9" spans="1:29" ht="15.75" customHeight="1">
      <c r="A9" s="543" t="s">
        <v>2261</v>
      </c>
      <c r="B9" s="62" t="s">
        <v>10</v>
      </c>
      <c r="C9" s="539" t="s">
        <v>12</v>
      </c>
      <c r="D9" s="540"/>
      <c r="E9" s="62">
        <v>39.36</v>
      </c>
      <c r="F9" s="414">
        <v>1289</v>
      </c>
      <c r="G9" s="407">
        <f t="shared" ref="G9:G10" si="11">E9*F9</f>
        <v>50735.040000000001</v>
      </c>
      <c r="H9" s="90" t="s">
        <v>5</v>
      </c>
      <c r="I9" s="412">
        <v>20</v>
      </c>
      <c r="J9" s="63">
        <v>1500</v>
      </c>
      <c r="K9" s="64">
        <f t="shared" si="1"/>
        <v>75</v>
      </c>
      <c r="L9" s="412">
        <v>20</v>
      </c>
      <c r="M9" s="65">
        <f t="shared" ref="M9:M10" si="12">F9/V9*60</f>
        <v>1432.2222222222219</v>
      </c>
      <c r="N9" s="64">
        <f t="shared" si="3"/>
        <v>71.6111111111111</v>
      </c>
      <c r="O9" s="66">
        <f t="shared" si="4"/>
        <v>0</v>
      </c>
      <c r="P9" s="67">
        <f t="shared" si="5"/>
        <v>-3.3888888888888999</v>
      </c>
      <c r="Q9" s="408">
        <f t="shared" si="6"/>
        <v>0.95481481481481467</v>
      </c>
      <c r="R9" s="511">
        <f>Q11</f>
        <v>0.95468013468013457</v>
      </c>
      <c r="S9" s="68">
        <v>0.20833333333333334</v>
      </c>
      <c r="T9" s="68">
        <v>0.24583333333333335</v>
      </c>
      <c r="U9" s="407"/>
      <c r="V9" s="413">
        <f t="shared" ref="V9:V10" si="13">(T9-S9)*24*60</f>
        <v>54.000000000000007</v>
      </c>
      <c r="W9" s="69"/>
      <c r="X9" s="69"/>
      <c r="Y9" s="510"/>
      <c r="Z9" s="510"/>
      <c r="AA9" s="66">
        <f t="shared" si="8"/>
        <v>-67.777777777778056</v>
      </c>
      <c r="AB9" s="408">
        <f t="shared" si="9"/>
        <v>0.95481481481481467</v>
      </c>
      <c r="AC9" s="511">
        <f>AB11</f>
        <v>0.95468013468013457</v>
      </c>
    </row>
    <row r="10" spans="1:29" ht="15.75" customHeight="1">
      <c r="A10" s="543" t="s">
        <v>2261</v>
      </c>
      <c r="B10" s="62" t="s">
        <v>10</v>
      </c>
      <c r="C10" s="539" t="s">
        <v>11</v>
      </c>
      <c r="D10" s="540"/>
      <c r="E10" s="62">
        <v>39.799999999999997</v>
      </c>
      <c r="F10" s="414">
        <v>5250</v>
      </c>
      <c r="G10" s="407">
        <f t="shared" si="11"/>
        <v>208949.99999999997</v>
      </c>
      <c r="H10" s="90" t="s">
        <v>5</v>
      </c>
      <c r="I10" s="412">
        <v>17</v>
      </c>
      <c r="J10" s="63">
        <v>1500</v>
      </c>
      <c r="K10" s="64">
        <f t="shared" si="1"/>
        <v>88.235294117647058</v>
      </c>
      <c r="L10" s="412">
        <v>17</v>
      </c>
      <c r="M10" s="65">
        <f t="shared" si="12"/>
        <v>1431.8181818181815</v>
      </c>
      <c r="N10" s="64">
        <f t="shared" si="3"/>
        <v>84.224598930481264</v>
      </c>
      <c r="O10" s="66">
        <f t="shared" si="4"/>
        <v>0</v>
      </c>
      <c r="P10" s="67">
        <f t="shared" si="5"/>
        <v>-4.0106951871657941</v>
      </c>
      <c r="Q10" s="408">
        <f t="shared" si="6"/>
        <v>0.95454545454545436</v>
      </c>
      <c r="R10" s="511"/>
      <c r="S10" s="68">
        <v>0.25</v>
      </c>
      <c r="T10" s="68">
        <v>0.40277777777777779</v>
      </c>
      <c r="U10" s="407">
        <f t="shared" ref="U10" si="14">IF(S10=TIME(17,0,0),"",(S10-T9)*24*60)</f>
        <v>5.9999999999999787</v>
      </c>
      <c r="V10" s="413">
        <f t="shared" si="13"/>
        <v>220.00000000000003</v>
      </c>
      <c r="W10" s="69"/>
      <c r="X10" s="69"/>
      <c r="Y10" s="510"/>
      <c r="Z10" s="510"/>
      <c r="AA10" s="66">
        <f t="shared" si="8"/>
        <v>-68.181818181818471</v>
      </c>
      <c r="AB10" s="408">
        <f t="shared" si="9"/>
        <v>0.95454545454545436</v>
      </c>
      <c r="AC10" s="511"/>
    </row>
    <row r="11" spans="1:29" ht="16.5" customHeight="1">
      <c r="A11" s="543" t="s">
        <v>2261</v>
      </c>
      <c r="B11" s="62" t="s">
        <v>2260</v>
      </c>
      <c r="C11" s="513"/>
      <c r="D11" s="513"/>
      <c r="E11" s="409"/>
      <c r="F11" s="63"/>
      <c r="G11" s="65"/>
      <c r="H11" s="414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1432.0202020202019</v>
      </c>
      <c r="N11" s="64">
        <f t="shared" si="3"/>
        <v>77.406497406497394</v>
      </c>
      <c r="O11" s="66">
        <f t="shared" si="4"/>
        <v>0</v>
      </c>
      <c r="P11" s="67">
        <f t="shared" si="5"/>
        <v>-3.6745836745836868</v>
      </c>
      <c r="Q11" s="408">
        <f t="shared" si="6"/>
        <v>0.95468013468013457</v>
      </c>
      <c r="R11" s="511"/>
      <c r="S11" s="68"/>
      <c r="T11" s="68"/>
      <c r="U11" s="64"/>
      <c r="V11" s="413"/>
      <c r="W11" s="64"/>
      <c r="X11" s="64"/>
      <c r="Y11" s="510"/>
      <c r="Z11" s="510"/>
      <c r="AA11" s="66">
        <f t="shared" si="8"/>
        <v>-67.97979797979815</v>
      </c>
      <c r="AB11" s="408">
        <f t="shared" si="9"/>
        <v>0.95468013468013457</v>
      </c>
      <c r="AC11" s="511"/>
    </row>
    <row r="12" spans="1:29" ht="16.5" customHeight="1">
      <c r="A12" s="541" t="s">
        <v>2262</v>
      </c>
      <c r="B12" s="414" t="s">
        <v>13</v>
      </c>
      <c r="C12" s="533" t="s">
        <v>14</v>
      </c>
      <c r="D12" s="533"/>
      <c r="E12" s="62">
        <v>41</v>
      </c>
      <c r="F12" s="414">
        <v>2418</v>
      </c>
      <c r="G12" s="407">
        <f t="shared" ref="G12:G16" si="15">E12*F12</f>
        <v>99138</v>
      </c>
      <c r="H12" s="90" t="s">
        <v>5</v>
      </c>
      <c r="I12" s="412">
        <v>26</v>
      </c>
      <c r="J12" s="63">
        <v>1500</v>
      </c>
      <c r="K12" s="64">
        <f t="shared" si="1"/>
        <v>57.692307692307693</v>
      </c>
      <c r="L12" s="412">
        <v>26</v>
      </c>
      <c r="M12" s="65">
        <f t="shared" ref="M12:M16" si="16">F12/V12*60</f>
        <v>1436.4356435643565</v>
      </c>
      <c r="N12" s="64">
        <f t="shared" si="3"/>
        <v>55.24752475247525</v>
      </c>
      <c r="O12" s="66">
        <f t="shared" si="4"/>
        <v>0</v>
      </c>
      <c r="P12" s="67">
        <f t="shared" si="5"/>
        <v>-2.444782939832443</v>
      </c>
      <c r="Q12" s="408">
        <f t="shared" si="6"/>
        <v>0.9576237623762377</v>
      </c>
      <c r="R12" s="511">
        <f>Q17</f>
        <v>0.96106822618665488</v>
      </c>
      <c r="S12" s="68">
        <v>0.125</v>
      </c>
      <c r="T12" s="68">
        <v>0.19513888888888889</v>
      </c>
      <c r="U12" s="407"/>
      <c r="V12" s="413">
        <f t="shared" ref="V12:V16" si="17">(T12-S12)*24*60</f>
        <v>101</v>
      </c>
      <c r="W12" s="69">
        <f>T12</f>
        <v>0.19513888888888889</v>
      </c>
      <c r="X12" s="69">
        <f>S13</f>
        <v>0.21527777777777779</v>
      </c>
      <c r="Y12" s="510"/>
      <c r="Z12" s="510"/>
      <c r="AA12" s="66">
        <f t="shared" si="8"/>
        <v>-63.564356435643504</v>
      </c>
      <c r="AB12" s="408">
        <f t="shared" si="9"/>
        <v>0.9576237623762377</v>
      </c>
      <c r="AC12" s="511">
        <f>AB17</f>
        <v>0.96106822618665499</v>
      </c>
    </row>
    <row r="13" spans="1:29" ht="16.5" customHeight="1">
      <c r="A13" s="542" t="s">
        <v>2262</v>
      </c>
      <c r="B13" s="414" t="s">
        <v>10</v>
      </c>
      <c r="C13" s="533" t="s">
        <v>15</v>
      </c>
      <c r="D13" s="533"/>
      <c r="E13" s="62">
        <v>39.619999999999997</v>
      </c>
      <c r="F13" s="414">
        <v>3496</v>
      </c>
      <c r="G13" s="407">
        <f t="shared" si="15"/>
        <v>138511.51999999999</v>
      </c>
      <c r="H13" s="90" t="s">
        <v>5</v>
      </c>
      <c r="I13" s="412">
        <v>19</v>
      </c>
      <c r="J13" s="63">
        <v>1500</v>
      </c>
      <c r="K13" s="64">
        <f t="shared" si="1"/>
        <v>78.94736842105263</v>
      </c>
      <c r="L13" s="412">
        <v>19</v>
      </c>
      <c r="M13" s="65">
        <f t="shared" si="16"/>
        <v>1436.7123287671236</v>
      </c>
      <c r="N13" s="64">
        <f t="shared" si="3"/>
        <v>75.616438356164394</v>
      </c>
      <c r="O13" s="66">
        <f t="shared" si="4"/>
        <v>0</v>
      </c>
      <c r="P13" s="67">
        <f t="shared" si="5"/>
        <v>-3.3309300648882356</v>
      </c>
      <c r="Q13" s="408">
        <f t="shared" si="6"/>
        <v>0.95780821917808234</v>
      </c>
      <c r="R13" s="511"/>
      <c r="S13" s="68">
        <v>0.21527777777777779</v>
      </c>
      <c r="T13" s="68">
        <v>0.31666666666666665</v>
      </c>
      <c r="U13" s="407">
        <f t="shared" ref="U13:U16" si="18">IF(S13=TIME(17,0,0),"",(S13-T12)*24*60)</f>
        <v>29.000000000000018</v>
      </c>
      <c r="V13" s="413">
        <f t="shared" si="17"/>
        <v>145.99999999999997</v>
      </c>
      <c r="W13" s="69"/>
      <c r="X13" s="69"/>
      <c r="Y13" s="510"/>
      <c r="Z13" s="510"/>
      <c r="AA13" s="66">
        <f t="shared" si="8"/>
        <v>-63.287671232876392</v>
      </c>
      <c r="AB13" s="408">
        <f t="shared" si="9"/>
        <v>0.95780821917808245</v>
      </c>
      <c r="AC13" s="511"/>
    </row>
    <row r="14" spans="1:29" ht="16.5" customHeight="1">
      <c r="A14" s="542" t="s">
        <v>2262</v>
      </c>
      <c r="B14" s="414" t="s">
        <v>6</v>
      </c>
      <c r="C14" s="533" t="s">
        <v>890</v>
      </c>
      <c r="D14" s="533"/>
      <c r="E14" s="62">
        <v>50.98</v>
      </c>
      <c r="F14" s="414">
        <v>2157</v>
      </c>
      <c r="G14" s="407">
        <f t="shared" si="15"/>
        <v>109963.85999999999</v>
      </c>
      <c r="H14" s="90" t="s">
        <v>5</v>
      </c>
      <c r="I14" s="412">
        <v>16</v>
      </c>
      <c r="J14" s="63">
        <v>2000</v>
      </c>
      <c r="K14" s="64">
        <f t="shared" si="1"/>
        <v>125</v>
      </c>
      <c r="L14" s="412">
        <v>16</v>
      </c>
      <c r="M14" s="65">
        <f t="shared" si="16"/>
        <v>1903.2352941176496</v>
      </c>
      <c r="N14" s="64">
        <f t="shared" si="3"/>
        <v>118.9522058823531</v>
      </c>
      <c r="O14" s="66">
        <f t="shared" si="4"/>
        <v>0</v>
      </c>
      <c r="P14" s="67">
        <f t="shared" si="5"/>
        <v>-6.0477941176469017</v>
      </c>
      <c r="Q14" s="408">
        <f t="shared" si="6"/>
        <v>0.95161764705882479</v>
      </c>
      <c r="R14" s="511"/>
      <c r="S14" s="68">
        <v>0.70833333333333337</v>
      </c>
      <c r="T14" s="68">
        <v>0.75555555555555554</v>
      </c>
      <c r="U14" s="407" t="str">
        <f t="shared" si="18"/>
        <v/>
      </c>
      <c r="V14" s="413">
        <f t="shared" si="17"/>
        <v>67.999999999999915</v>
      </c>
      <c r="W14" s="69"/>
      <c r="X14" s="69"/>
      <c r="Y14" s="510"/>
      <c r="Z14" s="510"/>
      <c r="AA14" s="66">
        <f t="shared" si="8"/>
        <v>-96.764705882350427</v>
      </c>
      <c r="AB14" s="408">
        <f t="shared" si="9"/>
        <v>0.95161764705882479</v>
      </c>
      <c r="AC14" s="511"/>
    </row>
    <row r="15" spans="1:29" ht="16.5" customHeight="1">
      <c r="A15" s="542" t="s">
        <v>2262</v>
      </c>
      <c r="B15" s="414" t="s">
        <v>6</v>
      </c>
      <c r="C15" s="533" t="s">
        <v>20</v>
      </c>
      <c r="D15" s="533"/>
      <c r="E15" s="62">
        <v>50.92</v>
      </c>
      <c r="F15" s="414">
        <v>2090</v>
      </c>
      <c r="G15" s="407">
        <f t="shared" si="15"/>
        <v>106422.8</v>
      </c>
      <c r="H15" s="90" t="s">
        <v>5</v>
      </c>
      <c r="I15" s="412">
        <v>15</v>
      </c>
      <c r="J15" s="63">
        <v>2000</v>
      </c>
      <c r="K15" s="64">
        <f t="shared" si="1"/>
        <v>133.33333333333334</v>
      </c>
      <c r="L15" s="412">
        <v>15</v>
      </c>
      <c r="M15" s="65">
        <f t="shared" si="16"/>
        <v>1929.2307692307713</v>
      </c>
      <c r="N15" s="64">
        <f t="shared" si="3"/>
        <v>128.61538461538476</v>
      </c>
      <c r="O15" s="66">
        <f t="shared" si="4"/>
        <v>0</v>
      </c>
      <c r="P15" s="67">
        <f t="shared" si="5"/>
        <v>-4.7179487179485875</v>
      </c>
      <c r="Q15" s="408">
        <f t="shared" si="6"/>
        <v>0.96461538461538565</v>
      </c>
      <c r="R15" s="511"/>
      <c r="S15" s="68">
        <v>0.76041666666666663</v>
      </c>
      <c r="T15" s="68">
        <v>0.80555555555555547</v>
      </c>
      <c r="U15" s="407">
        <f t="shared" si="18"/>
        <v>6.9999999999999751</v>
      </c>
      <c r="V15" s="413">
        <f t="shared" si="17"/>
        <v>64.999999999999929</v>
      </c>
      <c r="W15" s="69"/>
      <c r="X15" s="69"/>
      <c r="Y15" s="510"/>
      <c r="Z15" s="510"/>
      <c r="AA15" s="66">
        <f t="shared" si="8"/>
        <v>-70.76923076922867</v>
      </c>
      <c r="AB15" s="408">
        <f t="shared" si="9"/>
        <v>0.96461538461538565</v>
      </c>
      <c r="AC15" s="511"/>
    </row>
    <row r="16" spans="1:29" ht="16.5" customHeight="1">
      <c r="A16" s="542" t="s">
        <v>2262</v>
      </c>
      <c r="B16" s="414" t="s">
        <v>6</v>
      </c>
      <c r="C16" s="533" t="s">
        <v>7</v>
      </c>
      <c r="D16" s="533"/>
      <c r="E16" s="62">
        <v>46.93</v>
      </c>
      <c r="F16" s="414">
        <v>810</v>
      </c>
      <c r="G16" s="407">
        <f t="shared" si="15"/>
        <v>38013.300000000003</v>
      </c>
      <c r="H16" s="90" t="s">
        <v>5</v>
      </c>
      <c r="I16" s="412">
        <v>16</v>
      </c>
      <c r="J16" s="63">
        <v>2000</v>
      </c>
      <c r="K16" s="64">
        <f t="shared" si="1"/>
        <v>125</v>
      </c>
      <c r="L16" s="412">
        <v>16</v>
      </c>
      <c r="M16" s="65">
        <f t="shared" si="16"/>
        <v>1943.9999999999943</v>
      </c>
      <c r="N16" s="64">
        <f t="shared" si="3"/>
        <v>121.49999999999964</v>
      </c>
      <c r="O16" s="66">
        <f t="shared" si="4"/>
        <v>0</v>
      </c>
      <c r="P16" s="67">
        <f t="shared" si="5"/>
        <v>-3.5000000000003553</v>
      </c>
      <c r="Q16" s="408">
        <f t="shared" si="6"/>
        <v>0.9719999999999972</v>
      </c>
      <c r="R16" s="511"/>
      <c r="S16" s="68">
        <v>0.81111111111111101</v>
      </c>
      <c r="T16" s="68">
        <v>0.82847222222222217</v>
      </c>
      <c r="U16" s="407">
        <f t="shared" si="18"/>
        <v>7.9999999999999716</v>
      </c>
      <c r="V16" s="413">
        <f t="shared" si="17"/>
        <v>25.000000000000071</v>
      </c>
      <c r="W16" s="69"/>
      <c r="X16" s="69"/>
      <c r="Y16" s="510"/>
      <c r="Z16" s="510"/>
      <c r="AA16" s="66">
        <f t="shared" si="8"/>
        <v>-56.000000000005684</v>
      </c>
      <c r="AB16" s="408">
        <f t="shared" si="9"/>
        <v>0.9719999999999972</v>
      </c>
      <c r="AC16" s="511"/>
    </row>
    <row r="17" spans="1:29" ht="16.5" customHeight="1">
      <c r="A17" s="542" t="s">
        <v>2262</v>
      </c>
      <c r="B17" s="62" t="s">
        <v>2260</v>
      </c>
      <c r="C17" s="513"/>
      <c r="D17" s="513"/>
      <c r="E17" s="409"/>
      <c r="F17" s="71"/>
      <c r="G17" s="64"/>
      <c r="H17" s="414"/>
      <c r="I17" s="72">
        <v>18.399999999999999</v>
      </c>
      <c r="J17" s="63">
        <v>1800</v>
      </c>
      <c r="K17" s="64">
        <f t="shared" si="1"/>
        <v>97.826086956521749</v>
      </c>
      <c r="L17" s="72">
        <v>18.399999999999999</v>
      </c>
      <c r="M17" s="65">
        <f>AVERAGE(M12:M16)</f>
        <v>1729.9228071359789</v>
      </c>
      <c r="N17" s="64">
        <f t="shared" si="3"/>
        <v>94.017543866085816</v>
      </c>
      <c r="O17" s="66">
        <f t="shared" si="4"/>
        <v>0</v>
      </c>
      <c r="P17" s="67">
        <f t="shared" si="5"/>
        <v>-3.8085430904359328</v>
      </c>
      <c r="Q17" s="408">
        <f t="shared" si="6"/>
        <v>0.96106822618665488</v>
      </c>
      <c r="R17" s="511"/>
      <c r="S17" s="68"/>
      <c r="T17" s="68"/>
      <c r="U17" s="407"/>
      <c r="V17" s="413"/>
      <c r="W17" s="64"/>
      <c r="X17" s="64"/>
      <c r="Y17" s="510"/>
      <c r="Z17" s="510"/>
      <c r="AA17" s="66">
        <f t="shared" si="8"/>
        <v>-70.077192864021072</v>
      </c>
      <c r="AB17" s="408">
        <f t="shared" si="9"/>
        <v>0.96106822618665499</v>
      </c>
      <c r="AC17" s="511"/>
    </row>
    <row r="18" spans="1:29" ht="15.75" customHeight="1">
      <c r="A18" s="537" t="s">
        <v>2263</v>
      </c>
      <c r="B18" s="62" t="s">
        <v>13</v>
      </c>
      <c r="C18" s="533" t="s">
        <v>21</v>
      </c>
      <c r="D18" s="533"/>
      <c r="E18" s="62">
        <v>43.14</v>
      </c>
      <c r="F18" s="414">
        <v>1175</v>
      </c>
      <c r="G18" s="407">
        <f t="shared" ref="G18:G25" si="19">E18*F18</f>
        <v>50689.5</v>
      </c>
      <c r="H18" s="90" t="s">
        <v>5</v>
      </c>
      <c r="I18" s="412">
        <v>17</v>
      </c>
      <c r="J18" s="63">
        <v>2000</v>
      </c>
      <c r="K18" s="64">
        <f t="shared" si="1"/>
        <v>117.64705882352941</v>
      </c>
      <c r="L18" s="412">
        <v>17</v>
      </c>
      <c r="M18" s="65">
        <f t="shared" ref="M18:M25" si="20">F18/V18*60</f>
        <v>1905.4054054054061</v>
      </c>
      <c r="N18" s="64">
        <f t="shared" si="3"/>
        <v>112.08267090620036</v>
      </c>
      <c r="O18" s="66">
        <f t="shared" si="4"/>
        <v>0</v>
      </c>
      <c r="P18" s="67">
        <f t="shared" si="5"/>
        <v>-5.5643879173290429</v>
      </c>
      <c r="Q18" s="408">
        <f t="shared" si="6"/>
        <v>0.95270270270270319</v>
      </c>
      <c r="R18" s="511">
        <f>Q26</f>
        <v>0.96029837861117018</v>
      </c>
      <c r="S18" s="68">
        <v>0.20833333333333334</v>
      </c>
      <c r="T18" s="68">
        <v>0.23402777777777778</v>
      </c>
      <c r="U18" s="407"/>
      <c r="V18" s="413">
        <f t="shared" ref="V18:V25" si="21">(T18-S18)*24*60</f>
        <v>36.999999999999986</v>
      </c>
      <c r="W18" s="73"/>
      <c r="X18" s="73"/>
      <c r="Y18" s="510"/>
      <c r="Z18" s="510"/>
      <c r="AA18" s="66">
        <f t="shared" si="8"/>
        <v>-94.5945945945939</v>
      </c>
      <c r="AB18" s="408">
        <f t="shared" si="9"/>
        <v>0.95270270270270307</v>
      </c>
      <c r="AC18" s="511">
        <f>AB26</f>
        <v>0.96029837861117007</v>
      </c>
    </row>
    <row r="19" spans="1:29" ht="15.75" customHeight="1">
      <c r="A19" s="538" t="s">
        <v>2263</v>
      </c>
      <c r="B19" s="62" t="s">
        <v>77</v>
      </c>
      <c r="C19" s="533" t="s">
        <v>980</v>
      </c>
      <c r="D19" s="533"/>
      <c r="E19" s="62">
        <v>49.9</v>
      </c>
      <c r="F19" s="414">
        <v>1787</v>
      </c>
      <c r="G19" s="407">
        <f t="shared" si="19"/>
        <v>89171.3</v>
      </c>
      <c r="H19" s="90" t="s">
        <v>5</v>
      </c>
      <c r="I19" s="412">
        <v>19</v>
      </c>
      <c r="J19" s="63">
        <v>2000</v>
      </c>
      <c r="K19" s="64">
        <f t="shared" si="1"/>
        <v>105.26315789473684</v>
      </c>
      <c r="L19" s="412">
        <v>19</v>
      </c>
      <c r="M19" s="65">
        <f t="shared" si="20"/>
        <v>1914.6428571428571</v>
      </c>
      <c r="N19" s="64">
        <f t="shared" si="3"/>
        <v>100.77067669172932</v>
      </c>
      <c r="O19" s="66">
        <f t="shared" si="4"/>
        <v>0</v>
      </c>
      <c r="P19" s="67">
        <f t="shared" si="5"/>
        <v>-4.4924812030075145</v>
      </c>
      <c r="Q19" s="408">
        <f t="shared" si="6"/>
        <v>0.95732142857142866</v>
      </c>
      <c r="R19" s="511"/>
      <c r="S19" s="68">
        <v>0.2388888888888889</v>
      </c>
      <c r="T19" s="68">
        <v>0.27777777777777779</v>
      </c>
      <c r="U19" s="407">
        <f t="shared" ref="U19:U25" si="22">IF(S19=TIME(17,0,0),"",(S19-T18)*24*60)</f>
        <v>7.0000000000000151</v>
      </c>
      <c r="V19" s="413">
        <f t="shared" si="21"/>
        <v>56</v>
      </c>
      <c r="W19" s="69"/>
      <c r="X19" s="407"/>
      <c r="Y19" s="510"/>
      <c r="Z19" s="510"/>
      <c r="AA19" s="66">
        <f t="shared" si="8"/>
        <v>-85.35714285714289</v>
      </c>
      <c r="AB19" s="408">
        <f t="shared" si="9"/>
        <v>0.95732142857142855</v>
      </c>
      <c r="AC19" s="511"/>
    </row>
    <row r="20" spans="1:29" ht="15.75" customHeight="1">
      <c r="A20" s="538" t="s">
        <v>2263</v>
      </c>
      <c r="B20" s="62" t="s">
        <v>6</v>
      </c>
      <c r="C20" s="533" t="s">
        <v>22</v>
      </c>
      <c r="D20" s="533"/>
      <c r="E20" s="62">
        <v>57.73</v>
      </c>
      <c r="F20" s="414">
        <v>2182</v>
      </c>
      <c r="G20" s="407">
        <f t="shared" si="19"/>
        <v>125966.85999999999</v>
      </c>
      <c r="H20" s="90" t="s">
        <v>5</v>
      </c>
      <c r="I20" s="412">
        <v>14</v>
      </c>
      <c r="J20" s="63">
        <v>2000</v>
      </c>
      <c r="K20" s="64">
        <f t="shared" si="1"/>
        <v>142.85714285714286</v>
      </c>
      <c r="L20" s="412">
        <v>14</v>
      </c>
      <c r="M20" s="65">
        <f t="shared" si="20"/>
        <v>1925.2941176470588</v>
      </c>
      <c r="N20" s="64">
        <f t="shared" si="3"/>
        <v>137.52100840336135</v>
      </c>
      <c r="O20" s="66">
        <f t="shared" si="4"/>
        <v>0</v>
      </c>
      <c r="P20" s="67">
        <f t="shared" si="5"/>
        <v>-5.3361344537815114</v>
      </c>
      <c r="Q20" s="408">
        <f t="shared" si="6"/>
        <v>0.96264705882352941</v>
      </c>
      <c r="R20" s="511"/>
      <c r="S20" s="68">
        <v>0.28125</v>
      </c>
      <c r="T20" s="68">
        <v>0.32847222222222222</v>
      </c>
      <c r="U20" s="407">
        <f t="shared" si="22"/>
        <v>4.9999999999999822</v>
      </c>
      <c r="V20" s="413">
        <f t="shared" si="21"/>
        <v>68</v>
      </c>
      <c r="W20" s="69"/>
      <c r="X20" s="407"/>
      <c r="Y20" s="510"/>
      <c r="Z20" s="510"/>
      <c r="AA20" s="66">
        <f t="shared" si="8"/>
        <v>-74.705882352941217</v>
      </c>
      <c r="AB20" s="408">
        <f t="shared" si="9"/>
        <v>0.96264705882352941</v>
      </c>
      <c r="AC20" s="511"/>
    </row>
    <row r="21" spans="1:29" ht="15.75" customHeight="1">
      <c r="A21" s="538" t="s">
        <v>2263</v>
      </c>
      <c r="B21" s="62" t="s">
        <v>6</v>
      </c>
      <c r="C21" s="533" t="s">
        <v>23</v>
      </c>
      <c r="D21" s="533"/>
      <c r="E21" s="62">
        <v>53.68</v>
      </c>
      <c r="F21" s="414">
        <v>1517</v>
      </c>
      <c r="G21" s="407">
        <f t="shared" si="19"/>
        <v>81432.56</v>
      </c>
      <c r="H21" s="90" t="s">
        <v>5</v>
      </c>
      <c r="I21" s="412">
        <v>16</v>
      </c>
      <c r="J21" s="63">
        <v>2000</v>
      </c>
      <c r="K21" s="64">
        <f t="shared" si="1"/>
        <v>125</v>
      </c>
      <c r="L21" s="412">
        <v>16</v>
      </c>
      <c r="M21" s="65">
        <f t="shared" si="20"/>
        <v>1936.5957446808513</v>
      </c>
      <c r="N21" s="64">
        <f t="shared" si="3"/>
        <v>121.03723404255321</v>
      </c>
      <c r="O21" s="66">
        <f t="shared" si="4"/>
        <v>0</v>
      </c>
      <c r="P21" s="67">
        <f t="shared" si="5"/>
        <v>-3.9627659574467913</v>
      </c>
      <c r="Q21" s="408">
        <f t="shared" si="6"/>
        <v>0.96829787234042564</v>
      </c>
      <c r="R21" s="511"/>
      <c r="S21" s="68">
        <v>0.33333333333333331</v>
      </c>
      <c r="T21" s="68">
        <v>0.3659722222222222</v>
      </c>
      <c r="U21" s="407">
        <f t="shared" si="22"/>
        <v>6.9999999999999751</v>
      </c>
      <c r="V21" s="413">
        <f t="shared" si="21"/>
        <v>46.999999999999993</v>
      </c>
      <c r="W21" s="69"/>
      <c r="X21" s="407"/>
      <c r="Y21" s="510"/>
      <c r="Z21" s="510"/>
      <c r="AA21" s="66">
        <f t="shared" si="8"/>
        <v>-63.40425531914866</v>
      </c>
      <c r="AB21" s="408">
        <f t="shared" si="9"/>
        <v>0.96829787234042564</v>
      </c>
      <c r="AC21" s="511"/>
    </row>
    <row r="22" spans="1:29" ht="15.75" customHeight="1">
      <c r="A22" s="538" t="s">
        <v>2263</v>
      </c>
      <c r="B22" s="62" t="s">
        <v>6</v>
      </c>
      <c r="C22" s="533" t="s">
        <v>971</v>
      </c>
      <c r="D22" s="533"/>
      <c r="E22" s="62">
        <v>49.91</v>
      </c>
      <c r="F22" s="414">
        <v>1636</v>
      </c>
      <c r="G22" s="407">
        <f t="shared" si="19"/>
        <v>81652.759999999995</v>
      </c>
      <c r="H22" s="90" t="s">
        <v>5</v>
      </c>
      <c r="I22" s="412">
        <v>19</v>
      </c>
      <c r="J22" s="63">
        <v>2000</v>
      </c>
      <c r="K22" s="64">
        <f t="shared" si="1"/>
        <v>105.26315789473684</v>
      </c>
      <c r="L22" s="412">
        <v>19</v>
      </c>
      <c r="M22" s="65">
        <f t="shared" si="20"/>
        <v>1924.7058823529419</v>
      </c>
      <c r="N22" s="64">
        <f t="shared" si="3"/>
        <v>101.30030959752325</v>
      </c>
      <c r="O22" s="66">
        <f t="shared" si="4"/>
        <v>0</v>
      </c>
      <c r="P22" s="67">
        <f t="shared" si="5"/>
        <v>-3.9628482972135828</v>
      </c>
      <c r="Q22" s="408">
        <f t="shared" si="6"/>
        <v>0.96235294117647097</v>
      </c>
      <c r="R22" s="511"/>
      <c r="S22" s="68">
        <v>0.37083333333333329</v>
      </c>
      <c r="T22" s="68">
        <v>0.40624999999999994</v>
      </c>
      <c r="U22" s="407">
        <f t="shared" si="22"/>
        <v>6.9999999999999751</v>
      </c>
      <c r="V22" s="413">
        <f t="shared" si="21"/>
        <v>50.999999999999979</v>
      </c>
      <c r="W22" s="69"/>
      <c r="X22" s="407"/>
      <c r="Y22" s="510"/>
      <c r="Z22" s="510"/>
      <c r="AA22" s="66">
        <f t="shared" si="8"/>
        <v>-75.294117647058101</v>
      </c>
      <c r="AB22" s="408">
        <f t="shared" si="9"/>
        <v>0.96235294117647097</v>
      </c>
      <c r="AC22" s="511"/>
    </row>
    <row r="23" spans="1:29" ht="15.75" customHeight="1">
      <c r="A23" s="538" t="s">
        <v>2263</v>
      </c>
      <c r="B23" s="62" t="s">
        <v>6</v>
      </c>
      <c r="C23" s="533" t="s">
        <v>24</v>
      </c>
      <c r="D23" s="533"/>
      <c r="E23" s="62">
        <v>54.09</v>
      </c>
      <c r="F23" s="414">
        <v>1410</v>
      </c>
      <c r="G23" s="407">
        <f t="shared" si="19"/>
        <v>76266.900000000009</v>
      </c>
      <c r="H23" s="90" t="s">
        <v>5</v>
      </c>
      <c r="I23" s="412">
        <v>19</v>
      </c>
      <c r="J23" s="63">
        <v>2000</v>
      </c>
      <c r="K23" s="64">
        <f t="shared" si="1"/>
        <v>105.26315789473684</v>
      </c>
      <c r="L23" s="412">
        <v>19</v>
      </c>
      <c r="M23" s="65">
        <f t="shared" si="20"/>
        <v>1922.7272727272727</v>
      </c>
      <c r="N23" s="64">
        <f t="shared" si="3"/>
        <v>101.19617224880383</v>
      </c>
      <c r="O23" s="66">
        <f t="shared" si="4"/>
        <v>0</v>
      </c>
      <c r="P23" s="67">
        <f t="shared" si="5"/>
        <v>-4.066985645933002</v>
      </c>
      <c r="Q23" s="408">
        <f t="shared" si="6"/>
        <v>0.96136363636363653</v>
      </c>
      <c r="R23" s="511"/>
      <c r="S23" s="68">
        <v>0.70833333333333337</v>
      </c>
      <c r="T23" s="68">
        <v>0.73888888888888893</v>
      </c>
      <c r="U23" s="407" t="str">
        <f t="shared" si="22"/>
        <v/>
      </c>
      <c r="V23" s="413">
        <f t="shared" si="21"/>
        <v>44</v>
      </c>
      <c r="W23" s="69"/>
      <c r="X23" s="73"/>
      <c r="Y23" s="510"/>
      <c r="Z23" s="510"/>
      <c r="AA23" s="66">
        <f t="shared" si="8"/>
        <v>-77.272727272727252</v>
      </c>
      <c r="AB23" s="408">
        <f t="shared" si="9"/>
        <v>0.96136363636363642</v>
      </c>
      <c r="AC23" s="511"/>
    </row>
    <row r="24" spans="1:29" ht="15.75" customHeight="1">
      <c r="A24" s="538" t="s">
        <v>2263</v>
      </c>
      <c r="B24" s="62" t="s">
        <v>6</v>
      </c>
      <c r="C24" s="533" t="s">
        <v>82</v>
      </c>
      <c r="D24" s="533"/>
      <c r="E24" s="62">
        <v>57.73</v>
      </c>
      <c r="F24" s="414">
        <v>1378</v>
      </c>
      <c r="G24" s="407">
        <f t="shared" si="19"/>
        <v>79551.94</v>
      </c>
      <c r="H24" s="90" t="s">
        <v>5</v>
      </c>
      <c r="I24" s="412">
        <v>16</v>
      </c>
      <c r="J24" s="63">
        <v>1500</v>
      </c>
      <c r="K24" s="64">
        <f t="shared" si="1"/>
        <v>93.75</v>
      </c>
      <c r="L24" s="412">
        <v>16</v>
      </c>
      <c r="M24" s="65">
        <f t="shared" si="20"/>
        <v>1450.5263157894749</v>
      </c>
      <c r="N24" s="64">
        <f t="shared" si="3"/>
        <v>90.657894736842181</v>
      </c>
      <c r="O24" s="66">
        <f t="shared" si="4"/>
        <v>0</v>
      </c>
      <c r="P24" s="67">
        <f t="shared" si="5"/>
        <v>-3.0921052631578192</v>
      </c>
      <c r="Q24" s="408">
        <f t="shared" si="6"/>
        <v>0.96701754385964989</v>
      </c>
      <c r="R24" s="511"/>
      <c r="S24" s="68">
        <v>0.74375000000000002</v>
      </c>
      <c r="T24" s="68">
        <v>0.78333333333333333</v>
      </c>
      <c r="U24" s="407">
        <f t="shared" si="22"/>
        <v>6.9999999999999751</v>
      </c>
      <c r="V24" s="413">
        <f t="shared" si="21"/>
        <v>56.999999999999957</v>
      </c>
      <c r="W24" s="69"/>
      <c r="X24" s="73"/>
      <c r="Y24" s="517"/>
      <c r="Z24" s="518"/>
      <c r="AA24" s="66">
        <f t="shared" si="8"/>
        <v>-49.473684210525107</v>
      </c>
      <c r="AB24" s="408">
        <f t="shared" si="9"/>
        <v>0.96701754385964989</v>
      </c>
      <c r="AC24" s="511"/>
    </row>
    <row r="25" spans="1:29" ht="15.75" customHeight="1">
      <c r="A25" s="538" t="s">
        <v>2263</v>
      </c>
      <c r="B25" s="62" t="s">
        <v>6</v>
      </c>
      <c r="C25" s="534" t="s">
        <v>81</v>
      </c>
      <c r="D25" s="535"/>
      <c r="E25" s="62">
        <v>50.67</v>
      </c>
      <c r="F25" s="414">
        <v>1746</v>
      </c>
      <c r="G25" s="407">
        <f t="shared" si="19"/>
        <v>88469.82</v>
      </c>
      <c r="H25" s="90" t="s">
        <v>5</v>
      </c>
      <c r="I25" s="412">
        <v>15</v>
      </c>
      <c r="J25" s="63">
        <v>2000</v>
      </c>
      <c r="K25" s="64">
        <f t="shared" si="1"/>
        <v>133.33333333333334</v>
      </c>
      <c r="L25" s="412">
        <v>15</v>
      </c>
      <c r="M25" s="65">
        <f t="shared" si="20"/>
        <v>1904.7272727272741</v>
      </c>
      <c r="N25" s="64">
        <f t="shared" si="3"/>
        <v>126.98181818181827</v>
      </c>
      <c r="O25" s="66">
        <f t="shared" si="4"/>
        <v>0</v>
      </c>
      <c r="P25" s="67">
        <f t="shared" si="5"/>
        <v>-6.3515151515150734</v>
      </c>
      <c r="Q25" s="408">
        <f t="shared" si="6"/>
        <v>0.95236363636363697</v>
      </c>
      <c r="R25" s="511"/>
      <c r="S25" s="68">
        <v>0.78888888888888886</v>
      </c>
      <c r="T25" s="68">
        <v>0.82708333333333328</v>
      </c>
      <c r="U25" s="407">
        <f t="shared" si="22"/>
        <v>7.9999999999999716</v>
      </c>
      <c r="V25" s="413">
        <f t="shared" si="21"/>
        <v>54.999999999999964</v>
      </c>
      <c r="W25" s="69"/>
      <c r="X25" s="69"/>
      <c r="Y25" s="517"/>
      <c r="Z25" s="518"/>
      <c r="AA25" s="66">
        <f t="shared" si="8"/>
        <v>-95.272727272725888</v>
      </c>
      <c r="AB25" s="408">
        <f t="shared" si="9"/>
        <v>0.95236363636363708</v>
      </c>
      <c r="AC25" s="511"/>
    </row>
    <row r="26" spans="1:29" ht="15.75" customHeight="1">
      <c r="A26" s="538" t="s">
        <v>2263</v>
      </c>
      <c r="B26" s="62" t="s">
        <v>2260</v>
      </c>
      <c r="C26" s="513"/>
      <c r="D26" s="513"/>
      <c r="E26" s="409"/>
      <c r="F26" s="414"/>
      <c r="G26" s="407"/>
      <c r="H26" s="414"/>
      <c r="I26" s="72">
        <v>16.875</v>
      </c>
      <c r="J26" s="63">
        <v>1937.5</v>
      </c>
      <c r="K26" s="64">
        <f t="shared" si="1"/>
        <v>114.81481481481481</v>
      </c>
      <c r="L26" s="72">
        <v>16.875</v>
      </c>
      <c r="M26" s="65">
        <f>AVERAGE(M18:M25)</f>
        <v>1860.578108559142</v>
      </c>
      <c r="N26" s="64">
        <f t="shared" si="3"/>
        <v>110.25648050720842</v>
      </c>
      <c r="O26" s="66">
        <f t="shared" si="4"/>
        <v>0</v>
      </c>
      <c r="P26" s="67">
        <f t="shared" si="5"/>
        <v>-4.5583343076063869</v>
      </c>
      <c r="Q26" s="408">
        <f t="shared" si="6"/>
        <v>0.96029837861117018</v>
      </c>
      <c r="R26" s="511"/>
      <c r="S26" s="68"/>
      <c r="T26" s="68"/>
      <c r="U26" s="64"/>
      <c r="V26" s="413"/>
      <c r="W26" s="64"/>
      <c r="X26" s="64"/>
      <c r="Y26" s="510"/>
      <c r="Z26" s="510"/>
      <c r="AA26" s="66">
        <f t="shared" si="8"/>
        <v>-76.921891440857962</v>
      </c>
      <c r="AB26" s="408">
        <f t="shared" si="9"/>
        <v>0.96029837861117007</v>
      </c>
      <c r="AC26" s="511"/>
    </row>
    <row r="27" spans="1:29" ht="15.75" customHeight="1">
      <c r="A27" s="536" t="s">
        <v>2264</v>
      </c>
      <c r="B27" s="62" t="s">
        <v>16</v>
      </c>
      <c r="C27" s="533" t="s">
        <v>30</v>
      </c>
      <c r="D27" s="533"/>
      <c r="E27" s="62">
        <v>31.29</v>
      </c>
      <c r="F27" s="414">
        <v>5000</v>
      </c>
      <c r="G27" s="407">
        <f t="shared" ref="G27:G34" si="23">E27*F27</f>
        <v>156450</v>
      </c>
      <c r="H27" s="90">
        <v>2</v>
      </c>
      <c r="I27" s="412">
        <v>18</v>
      </c>
      <c r="J27" s="63">
        <v>2400</v>
      </c>
      <c r="K27" s="64">
        <f t="shared" si="1"/>
        <v>133.33333333333334</v>
      </c>
      <c r="L27" s="412">
        <v>18</v>
      </c>
      <c r="M27" s="65">
        <f t="shared" ref="M27:M34" si="24">F27/V27*60</f>
        <v>2290.0763358778627</v>
      </c>
      <c r="N27" s="64">
        <f t="shared" si="3"/>
        <v>127.2264631043257</v>
      </c>
      <c r="O27" s="66">
        <f t="shared" si="4"/>
        <v>0</v>
      </c>
      <c r="P27" s="67">
        <f t="shared" si="5"/>
        <v>-6.1068702290076402</v>
      </c>
      <c r="Q27" s="408">
        <f t="shared" si="6"/>
        <v>0.95419847328244267</v>
      </c>
      <c r="R27" s="511">
        <f>Q35</f>
        <v>0.95761234874300705</v>
      </c>
      <c r="S27" s="68">
        <v>8.3333333333333329E-2</v>
      </c>
      <c r="T27" s="68">
        <v>0.17430555555555555</v>
      </c>
      <c r="U27" s="407"/>
      <c r="V27" s="413">
        <f t="shared" ref="V27:V34" si="25">(T27-S27)*24*60</f>
        <v>131</v>
      </c>
      <c r="W27" s="69">
        <f>T27</f>
        <v>0.17430555555555555</v>
      </c>
      <c r="X27" s="69">
        <f>S28</f>
        <v>0.19513888888888889</v>
      </c>
      <c r="Y27" s="510"/>
      <c r="Z27" s="510"/>
      <c r="AA27" s="66">
        <f t="shared" si="8"/>
        <v>-109.92366412213732</v>
      </c>
      <c r="AB27" s="408">
        <f t="shared" si="9"/>
        <v>0.95419847328244278</v>
      </c>
      <c r="AC27" s="511">
        <f>AB35</f>
        <v>0.95761234874300705</v>
      </c>
    </row>
    <row r="28" spans="1:29" ht="15.75" customHeight="1">
      <c r="A28" s="536" t="s">
        <v>2264</v>
      </c>
      <c r="B28" s="62" t="s">
        <v>16</v>
      </c>
      <c r="C28" s="533" t="s">
        <v>25</v>
      </c>
      <c r="D28" s="533"/>
      <c r="E28" s="62">
        <v>26.2</v>
      </c>
      <c r="F28" s="414">
        <v>3000</v>
      </c>
      <c r="G28" s="407">
        <f t="shared" si="23"/>
        <v>78600</v>
      </c>
      <c r="H28" s="90">
        <v>2</v>
      </c>
      <c r="I28" s="412">
        <v>20</v>
      </c>
      <c r="J28" s="63">
        <v>2400</v>
      </c>
      <c r="K28" s="64">
        <f t="shared" si="1"/>
        <v>120</v>
      </c>
      <c r="L28" s="412">
        <v>20</v>
      </c>
      <c r="M28" s="65">
        <f t="shared" si="24"/>
        <v>2307.6923076923076</v>
      </c>
      <c r="N28" s="64">
        <f t="shared" si="3"/>
        <v>115.38461538461539</v>
      </c>
      <c r="O28" s="66">
        <f t="shared" si="4"/>
        <v>0</v>
      </c>
      <c r="P28" s="67">
        <f t="shared" si="5"/>
        <v>-4.6153846153846132</v>
      </c>
      <c r="Q28" s="408">
        <f t="shared" si="6"/>
        <v>0.96153846153846156</v>
      </c>
      <c r="R28" s="511"/>
      <c r="S28" s="68">
        <v>0.19513888888888889</v>
      </c>
      <c r="T28" s="68">
        <v>0.24930555555555556</v>
      </c>
      <c r="U28" s="407">
        <f t="shared" ref="U28:U34" si="26">(S28-T27)*24*60</f>
        <v>30.000000000000014</v>
      </c>
      <c r="V28" s="413">
        <f t="shared" si="25"/>
        <v>78</v>
      </c>
      <c r="W28" s="69"/>
      <c r="X28" s="69"/>
      <c r="Y28" s="510"/>
      <c r="Z28" s="510"/>
      <c r="AA28" s="66">
        <f t="shared" si="8"/>
        <v>-92.307692307692378</v>
      </c>
      <c r="AB28" s="408">
        <f t="shared" si="9"/>
        <v>0.96153846153846156</v>
      </c>
      <c r="AC28" s="511"/>
    </row>
    <row r="29" spans="1:29" ht="15.75" customHeight="1">
      <c r="A29" s="536" t="s">
        <v>2264</v>
      </c>
      <c r="B29" s="62" t="s">
        <v>16</v>
      </c>
      <c r="C29" s="533" t="s">
        <v>83</v>
      </c>
      <c r="D29" s="533"/>
      <c r="E29" s="62">
        <v>25.99</v>
      </c>
      <c r="F29" s="414">
        <v>4922</v>
      </c>
      <c r="G29" s="407">
        <f t="shared" si="23"/>
        <v>127922.78</v>
      </c>
      <c r="H29" s="90" t="s">
        <v>5</v>
      </c>
      <c r="I29" s="412">
        <v>14</v>
      </c>
      <c r="J29" s="63">
        <v>2400</v>
      </c>
      <c r="K29" s="64">
        <f t="shared" si="1"/>
        <v>171.42857142857142</v>
      </c>
      <c r="L29" s="412">
        <v>14</v>
      </c>
      <c r="M29" s="65">
        <f t="shared" si="24"/>
        <v>2289.3023255813951</v>
      </c>
      <c r="N29" s="64">
        <f t="shared" si="3"/>
        <v>163.52159468438535</v>
      </c>
      <c r="O29" s="66">
        <f t="shared" si="4"/>
        <v>0</v>
      </c>
      <c r="P29" s="67">
        <f t="shared" si="5"/>
        <v>-7.9069767441860677</v>
      </c>
      <c r="Q29" s="408">
        <f t="shared" si="6"/>
        <v>0.95387596899224791</v>
      </c>
      <c r="R29" s="511"/>
      <c r="S29" s="68">
        <v>0.25416666666666665</v>
      </c>
      <c r="T29" s="68">
        <v>0.34375</v>
      </c>
      <c r="U29" s="407">
        <f t="shared" si="26"/>
        <v>6.9999999999999751</v>
      </c>
      <c r="V29" s="413">
        <f t="shared" si="25"/>
        <v>129.00000000000003</v>
      </c>
      <c r="W29" s="69"/>
      <c r="X29" s="69"/>
      <c r="Y29" s="510"/>
      <c r="Z29" s="510"/>
      <c r="AA29" s="66">
        <f t="shared" si="8"/>
        <v>-110.69767441860495</v>
      </c>
      <c r="AB29" s="408">
        <f t="shared" si="9"/>
        <v>0.95387596899224791</v>
      </c>
      <c r="AC29" s="511"/>
    </row>
    <row r="30" spans="1:29" ht="15.75" customHeight="1">
      <c r="A30" s="536" t="s">
        <v>2264</v>
      </c>
      <c r="B30" s="62" t="s">
        <v>16</v>
      </c>
      <c r="C30" s="533" t="s">
        <v>50</v>
      </c>
      <c r="D30" s="533"/>
      <c r="E30" s="62">
        <v>20.52</v>
      </c>
      <c r="F30" s="414">
        <v>4900</v>
      </c>
      <c r="G30" s="407">
        <f t="shared" si="23"/>
        <v>100548</v>
      </c>
      <c r="H30" s="90" t="s">
        <v>5</v>
      </c>
      <c r="I30" s="412">
        <v>18</v>
      </c>
      <c r="J30" s="63">
        <v>2400</v>
      </c>
      <c r="K30" s="64">
        <f t="shared" si="1"/>
        <v>133.33333333333334</v>
      </c>
      <c r="L30" s="412">
        <v>18</v>
      </c>
      <c r="M30" s="65">
        <f t="shared" si="24"/>
        <v>2296.8749999999995</v>
      </c>
      <c r="N30" s="64">
        <f t="shared" si="3"/>
        <v>127.60416666666664</v>
      </c>
      <c r="O30" s="66">
        <f t="shared" si="4"/>
        <v>0</v>
      </c>
      <c r="P30" s="67">
        <f t="shared" si="5"/>
        <v>-5.7291666666666998</v>
      </c>
      <c r="Q30" s="408">
        <f t="shared" si="6"/>
        <v>0.95703124999999978</v>
      </c>
      <c r="R30" s="511"/>
      <c r="S30" s="68">
        <v>0.34861111111111109</v>
      </c>
      <c r="T30" s="68">
        <v>0.4375</v>
      </c>
      <c r="U30" s="407">
        <f t="shared" si="26"/>
        <v>6.9999999999999751</v>
      </c>
      <c r="V30" s="413">
        <f t="shared" si="25"/>
        <v>128.00000000000003</v>
      </c>
      <c r="W30" s="69"/>
      <c r="X30" s="69"/>
      <c r="Y30" s="510"/>
      <c r="Z30" s="510"/>
      <c r="AA30" s="66">
        <f t="shared" si="8"/>
        <v>-103.12500000000045</v>
      </c>
      <c r="AB30" s="408">
        <f t="shared" si="9"/>
        <v>0.95703124999999978</v>
      </c>
      <c r="AC30" s="511"/>
    </row>
    <row r="31" spans="1:29" ht="15.75" customHeight="1">
      <c r="A31" s="536" t="s">
        <v>2264</v>
      </c>
      <c r="B31" s="62" t="s">
        <v>16</v>
      </c>
      <c r="C31" s="533" t="s">
        <v>982</v>
      </c>
      <c r="D31" s="533"/>
      <c r="E31" s="62">
        <v>25.98</v>
      </c>
      <c r="F31" s="414">
        <v>3000</v>
      </c>
      <c r="G31" s="407">
        <f t="shared" si="23"/>
        <v>77940</v>
      </c>
      <c r="H31" s="90">
        <v>2</v>
      </c>
      <c r="I31" s="412">
        <v>21</v>
      </c>
      <c r="J31" s="63">
        <v>2400</v>
      </c>
      <c r="K31" s="64">
        <f t="shared" si="1"/>
        <v>114.28571428571429</v>
      </c>
      <c r="L31" s="412">
        <v>21</v>
      </c>
      <c r="M31" s="65">
        <f t="shared" si="24"/>
        <v>2307.6923076923063</v>
      </c>
      <c r="N31" s="64">
        <f t="shared" si="3"/>
        <v>109.89010989010983</v>
      </c>
      <c r="O31" s="66">
        <f t="shared" si="4"/>
        <v>0</v>
      </c>
      <c r="P31" s="67">
        <f t="shared" si="5"/>
        <v>-4.3956043956044653</v>
      </c>
      <c r="Q31" s="408">
        <f t="shared" si="6"/>
        <v>0.9615384615384609</v>
      </c>
      <c r="R31" s="511"/>
      <c r="S31" s="68">
        <v>0.44236111111111109</v>
      </c>
      <c r="T31" s="68">
        <v>0.49652777777777779</v>
      </c>
      <c r="U31" s="407">
        <f t="shared" si="26"/>
        <v>6.9999999999999751</v>
      </c>
      <c r="V31" s="413">
        <f t="shared" si="25"/>
        <v>78.000000000000043</v>
      </c>
      <c r="W31" s="69">
        <f>T31</f>
        <v>0.49652777777777779</v>
      </c>
      <c r="X31" s="69">
        <f>S32</f>
        <v>0.53749999999999998</v>
      </c>
      <c r="Y31" s="510"/>
      <c r="Z31" s="510"/>
      <c r="AA31" s="66">
        <f t="shared" si="8"/>
        <v>-92.307692307693742</v>
      </c>
      <c r="AB31" s="408">
        <f t="shared" si="9"/>
        <v>0.9615384615384609</v>
      </c>
      <c r="AC31" s="511"/>
    </row>
    <row r="32" spans="1:29" ht="15.75" customHeight="1">
      <c r="A32" s="536" t="s">
        <v>248</v>
      </c>
      <c r="B32" s="62" t="s">
        <v>16</v>
      </c>
      <c r="C32" s="533" t="s">
        <v>30</v>
      </c>
      <c r="D32" s="533"/>
      <c r="E32" s="62">
        <v>31.29</v>
      </c>
      <c r="F32" s="414">
        <v>3270</v>
      </c>
      <c r="G32" s="407">
        <f t="shared" si="23"/>
        <v>102318.3</v>
      </c>
      <c r="H32" s="90" t="s">
        <v>5</v>
      </c>
      <c r="I32" s="412">
        <v>18</v>
      </c>
      <c r="J32" s="63">
        <v>2400</v>
      </c>
      <c r="K32" s="64">
        <f t="shared" si="1"/>
        <v>133.33333333333334</v>
      </c>
      <c r="L32" s="412">
        <v>18</v>
      </c>
      <c r="M32" s="65">
        <f t="shared" si="24"/>
        <v>2308.2352941176464</v>
      </c>
      <c r="N32" s="64">
        <f t="shared" si="3"/>
        <v>128.23529411764702</v>
      </c>
      <c r="O32" s="66">
        <f t="shared" si="4"/>
        <v>0</v>
      </c>
      <c r="P32" s="67">
        <f t="shared" si="5"/>
        <v>-5.0980392156863275</v>
      </c>
      <c r="Q32" s="408">
        <f t="shared" si="6"/>
        <v>0.96176470588235252</v>
      </c>
      <c r="R32" s="511"/>
      <c r="S32" s="68">
        <v>0.53749999999999998</v>
      </c>
      <c r="T32" s="68">
        <v>0.59652777777777777</v>
      </c>
      <c r="U32" s="407">
        <f t="shared" si="26"/>
        <v>58.99999999999995</v>
      </c>
      <c r="V32" s="413">
        <f t="shared" si="25"/>
        <v>85.000000000000014</v>
      </c>
      <c r="W32" s="69"/>
      <c r="X32" s="69"/>
      <c r="Y32" s="510"/>
      <c r="Z32" s="510"/>
      <c r="AA32" s="66">
        <f t="shared" si="8"/>
        <v>-91.76470588235361</v>
      </c>
      <c r="AB32" s="408">
        <f t="shared" si="9"/>
        <v>0.96176470588235263</v>
      </c>
      <c r="AC32" s="511"/>
    </row>
    <row r="33" spans="1:29" ht="15.75" customHeight="1">
      <c r="A33" s="536" t="s">
        <v>2265</v>
      </c>
      <c r="B33" s="62" t="s">
        <v>16</v>
      </c>
      <c r="C33" s="533" t="s">
        <v>25</v>
      </c>
      <c r="D33" s="533"/>
      <c r="E33" s="62">
        <v>26.2</v>
      </c>
      <c r="F33" s="414">
        <v>2209</v>
      </c>
      <c r="G33" s="407">
        <f t="shared" si="23"/>
        <v>57875.799999999996</v>
      </c>
      <c r="H33" s="90" t="s">
        <v>5</v>
      </c>
      <c r="I33" s="412">
        <v>20</v>
      </c>
      <c r="J33" s="63">
        <v>2400</v>
      </c>
      <c r="K33" s="64">
        <f t="shared" si="1"/>
        <v>120</v>
      </c>
      <c r="L33" s="412">
        <v>20</v>
      </c>
      <c r="M33" s="65">
        <f t="shared" si="24"/>
        <v>2285.1724137931051</v>
      </c>
      <c r="N33" s="64">
        <f t="shared" si="3"/>
        <v>114.25862068965526</v>
      </c>
      <c r="O33" s="66">
        <f t="shared" si="4"/>
        <v>0</v>
      </c>
      <c r="P33" s="67">
        <f t="shared" si="5"/>
        <v>-5.7413793103447404</v>
      </c>
      <c r="Q33" s="408">
        <f t="shared" si="6"/>
        <v>0.95215517241379388</v>
      </c>
      <c r="R33" s="511"/>
      <c r="S33" s="68">
        <v>0.60069444444444442</v>
      </c>
      <c r="T33" s="68">
        <v>0.64097222222222217</v>
      </c>
      <c r="U33" s="407">
        <f t="shared" si="26"/>
        <v>5.9999999999999787</v>
      </c>
      <c r="V33" s="413">
        <f t="shared" si="25"/>
        <v>57.999999999999957</v>
      </c>
      <c r="W33" s="69"/>
      <c r="X33" s="69"/>
      <c r="Y33" s="510"/>
      <c r="Z33" s="510"/>
      <c r="AA33" s="66">
        <f t="shared" si="8"/>
        <v>-114.82758620689492</v>
      </c>
      <c r="AB33" s="408">
        <f t="shared" si="9"/>
        <v>0.95215517241379377</v>
      </c>
      <c r="AC33" s="511"/>
    </row>
    <row r="34" spans="1:29" ht="15.75" customHeight="1">
      <c r="A34" s="536" t="s">
        <v>2264</v>
      </c>
      <c r="B34" s="62" t="s">
        <v>16</v>
      </c>
      <c r="C34" s="533" t="s">
        <v>982</v>
      </c>
      <c r="D34" s="533"/>
      <c r="E34" s="62">
        <v>25.98</v>
      </c>
      <c r="F34" s="414">
        <v>2071</v>
      </c>
      <c r="G34" s="407">
        <f t="shared" si="23"/>
        <v>53804.58</v>
      </c>
      <c r="H34" s="90" t="s">
        <v>5</v>
      </c>
      <c r="I34" s="412">
        <v>21</v>
      </c>
      <c r="J34" s="63">
        <v>2400</v>
      </c>
      <c r="K34" s="64">
        <f t="shared" si="1"/>
        <v>114.28571428571429</v>
      </c>
      <c r="L34" s="412">
        <v>21</v>
      </c>
      <c r="M34" s="65">
        <f t="shared" si="24"/>
        <v>2301.1111111111122</v>
      </c>
      <c r="N34" s="64">
        <f t="shared" si="3"/>
        <v>109.57671957671963</v>
      </c>
      <c r="O34" s="66">
        <f t="shared" si="4"/>
        <v>0</v>
      </c>
      <c r="P34" s="67">
        <f t="shared" si="5"/>
        <v>-4.7089947089946662</v>
      </c>
      <c r="Q34" s="408">
        <f t="shared" si="6"/>
        <v>0.9587962962962967</v>
      </c>
      <c r="R34" s="511"/>
      <c r="S34" s="68">
        <v>0.6465277777777777</v>
      </c>
      <c r="T34" s="68">
        <v>0.68402777777777768</v>
      </c>
      <c r="U34" s="407">
        <f t="shared" si="26"/>
        <v>7.9999999999999716</v>
      </c>
      <c r="V34" s="413">
        <f t="shared" si="25"/>
        <v>53.999999999999972</v>
      </c>
      <c r="W34" s="69"/>
      <c r="X34" s="69"/>
      <c r="Y34" s="510"/>
      <c r="Z34" s="510"/>
      <c r="AA34" s="66">
        <f t="shared" si="8"/>
        <v>-98.888888888887777</v>
      </c>
      <c r="AB34" s="408">
        <f t="shared" si="9"/>
        <v>0.95879629629629681</v>
      </c>
      <c r="AC34" s="511"/>
    </row>
    <row r="35" spans="1:29" ht="15.75" customHeight="1">
      <c r="A35" s="536" t="s">
        <v>248</v>
      </c>
      <c r="B35" s="62" t="s">
        <v>2260</v>
      </c>
      <c r="C35" s="513"/>
      <c r="D35" s="513"/>
      <c r="E35" s="409"/>
      <c r="F35" s="414"/>
      <c r="G35" s="407"/>
      <c r="H35" s="414"/>
      <c r="I35" s="72">
        <v>18.75</v>
      </c>
      <c r="J35" s="63">
        <v>2400</v>
      </c>
      <c r="K35" s="64">
        <f t="shared" si="1"/>
        <v>128</v>
      </c>
      <c r="L35" s="72">
        <v>18.75</v>
      </c>
      <c r="M35" s="65">
        <f>AVERAGE(M27:M34)</f>
        <v>2298.269636983217</v>
      </c>
      <c r="N35" s="64">
        <f t="shared" si="3"/>
        <v>122.5743806391049</v>
      </c>
      <c r="O35" s="66">
        <f t="shared" si="4"/>
        <v>0</v>
      </c>
      <c r="P35" s="67">
        <f t="shared" si="5"/>
        <v>-5.425619360895098</v>
      </c>
      <c r="Q35" s="408">
        <f t="shared" si="6"/>
        <v>0.95761234874300705</v>
      </c>
      <c r="R35" s="511"/>
      <c r="S35" s="68"/>
      <c r="T35" s="68"/>
      <c r="U35" s="407"/>
      <c r="V35" s="413"/>
      <c r="W35" s="407"/>
      <c r="X35" s="407"/>
      <c r="Y35" s="510"/>
      <c r="Z35" s="510"/>
      <c r="AA35" s="66">
        <f t="shared" si="8"/>
        <v>-101.73036301678303</v>
      </c>
      <c r="AB35" s="408">
        <f t="shared" si="9"/>
        <v>0.95761234874300705</v>
      </c>
      <c r="AC35" s="511"/>
    </row>
    <row r="36" spans="1:29" ht="15.75" customHeight="1">
      <c r="A36" s="531" t="s">
        <v>160</v>
      </c>
      <c r="B36" s="62" t="s">
        <v>16</v>
      </c>
      <c r="C36" s="512" t="s">
        <v>49</v>
      </c>
      <c r="D36" s="512"/>
      <c r="E36" s="62">
        <v>19.02</v>
      </c>
      <c r="F36" s="414">
        <v>5000</v>
      </c>
      <c r="G36" s="407">
        <f t="shared" ref="G36:G43" si="27">E36*F36</f>
        <v>95100</v>
      </c>
      <c r="H36" s="90">
        <v>2</v>
      </c>
      <c r="I36" s="412">
        <v>15</v>
      </c>
      <c r="J36" s="63">
        <v>2400</v>
      </c>
      <c r="K36" s="64">
        <f t="shared" si="1"/>
        <v>160</v>
      </c>
      <c r="L36" s="412">
        <v>15</v>
      </c>
      <c r="M36" s="65">
        <f t="shared" ref="M36:M43" si="28">F36/V36*60</f>
        <v>2290.0763358778627</v>
      </c>
      <c r="N36" s="64">
        <f t="shared" si="3"/>
        <v>152.67175572519085</v>
      </c>
      <c r="O36" s="66">
        <f t="shared" si="4"/>
        <v>0</v>
      </c>
      <c r="P36" s="67">
        <f t="shared" si="5"/>
        <v>-7.3282442748091512</v>
      </c>
      <c r="Q36" s="408">
        <f t="shared" si="6"/>
        <v>0.95419847328244278</v>
      </c>
      <c r="R36" s="511">
        <f>Q44</f>
        <v>0.9563423516900138</v>
      </c>
      <c r="S36" s="68">
        <v>8.3333333333333329E-2</v>
      </c>
      <c r="T36" s="68">
        <v>0.17430555555555555</v>
      </c>
      <c r="U36" s="407"/>
      <c r="V36" s="413">
        <f t="shared" ref="V36:V43" si="29">(T36-S36)*24*60</f>
        <v>131</v>
      </c>
      <c r="W36" s="73">
        <f>T36</f>
        <v>0.17430555555555555</v>
      </c>
      <c r="X36" s="73">
        <f>S37</f>
        <v>0.19374999999999998</v>
      </c>
      <c r="Y36" s="510"/>
      <c r="Z36" s="510"/>
      <c r="AA36" s="66">
        <f t="shared" si="8"/>
        <v>-109.92366412213732</v>
      </c>
      <c r="AB36" s="408">
        <f t="shared" si="9"/>
        <v>0.95419847328244278</v>
      </c>
      <c r="AC36" s="511">
        <f>AB44</f>
        <v>0.95634235169001369</v>
      </c>
    </row>
    <row r="37" spans="1:29" ht="15.75" customHeight="1">
      <c r="A37" s="531" t="s">
        <v>2266</v>
      </c>
      <c r="B37" s="62" t="s">
        <v>16</v>
      </c>
      <c r="C37" s="512" t="s">
        <v>31</v>
      </c>
      <c r="D37" s="512"/>
      <c r="E37" s="62">
        <v>26.2</v>
      </c>
      <c r="F37" s="414">
        <v>6298</v>
      </c>
      <c r="G37" s="407">
        <f t="shared" si="27"/>
        <v>165007.6</v>
      </c>
      <c r="H37" s="90" t="s">
        <v>5</v>
      </c>
      <c r="I37" s="412">
        <v>18</v>
      </c>
      <c r="J37" s="63">
        <v>2400</v>
      </c>
      <c r="K37" s="64">
        <f t="shared" si="1"/>
        <v>133.33333333333334</v>
      </c>
      <c r="L37" s="412">
        <v>18</v>
      </c>
      <c r="M37" s="65">
        <f t="shared" si="28"/>
        <v>2290.1818181818189</v>
      </c>
      <c r="N37" s="64">
        <f t="shared" si="3"/>
        <v>127.23232323232327</v>
      </c>
      <c r="O37" s="66">
        <f t="shared" si="4"/>
        <v>0</v>
      </c>
      <c r="P37" s="67">
        <f t="shared" si="5"/>
        <v>-6.1010101010100755</v>
      </c>
      <c r="Q37" s="408">
        <f t="shared" si="6"/>
        <v>0.95424242424242445</v>
      </c>
      <c r="R37" s="511"/>
      <c r="S37" s="68">
        <v>0.19374999999999998</v>
      </c>
      <c r="T37" s="68">
        <v>0.30833333333333329</v>
      </c>
      <c r="U37" s="407">
        <f t="shared" ref="U37:U43" si="30">(S37-T36)*24*60</f>
        <v>27.999999999999979</v>
      </c>
      <c r="V37" s="413">
        <f t="shared" si="29"/>
        <v>164.99999999999997</v>
      </c>
      <c r="W37" s="407"/>
      <c r="X37" s="407"/>
      <c r="Y37" s="510"/>
      <c r="Z37" s="510"/>
      <c r="AA37" s="66">
        <f t="shared" si="8"/>
        <v>-109.81818181818107</v>
      </c>
      <c r="AB37" s="408">
        <f t="shared" si="9"/>
        <v>0.95424242424242456</v>
      </c>
      <c r="AC37" s="511"/>
    </row>
    <row r="38" spans="1:29">
      <c r="A38" s="532" t="s">
        <v>2267</v>
      </c>
      <c r="B38" s="62" t="s">
        <v>16</v>
      </c>
      <c r="C38" s="512" t="s">
        <v>28</v>
      </c>
      <c r="D38" s="512"/>
      <c r="E38" s="62">
        <v>26.18</v>
      </c>
      <c r="F38" s="414">
        <v>2876</v>
      </c>
      <c r="G38" s="407">
        <f t="shared" si="27"/>
        <v>75293.679999999993</v>
      </c>
      <c r="H38" s="90" t="s">
        <v>5</v>
      </c>
      <c r="I38" s="412">
        <v>19</v>
      </c>
      <c r="J38" s="63">
        <v>2400</v>
      </c>
      <c r="K38" s="64">
        <f t="shared" si="1"/>
        <v>126.31578947368421</v>
      </c>
      <c r="L38" s="412">
        <v>19</v>
      </c>
      <c r="M38" s="65">
        <f t="shared" si="28"/>
        <v>2300.8000000000006</v>
      </c>
      <c r="N38" s="64">
        <f t="shared" si="3"/>
        <v>121.09473684210529</v>
      </c>
      <c r="O38" s="66">
        <f t="shared" si="4"/>
        <v>0</v>
      </c>
      <c r="P38" s="67">
        <f t="shared" si="5"/>
        <v>-5.2210526315789139</v>
      </c>
      <c r="Q38" s="408">
        <f t="shared" si="6"/>
        <v>0.95866666666666689</v>
      </c>
      <c r="R38" s="511"/>
      <c r="S38" s="68">
        <v>0.31388888888888883</v>
      </c>
      <c r="T38" s="68">
        <v>0.36597222222222214</v>
      </c>
      <c r="U38" s="407">
        <f t="shared" si="30"/>
        <v>7.9999999999999716</v>
      </c>
      <c r="V38" s="413">
        <f t="shared" si="29"/>
        <v>74.999999999999972</v>
      </c>
      <c r="W38" s="407"/>
      <c r="X38" s="407"/>
      <c r="Y38" s="510"/>
      <c r="Z38" s="510"/>
      <c r="AA38" s="66">
        <f t="shared" si="8"/>
        <v>-99.199999999999363</v>
      </c>
      <c r="AB38" s="408">
        <f t="shared" si="9"/>
        <v>0.95866666666666689</v>
      </c>
      <c r="AC38" s="511"/>
    </row>
    <row r="39" spans="1:29">
      <c r="A39" s="532" t="s">
        <v>2267</v>
      </c>
      <c r="B39" s="62" t="s">
        <v>16</v>
      </c>
      <c r="C39" s="512" t="s">
        <v>32</v>
      </c>
      <c r="D39" s="512"/>
      <c r="E39" s="62">
        <v>26.39</v>
      </c>
      <c r="F39" s="414">
        <v>3500</v>
      </c>
      <c r="G39" s="407">
        <f t="shared" si="27"/>
        <v>92365</v>
      </c>
      <c r="H39" s="90">
        <v>2</v>
      </c>
      <c r="I39" s="412">
        <v>19</v>
      </c>
      <c r="J39" s="63">
        <v>2400</v>
      </c>
      <c r="K39" s="64">
        <f t="shared" si="1"/>
        <v>126.31578947368421</v>
      </c>
      <c r="L39" s="412">
        <v>19</v>
      </c>
      <c r="M39" s="65">
        <f t="shared" si="28"/>
        <v>2282.608695652174</v>
      </c>
      <c r="N39" s="64">
        <f t="shared" si="3"/>
        <v>120.13729977116705</v>
      </c>
      <c r="O39" s="66">
        <f t="shared" si="4"/>
        <v>0</v>
      </c>
      <c r="P39" s="67">
        <f t="shared" si="5"/>
        <v>-6.1784897025171546</v>
      </c>
      <c r="Q39" s="408">
        <f t="shared" si="6"/>
        <v>0.95108695652173925</v>
      </c>
      <c r="R39" s="511"/>
      <c r="S39" s="68">
        <v>0.3701388888888888</v>
      </c>
      <c r="T39" s="68">
        <v>0.43402777777777768</v>
      </c>
      <c r="U39" s="407">
        <f t="shared" si="30"/>
        <v>5.9999999999999787</v>
      </c>
      <c r="V39" s="413">
        <f t="shared" si="29"/>
        <v>92</v>
      </c>
      <c r="W39" s="69"/>
      <c r="X39" s="69"/>
      <c r="Y39" s="510"/>
      <c r="Z39" s="510"/>
      <c r="AA39" s="66">
        <f t="shared" si="8"/>
        <v>-117.39130434782601</v>
      </c>
      <c r="AB39" s="408">
        <f t="shared" si="9"/>
        <v>0.95108695652173914</v>
      </c>
      <c r="AC39" s="511"/>
    </row>
    <row r="40" spans="1:29">
      <c r="A40" s="532" t="s">
        <v>2266</v>
      </c>
      <c r="B40" s="62" t="s">
        <v>16</v>
      </c>
      <c r="C40" s="512" t="s">
        <v>2110</v>
      </c>
      <c r="D40" s="512"/>
      <c r="E40" s="62">
        <v>27.24</v>
      </c>
      <c r="F40" s="414">
        <v>4100</v>
      </c>
      <c r="G40" s="407">
        <f t="shared" si="27"/>
        <v>111684</v>
      </c>
      <c r="H40" s="90">
        <v>2</v>
      </c>
      <c r="I40" s="412">
        <v>16</v>
      </c>
      <c r="J40" s="63">
        <v>2400</v>
      </c>
      <c r="K40" s="64">
        <f t="shared" si="1"/>
        <v>150</v>
      </c>
      <c r="L40" s="412">
        <v>16</v>
      </c>
      <c r="M40" s="65">
        <f t="shared" si="28"/>
        <v>2299.0654205607489</v>
      </c>
      <c r="N40" s="64">
        <f t="shared" si="3"/>
        <v>143.6915887850468</v>
      </c>
      <c r="O40" s="66">
        <f t="shared" si="4"/>
        <v>0</v>
      </c>
      <c r="P40" s="67">
        <f t="shared" si="5"/>
        <v>-6.3084112149531961</v>
      </c>
      <c r="Q40" s="408">
        <f t="shared" si="6"/>
        <v>0.95794392523364535</v>
      </c>
      <c r="R40" s="511"/>
      <c r="S40" s="68">
        <v>0.43958333333333321</v>
      </c>
      <c r="T40" s="68">
        <v>0.51388888888888873</v>
      </c>
      <c r="U40" s="407">
        <f t="shared" si="30"/>
        <v>7.9999999999999716</v>
      </c>
      <c r="V40" s="413">
        <f t="shared" si="29"/>
        <v>106.99999999999994</v>
      </c>
      <c r="W40" s="69">
        <f>T40</f>
        <v>0.51388888888888873</v>
      </c>
      <c r="X40" s="69">
        <f>S41</f>
        <v>0.55277777777777759</v>
      </c>
      <c r="Y40" s="510"/>
      <c r="Z40" s="510"/>
      <c r="AA40" s="66">
        <f t="shared" si="8"/>
        <v>-100.93457943925114</v>
      </c>
      <c r="AB40" s="408">
        <f t="shared" si="9"/>
        <v>0.95794392523364535</v>
      </c>
      <c r="AC40" s="511"/>
    </row>
    <row r="41" spans="1:29">
      <c r="A41" s="532" t="s">
        <v>160</v>
      </c>
      <c r="B41" s="62" t="s">
        <v>16</v>
      </c>
      <c r="C41" s="512" t="s">
        <v>2110</v>
      </c>
      <c r="D41" s="512"/>
      <c r="E41" s="62">
        <v>27.24</v>
      </c>
      <c r="F41" s="414">
        <v>3035</v>
      </c>
      <c r="G41" s="407">
        <f t="shared" si="27"/>
        <v>82673.399999999994</v>
      </c>
      <c r="H41" s="90" t="s">
        <v>5</v>
      </c>
      <c r="I41" s="412">
        <v>16</v>
      </c>
      <c r="J41" s="63">
        <v>2400</v>
      </c>
      <c r="K41" s="64">
        <f t="shared" si="1"/>
        <v>150</v>
      </c>
      <c r="L41" s="412">
        <v>16</v>
      </c>
      <c r="M41" s="65">
        <f t="shared" si="28"/>
        <v>2305.0632911392395</v>
      </c>
      <c r="N41" s="64">
        <f t="shared" si="3"/>
        <v>144.06645569620247</v>
      </c>
      <c r="O41" s="66">
        <f t="shared" si="4"/>
        <v>0</v>
      </c>
      <c r="P41" s="67">
        <f t="shared" si="5"/>
        <v>-5.9335443037975324</v>
      </c>
      <c r="Q41" s="408">
        <f t="shared" si="6"/>
        <v>0.96044303797468311</v>
      </c>
      <c r="R41" s="511"/>
      <c r="S41" s="68">
        <v>0.55277777777777759</v>
      </c>
      <c r="T41" s="68">
        <v>0.60763888888888873</v>
      </c>
      <c r="U41" s="407">
        <f t="shared" si="30"/>
        <v>55.999999999999957</v>
      </c>
      <c r="V41" s="413">
        <f t="shared" si="29"/>
        <v>79.000000000000043</v>
      </c>
      <c r="W41" s="69"/>
      <c r="X41" s="69"/>
      <c r="Y41" s="510"/>
      <c r="Z41" s="510"/>
      <c r="AA41" s="66">
        <f t="shared" si="8"/>
        <v>-94.936708860760518</v>
      </c>
      <c r="AB41" s="408">
        <f t="shared" si="9"/>
        <v>0.96044303797468311</v>
      </c>
      <c r="AC41" s="511"/>
    </row>
    <row r="42" spans="1:29">
      <c r="A42" s="532" t="s">
        <v>2266</v>
      </c>
      <c r="B42" s="62" t="s">
        <v>16</v>
      </c>
      <c r="C42" s="512" t="s">
        <v>32</v>
      </c>
      <c r="D42" s="512"/>
      <c r="E42" s="62">
        <v>26.39</v>
      </c>
      <c r="F42" s="414">
        <v>2413</v>
      </c>
      <c r="G42" s="407">
        <f t="shared" si="27"/>
        <v>63679.07</v>
      </c>
      <c r="H42" s="90" t="s">
        <v>5</v>
      </c>
      <c r="I42" s="412">
        <v>19</v>
      </c>
      <c r="J42" s="63">
        <v>2400</v>
      </c>
      <c r="K42" s="64">
        <f t="shared" si="1"/>
        <v>126.31578947368421</v>
      </c>
      <c r="L42" s="412">
        <v>19</v>
      </c>
      <c r="M42" s="65">
        <f t="shared" si="28"/>
        <v>2298.0952380952403</v>
      </c>
      <c r="N42" s="64">
        <f t="shared" si="3"/>
        <v>120.95238095238108</v>
      </c>
      <c r="O42" s="66">
        <f t="shared" si="4"/>
        <v>0</v>
      </c>
      <c r="P42" s="67">
        <f t="shared" si="5"/>
        <v>-5.3634085213031284</v>
      </c>
      <c r="Q42" s="408">
        <f t="shared" si="6"/>
        <v>0.95753968253968358</v>
      </c>
      <c r="R42" s="511"/>
      <c r="S42" s="68">
        <v>0.61180555555555538</v>
      </c>
      <c r="T42" s="68">
        <v>0.65555555555555534</v>
      </c>
      <c r="U42" s="407">
        <f t="shared" si="30"/>
        <v>5.9999999999999787</v>
      </c>
      <c r="V42" s="413">
        <f t="shared" si="29"/>
        <v>62.999999999999936</v>
      </c>
      <c r="W42" s="69"/>
      <c r="X42" s="69"/>
      <c r="Y42" s="517"/>
      <c r="Z42" s="518"/>
      <c r="AA42" s="66">
        <f t="shared" si="8"/>
        <v>-101.90476190475965</v>
      </c>
      <c r="AB42" s="408">
        <f t="shared" si="9"/>
        <v>0.95753968253968347</v>
      </c>
      <c r="AC42" s="511"/>
    </row>
    <row r="43" spans="1:29">
      <c r="A43" s="532" t="s">
        <v>160</v>
      </c>
      <c r="B43" s="62" t="s">
        <v>16</v>
      </c>
      <c r="C43" s="512" t="s">
        <v>49</v>
      </c>
      <c r="D43" s="512"/>
      <c r="E43" s="62">
        <v>19.02</v>
      </c>
      <c r="F43" s="414">
        <v>3903</v>
      </c>
      <c r="G43" s="407">
        <f t="shared" si="27"/>
        <v>74235.06</v>
      </c>
      <c r="H43" s="90" t="s">
        <v>5</v>
      </c>
      <c r="I43" s="412">
        <v>15</v>
      </c>
      <c r="J43" s="63">
        <v>2400</v>
      </c>
      <c r="K43" s="64">
        <f t="shared" si="1"/>
        <v>160</v>
      </c>
      <c r="L43" s="412">
        <v>15</v>
      </c>
      <c r="M43" s="65">
        <f t="shared" si="28"/>
        <v>2295.8823529411775</v>
      </c>
      <c r="N43" s="64">
        <f t="shared" si="3"/>
        <v>153.05882352941182</v>
      </c>
      <c r="O43" s="66">
        <f t="shared" si="4"/>
        <v>0</v>
      </c>
      <c r="P43" s="67">
        <f t="shared" si="5"/>
        <v>-6.9411764705881751</v>
      </c>
      <c r="Q43" s="408">
        <f t="shared" si="6"/>
        <v>0.95661764705882391</v>
      </c>
      <c r="R43" s="511"/>
      <c r="S43" s="68">
        <v>0.66111111111111087</v>
      </c>
      <c r="T43" s="68">
        <v>0.73194444444444418</v>
      </c>
      <c r="U43" s="407">
        <f t="shared" si="30"/>
        <v>7.9999999999999716</v>
      </c>
      <c r="V43" s="413">
        <f t="shared" si="29"/>
        <v>101.99999999999996</v>
      </c>
      <c r="W43" s="69"/>
      <c r="X43" s="69"/>
      <c r="Y43" s="517"/>
      <c r="Z43" s="518"/>
      <c r="AA43" s="66">
        <f t="shared" si="8"/>
        <v>-104.11764705882251</v>
      </c>
      <c r="AB43" s="408">
        <f t="shared" si="9"/>
        <v>0.95661764705882391</v>
      </c>
      <c r="AC43" s="511"/>
    </row>
    <row r="44" spans="1:29">
      <c r="A44" s="532" t="s">
        <v>2268</v>
      </c>
      <c r="B44" s="71" t="s">
        <v>2260</v>
      </c>
      <c r="C44" s="513"/>
      <c r="D44" s="513"/>
      <c r="E44" s="409"/>
      <c r="F44" s="71"/>
      <c r="G44" s="64"/>
      <c r="H44" s="414"/>
      <c r="I44" s="72">
        <v>17.125</v>
      </c>
      <c r="J44" s="63">
        <v>2400</v>
      </c>
      <c r="K44" s="64">
        <f t="shared" si="1"/>
        <v>140.14598540145985</v>
      </c>
      <c r="L44" s="72">
        <v>17.125</v>
      </c>
      <c r="M44" s="65">
        <f>AVERAGE(M36:M43)</f>
        <v>2295.2216440560328</v>
      </c>
      <c r="N44" s="64">
        <f t="shared" si="3"/>
        <v>134.02754125874645</v>
      </c>
      <c r="O44" s="66">
        <f t="shared" si="4"/>
        <v>0</v>
      </c>
      <c r="P44" s="67">
        <f t="shared" si="5"/>
        <v>-6.1184441427134004</v>
      </c>
      <c r="Q44" s="408">
        <f t="shared" si="6"/>
        <v>0.9563423516900138</v>
      </c>
      <c r="R44" s="511"/>
      <c r="S44" s="68"/>
      <c r="T44" s="68"/>
      <c r="U44" s="64"/>
      <c r="V44" s="413"/>
      <c r="W44" s="64"/>
      <c r="X44" s="64"/>
      <c r="Y44" s="510"/>
      <c r="Z44" s="510"/>
      <c r="AA44" s="66">
        <f t="shared" si="8"/>
        <v>-104.7783559439672</v>
      </c>
      <c r="AB44" s="408">
        <f t="shared" si="9"/>
        <v>0.95634235169001369</v>
      </c>
      <c r="AC44" s="511"/>
    </row>
    <row r="45" spans="1:29" ht="15.75" customHeight="1">
      <c r="A45" s="525" t="s">
        <v>2269</v>
      </c>
      <c r="B45" s="62" t="s">
        <v>35</v>
      </c>
      <c r="C45" s="521" t="s">
        <v>36</v>
      </c>
      <c r="D45" s="522"/>
      <c r="E45" s="62">
        <v>21.13</v>
      </c>
      <c r="F45" s="414">
        <v>5079</v>
      </c>
      <c r="G45" s="407">
        <f t="shared" ref="G45:G51" si="31">E45*F45</f>
        <v>107319.26999999999</v>
      </c>
      <c r="H45" s="90" t="s">
        <v>5</v>
      </c>
      <c r="I45" s="412">
        <v>10</v>
      </c>
      <c r="J45" s="63">
        <v>3000</v>
      </c>
      <c r="K45" s="64">
        <f t="shared" si="1"/>
        <v>300</v>
      </c>
      <c r="L45" s="412">
        <v>10</v>
      </c>
      <c r="M45" s="65">
        <f t="shared" ref="M45:M51" si="32">F45/V45*60</f>
        <v>2874.9056603773583</v>
      </c>
      <c r="N45" s="65">
        <f t="shared" si="3"/>
        <v>287.49056603773585</v>
      </c>
      <c r="O45" s="66">
        <f t="shared" si="4"/>
        <v>0</v>
      </c>
      <c r="P45" s="67">
        <f t="shared" si="5"/>
        <v>-12.509433962264154</v>
      </c>
      <c r="Q45" s="408">
        <f t="shared" si="6"/>
        <v>0.95830188679245287</v>
      </c>
      <c r="R45" s="528">
        <f>Q52</f>
        <v>0.95832935243177242</v>
      </c>
      <c r="S45" s="68">
        <v>8.3333333333333329E-2</v>
      </c>
      <c r="T45" s="68">
        <v>0.15694444444444444</v>
      </c>
      <c r="U45" s="73"/>
      <c r="V45" s="413">
        <f t="shared" ref="V45:V51" si="33">(T45-S45)*24*60</f>
        <v>106</v>
      </c>
      <c r="W45" s="69">
        <f>T45</f>
        <v>0.15694444444444444</v>
      </c>
      <c r="X45" s="69">
        <f>S46</f>
        <v>0.17708333333333334</v>
      </c>
      <c r="Y45" s="517"/>
      <c r="Z45" s="518"/>
      <c r="AA45" s="66">
        <f t="shared" si="8"/>
        <v>-125.09433962264166</v>
      </c>
      <c r="AB45" s="408">
        <f t="shared" si="9"/>
        <v>0.95830188679245276</v>
      </c>
      <c r="AC45" s="528">
        <f>AB52</f>
        <v>0.95832935243177242</v>
      </c>
    </row>
    <row r="46" spans="1:29" ht="15.75" customHeight="1">
      <c r="A46" s="526" t="s">
        <v>251</v>
      </c>
      <c r="B46" s="62" t="s">
        <v>35</v>
      </c>
      <c r="C46" s="521" t="s">
        <v>37</v>
      </c>
      <c r="D46" s="522"/>
      <c r="E46" s="62">
        <v>27.17</v>
      </c>
      <c r="F46" s="414">
        <v>6258</v>
      </c>
      <c r="G46" s="407">
        <f t="shared" si="31"/>
        <v>170029.86000000002</v>
      </c>
      <c r="H46" s="90" t="s">
        <v>5</v>
      </c>
      <c r="I46" s="412">
        <v>10</v>
      </c>
      <c r="J46" s="63">
        <v>3000</v>
      </c>
      <c r="K46" s="64">
        <f t="shared" si="1"/>
        <v>300</v>
      </c>
      <c r="L46" s="412">
        <v>10</v>
      </c>
      <c r="M46" s="65">
        <f t="shared" si="32"/>
        <v>2866.2595419847335</v>
      </c>
      <c r="N46" s="65">
        <f t="shared" si="3"/>
        <v>286.62595419847332</v>
      </c>
      <c r="O46" s="66">
        <f t="shared" si="4"/>
        <v>0</v>
      </c>
      <c r="P46" s="67">
        <f t="shared" si="5"/>
        <v>-13.374045801526677</v>
      </c>
      <c r="Q46" s="408">
        <f t="shared" si="6"/>
        <v>0.95541984732824436</v>
      </c>
      <c r="R46" s="529"/>
      <c r="S46" s="68">
        <v>0.17708333333333334</v>
      </c>
      <c r="T46" s="68">
        <v>0.26805555555555555</v>
      </c>
      <c r="U46" s="407">
        <f t="shared" ref="U46:U51" si="34">(S46-T45)*24*60</f>
        <v>29.000000000000018</v>
      </c>
      <c r="V46" s="413">
        <f t="shared" si="33"/>
        <v>130.99999999999997</v>
      </c>
      <c r="W46" s="69"/>
      <c r="X46" s="69"/>
      <c r="Y46" s="517"/>
      <c r="Z46" s="518"/>
      <c r="AA46" s="66">
        <f t="shared" si="8"/>
        <v>-133.74045801526654</v>
      </c>
      <c r="AB46" s="408">
        <f t="shared" si="9"/>
        <v>0.95541984732824448</v>
      </c>
      <c r="AC46" s="529"/>
    </row>
    <row r="47" spans="1:29" ht="15.75" customHeight="1">
      <c r="A47" s="526" t="s">
        <v>2270</v>
      </c>
      <c r="B47" s="62" t="s">
        <v>35</v>
      </c>
      <c r="C47" s="521" t="s">
        <v>38</v>
      </c>
      <c r="D47" s="522"/>
      <c r="E47" s="62">
        <v>35.119999999999997</v>
      </c>
      <c r="F47" s="414">
        <v>4166</v>
      </c>
      <c r="G47" s="407">
        <f t="shared" si="31"/>
        <v>146309.91999999998</v>
      </c>
      <c r="H47" s="90" t="s">
        <v>5</v>
      </c>
      <c r="I47" s="412">
        <v>10</v>
      </c>
      <c r="J47" s="63">
        <v>3000</v>
      </c>
      <c r="K47" s="64">
        <f t="shared" si="1"/>
        <v>300</v>
      </c>
      <c r="L47" s="412">
        <v>10</v>
      </c>
      <c r="M47" s="65">
        <f t="shared" si="32"/>
        <v>2873.1034482758614</v>
      </c>
      <c r="N47" s="65">
        <f t="shared" si="3"/>
        <v>287.31034482758616</v>
      </c>
      <c r="O47" s="66">
        <f t="shared" si="4"/>
        <v>0</v>
      </c>
      <c r="P47" s="67">
        <f t="shared" si="5"/>
        <v>-12.689655172413836</v>
      </c>
      <c r="Q47" s="408">
        <f t="shared" si="6"/>
        <v>0.95770114942528717</v>
      </c>
      <c r="R47" s="529"/>
      <c r="S47" s="68">
        <v>0.2722222222222222</v>
      </c>
      <c r="T47" s="68">
        <v>0.33263888888888887</v>
      </c>
      <c r="U47" s="407">
        <f t="shared" si="34"/>
        <v>5.9999999999999787</v>
      </c>
      <c r="V47" s="413">
        <f t="shared" si="33"/>
        <v>87.000000000000014</v>
      </c>
      <c r="W47" s="69"/>
      <c r="X47" s="69"/>
      <c r="Y47" s="517"/>
      <c r="Z47" s="518"/>
      <c r="AA47" s="66">
        <f t="shared" si="8"/>
        <v>-126.89655172413859</v>
      </c>
      <c r="AB47" s="408">
        <f t="shared" si="9"/>
        <v>0.95770114942528717</v>
      </c>
      <c r="AC47" s="529"/>
    </row>
    <row r="48" spans="1:29" ht="15.75" customHeight="1">
      <c r="A48" s="526" t="s">
        <v>2271</v>
      </c>
      <c r="B48" s="62" t="s">
        <v>35</v>
      </c>
      <c r="C48" s="521" t="s">
        <v>39</v>
      </c>
      <c r="D48" s="522"/>
      <c r="E48" s="62">
        <v>35.869999999999997</v>
      </c>
      <c r="F48" s="414">
        <v>2868</v>
      </c>
      <c r="G48" s="407">
        <f t="shared" si="31"/>
        <v>102875.15999999999</v>
      </c>
      <c r="H48" s="90" t="s">
        <v>5</v>
      </c>
      <c r="I48" s="412">
        <v>9</v>
      </c>
      <c r="J48" s="63">
        <v>3000</v>
      </c>
      <c r="K48" s="64">
        <f t="shared" si="1"/>
        <v>333.33333333333331</v>
      </c>
      <c r="L48" s="412">
        <v>9</v>
      </c>
      <c r="M48" s="65">
        <f t="shared" si="32"/>
        <v>2867.9999999999986</v>
      </c>
      <c r="N48" s="65">
        <f t="shared" si="3"/>
        <v>318.66666666666652</v>
      </c>
      <c r="O48" s="66">
        <f t="shared" si="4"/>
        <v>0</v>
      </c>
      <c r="P48" s="67">
        <f t="shared" si="5"/>
        <v>-14.666666666666799</v>
      </c>
      <c r="Q48" s="408">
        <f t="shared" si="6"/>
        <v>0.95599999999999963</v>
      </c>
      <c r="R48" s="529"/>
      <c r="S48" s="68">
        <v>0.33819444444444441</v>
      </c>
      <c r="T48" s="68">
        <v>0.37986111111111109</v>
      </c>
      <c r="U48" s="407">
        <f t="shared" si="34"/>
        <v>7.9999999999999716</v>
      </c>
      <c r="V48" s="413">
        <f t="shared" si="33"/>
        <v>60.000000000000028</v>
      </c>
      <c r="W48" s="69"/>
      <c r="X48" s="69"/>
      <c r="Y48" s="517"/>
      <c r="Z48" s="518"/>
      <c r="AA48" s="66">
        <f t="shared" si="8"/>
        <v>-132.00000000000136</v>
      </c>
      <c r="AB48" s="408">
        <f t="shared" si="9"/>
        <v>0.95599999999999952</v>
      </c>
      <c r="AC48" s="529"/>
    </row>
    <row r="49" spans="1:29" ht="15.75" customHeight="1">
      <c r="A49" s="526" t="s">
        <v>2272</v>
      </c>
      <c r="B49" s="62" t="s">
        <v>35</v>
      </c>
      <c r="C49" s="521" t="s">
        <v>40</v>
      </c>
      <c r="D49" s="522"/>
      <c r="E49" s="62">
        <v>36.14</v>
      </c>
      <c r="F49" s="414">
        <v>1204</v>
      </c>
      <c r="G49" s="407">
        <f t="shared" si="31"/>
        <v>43512.56</v>
      </c>
      <c r="H49" s="90" t="s">
        <v>5</v>
      </c>
      <c r="I49" s="412">
        <v>9</v>
      </c>
      <c r="J49" s="63">
        <v>3000</v>
      </c>
      <c r="K49" s="64">
        <f t="shared" si="1"/>
        <v>333.33333333333331</v>
      </c>
      <c r="L49" s="412">
        <v>9</v>
      </c>
      <c r="M49" s="65">
        <f t="shared" si="32"/>
        <v>2889.6000000000008</v>
      </c>
      <c r="N49" s="65">
        <f t="shared" si="3"/>
        <v>321.06666666666678</v>
      </c>
      <c r="O49" s="66">
        <f t="shared" si="4"/>
        <v>0</v>
      </c>
      <c r="P49" s="67">
        <f t="shared" si="5"/>
        <v>-12.266666666666538</v>
      </c>
      <c r="Q49" s="408">
        <f t="shared" si="6"/>
        <v>0.96320000000000039</v>
      </c>
      <c r="R49" s="529"/>
      <c r="S49" s="68">
        <v>0.38472222222222219</v>
      </c>
      <c r="T49" s="68">
        <v>0.40208333333333329</v>
      </c>
      <c r="U49" s="407">
        <f t="shared" si="34"/>
        <v>6.9999999999999751</v>
      </c>
      <c r="V49" s="413">
        <f t="shared" si="33"/>
        <v>24.999999999999993</v>
      </c>
      <c r="W49" s="69"/>
      <c r="X49" s="69"/>
      <c r="Y49" s="517"/>
      <c r="Z49" s="518"/>
      <c r="AA49" s="66">
        <f t="shared" si="8"/>
        <v>-110.39999999999918</v>
      </c>
      <c r="AB49" s="408">
        <f t="shared" si="9"/>
        <v>0.96320000000000028</v>
      </c>
      <c r="AC49" s="529"/>
    </row>
    <row r="50" spans="1:29" ht="15.75" customHeight="1">
      <c r="A50" s="526" t="s">
        <v>2273</v>
      </c>
      <c r="B50" s="62" t="s">
        <v>35</v>
      </c>
      <c r="C50" s="521" t="s">
        <v>74</v>
      </c>
      <c r="D50" s="522"/>
      <c r="E50" s="62">
        <v>34.36</v>
      </c>
      <c r="F50" s="414">
        <v>2262</v>
      </c>
      <c r="G50" s="407">
        <f t="shared" si="31"/>
        <v>77722.319999999992</v>
      </c>
      <c r="H50" s="90" t="s">
        <v>5</v>
      </c>
      <c r="I50" s="412">
        <v>10</v>
      </c>
      <c r="J50" s="63">
        <v>3000</v>
      </c>
      <c r="K50" s="64">
        <f t="shared" si="1"/>
        <v>300</v>
      </c>
      <c r="L50" s="412">
        <v>10</v>
      </c>
      <c r="M50" s="65">
        <f t="shared" si="32"/>
        <v>2887.6595744680853</v>
      </c>
      <c r="N50" s="65">
        <f t="shared" si="3"/>
        <v>288.76595744680856</v>
      </c>
      <c r="O50" s="66">
        <f t="shared" si="4"/>
        <v>0</v>
      </c>
      <c r="P50" s="67">
        <f t="shared" si="5"/>
        <v>-11.234042553191443</v>
      </c>
      <c r="Q50" s="408">
        <f t="shared" si="6"/>
        <v>0.9625531914893618</v>
      </c>
      <c r="R50" s="529"/>
      <c r="S50" s="68">
        <v>0.40694444444444439</v>
      </c>
      <c r="T50" s="68">
        <v>0.43958333333333327</v>
      </c>
      <c r="U50" s="407">
        <f t="shared" si="34"/>
        <v>6.9999999999999751</v>
      </c>
      <c r="V50" s="413">
        <f t="shared" si="33"/>
        <v>46.999999999999993</v>
      </c>
      <c r="W50" s="69"/>
      <c r="X50" s="69"/>
      <c r="Y50" s="517"/>
      <c r="Z50" s="518"/>
      <c r="AA50" s="66">
        <f t="shared" si="8"/>
        <v>-112.34042553191466</v>
      </c>
      <c r="AB50" s="408">
        <f t="shared" si="9"/>
        <v>0.9625531914893618</v>
      </c>
      <c r="AC50" s="529"/>
    </row>
    <row r="51" spans="1:29" ht="15.75" customHeight="1">
      <c r="A51" s="526" t="s">
        <v>251</v>
      </c>
      <c r="B51" s="62" t="s">
        <v>35</v>
      </c>
      <c r="C51" s="521" t="s">
        <v>84</v>
      </c>
      <c r="D51" s="522"/>
      <c r="E51" s="62">
        <v>31</v>
      </c>
      <c r="F51" s="414">
        <v>3242</v>
      </c>
      <c r="G51" s="407">
        <f t="shared" si="31"/>
        <v>100502</v>
      </c>
      <c r="H51" s="90" t="s">
        <v>5</v>
      </c>
      <c r="I51" s="412">
        <v>13</v>
      </c>
      <c r="J51" s="63">
        <v>2000</v>
      </c>
      <c r="K51" s="64">
        <f t="shared" si="1"/>
        <v>153.84615384615384</v>
      </c>
      <c r="L51" s="412">
        <v>13</v>
      </c>
      <c r="M51" s="65">
        <f t="shared" si="32"/>
        <v>1907.058823529411</v>
      </c>
      <c r="N51" s="65">
        <f t="shared" si="3"/>
        <v>146.69683257918547</v>
      </c>
      <c r="O51" s="66">
        <f t="shared" si="4"/>
        <v>0</v>
      </c>
      <c r="P51" s="67">
        <f t="shared" si="5"/>
        <v>-7.1493212669683714</v>
      </c>
      <c r="Q51" s="408">
        <f t="shared" si="6"/>
        <v>0.95352941176470563</v>
      </c>
      <c r="R51" s="529"/>
      <c r="S51" s="68">
        <v>0.44513888888888881</v>
      </c>
      <c r="T51" s="68">
        <v>0.51597222222222217</v>
      </c>
      <c r="U51" s="407">
        <f t="shared" si="34"/>
        <v>7.9999999999999716</v>
      </c>
      <c r="V51" s="413">
        <f t="shared" si="33"/>
        <v>102.00000000000004</v>
      </c>
      <c r="W51" s="69"/>
      <c r="X51" s="69"/>
      <c r="Y51" s="517"/>
      <c r="Z51" s="518"/>
      <c r="AA51" s="66">
        <f t="shared" si="8"/>
        <v>-92.941176470588971</v>
      </c>
      <c r="AB51" s="408">
        <f t="shared" si="9"/>
        <v>0.95352941176470551</v>
      </c>
      <c r="AC51" s="529"/>
    </row>
    <row r="52" spans="1:29" ht="15.75" customHeight="1">
      <c r="A52" s="527" t="s">
        <v>2269</v>
      </c>
      <c r="B52" s="62" t="s">
        <v>79</v>
      </c>
      <c r="C52" s="508"/>
      <c r="D52" s="509"/>
      <c r="E52" s="406"/>
      <c r="F52" s="414"/>
      <c r="G52" s="407"/>
      <c r="H52" s="414"/>
      <c r="I52" s="72">
        <v>10.142857142857142</v>
      </c>
      <c r="J52" s="63">
        <v>2857.1428571428573</v>
      </c>
      <c r="K52" s="64">
        <f t="shared" si="1"/>
        <v>281.69014084507046</v>
      </c>
      <c r="L52" s="72">
        <v>10.142857142857142</v>
      </c>
      <c r="M52" s="65">
        <f>AVERAGE(M45:M51)</f>
        <v>2738.0838640907787</v>
      </c>
      <c r="N52" s="64">
        <f t="shared" si="3"/>
        <v>269.95193026247114</v>
      </c>
      <c r="O52" s="66">
        <f t="shared" si="4"/>
        <v>0</v>
      </c>
      <c r="P52" s="67">
        <f t="shared" si="5"/>
        <v>-11.738210582599322</v>
      </c>
      <c r="Q52" s="408">
        <f t="shared" si="6"/>
        <v>0.95832935243177242</v>
      </c>
      <c r="R52" s="530"/>
      <c r="S52" s="68"/>
      <c r="T52" s="68"/>
      <c r="U52" s="407"/>
      <c r="V52" s="413"/>
      <c r="W52" s="69"/>
      <c r="X52" s="69"/>
      <c r="Y52" s="517"/>
      <c r="Z52" s="518"/>
      <c r="AA52" s="66">
        <f t="shared" si="8"/>
        <v>-119.05899305207868</v>
      </c>
      <c r="AB52" s="408">
        <f t="shared" si="9"/>
        <v>0.95832935243177242</v>
      </c>
      <c r="AC52" s="530"/>
    </row>
    <row r="53" spans="1:29" ht="15.75" customHeight="1">
      <c r="A53" s="523" t="s">
        <v>2274</v>
      </c>
      <c r="B53" s="62" t="s">
        <v>10</v>
      </c>
      <c r="C53" s="512" t="s">
        <v>41</v>
      </c>
      <c r="D53" s="512"/>
      <c r="E53" s="62">
        <v>46</v>
      </c>
      <c r="F53" s="74">
        <v>2102</v>
      </c>
      <c r="G53" s="407">
        <f t="shared" ref="G53:G58" si="35">E53*F53</f>
        <v>96692</v>
      </c>
      <c r="H53" s="90" t="s">
        <v>5</v>
      </c>
      <c r="I53" s="412">
        <v>17</v>
      </c>
      <c r="J53" s="63">
        <v>2000</v>
      </c>
      <c r="K53" s="64">
        <f t="shared" si="1"/>
        <v>117.64705882352941</v>
      </c>
      <c r="L53" s="412">
        <v>17</v>
      </c>
      <c r="M53" s="65">
        <f t="shared" ref="M53:M58" si="36">F53/V53*60</f>
        <v>1910.9090909090917</v>
      </c>
      <c r="N53" s="65">
        <f t="shared" si="3"/>
        <v>112.40641711229951</v>
      </c>
      <c r="O53" s="66">
        <f t="shared" si="4"/>
        <v>0</v>
      </c>
      <c r="P53" s="67">
        <f t="shared" si="5"/>
        <v>-5.2406417112298982</v>
      </c>
      <c r="Q53" s="408">
        <f t="shared" si="6"/>
        <v>0.95545454545454589</v>
      </c>
      <c r="R53" s="511">
        <f>Q59</f>
        <v>0.96029990122600817</v>
      </c>
      <c r="S53" s="68">
        <v>0.20833333333333334</v>
      </c>
      <c r="T53" s="68">
        <v>0.25416666666666665</v>
      </c>
      <c r="U53" s="73"/>
      <c r="V53" s="413">
        <f t="shared" ref="V53:V58" si="37">(T53-S53)*24*60</f>
        <v>65.999999999999972</v>
      </c>
      <c r="W53" s="73"/>
      <c r="X53" s="73"/>
      <c r="Y53" s="510"/>
      <c r="Z53" s="510"/>
      <c r="AA53" s="66">
        <f t="shared" si="8"/>
        <v>-89.090909090908326</v>
      </c>
      <c r="AB53" s="408">
        <f t="shared" si="9"/>
        <v>0.95545454545454589</v>
      </c>
      <c r="AC53" s="511">
        <f>AB59</f>
        <v>0.96029990122600817</v>
      </c>
    </row>
    <row r="54" spans="1:29" ht="15.75" customHeight="1">
      <c r="A54" s="523" t="s">
        <v>2275</v>
      </c>
      <c r="B54" s="62" t="s">
        <v>10</v>
      </c>
      <c r="C54" s="512" t="s">
        <v>42</v>
      </c>
      <c r="D54" s="512"/>
      <c r="E54" s="62">
        <v>46</v>
      </c>
      <c r="F54" s="74">
        <v>2270</v>
      </c>
      <c r="G54" s="407">
        <f t="shared" si="35"/>
        <v>104420</v>
      </c>
      <c r="H54" s="90" t="s">
        <v>5</v>
      </c>
      <c r="I54" s="412">
        <v>17</v>
      </c>
      <c r="J54" s="63">
        <v>2000</v>
      </c>
      <c r="K54" s="64">
        <f t="shared" si="1"/>
        <v>117.64705882352941</v>
      </c>
      <c r="L54" s="412">
        <v>17</v>
      </c>
      <c r="M54" s="65">
        <f t="shared" si="36"/>
        <v>1918.3098591549299</v>
      </c>
      <c r="N54" s="65">
        <f t="shared" si="3"/>
        <v>112.84175642087823</v>
      </c>
      <c r="O54" s="66">
        <f t="shared" si="4"/>
        <v>0</v>
      </c>
      <c r="P54" s="67">
        <f t="shared" si="5"/>
        <v>-4.8053024026511792</v>
      </c>
      <c r="Q54" s="408">
        <f t="shared" si="6"/>
        <v>0.95915492957746495</v>
      </c>
      <c r="R54" s="511"/>
      <c r="S54" s="68">
        <v>0.2583333333333333</v>
      </c>
      <c r="T54" s="68">
        <v>0.30763888888888885</v>
      </c>
      <c r="U54" s="407">
        <f t="shared" ref="U54:U58" si="38">IF(S54=TIME(17,0,0),"",(S54-T53)*24*60)</f>
        <v>5.9999999999999787</v>
      </c>
      <c r="V54" s="413">
        <f t="shared" si="37"/>
        <v>70.999999999999986</v>
      </c>
      <c r="W54" s="69"/>
      <c r="X54" s="69"/>
      <c r="Y54" s="510"/>
      <c r="Z54" s="510"/>
      <c r="AA54" s="66">
        <f t="shared" si="8"/>
        <v>-81.690140845070118</v>
      </c>
      <c r="AB54" s="408">
        <f t="shared" si="9"/>
        <v>0.95915492957746495</v>
      </c>
      <c r="AC54" s="511"/>
    </row>
    <row r="55" spans="1:29" ht="15.75" customHeight="1">
      <c r="A55" s="523" t="s">
        <v>80</v>
      </c>
      <c r="B55" s="62" t="s">
        <v>6</v>
      </c>
      <c r="C55" s="521" t="s">
        <v>43</v>
      </c>
      <c r="D55" s="522"/>
      <c r="E55" s="62">
        <v>55.56</v>
      </c>
      <c r="F55" s="74">
        <v>1799</v>
      </c>
      <c r="G55" s="407">
        <f t="shared" si="35"/>
        <v>99952.44</v>
      </c>
      <c r="H55" s="90" t="s">
        <v>5</v>
      </c>
      <c r="I55" s="412">
        <v>17</v>
      </c>
      <c r="J55" s="63">
        <v>2000</v>
      </c>
      <c r="K55" s="64">
        <f t="shared" si="1"/>
        <v>117.64705882352941</v>
      </c>
      <c r="L55" s="412">
        <v>17</v>
      </c>
      <c r="M55" s="65">
        <f t="shared" si="36"/>
        <v>1927.5000000000014</v>
      </c>
      <c r="N55" s="65">
        <f t="shared" si="3"/>
        <v>113.38235294117655</v>
      </c>
      <c r="O55" s="66">
        <f t="shared" si="4"/>
        <v>0</v>
      </c>
      <c r="P55" s="67">
        <f t="shared" si="5"/>
        <v>-4.2647058823528567</v>
      </c>
      <c r="Q55" s="408">
        <f t="shared" si="6"/>
        <v>0.96375000000000066</v>
      </c>
      <c r="R55" s="511"/>
      <c r="S55" s="68">
        <v>0.70833333333333337</v>
      </c>
      <c r="T55" s="68">
        <v>0.74722222222222223</v>
      </c>
      <c r="U55" s="407" t="str">
        <f t="shared" si="38"/>
        <v/>
      </c>
      <c r="V55" s="413">
        <f t="shared" si="37"/>
        <v>55.999999999999957</v>
      </c>
      <c r="W55" s="69"/>
      <c r="X55" s="69"/>
      <c r="Y55" s="404"/>
      <c r="Z55" s="405"/>
      <c r="AA55" s="66">
        <f t="shared" si="8"/>
        <v>-72.499999999998636</v>
      </c>
      <c r="AB55" s="408">
        <f t="shared" si="9"/>
        <v>0.96375000000000066</v>
      </c>
      <c r="AC55" s="511"/>
    </row>
    <row r="56" spans="1:29" ht="15.75" customHeight="1">
      <c r="A56" s="523" t="s">
        <v>80</v>
      </c>
      <c r="B56" s="62" t="s">
        <v>6</v>
      </c>
      <c r="C56" s="410" t="s">
        <v>44</v>
      </c>
      <c r="D56" s="411"/>
      <c r="E56" s="62">
        <v>55.32</v>
      </c>
      <c r="F56" s="74">
        <v>1231</v>
      </c>
      <c r="G56" s="407">
        <f t="shared" si="35"/>
        <v>68098.92</v>
      </c>
      <c r="H56" s="90" t="s">
        <v>5</v>
      </c>
      <c r="I56" s="412">
        <v>15</v>
      </c>
      <c r="J56" s="63">
        <v>2000</v>
      </c>
      <c r="K56" s="64">
        <f t="shared" si="1"/>
        <v>133.33333333333334</v>
      </c>
      <c r="L56" s="412">
        <v>15</v>
      </c>
      <c r="M56" s="65">
        <f t="shared" si="36"/>
        <v>1943.6842105263142</v>
      </c>
      <c r="N56" s="65">
        <f t="shared" si="3"/>
        <v>129.57894736842096</v>
      </c>
      <c r="O56" s="66">
        <f t="shared" si="4"/>
        <v>0</v>
      </c>
      <c r="P56" s="67">
        <f t="shared" si="5"/>
        <v>-3.7543859649123874</v>
      </c>
      <c r="Q56" s="408">
        <f t="shared" si="6"/>
        <v>0.97184210526315706</v>
      </c>
      <c r="R56" s="511"/>
      <c r="S56" s="68">
        <v>0.75069444444444444</v>
      </c>
      <c r="T56" s="68">
        <v>0.77708333333333335</v>
      </c>
      <c r="U56" s="407">
        <f t="shared" si="38"/>
        <v>4.9999999999999822</v>
      </c>
      <c r="V56" s="413">
        <f t="shared" si="37"/>
        <v>38.000000000000028</v>
      </c>
      <c r="W56" s="69"/>
      <c r="X56" s="69"/>
      <c r="Y56" s="404"/>
      <c r="Z56" s="405"/>
      <c r="AA56" s="66">
        <f t="shared" si="8"/>
        <v>-56.315789473685754</v>
      </c>
      <c r="AB56" s="408">
        <f t="shared" si="9"/>
        <v>0.97184210526315717</v>
      </c>
      <c r="AC56" s="511"/>
    </row>
    <row r="57" spans="1:29" ht="15.75" customHeight="1">
      <c r="A57" s="523" t="s">
        <v>80</v>
      </c>
      <c r="B57" s="62" t="s">
        <v>6</v>
      </c>
      <c r="C57" s="410" t="s">
        <v>1462</v>
      </c>
      <c r="D57" s="411"/>
      <c r="E57" s="62">
        <v>53.68</v>
      </c>
      <c r="F57" s="74">
        <v>1000</v>
      </c>
      <c r="G57" s="407">
        <f t="shared" si="35"/>
        <v>53680</v>
      </c>
      <c r="H57" s="90">
        <v>2</v>
      </c>
      <c r="I57" s="412">
        <v>16</v>
      </c>
      <c r="J57" s="63">
        <v>1500</v>
      </c>
      <c r="K57" s="64">
        <f t="shared" si="1"/>
        <v>93.75</v>
      </c>
      <c r="L57" s="412">
        <v>16</v>
      </c>
      <c r="M57" s="65">
        <f t="shared" si="36"/>
        <v>1428.5714285714282</v>
      </c>
      <c r="N57" s="65">
        <f t="shared" si="3"/>
        <v>89.285714285714263</v>
      </c>
      <c r="O57" s="66">
        <f t="shared" si="4"/>
        <v>0</v>
      </c>
      <c r="P57" s="67">
        <f t="shared" si="5"/>
        <v>-4.4642857142857366</v>
      </c>
      <c r="Q57" s="408">
        <f t="shared" si="6"/>
        <v>0.95238095238095211</v>
      </c>
      <c r="R57" s="511"/>
      <c r="S57" s="68">
        <v>0.78125</v>
      </c>
      <c r="T57" s="68">
        <v>0.81041666666666667</v>
      </c>
      <c r="U57" s="407">
        <f t="shared" si="38"/>
        <v>5.9999999999999787</v>
      </c>
      <c r="V57" s="413">
        <f t="shared" si="37"/>
        <v>42.000000000000014</v>
      </c>
      <c r="W57" s="69">
        <f>T57</f>
        <v>0.81041666666666667</v>
      </c>
      <c r="X57" s="69">
        <f>S58</f>
        <v>0.85</v>
      </c>
      <c r="Y57" s="404"/>
      <c r="Z57" s="405"/>
      <c r="AA57" s="66">
        <f t="shared" si="8"/>
        <v>-71.428571428571786</v>
      </c>
      <c r="AB57" s="408">
        <f t="shared" si="9"/>
        <v>0.95238095238095211</v>
      </c>
      <c r="AC57" s="511"/>
    </row>
    <row r="58" spans="1:29" ht="15.75" customHeight="1">
      <c r="A58" s="523" t="s">
        <v>80</v>
      </c>
      <c r="B58" s="62" t="s">
        <v>6</v>
      </c>
      <c r="C58" s="521" t="s">
        <v>1462</v>
      </c>
      <c r="D58" s="522"/>
      <c r="E58" s="62">
        <v>53.68</v>
      </c>
      <c r="F58" s="74">
        <v>1769</v>
      </c>
      <c r="G58" s="407">
        <f t="shared" si="35"/>
        <v>94959.92</v>
      </c>
      <c r="H58" s="90" t="s">
        <v>5</v>
      </c>
      <c r="I58" s="412">
        <v>16</v>
      </c>
      <c r="J58" s="63">
        <v>1500</v>
      </c>
      <c r="K58" s="64">
        <f t="shared" si="1"/>
        <v>93.75</v>
      </c>
      <c r="L58" s="412">
        <v>16</v>
      </c>
      <c r="M58" s="65">
        <f t="shared" si="36"/>
        <v>1434.3243243243232</v>
      </c>
      <c r="N58" s="65">
        <f t="shared" si="3"/>
        <v>89.645270270270203</v>
      </c>
      <c r="O58" s="66">
        <f t="shared" si="4"/>
        <v>0</v>
      </c>
      <c r="P58" s="67">
        <f t="shared" si="5"/>
        <v>-4.1047297297297973</v>
      </c>
      <c r="Q58" s="408">
        <f t="shared" si="6"/>
        <v>0.95621621621621544</v>
      </c>
      <c r="R58" s="511"/>
      <c r="S58" s="68">
        <v>0.85</v>
      </c>
      <c r="T58" s="68">
        <v>0.90138888888888891</v>
      </c>
      <c r="U58" s="407">
        <f t="shared" si="38"/>
        <v>56.999999999999957</v>
      </c>
      <c r="V58" s="413">
        <f t="shared" si="37"/>
        <v>74.000000000000057</v>
      </c>
      <c r="W58" s="69"/>
      <c r="X58" s="69"/>
      <c r="Y58" s="517"/>
      <c r="Z58" s="518"/>
      <c r="AA58" s="66">
        <f t="shared" si="8"/>
        <v>-65.675675675676757</v>
      </c>
      <c r="AB58" s="408">
        <f t="shared" si="9"/>
        <v>0.95621621621621544</v>
      </c>
      <c r="AC58" s="511"/>
    </row>
    <row r="59" spans="1:29">
      <c r="A59" s="524" t="s">
        <v>2276</v>
      </c>
      <c r="B59" s="62" t="s">
        <v>2277</v>
      </c>
      <c r="C59" s="513"/>
      <c r="D59" s="513"/>
      <c r="E59" s="409"/>
      <c r="F59" s="71"/>
      <c r="G59" s="64"/>
      <c r="H59" s="414"/>
      <c r="I59" s="72">
        <v>16.333333333333332</v>
      </c>
      <c r="J59" s="63">
        <v>1833.3333333333333</v>
      </c>
      <c r="K59" s="64">
        <f t="shared" si="1"/>
        <v>112.24489795918367</v>
      </c>
      <c r="L59" s="72">
        <v>16.333333333333332</v>
      </c>
      <c r="M59" s="65">
        <f>AVERAGE(M53:M58)</f>
        <v>1760.5498189143482</v>
      </c>
      <c r="N59" s="64">
        <f t="shared" si="3"/>
        <v>107.78876442332745</v>
      </c>
      <c r="O59" s="66">
        <f t="shared" si="4"/>
        <v>0</v>
      </c>
      <c r="P59" s="67">
        <f t="shared" si="5"/>
        <v>-4.4561335358562246</v>
      </c>
      <c r="Q59" s="408">
        <f t="shared" si="6"/>
        <v>0.96029990122600817</v>
      </c>
      <c r="R59" s="511"/>
      <c r="S59" s="75"/>
      <c r="T59" s="68"/>
      <c r="U59" s="64"/>
      <c r="V59" s="413"/>
      <c r="W59" s="64"/>
      <c r="X59" s="64"/>
      <c r="Y59" s="510"/>
      <c r="Z59" s="510"/>
      <c r="AA59" s="66">
        <f t="shared" si="8"/>
        <v>-72.783514418985078</v>
      </c>
      <c r="AB59" s="408">
        <f t="shared" si="9"/>
        <v>0.96029990122600817</v>
      </c>
      <c r="AC59" s="511"/>
    </row>
    <row r="60" spans="1:29" ht="15.75" customHeight="1">
      <c r="A60" s="519" t="s">
        <v>162</v>
      </c>
      <c r="B60" s="414" t="s">
        <v>10</v>
      </c>
      <c r="C60" s="512" t="s">
        <v>46</v>
      </c>
      <c r="D60" s="512"/>
      <c r="E60" s="62">
        <v>26.97</v>
      </c>
      <c r="F60" s="74">
        <v>2665</v>
      </c>
      <c r="G60" s="407">
        <f t="shared" ref="G60:G63" si="39">E60*F60</f>
        <v>71875.05</v>
      </c>
      <c r="H60" s="90" t="s">
        <v>5</v>
      </c>
      <c r="I60" s="412">
        <v>8</v>
      </c>
      <c r="J60" s="63">
        <v>1500</v>
      </c>
      <c r="K60" s="64">
        <f t="shared" si="1"/>
        <v>187.5</v>
      </c>
      <c r="L60" s="412">
        <v>8</v>
      </c>
      <c r="M60" s="65">
        <f t="shared" ref="M60:M63" si="40">F60/V60*60</f>
        <v>1427.6785714285718</v>
      </c>
      <c r="N60" s="64">
        <f t="shared" si="3"/>
        <v>178.45982142857147</v>
      </c>
      <c r="O60" s="66">
        <f t="shared" si="4"/>
        <v>0</v>
      </c>
      <c r="P60" s="67">
        <f t="shared" si="5"/>
        <v>-9.0401785714285268</v>
      </c>
      <c r="Q60" s="408">
        <f t="shared" si="6"/>
        <v>0.95178571428571457</v>
      </c>
      <c r="R60" s="511">
        <f>Q64</f>
        <v>0.95666452736365404</v>
      </c>
      <c r="S60" s="68">
        <v>0.20833333333333334</v>
      </c>
      <c r="T60" s="68">
        <v>0.28611111111111109</v>
      </c>
      <c r="U60" s="407"/>
      <c r="V60" s="413">
        <f t="shared" ref="V60:V63" si="41">(T60-S60)*24*60</f>
        <v>111.99999999999996</v>
      </c>
      <c r="W60" s="73"/>
      <c r="X60" s="73"/>
      <c r="Y60" s="510"/>
      <c r="Z60" s="510"/>
      <c r="AA60" s="66">
        <f t="shared" si="8"/>
        <v>-72.321428571428214</v>
      </c>
      <c r="AB60" s="408">
        <f t="shared" si="9"/>
        <v>0.95178571428571457</v>
      </c>
      <c r="AC60" s="511">
        <f>AB64</f>
        <v>0.95666452736365426</v>
      </c>
    </row>
    <row r="61" spans="1:29" ht="15.75" customHeight="1">
      <c r="A61" s="519" t="s">
        <v>162</v>
      </c>
      <c r="B61" s="414" t="s">
        <v>35</v>
      </c>
      <c r="C61" s="512" t="s">
        <v>45</v>
      </c>
      <c r="D61" s="512"/>
      <c r="E61" s="62">
        <v>26.78</v>
      </c>
      <c r="F61" s="74">
        <v>2620</v>
      </c>
      <c r="G61" s="407">
        <f t="shared" si="39"/>
        <v>70163.600000000006</v>
      </c>
      <c r="H61" s="90" t="s">
        <v>5</v>
      </c>
      <c r="I61" s="412">
        <v>10</v>
      </c>
      <c r="J61" s="63">
        <v>3000</v>
      </c>
      <c r="K61" s="64">
        <f t="shared" si="1"/>
        <v>300</v>
      </c>
      <c r="L61" s="412">
        <v>10</v>
      </c>
      <c r="M61" s="65">
        <f t="shared" si="40"/>
        <v>2858.1818181818203</v>
      </c>
      <c r="N61" s="64">
        <f t="shared" si="3"/>
        <v>285.81818181818204</v>
      </c>
      <c r="O61" s="66">
        <f t="shared" si="4"/>
        <v>0</v>
      </c>
      <c r="P61" s="67">
        <f t="shared" si="5"/>
        <v>-14.18181818181796</v>
      </c>
      <c r="Q61" s="408">
        <f t="shared" si="6"/>
        <v>0.95272727272727342</v>
      </c>
      <c r="R61" s="511"/>
      <c r="S61" s="68">
        <v>0.29166666666666663</v>
      </c>
      <c r="T61" s="68">
        <v>0.32986111111111105</v>
      </c>
      <c r="U61" s="407">
        <f t="shared" ref="U61:U63" si="42">(S61-T60)*24*60</f>
        <v>7.9999999999999716</v>
      </c>
      <c r="V61" s="413">
        <f t="shared" si="41"/>
        <v>54.999999999999964</v>
      </c>
      <c r="W61" s="407"/>
      <c r="X61" s="407"/>
      <c r="Y61" s="510"/>
      <c r="Z61" s="510"/>
      <c r="AA61" s="66">
        <f t="shared" si="8"/>
        <v>-141.81818181817971</v>
      </c>
      <c r="AB61" s="408">
        <f t="shared" si="9"/>
        <v>0.95272727272727342</v>
      </c>
      <c r="AC61" s="511"/>
    </row>
    <row r="62" spans="1:29" ht="15.75" customHeight="1">
      <c r="A62" s="519" t="s">
        <v>2278</v>
      </c>
      <c r="B62" s="414" t="s">
        <v>35</v>
      </c>
      <c r="C62" s="512" t="s">
        <v>75</v>
      </c>
      <c r="D62" s="512"/>
      <c r="E62" s="62">
        <v>37.880000000000003</v>
      </c>
      <c r="F62" s="74">
        <v>2974</v>
      </c>
      <c r="G62" s="407">
        <f t="shared" si="39"/>
        <v>112655.12000000001</v>
      </c>
      <c r="H62" s="90" t="s">
        <v>5</v>
      </c>
      <c r="I62" s="412">
        <v>10</v>
      </c>
      <c r="J62" s="63">
        <v>3000</v>
      </c>
      <c r="K62" s="64">
        <f t="shared" si="1"/>
        <v>300</v>
      </c>
      <c r="L62" s="412">
        <v>10</v>
      </c>
      <c r="M62" s="65">
        <f t="shared" si="40"/>
        <v>2878.0645161290313</v>
      </c>
      <c r="N62" s="64">
        <f t="shared" si="3"/>
        <v>287.80645161290312</v>
      </c>
      <c r="O62" s="66">
        <f t="shared" si="4"/>
        <v>0</v>
      </c>
      <c r="P62" s="67">
        <f t="shared" si="5"/>
        <v>-12.193548387096882</v>
      </c>
      <c r="Q62" s="408">
        <f t="shared" si="6"/>
        <v>0.95935483870967708</v>
      </c>
      <c r="R62" s="511"/>
      <c r="S62" s="68">
        <v>0.33472222222222214</v>
      </c>
      <c r="T62" s="68">
        <v>0.37777777777777771</v>
      </c>
      <c r="U62" s="407">
        <f t="shared" si="42"/>
        <v>6.9999999999999751</v>
      </c>
      <c r="V62" s="413">
        <f t="shared" si="41"/>
        <v>62.000000000000021</v>
      </c>
      <c r="W62" s="407"/>
      <c r="X62" s="407"/>
      <c r="Y62" s="510"/>
      <c r="Z62" s="510"/>
      <c r="AA62" s="66">
        <f t="shared" si="8"/>
        <v>-121.93548387096871</v>
      </c>
      <c r="AB62" s="408">
        <f t="shared" si="9"/>
        <v>0.95935483870967708</v>
      </c>
      <c r="AC62" s="511"/>
    </row>
    <row r="63" spans="1:29" ht="15.75" customHeight="1">
      <c r="A63" s="519" t="s">
        <v>162</v>
      </c>
      <c r="B63" s="414" t="s">
        <v>35</v>
      </c>
      <c r="C63" s="512" t="s">
        <v>85</v>
      </c>
      <c r="D63" s="512"/>
      <c r="E63" s="62">
        <v>40.51</v>
      </c>
      <c r="F63" s="74">
        <v>2737</v>
      </c>
      <c r="G63" s="407">
        <f t="shared" si="39"/>
        <v>110875.87</v>
      </c>
      <c r="H63" s="90" t="s">
        <v>5</v>
      </c>
      <c r="I63" s="412">
        <v>8</v>
      </c>
      <c r="J63" s="63">
        <v>3000</v>
      </c>
      <c r="K63" s="64">
        <f t="shared" si="1"/>
        <v>375</v>
      </c>
      <c r="L63" s="412">
        <v>8</v>
      </c>
      <c r="M63" s="65">
        <f t="shared" si="40"/>
        <v>2881.0526315789457</v>
      </c>
      <c r="N63" s="64">
        <f t="shared" si="3"/>
        <v>360.13157894736821</v>
      </c>
      <c r="O63" s="66">
        <f t="shared" si="4"/>
        <v>0</v>
      </c>
      <c r="P63" s="67">
        <f t="shared" si="5"/>
        <v>-14.868421052631788</v>
      </c>
      <c r="Q63" s="408">
        <f t="shared" si="6"/>
        <v>0.96035087719298184</v>
      </c>
      <c r="R63" s="511"/>
      <c r="S63" s="68">
        <v>0.38124999999999992</v>
      </c>
      <c r="T63" s="68">
        <v>0.42083333333333328</v>
      </c>
      <c r="U63" s="407">
        <f t="shared" si="42"/>
        <v>4.9999999999999822</v>
      </c>
      <c r="V63" s="413">
        <f t="shared" si="41"/>
        <v>57.000000000000036</v>
      </c>
      <c r="W63" s="407"/>
      <c r="X63" s="407"/>
      <c r="Y63" s="510"/>
      <c r="Z63" s="510"/>
      <c r="AA63" s="66">
        <f t="shared" si="8"/>
        <v>-118.94736842105431</v>
      </c>
      <c r="AB63" s="408">
        <f t="shared" si="9"/>
        <v>0.96035087719298184</v>
      </c>
      <c r="AC63" s="511"/>
    </row>
    <row r="64" spans="1:29">
      <c r="A64" s="520" t="s">
        <v>2278</v>
      </c>
      <c r="B64" s="62" t="s">
        <v>2279</v>
      </c>
      <c r="C64" s="513"/>
      <c r="D64" s="513"/>
      <c r="E64" s="409"/>
      <c r="F64" s="71"/>
      <c r="G64" s="64"/>
      <c r="H64" s="414"/>
      <c r="I64" s="72">
        <v>9</v>
      </c>
      <c r="J64" s="63">
        <v>2625</v>
      </c>
      <c r="K64" s="64">
        <f t="shared" si="1"/>
        <v>291.66666666666669</v>
      </c>
      <c r="L64" s="72">
        <v>9</v>
      </c>
      <c r="M64" s="65">
        <f>AVERAGE(M60:M63)</f>
        <v>2511.2443843295923</v>
      </c>
      <c r="N64" s="64">
        <f t="shared" si="3"/>
        <v>279.02715381439913</v>
      </c>
      <c r="O64" s="66">
        <f t="shared" si="4"/>
        <v>0</v>
      </c>
      <c r="P64" s="67">
        <f t="shared" si="5"/>
        <v>-12.639512852267558</v>
      </c>
      <c r="Q64" s="408">
        <f t="shared" si="6"/>
        <v>0.95666452736365404</v>
      </c>
      <c r="R64" s="511"/>
      <c r="S64" s="68"/>
      <c r="T64" s="68"/>
      <c r="U64" s="64"/>
      <c r="V64" s="413"/>
      <c r="W64" s="64"/>
      <c r="X64" s="64"/>
      <c r="Y64" s="510"/>
      <c r="Z64" s="510"/>
      <c r="AA64" s="66">
        <f t="shared" si="8"/>
        <v>-113.75561567040768</v>
      </c>
      <c r="AB64" s="408">
        <f t="shared" si="9"/>
        <v>0.95666452736365426</v>
      </c>
      <c r="AC64" s="511"/>
    </row>
    <row r="65" spans="1:29" ht="15.75" customHeight="1">
      <c r="A65" s="514" t="s">
        <v>163</v>
      </c>
      <c r="B65" s="414" t="s">
        <v>16</v>
      </c>
      <c r="C65" s="512" t="s">
        <v>48</v>
      </c>
      <c r="D65" s="512"/>
      <c r="E65" s="62">
        <v>20.2</v>
      </c>
      <c r="F65" s="414">
        <v>2465</v>
      </c>
      <c r="G65" s="407">
        <f t="shared" ref="G65:G73" si="43">E65*F65</f>
        <v>49793</v>
      </c>
      <c r="H65" s="90" t="s">
        <v>5</v>
      </c>
      <c r="I65" s="412">
        <v>19</v>
      </c>
      <c r="J65" s="63">
        <v>2400</v>
      </c>
      <c r="K65" s="64">
        <f t="shared" si="1"/>
        <v>126.31578947368421</v>
      </c>
      <c r="L65" s="412">
        <v>19</v>
      </c>
      <c r="M65" s="65">
        <f t="shared" ref="M65:M73" si="44">F65/V65*60</f>
        <v>2310.9375000000005</v>
      </c>
      <c r="N65" s="64">
        <f t="shared" si="3"/>
        <v>121.62828947368423</v>
      </c>
      <c r="O65" s="66">
        <f t="shared" si="4"/>
        <v>0</v>
      </c>
      <c r="P65" s="67">
        <f t="shared" si="5"/>
        <v>-4.6874999999999716</v>
      </c>
      <c r="Q65" s="408">
        <f t="shared" si="6"/>
        <v>0.96289062500000022</v>
      </c>
      <c r="R65" s="511">
        <f>Q74</f>
        <v>0.95821685482207475</v>
      </c>
      <c r="S65" s="68">
        <v>8.3333333333333329E-2</v>
      </c>
      <c r="T65" s="68">
        <v>0.12777777777777777</v>
      </c>
      <c r="U65" s="73"/>
      <c r="V65" s="413">
        <f t="shared" ref="V65:V73" si="45">(T65-S65)*24*60</f>
        <v>63.999999999999986</v>
      </c>
      <c r="W65" s="69">
        <f>T65</f>
        <v>0.12777777777777777</v>
      </c>
      <c r="X65" s="69">
        <f>S66</f>
        <v>0.14930555555555555</v>
      </c>
      <c r="Y65" s="510"/>
      <c r="Z65" s="510"/>
      <c r="AA65" s="66">
        <f t="shared" si="8"/>
        <v>-89.062499999999545</v>
      </c>
      <c r="AB65" s="408">
        <f t="shared" si="9"/>
        <v>0.96289062500000022</v>
      </c>
      <c r="AC65" s="511">
        <f>AB74</f>
        <v>0.95821685482207475</v>
      </c>
    </row>
    <row r="66" spans="1:29" ht="15.75" customHeight="1">
      <c r="A66" s="515" t="s">
        <v>2280</v>
      </c>
      <c r="B66" s="414" t="s">
        <v>16</v>
      </c>
      <c r="C66" s="512" t="s">
        <v>17</v>
      </c>
      <c r="D66" s="512"/>
      <c r="E66" s="62">
        <v>24.45</v>
      </c>
      <c r="F66" s="414">
        <v>2473</v>
      </c>
      <c r="G66" s="407">
        <f t="shared" si="43"/>
        <v>60464.85</v>
      </c>
      <c r="H66" s="90" t="s">
        <v>5</v>
      </c>
      <c r="I66" s="412">
        <v>20</v>
      </c>
      <c r="J66" s="63">
        <v>2400</v>
      </c>
      <c r="K66" s="64">
        <f t="shared" si="1"/>
        <v>120</v>
      </c>
      <c r="L66" s="412">
        <v>20</v>
      </c>
      <c r="M66" s="65">
        <f t="shared" si="44"/>
        <v>2318.4374999999995</v>
      </c>
      <c r="N66" s="64">
        <f t="shared" si="3"/>
        <v>115.92187499999997</v>
      </c>
      <c r="O66" s="66">
        <f t="shared" si="4"/>
        <v>0</v>
      </c>
      <c r="P66" s="67">
        <f t="shared" si="5"/>
        <v>-4.0781250000000284</v>
      </c>
      <c r="Q66" s="408">
        <f t="shared" si="6"/>
        <v>0.96601562499999971</v>
      </c>
      <c r="R66" s="511"/>
      <c r="S66" s="68">
        <v>0.14930555555555555</v>
      </c>
      <c r="T66" s="68">
        <v>0.19375000000000001</v>
      </c>
      <c r="U66" s="407">
        <f t="shared" ref="U66:U73" si="46">(S66-T65)*24*60</f>
        <v>31.000000000000011</v>
      </c>
      <c r="V66" s="413">
        <f t="shared" si="45"/>
        <v>64.000000000000014</v>
      </c>
      <c r="W66" s="69"/>
      <c r="X66" s="69"/>
      <c r="Y66" s="510"/>
      <c r="Z66" s="510"/>
      <c r="AA66" s="66">
        <f t="shared" si="8"/>
        <v>-81.562500000000455</v>
      </c>
      <c r="AB66" s="408">
        <f t="shared" si="9"/>
        <v>0.96601562499999982</v>
      </c>
      <c r="AC66" s="511"/>
    </row>
    <row r="67" spans="1:29" ht="15.75" customHeight="1">
      <c r="A67" s="515" t="s">
        <v>2281</v>
      </c>
      <c r="B67" s="414" t="s">
        <v>16</v>
      </c>
      <c r="C67" s="512" t="s">
        <v>18</v>
      </c>
      <c r="D67" s="512"/>
      <c r="E67" s="62">
        <v>22.35</v>
      </c>
      <c r="F67" s="414">
        <v>2076</v>
      </c>
      <c r="G67" s="407">
        <f t="shared" si="43"/>
        <v>46398.600000000006</v>
      </c>
      <c r="H67" s="90" t="s">
        <v>5</v>
      </c>
      <c r="I67" s="412">
        <v>16</v>
      </c>
      <c r="J67" s="63">
        <v>2400</v>
      </c>
      <c r="K67" s="64">
        <f t="shared" si="1"/>
        <v>150</v>
      </c>
      <c r="L67" s="412">
        <v>16</v>
      </c>
      <c r="M67" s="65">
        <f t="shared" si="44"/>
        <v>2306.6666666666665</v>
      </c>
      <c r="N67" s="64">
        <f t="shared" si="3"/>
        <v>144.16666666666666</v>
      </c>
      <c r="O67" s="66">
        <f t="shared" si="4"/>
        <v>0</v>
      </c>
      <c r="P67" s="67">
        <f t="shared" si="5"/>
        <v>-5.8333333333333428</v>
      </c>
      <c r="Q67" s="408">
        <f t="shared" si="6"/>
        <v>0.96111111111111103</v>
      </c>
      <c r="R67" s="511"/>
      <c r="S67" s="68">
        <v>0.19791666666666669</v>
      </c>
      <c r="T67" s="68">
        <v>0.23541666666666669</v>
      </c>
      <c r="U67" s="407">
        <f t="shared" si="46"/>
        <v>6.0000000000000187</v>
      </c>
      <c r="V67" s="413">
        <f t="shared" si="45"/>
        <v>54.000000000000007</v>
      </c>
      <c r="W67" s="69"/>
      <c r="X67" s="69"/>
      <c r="Y67" s="510"/>
      <c r="Z67" s="510"/>
      <c r="AA67" s="66">
        <f t="shared" si="8"/>
        <v>-93.333333333333485</v>
      </c>
      <c r="AB67" s="408">
        <f t="shared" si="9"/>
        <v>0.96111111111111103</v>
      </c>
      <c r="AC67" s="511"/>
    </row>
    <row r="68" spans="1:29" ht="15.75" customHeight="1">
      <c r="A68" s="515" t="s">
        <v>163</v>
      </c>
      <c r="B68" s="414" t="s">
        <v>16</v>
      </c>
      <c r="C68" s="512" t="s">
        <v>34</v>
      </c>
      <c r="D68" s="512"/>
      <c r="E68" s="62">
        <v>24.25</v>
      </c>
      <c r="F68" s="414">
        <v>2748</v>
      </c>
      <c r="G68" s="407">
        <f t="shared" si="43"/>
        <v>66639</v>
      </c>
      <c r="H68" s="90" t="s">
        <v>5</v>
      </c>
      <c r="I68" s="412">
        <v>13</v>
      </c>
      <c r="J68" s="63">
        <v>2400</v>
      </c>
      <c r="K68" s="64">
        <f t="shared" si="1"/>
        <v>184.61538461538461</v>
      </c>
      <c r="L68" s="412">
        <v>13</v>
      </c>
      <c r="M68" s="65">
        <f t="shared" si="44"/>
        <v>2290.0000000000005</v>
      </c>
      <c r="N68" s="64">
        <f t="shared" si="3"/>
        <v>176.15384615384619</v>
      </c>
      <c r="O68" s="66">
        <f t="shared" si="4"/>
        <v>0</v>
      </c>
      <c r="P68" s="67">
        <f t="shared" si="5"/>
        <v>-8.4615384615384244</v>
      </c>
      <c r="Q68" s="408">
        <f t="shared" si="6"/>
        <v>0.95416666666666683</v>
      </c>
      <c r="R68" s="511"/>
      <c r="S68" s="68">
        <v>0.24097222222222225</v>
      </c>
      <c r="T68" s="68">
        <v>0.29097222222222224</v>
      </c>
      <c r="U68" s="407">
        <f t="shared" si="46"/>
        <v>8.0000000000000107</v>
      </c>
      <c r="V68" s="413">
        <f t="shared" si="45"/>
        <v>71.999999999999986</v>
      </c>
      <c r="W68" s="69"/>
      <c r="X68" s="69"/>
      <c r="Y68" s="510"/>
      <c r="Z68" s="510"/>
      <c r="AA68" s="66">
        <f t="shared" si="8"/>
        <v>-109.99999999999955</v>
      </c>
      <c r="AB68" s="408">
        <f t="shared" si="9"/>
        <v>0.95416666666666683</v>
      </c>
      <c r="AC68" s="511"/>
    </row>
    <row r="69" spans="1:29" ht="15.75" customHeight="1">
      <c r="A69" s="515" t="s">
        <v>2282</v>
      </c>
      <c r="B69" s="414" t="s">
        <v>16</v>
      </c>
      <c r="C69" s="512" t="s">
        <v>26</v>
      </c>
      <c r="D69" s="512"/>
      <c r="E69" s="62">
        <v>20.52</v>
      </c>
      <c r="F69" s="414">
        <v>3423</v>
      </c>
      <c r="G69" s="407">
        <f t="shared" si="43"/>
        <v>70239.959999999992</v>
      </c>
      <c r="H69" s="90" t="s">
        <v>5</v>
      </c>
      <c r="I69" s="412">
        <v>18</v>
      </c>
      <c r="J69" s="63">
        <v>2400</v>
      </c>
      <c r="K69" s="64">
        <f t="shared" ref="K69:K74" si="47">J69/I69</f>
        <v>133.33333333333334</v>
      </c>
      <c r="L69" s="412">
        <v>18</v>
      </c>
      <c r="M69" s="65">
        <f t="shared" si="44"/>
        <v>2307.6404494382023</v>
      </c>
      <c r="N69" s="64">
        <f t="shared" ref="N69:N74" si="48">M69/L69</f>
        <v>128.20224719101122</v>
      </c>
      <c r="O69" s="66">
        <f t="shared" ref="O69:O74" si="49">L69-I69</f>
        <v>0</v>
      </c>
      <c r="P69" s="67">
        <f t="shared" ref="P69:P74" si="50">N69-K69</f>
        <v>-5.1310861423221183</v>
      </c>
      <c r="Q69" s="408">
        <f t="shared" ref="Q69:Q74" si="51">N69/K69</f>
        <v>0.96151685393258413</v>
      </c>
      <c r="R69" s="511"/>
      <c r="S69" s="68">
        <v>0.2951388888888889</v>
      </c>
      <c r="T69" s="68">
        <v>0.35694444444444445</v>
      </c>
      <c r="U69" s="407">
        <f t="shared" si="46"/>
        <v>5.9999999999999787</v>
      </c>
      <c r="V69" s="413">
        <f t="shared" si="45"/>
        <v>89</v>
      </c>
      <c r="W69" s="69"/>
      <c r="X69" s="69"/>
      <c r="Y69" s="510"/>
      <c r="Z69" s="510"/>
      <c r="AA69" s="66">
        <f t="shared" ref="AA69:AA74" si="52">M69-J69</f>
        <v>-92.359550561797732</v>
      </c>
      <c r="AB69" s="408">
        <f t="shared" ref="AB69:AB74" si="53">M69/J69</f>
        <v>0.96151685393258424</v>
      </c>
      <c r="AC69" s="511"/>
    </row>
    <row r="70" spans="1:29" ht="15.75" customHeight="1">
      <c r="A70" s="515" t="s">
        <v>2282</v>
      </c>
      <c r="B70" s="414" t="s">
        <v>16</v>
      </c>
      <c r="C70" s="512" t="s">
        <v>2115</v>
      </c>
      <c r="D70" s="512"/>
      <c r="E70" s="62">
        <v>21.68</v>
      </c>
      <c r="F70" s="414">
        <v>4200</v>
      </c>
      <c r="G70" s="407">
        <f t="shared" si="43"/>
        <v>91056</v>
      </c>
      <c r="H70" s="90">
        <v>2</v>
      </c>
      <c r="I70" s="412">
        <v>15</v>
      </c>
      <c r="J70" s="63">
        <v>2400</v>
      </c>
      <c r="K70" s="64">
        <f t="shared" si="47"/>
        <v>160</v>
      </c>
      <c r="L70" s="412">
        <v>15</v>
      </c>
      <c r="M70" s="65">
        <f t="shared" si="44"/>
        <v>2290.909090909091</v>
      </c>
      <c r="N70" s="64">
        <f t="shared" si="48"/>
        <v>152.72727272727272</v>
      </c>
      <c r="O70" s="66">
        <f t="shared" si="49"/>
        <v>0</v>
      </c>
      <c r="P70" s="67">
        <f t="shared" si="50"/>
        <v>-7.2727272727272805</v>
      </c>
      <c r="Q70" s="408">
        <f t="shared" si="51"/>
        <v>0.95454545454545447</v>
      </c>
      <c r="R70" s="511"/>
      <c r="S70" s="68">
        <v>0.3611111111111111</v>
      </c>
      <c r="T70" s="68">
        <v>0.4375</v>
      </c>
      <c r="U70" s="407">
        <f t="shared" si="46"/>
        <v>5.9999999999999787</v>
      </c>
      <c r="V70" s="413">
        <f t="shared" si="45"/>
        <v>110.00000000000001</v>
      </c>
      <c r="W70" s="69"/>
      <c r="X70" s="69"/>
      <c r="Y70" s="510"/>
      <c r="Z70" s="510"/>
      <c r="AA70" s="66">
        <f t="shared" si="52"/>
        <v>-109.09090909090901</v>
      </c>
      <c r="AB70" s="408">
        <f t="shared" si="53"/>
        <v>0.95454545454545459</v>
      </c>
      <c r="AC70" s="511"/>
    </row>
    <row r="71" spans="1:29" ht="15.75" customHeight="1">
      <c r="A71" s="515" t="s">
        <v>2281</v>
      </c>
      <c r="B71" s="414" t="s">
        <v>16</v>
      </c>
      <c r="C71" s="512" t="s">
        <v>33</v>
      </c>
      <c r="D71" s="512"/>
      <c r="E71" s="62">
        <v>24.43</v>
      </c>
      <c r="F71" s="414">
        <v>4200</v>
      </c>
      <c r="G71" s="407">
        <f t="shared" si="43"/>
        <v>102606</v>
      </c>
      <c r="H71" s="90">
        <v>2</v>
      </c>
      <c r="I71" s="412">
        <v>14</v>
      </c>
      <c r="J71" s="63">
        <v>2400</v>
      </c>
      <c r="K71" s="64">
        <f t="shared" si="47"/>
        <v>171.42857142857142</v>
      </c>
      <c r="L71" s="412">
        <v>14</v>
      </c>
      <c r="M71" s="65">
        <f t="shared" si="44"/>
        <v>2290.9090909090924</v>
      </c>
      <c r="N71" s="64">
        <f t="shared" si="48"/>
        <v>163.63636363636374</v>
      </c>
      <c r="O71" s="66">
        <f t="shared" si="49"/>
        <v>0</v>
      </c>
      <c r="P71" s="67">
        <f t="shared" si="50"/>
        <v>-7.7922077922076767</v>
      </c>
      <c r="Q71" s="408">
        <f t="shared" si="51"/>
        <v>0.95454545454545525</v>
      </c>
      <c r="R71" s="511"/>
      <c r="S71" s="68">
        <v>0.44166666666666665</v>
      </c>
      <c r="T71" s="68">
        <v>0.51805555555555549</v>
      </c>
      <c r="U71" s="407">
        <f t="shared" si="46"/>
        <v>5.9999999999999787</v>
      </c>
      <c r="V71" s="413">
        <f t="shared" si="45"/>
        <v>109.99999999999993</v>
      </c>
      <c r="W71" s="69">
        <f>T71</f>
        <v>0.51805555555555549</v>
      </c>
      <c r="X71" s="69">
        <f>S72</f>
        <v>0.55902777777777768</v>
      </c>
      <c r="Y71" s="517"/>
      <c r="Z71" s="518"/>
      <c r="AA71" s="66">
        <f t="shared" si="52"/>
        <v>-109.09090909090764</v>
      </c>
      <c r="AB71" s="408">
        <f t="shared" si="53"/>
        <v>0.95454545454545514</v>
      </c>
      <c r="AC71" s="511"/>
    </row>
    <row r="72" spans="1:29" ht="15.75" customHeight="1">
      <c r="A72" s="515" t="s">
        <v>2283</v>
      </c>
      <c r="B72" s="414" t="s">
        <v>16</v>
      </c>
      <c r="C72" s="512" t="s">
        <v>33</v>
      </c>
      <c r="D72" s="512"/>
      <c r="E72" s="62">
        <v>24.43</v>
      </c>
      <c r="F72" s="414">
        <v>3061</v>
      </c>
      <c r="G72" s="407">
        <f t="shared" si="43"/>
        <v>74780.23</v>
      </c>
      <c r="H72" s="90" t="s">
        <v>5</v>
      </c>
      <c r="I72" s="412">
        <v>14</v>
      </c>
      <c r="J72" s="63">
        <v>2400</v>
      </c>
      <c r="K72" s="64">
        <f t="shared" si="47"/>
        <v>171.42857142857142</v>
      </c>
      <c r="L72" s="412">
        <v>14</v>
      </c>
      <c r="M72" s="65">
        <f t="shared" si="44"/>
        <v>2295.7499999999991</v>
      </c>
      <c r="N72" s="64">
        <f t="shared" si="48"/>
        <v>163.9821428571428</v>
      </c>
      <c r="O72" s="66">
        <f t="shared" si="49"/>
        <v>0</v>
      </c>
      <c r="P72" s="67">
        <f t="shared" si="50"/>
        <v>-7.446428571428612</v>
      </c>
      <c r="Q72" s="408">
        <f t="shared" si="51"/>
        <v>0.95656249999999976</v>
      </c>
      <c r="R72" s="511"/>
      <c r="S72" s="68">
        <v>0.55902777777777768</v>
      </c>
      <c r="T72" s="68">
        <v>0.61458333333333326</v>
      </c>
      <c r="U72" s="407">
        <f t="shared" si="46"/>
        <v>58.99999999999995</v>
      </c>
      <c r="V72" s="413">
        <f t="shared" si="45"/>
        <v>80.000000000000028</v>
      </c>
      <c r="W72" s="69"/>
      <c r="X72" s="69"/>
      <c r="Y72" s="517"/>
      <c r="Z72" s="518"/>
      <c r="AA72" s="66">
        <f t="shared" si="52"/>
        <v>-104.25000000000091</v>
      </c>
      <c r="AB72" s="408">
        <f t="shared" si="53"/>
        <v>0.95656249999999965</v>
      </c>
      <c r="AC72" s="511"/>
    </row>
    <row r="73" spans="1:29" ht="15.75" customHeight="1">
      <c r="A73" s="515" t="s">
        <v>2283</v>
      </c>
      <c r="B73" s="414" t="s">
        <v>16</v>
      </c>
      <c r="C73" s="512" t="s">
        <v>2115</v>
      </c>
      <c r="D73" s="512"/>
      <c r="E73" s="62">
        <v>21.68</v>
      </c>
      <c r="F73" s="414">
        <v>2934</v>
      </c>
      <c r="G73" s="407">
        <f t="shared" si="43"/>
        <v>63609.120000000003</v>
      </c>
      <c r="H73" s="90" t="s">
        <v>5</v>
      </c>
      <c r="I73" s="412">
        <v>15</v>
      </c>
      <c r="J73" s="63">
        <v>2400</v>
      </c>
      <c r="K73" s="64">
        <f t="shared" si="47"/>
        <v>160</v>
      </c>
      <c r="L73" s="412">
        <v>15</v>
      </c>
      <c r="M73" s="65">
        <f t="shared" si="44"/>
        <v>2286.233766233765</v>
      </c>
      <c r="N73" s="64">
        <f t="shared" si="48"/>
        <v>152.41558441558433</v>
      </c>
      <c r="O73" s="66">
        <f t="shared" si="49"/>
        <v>0</v>
      </c>
      <c r="P73" s="67">
        <f t="shared" si="50"/>
        <v>-7.584415584415666</v>
      </c>
      <c r="Q73" s="408">
        <f t="shared" si="51"/>
        <v>0.95259740259740211</v>
      </c>
      <c r="R73" s="511"/>
      <c r="S73" s="68">
        <v>0.61874999999999991</v>
      </c>
      <c r="T73" s="68">
        <v>0.67222222222222217</v>
      </c>
      <c r="U73" s="407">
        <f t="shared" si="46"/>
        <v>5.9999999999999787</v>
      </c>
      <c r="V73" s="413">
        <f t="shared" si="45"/>
        <v>77.000000000000043</v>
      </c>
      <c r="W73" s="69"/>
      <c r="X73" s="69"/>
      <c r="Y73" s="517"/>
      <c r="Z73" s="518"/>
      <c r="AA73" s="66">
        <f t="shared" si="52"/>
        <v>-113.76623376623502</v>
      </c>
      <c r="AB73" s="408">
        <f t="shared" si="53"/>
        <v>0.95259740259740211</v>
      </c>
      <c r="AC73" s="511"/>
    </row>
    <row r="74" spans="1:29" ht="16.5" customHeight="1">
      <c r="A74" s="516" t="s">
        <v>2283</v>
      </c>
      <c r="B74" s="62" t="s">
        <v>2284</v>
      </c>
      <c r="C74" s="508"/>
      <c r="D74" s="509"/>
      <c r="E74" s="409"/>
      <c r="F74" s="71"/>
      <c r="G74" s="64"/>
      <c r="H74" s="414"/>
      <c r="I74" s="72">
        <v>16</v>
      </c>
      <c r="J74" s="63">
        <v>2400</v>
      </c>
      <c r="K74" s="64">
        <f t="shared" si="47"/>
        <v>150</v>
      </c>
      <c r="L74" s="72">
        <v>16</v>
      </c>
      <c r="M74" s="65">
        <f>AVERAGE(M65:M73)</f>
        <v>2299.7204515729795</v>
      </c>
      <c r="N74" s="64">
        <f t="shared" si="48"/>
        <v>143.73252822331122</v>
      </c>
      <c r="O74" s="66">
        <f t="shared" si="49"/>
        <v>0</v>
      </c>
      <c r="P74" s="67">
        <f t="shared" si="50"/>
        <v>-6.2674717766887795</v>
      </c>
      <c r="Q74" s="408">
        <f t="shared" si="51"/>
        <v>0.95821685482207475</v>
      </c>
      <c r="R74" s="511"/>
      <c r="S74" s="68"/>
      <c r="T74" s="68"/>
      <c r="U74" s="64"/>
      <c r="V74" s="413"/>
      <c r="W74" s="64"/>
      <c r="X74" s="64"/>
      <c r="Y74" s="510"/>
      <c r="Z74" s="510"/>
      <c r="AA74" s="66">
        <f t="shared" si="52"/>
        <v>-100.27954842702047</v>
      </c>
      <c r="AB74" s="408">
        <f t="shared" si="53"/>
        <v>0.95821685482207475</v>
      </c>
      <c r="AC74" s="511"/>
    </row>
    <row r="75" spans="1:29">
      <c r="D75" s="76"/>
      <c r="E75" s="76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A27:A35"/>
    <mergeCell ref="C27:D27"/>
    <mergeCell ref="R27:R35"/>
    <mergeCell ref="Y27:Z27"/>
    <mergeCell ref="Y32:Z32"/>
    <mergeCell ref="AC36:AC44"/>
    <mergeCell ref="C37:D37"/>
    <mergeCell ref="Y37:Z37"/>
    <mergeCell ref="C38:D38"/>
    <mergeCell ref="Y38:Z38"/>
    <mergeCell ref="C39:D39"/>
    <mergeCell ref="C33:D33"/>
    <mergeCell ref="Y33:Z33"/>
    <mergeCell ref="C34:D34"/>
    <mergeCell ref="Y34:Z34"/>
    <mergeCell ref="C35:D35"/>
    <mergeCell ref="Y35:Z35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39:Z39"/>
    <mergeCell ref="C40:D40"/>
    <mergeCell ref="Y40:Z40"/>
    <mergeCell ref="C41:D41"/>
    <mergeCell ref="Y41:Z41"/>
    <mergeCell ref="C42:D42"/>
    <mergeCell ref="Y42:Z42"/>
    <mergeCell ref="A36:A44"/>
    <mergeCell ref="C36:D36"/>
    <mergeCell ref="R36:R44"/>
    <mergeCell ref="Y36:Z36"/>
    <mergeCell ref="C43:D43"/>
    <mergeCell ref="Y43:Z43"/>
    <mergeCell ref="C44:D44"/>
    <mergeCell ref="Y44:Z44"/>
    <mergeCell ref="A45:A52"/>
    <mergeCell ref="C45:D45"/>
    <mergeCell ref="R45:R52"/>
    <mergeCell ref="Y45:Z45"/>
    <mergeCell ref="Y50:Z50"/>
    <mergeCell ref="C51:D51"/>
    <mergeCell ref="Y51:Z51"/>
    <mergeCell ref="C52:D52"/>
    <mergeCell ref="Y52:Z52"/>
    <mergeCell ref="A53:A59"/>
    <mergeCell ref="C53:D53"/>
    <mergeCell ref="R53:R59"/>
    <mergeCell ref="Y53:Z53"/>
    <mergeCell ref="AC45:AC52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C60:AC64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A65:A74"/>
    <mergeCell ref="C65:D65"/>
    <mergeCell ref="R65:R74"/>
    <mergeCell ref="Y65:Z65"/>
    <mergeCell ref="Y70:Z70"/>
    <mergeCell ref="C71:D71"/>
    <mergeCell ref="Y71:Z71"/>
    <mergeCell ref="A60:A64"/>
    <mergeCell ref="C60:D60"/>
    <mergeCell ref="R60:R64"/>
    <mergeCell ref="Y60:Z60"/>
    <mergeCell ref="C72:D72"/>
    <mergeCell ref="Y72:Z72"/>
    <mergeCell ref="C73:D73"/>
    <mergeCell ref="Y73:Z73"/>
    <mergeCell ref="C74:D74"/>
    <mergeCell ref="Y74:Z74"/>
    <mergeCell ref="AC65:AC74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</mergeCells>
  <phoneticPr fontId="3" type="noConversion"/>
  <conditionalFormatting sqref="O63:O70 O74 O5:O9 O11:O13 O52:O60 O17:O50">
    <cfRule type="cellIs" dxfId="2227" priority="60" operator="greaterThan">
      <formula>0</formula>
    </cfRule>
  </conditionalFormatting>
  <conditionalFormatting sqref="P5:P7 P63 AA63 P65:P70 P27:P34 P60 P9 P11:P13 P18:P25 P53:P58 P36:P50 AA5:AA60 AA65:AA74">
    <cfRule type="cellIs" dxfId="2226" priority="64" operator="lessThan">
      <formula>0</formula>
    </cfRule>
  </conditionalFormatting>
  <conditionalFormatting sqref="AB63 Q63:Q70 Q74 Q5:Q9 Q11:Q13 Q52:Q60 Q17:Q50 AB5:AB60 AB65:AB74">
    <cfRule type="cellIs" dxfId="2225" priority="61" operator="greaterThan">
      <formula>1</formula>
    </cfRule>
    <cfRule type="cellIs" dxfId="2224" priority="62" operator="lessThan">
      <formula>0.8</formula>
    </cfRule>
  </conditionalFormatting>
  <conditionalFormatting sqref="AC12:AC13 R12:R13 AC63 R63:R70 R17:R23 AC17:AC23 R74 AC5:AC9 R5:R9 R26:R50 AC26:AC50 AC52:AC60 R52:R60">
    <cfRule type="cellIs" dxfId="2223" priority="66" operator="lessThan">
      <formula>0.8</formula>
    </cfRule>
  </conditionalFormatting>
  <conditionalFormatting sqref="AC45">
    <cfRule type="cellIs" dxfId="2222" priority="68" operator="lessThan">
      <formula>0.8</formula>
    </cfRule>
  </conditionalFormatting>
  <conditionalFormatting sqref="AC18:AC23">
    <cfRule type="cellIs" dxfId="2221" priority="65" operator="lessThan">
      <formula>0.8</formula>
    </cfRule>
  </conditionalFormatting>
  <conditionalFormatting sqref="AC27">
    <cfRule type="cellIs" dxfId="2220" priority="67" operator="lessThan">
      <formula>0.8</formula>
    </cfRule>
  </conditionalFormatting>
  <conditionalFormatting sqref="AC36:AC43">
    <cfRule type="cellIs" dxfId="2219" priority="63" operator="lessThan">
      <formula>0.8</formula>
    </cfRule>
  </conditionalFormatting>
  <conditionalFormatting sqref="AA64">
    <cfRule type="cellIs" dxfId="2218" priority="59" operator="lessThan">
      <formula>0</formula>
    </cfRule>
  </conditionalFormatting>
  <conditionalFormatting sqref="AB64">
    <cfRule type="cellIs" dxfId="2217" priority="57" operator="greaterThan">
      <formula>1</formula>
    </cfRule>
    <cfRule type="cellIs" dxfId="2216" priority="58" operator="lessThan">
      <formula>0.8</formula>
    </cfRule>
  </conditionalFormatting>
  <conditionalFormatting sqref="O14:O15">
    <cfRule type="cellIs" dxfId="2215" priority="52" operator="greaterThan">
      <formula>0</formula>
    </cfRule>
  </conditionalFormatting>
  <conditionalFormatting sqref="P14:P15">
    <cfRule type="cellIs" dxfId="2214" priority="55" operator="lessThan">
      <formula>0</formula>
    </cfRule>
  </conditionalFormatting>
  <conditionalFormatting sqref="Q14:Q15">
    <cfRule type="cellIs" dxfId="2213" priority="53" operator="greaterThan">
      <formula>1</formula>
    </cfRule>
    <cfRule type="cellIs" dxfId="2212" priority="54" operator="lessThan">
      <formula>0.8</formula>
    </cfRule>
  </conditionalFormatting>
  <conditionalFormatting sqref="R14:R15 AC14:AC15">
    <cfRule type="cellIs" dxfId="2211" priority="56" operator="lessThan">
      <formula>0.8</formula>
    </cfRule>
  </conditionalFormatting>
  <conditionalFormatting sqref="O10">
    <cfRule type="cellIs" dxfId="2210" priority="48" operator="greaterThan">
      <formula>0</formula>
    </cfRule>
  </conditionalFormatting>
  <conditionalFormatting sqref="P10">
    <cfRule type="cellIs" dxfId="2209" priority="51" operator="lessThan">
      <formula>0</formula>
    </cfRule>
  </conditionalFormatting>
  <conditionalFormatting sqref="Q10">
    <cfRule type="cellIs" dxfId="2208" priority="49" operator="greaterThan">
      <formula>1</formula>
    </cfRule>
    <cfRule type="cellIs" dxfId="2207" priority="50" operator="lessThan">
      <formula>0.8</formula>
    </cfRule>
  </conditionalFormatting>
  <conditionalFormatting sqref="AC25 R25">
    <cfRule type="cellIs" dxfId="2206" priority="47" operator="lessThan">
      <formula>0.8</formula>
    </cfRule>
  </conditionalFormatting>
  <conditionalFormatting sqref="O62">
    <cfRule type="cellIs" dxfId="2205" priority="42" operator="greaterThan">
      <formula>0</formula>
    </cfRule>
  </conditionalFormatting>
  <conditionalFormatting sqref="P62 AA62">
    <cfRule type="cellIs" dxfId="2204" priority="45" operator="lessThan">
      <formula>0</formula>
    </cfRule>
  </conditionalFormatting>
  <conditionalFormatting sqref="Q62 AB62">
    <cfRule type="cellIs" dxfId="2203" priority="43" operator="greaterThan">
      <formula>1</formula>
    </cfRule>
    <cfRule type="cellIs" dxfId="2202" priority="44" operator="lessThan">
      <formula>0.8</formula>
    </cfRule>
  </conditionalFormatting>
  <conditionalFormatting sqref="R62 AC62">
    <cfRule type="cellIs" dxfId="2201" priority="46" operator="lessThan">
      <formula>0.8</formula>
    </cfRule>
  </conditionalFormatting>
  <conditionalFormatting sqref="O71">
    <cfRule type="cellIs" dxfId="2200" priority="37" operator="greaterThan">
      <formula>0</formula>
    </cfRule>
  </conditionalFormatting>
  <conditionalFormatting sqref="P71">
    <cfRule type="cellIs" dxfId="2199" priority="40" operator="lessThan">
      <formula>0</formula>
    </cfRule>
  </conditionalFormatting>
  <conditionalFormatting sqref="Q71">
    <cfRule type="cellIs" dxfId="2198" priority="38" operator="greaterThan">
      <formula>1</formula>
    </cfRule>
    <cfRule type="cellIs" dxfId="2197" priority="39" operator="lessThan">
      <formula>0.8</formula>
    </cfRule>
  </conditionalFormatting>
  <conditionalFormatting sqref="R71">
    <cfRule type="cellIs" dxfId="2196" priority="41" operator="lessThan">
      <formula>0.8</formula>
    </cfRule>
  </conditionalFormatting>
  <conditionalFormatting sqref="O16">
    <cfRule type="cellIs" dxfId="2195" priority="32" operator="greaterThan">
      <formula>0</formula>
    </cfRule>
  </conditionalFormatting>
  <conditionalFormatting sqref="P16">
    <cfRule type="cellIs" dxfId="2194" priority="35" operator="lessThan">
      <formula>0</formula>
    </cfRule>
  </conditionalFormatting>
  <conditionalFormatting sqref="Q16">
    <cfRule type="cellIs" dxfId="2193" priority="33" operator="greaterThan">
      <formula>1</formula>
    </cfRule>
    <cfRule type="cellIs" dxfId="2192" priority="34" operator="lessThan">
      <formula>0.8</formula>
    </cfRule>
  </conditionalFormatting>
  <conditionalFormatting sqref="R16 AC16">
    <cfRule type="cellIs" dxfId="2191" priority="36" operator="lessThan">
      <formula>0.8</formula>
    </cfRule>
  </conditionalFormatting>
  <conditionalFormatting sqref="O51">
    <cfRule type="cellIs" dxfId="2190" priority="26" operator="greaterThan">
      <formula>0</formula>
    </cfRule>
  </conditionalFormatting>
  <conditionalFormatting sqref="P51">
    <cfRule type="cellIs" dxfId="2189" priority="30" operator="lessThan">
      <formula>0</formula>
    </cfRule>
  </conditionalFormatting>
  <conditionalFormatting sqref="Q51">
    <cfRule type="cellIs" dxfId="2188" priority="27" operator="greaterThan">
      <formula>1</formula>
    </cfRule>
    <cfRule type="cellIs" dxfId="2187" priority="28" operator="lessThan">
      <formula>0.8</formula>
    </cfRule>
  </conditionalFormatting>
  <conditionalFormatting sqref="R51 AC51">
    <cfRule type="cellIs" dxfId="2186" priority="31" operator="lessThan">
      <formula>0.8</formula>
    </cfRule>
  </conditionalFormatting>
  <conditionalFormatting sqref="AC51">
    <cfRule type="cellIs" dxfId="2185" priority="29" operator="lessThan">
      <formula>0.8</formula>
    </cfRule>
  </conditionalFormatting>
  <conditionalFormatting sqref="R24 AC24">
    <cfRule type="cellIs" dxfId="2184" priority="25" operator="lessThan">
      <formula>0.8</formula>
    </cfRule>
  </conditionalFormatting>
  <conditionalFormatting sqref="AC24">
    <cfRule type="cellIs" dxfId="2183" priority="24" operator="lessThan">
      <formula>0.8</formula>
    </cfRule>
  </conditionalFormatting>
  <conditionalFormatting sqref="O61">
    <cfRule type="cellIs" dxfId="2182" priority="19" operator="greaterThan">
      <formula>0</formula>
    </cfRule>
  </conditionalFormatting>
  <conditionalFormatting sqref="P61 AA61">
    <cfRule type="cellIs" dxfId="2181" priority="22" operator="lessThan">
      <formula>0</formula>
    </cfRule>
  </conditionalFormatting>
  <conditionalFormatting sqref="Q61 AB61">
    <cfRule type="cellIs" dxfId="2180" priority="20" operator="greaterThan">
      <formula>1</formula>
    </cfRule>
    <cfRule type="cellIs" dxfId="2179" priority="21" operator="lessThan">
      <formula>0.8</formula>
    </cfRule>
  </conditionalFormatting>
  <conditionalFormatting sqref="R61 AC61">
    <cfRule type="cellIs" dxfId="2178" priority="23" operator="lessThan">
      <formula>0.8</formula>
    </cfRule>
  </conditionalFormatting>
  <conditionalFormatting sqref="P8">
    <cfRule type="cellIs" dxfId="2177" priority="18" operator="lessThan">
      <formula>0</formula>
    </cfRule>
  </conditionalFormatting>
  <conditionalFormatting sqref="P17">
    <cfRule type="cellIs" dxfId="2176" priority="17" operator="lessThan">
      <formula>0</formula>
    </cfRule>
  </conditionalFormatting>
  <conditionalFormatting sqref="P26">
    <cfRule type="cellIs" dxfId="2175" priority="16" operator="lessThan">
      <formula>0</formula>
    </cfRule>
  </conditionalFormatting>
  <conditionalFormatting sqref="P35">
    <cfRule type="cellIs" dxfId="2174" priority="15" operator="lessThan">
      <formula>0</formula>
    </cfRule>
  </conditionalFormatting>
  <conditionalFormatting sqref="P52">
    <cfRule type="cellIs" dxfId="2173" priority="14" operator="lessThan">
      <formula>0</formula>
    </cfRule>
  </conditionalFormatting>
  <conditionalFormatting sqref="P59">
    <cfRule type="cellIs" dxfId="2172" priority="13" operator="lessThan">
      <formula>0</formula>
    </cfRule>
  </conditionalFormatting>
  <conditionalFormatting sqref="P64">
    <cfRule type="cellIs" dxfId="2171" priority="12" operator="lessThan">
      <formula>0</formula>
    </cfRule>
  </conditionalFormatting>
  <conditionalFormatting sqref="P74">
    <cfRule type="cellIs" dxfId="2170" priority="11" operator="lessThan">
      <formula>0</formula>
    </cfRule>
  </conditionalFormatting>
  <conditionalFormatting sqref="O72">
    <cfRule type="cellIs" dxfId="2169" priority="6" operator="greaterThan">
      <formula>0</formula>
    </cfRule>
  </conditionalFormatting>
  <conditionalFormatting sqref="P72">
    <cfRule type="cellIs" dxfId="2168" priority="9" operator="lessThan">
      <formula>0</formula>
    </cfRule>
  </conditionalFormatting>
  <conditionalFormatting sqref="Q72">
    <cfRule type="cellIs" dxfId="2167" priority="7" operator="greaterThan">
      <formula>1</formula>
    </cfRule>
    <cfRule type="cellIs" dxfId="2166" priority="8" operator="lessThan">
      <formula>0.8</formula>
    </cfRule>
  </conditionalFormatting>
  <conditionalFormatting sqref="R72">
    <cfRule type="cellIs" dxfId="2165" priority="10" operator="lessThan">
      <formula>0.8</formula>
    </cfRule>
  </conditionalFormatting>
  <conditionalFormatting sqref="O73">
    <cfRule type="cellIs" dxfId="2164" priority="1" operator="greaterThan">
      <formula>0</formula>
    </cfRule>
  </conditionalFormatting>
  <conditionalFormatting sqref="P73">
    <cfRule type="cellIs" dxfId="2163" priority="4" operator="lessThan">
      <formula>0</formula>
    </cfRule>
  </conditionalFormatting>
  <conditionalFormatting sqref="Q73">
    <cfRule type="cellIs" dxfId="2162" priority="2" operator="greaterThan">
      <formula>1</formula>
    </cfRule>
    <cfRule type="cellIs" dxfId="2161" priority="3" operator="lessThan">
      <formula>0.8</formula>
    </cfRule>
  </conditionalFormatting>
  <conditionalFormatting sqref="R73">
    <cfRule type="cellIs" dxfId="2160" priority="5" operator="lessThan">
      <formula>0.8</formula>
    </cfRule>
  </conditionalFormatting>
  <dataValidations count="1">
    <dataValidation type="list" allowBlank="1" showInputMessage="1" showErrorMessage="1" sqref="Z8 Y5:Z7 Y8:Y63 Z10:Z60 Y64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18" sqref="B18:C18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2116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2117</v>
      </c>
      <c r="C3" s="497" t="str">
        <f>TEXT('1126 4度C'!A2,"yyyy.mm.ddaaaa")</f>
        <v>2025.11.26星期三</v>
      </c>
      <c r="D3" s="498"/>
      <c r="E3" s="4" t="s">
        <v>2118</v>
      </c>
      <c r="F3" s="499">
        <f>'1126 4度C'!D1</f>
        <v>191926</v>
      </c>
      <c r="G3" s="500"/>
      <c r="H3" s="4" t="s">
        <v>2119</v>
      </c>
      <c r="I3" s="501">
        <f>'1126 4度C'!F1</f>
        <v>6301287.2799999993</v>
      </c>
      <c r="J3" s="502"/>
      <c r="K3" s="5"/>
      <c r="L3" s="6"/>
      <c r="M3" s="7"/>
      <c r="N3" s="7"/>
    </row>
    <row r="4" spans="2:17" ht="28.5" customHeight="1">
      <c r="B4" s="503" t="s">
        <v>2120</v>
      </c>
      <c r="C4" s="485" t="s">
        <v>2121</v>
      </c>
      <c r="D4" s="486"/>
      <c r="E4" s="506" t="s">
        <v>2122</v>
      </c>
      <c r="F4" s="507"/>
      <c r="G4" s="506" t="s">
        <v>2123</v>
      </c>
      <c r="H4" s="507"/>
      <c r="I4" s="506" t="s">
        <v>2124</v>
      </c>
      <c r="J4" s="507"/>
      <c r="L4" s="7"/>
      <c r="M4" s="7"/>
      <c r="N4" s="7"/>
    </row>
    <row r="5" spans="2:17" ht="28.5" customHeight="1">
      <c r="B5" s="504"/>
      <c r="C5" s="485" t="s">
        <v>2125</v>
      </c>
      <c r="D5" s="486"/>
      <c r="E5" s="485" t="s">
        <v>2126</v>
      </c>
      <c r="F5" s="486"/>
      <c r="G5" s="487" t="s">
        <v>2127</v>
      </c>
      <c r="H5" s="488"/>
      <c r="I5" s="489" t="s">
        <v>2128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155.43230847011856</v>
      </c>
      <c r="F6" s="492">
        <f>AVERAGE(D27:O27,D13:J13)</f>
        <v>161.01273490787918</v>
      </c>
      <c r="G6" s="493">
        <f>AVERAGE(D13:J13)</f>
        <v>161.01273490787918</v>
      </c>
      <c r="H6" s="494"/>
      <c r="I6" s="493">
        <f>AVERAGE(K13:M13)</f>
        <v>142.41131344867711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148.82799181684155</v>
      </c>
      <c r="F7" s="478">
        <f>AVERAGE(D28:O28,D14:J14)</f>
        <v>154.20596025569239</v>
      </c>
      <c r="G7" s="479">
        <f>AVERAGE(D14:J14)</f>
        <v>154.20596025569239</v>
      </c>
      <c r="H7" s="480"/>
      <c r="I7" s="479">
        <f>AVERAGE(K14:M14)</f>
        <v>136.27939879285623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0.95730385388574391</v>
      </c>
      <c r="F8" s="482">
        <f>AVERAGE(D15:J15,D29:O29)</f>
        <v>0.95747107359403771</v>
      </c>
      <c r="G8" s="483">
        <f>AVERAGE(D15:J15)</f>
        <v>0.95747107359403771</v>
      </c>
      <c r="H8" s="484"/>
      <c r="I8" s="483">
        <f>AVERAGE(K15:M15)</f>
        <v>0.95691367456639165</v>
      </c>
      <c r="J8" s="484"/>
      <c r="K8" s="8" t="s">
        <v>2129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2130</v>
      </c>
      <c r="C10" s="459"/>
      <c r="D10" s="460" t="s">
        <v>2131</v>
      </c>
      <c r="E10" s="461"/>
      <c r="F10" s="461"/>
      <c r="G10" s="461"/>
      <c r="H10" s="461"/>
      <c r="I10" s="461"/>
      <c r="J10" s="462"/>
      <c r="K10" s="463" t="s">
        <v>102</v>
      </c>
      <c r="L10" s="464"/>
      <c r="M10" s="465"/>
      <c r="P10" s="11"/>
      <c r="Q10" s="11"/>
    </row>
    <row r="11" spans="2:17" ht="17.25" customHeight="1">
      <c r="B11" s="466" t="s">
        <v>2132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2133</v>
      </c>
      <c r="C13" s="18" t="s">
        <v>2134</v>
      </c>
      <c r="D13" s="19">
        <f>SUMIFS('1126 4度C'!$K:$K,'1126 4度C'!$A:$A,"新豐6線",'1126 4度C'!$B:$B,"平均")</f>
        <v>137.93103448275863</v>
      </c>
      <c r="E13" s="20">
        <f>SUMIFS('1126 4度C'!$K:$K,'1126 4度C'!$A:$A,"新豐2線",'1126 4度C'!$B:$B,"平均")</f>
        <v>81.081081081081081</v>
      </c>
      <c r="F13" s="21">
        <f>SUMIFS('1126 4度C'!$K:$K,'1126 4度C'!$A:$A,"新豐5線",'1126 4度C'!$B:$B,"平均")</f>
        <v>103.63636363636364</v>
      </c>
      <c r="G13" s="21">
        <f>SUMIFS('1126 4度C'!$K:$K,'1126 4度C'!$A:$A,"新豐7線",'1126 4度C'!$B:$B,"平均")</f>
        <v>114.81481481481481</v>
      </c>
      <c r="H13" s="21">
        <f>SUMIFS('1126 4度C'!$K:$K,'1126 4度C'!$A:$A,"新豐3線",'1126 4度C'!$B:$B,"平均")</f>
        <v>285.71428571428572</v>
      </c>
      <c r="I13" s="21">
        <f>SUMIFS('1126 4度C'!$K:$K,'1126 4度C'!$A:$A,"新豐1線",'1126 4度C'!$B:$B,"平均")</f>
        <v>112.24489795918367</v>
      </c>
      <c r="J13" s="22">
        <f>SUMIFS('1126 4度C'!$K:$K,'1126 4度C'!$A:$A,"新豐10線",'1126 4度C'!$B:$B,"平均")</f>
        <v>291.66666666666669</v>
      </c>
      <c r="K13" s="23">
        <f>SUMIFS('1126 4度C'!$K:$K,'1126 4度C'!$A:$A,"新豐8線",'1126 4度C'!$B:$B,"平均")</f>
        <v>134.26573426573427</v>
      </c>
      <c r="L13" s="24">
        <f>SUMIFS('1126 4度C'!$K:$K,'1126 4度C'!$A:$A,"新豐9線",'1126 4度C'!$B:$B,"平均")</f>
        <v>138.12949640287769</v>
      </c>
      <c r="M13" s="22">
        <f>SUMIFS('1126 4度C'!$K:$K,'1126 4度C'!$A:$A,"新豐4線",'1126 4度C'!$B:$B,"平均")</f>
        <v>154.83870967741936</v>
      </c>
    </row>
    <row r="14" spans="2:17" ht="39.6" customHeight="1">
      <c r="B14" s="471"/>
      <c r="C14" s="25" t="s">
        <v>2135</v>
      </c>
      <c r="D14" s="26">
        <f>SUMIFS('1126 4度C'!$N:$N,'1126 4度C'!$A:$A,"新豐6線",'1126 4度C'!$B:$B,"平均")</f>
        <v>132.2841809137449</v>
      </c>
      <c r="E14" s="27">
        <f>SUMIFS('1126 4度C'!$N:$N,'1126 4度C'!$A:$A,"新豐2線",'1126 4度C'!$B:$B,"平均")</f>
        <v>77.541824461771824</v>
      </c>
      <c r="F14" s="27">
        <f>SUMIFS('1126 4度C'!$N:$N,'1126 4度C'!$A:$A,"新豐5線",'1126 4度C'!$B:$B,"平均")</f>
        <v>99.055161828622715</v>
      </c>
      <c r="G14" s="27">
        <f>SUMIFS('1126 4度C'!$N:$N,'1126 4度C'!$A:$A,"新豐7線",'1126 4度C'!$B:$B,"平均")</f>
        <v>109.91160816396548</v>
      </c>
      <c r="H14" s="27">
        <f>SUMIFS('1126 4度C'!$N:$N,'1126 4度C'!$A:$A,"新豐3線",'1126 4度C'!$B:$B,"平均")</f>
        <v>273.79834215593689</v>
      </c>
      <c r="I14" s="27">
        <f>SUMIFS('1126 4度C'!$N:$N,'1126 4度C'!$A:$A,"新豐1線",'1126 4度C'!$B:$B,"平均")</f>
        <v>107.50054587065591</v>
      </c>
      <c r="J14" s="28">
        <f>SUMIFS('1126 4度C'!$N:$N,'1126 4度C'!$A:$A,"新豐10線",'1126 4度C'!$B:$B,"平均")</f>
        <v>279.35005839514895</v>
      </c>
      <c r="K14" s="29">
        <f>SUMIFS('1126 4度C'!$N:$N,'1126 4度C'!$A:$A,"新豐8線",'1126 4度C'!$B:$B,"平均")</f>
        <v>128.4624725755809</v>
      </c>
      <c r="L14" s="30">
        <f>SUMIFS('1126 4度C'!$N:$N,'1126 4度C'!$A:$A,"新豐9線",'1126 4度C'!$B:$B,"平均")</f>
        <v>132.10028834303964</v>
      </c>
      <c r="M14" s="28">
        <f>SUMIFS('1126 4度C'!$N:$N,'1126 4度C'!$A:$A,"新豐4線",'1126 4度C'!$B:$B,"平均")</f>
        <v>148.27543545994817</v>
      </c>
    </row>
    <row r="15" spans="2:17" ht="40.15" customHeight="1">
      <c r="B15" s="472"/>
      <c r="C15" s="31" t="s">
        <v>2136</v>
      </c>
      <c r="D15" s="32">
        <f t="shared" ref="D15:M15" si="0">D14/D13</f>
        <v>0.95906031162465044</v>
      </c>
      <c r="E15" s="33">
        <f t="shared" si="0"/>
        <v>0.95634916836185246</v>
      </c>
      <c r="F15" s="33">
        <f t="shared" si="0"/>
        <v>0.95579542115337701</v>
      </c>
      <c r="G15" s="33">
        <f t="shared" si="0"/>
        <v>0.95729465175066719</v>
      </c>
      <c r="H15" s="33">
        <f t="shared" si="0"/>
        <v>0.95829419754577905</v>
      </c>
      <c r="I15" s="33">
        <f t="shared" si="0"/>
        <v>0.95773213593857087</v>
      </c>
      <c r="J15" s="34">
        <f t="shared" si="0"/>
        <v>0.95777162878336775</v>
      </c>
      <c r="K15" s="32">
        <f t="shared" si="0"/>
        <v>0.95677779053687861</v>
      </c>
      <c r="L15" s="33">
        <f t="shared" si="0"/>
        <v>0.95635104581679742</v>
      </c>
      <c r="M15" s="34">
        <f t="shared" si="0"/>
        <v>0.95761218734549858</v>
      </c>
    </row>
    <row r="16" spans="2:17" ht="17.25" customHeight="1">
      <c r="B16" s="473" t="s">
        <v>2137</v>
      </c>
      <c r="C16" s="35" t="s">
        <v>2138</v>
      </c>
      <c r="D16" s="49">
        <f>VLOOKUP("新豐6線",'1126 4度C'!$A:$T,19,0)</f>
        <v>0.70833333333333337</v>
      </c>
      <c r="E16" s="50">
        <f>VLOOKUP("新豐2線",'1126 4度C'!$A:$T,19,0)</f>
        <v>0.20833333333333334</v>
      </c>
      <c r="F16" s="50">
        <f>VLOOKUP("新豐5線",'1126 4度C'!$A:$T,19,0)</f>
        <v>0.125</v>
      </c>
      <c r="G16" s="50">
        <f>VLOOKUP("新豐7線",'1126 4度C'!$A:$T,19,0)</f>
        <v>0.20833333333333334</v>
      </c>
      <c r="H16" s="50">
        <f>VLOOKUP("新豐3線",'1126 4度C'!$A:$T,19,0)</f>
        <v>8.3333333333333329E-2</v>
      </c>
      <c r="I16" s="50">
        <f>VLOOKUP("新豐1線",'1126 4度C'!$A:$T,19,0)</f>
        <v>0.20833333333333334</v>
      </c>
      <c r="J16" s="51">
        <f>VLOOKUP("新豐10線",'1126 4度C'!$A:$T,19,0)</f>
        <v>0.20833333333333334</v>
      </c>
      <c r="K16" s="36">
        <f>VLOOKUP("新豐8線",'1126 4度C'!$A:$T,19,0)</f>
        <v>8.3333333333333329E-2</v>
      </c>
      <c r="L16" s="37">
        <f>VLOOKUP("新豐9線",'1126 4度C'!$A:$T,19,0)</f>
        <v>8.3333333333333329E-2</v>
      </c>
      <c r="M16" s="38">
        <f>VLOOKUP("新豐4線",'1126 4度C'!$A:$T,19,0)</f>
        <v>8.3333333333333329E-2</v>
      </c>
    </row>
    <row r="17" spans="2:13" ht="17.25" customHeight="1">
      <c r="B17" s="474"/>
      <c r="C17" s="35" t="s">
        <v>2139</v>
      </c>
      <c r="D17" s="36">
        <f>LOOKUP(2,1/(('1126 4度C'!$A:$A="新豐6線")*('1126 4度C'!$T:$T&lt;&gt;"")),'1126 4度C'!$T:$T)</f>
        <v>0.91736111111111096</v>
      </c>
      <c r="E17" s="50">
        <f>LOOKUP(2,1/(('1126 4度C'!$A:$A="新豐2線")*('1126 4度C'!$T:$T&lt;&gt;"")),'1126 4度C'!$T:$T)</f>
        <v>0.4458333333333333</v>
      </c>
      <c r="F17" s="50">
        <f>LOOKUP(2,1/(('1126 4度C'!$A:$A="新豐5線")*('1126 4度C'!$T:$T&lt;&gt;"")),'1126 4度C'!$T:$T)</f>
        <v>0.85625000000000007</v>
      </c>
      <c r="G17" s="50">
        <f>LOOKUP(2,1/(('1126 4度C'!$A:$A="新豐7線")*('1126 4度C'!$T:$T&lt;&gt;"")),'1126 4度C'!$T:$T)</f>
        <v>0.85069444444444442</v>
      </c>
      <c r="H17" s="50">
        <f>LOOKUP(2,1/(('1126 4度C'!$A:$A="新豐3線")*('1126 4度C'!$T:$T&lt;&gt;"")),'1126 4度C'!$T:$T)</f>
        <v>0.60416666666666652</v>
      </c>
      <c r="I17" s="50">
        <f>LOOKUP(2,1/(('1126 4度C'!$A:$A="新豐1線")*('1126 4度C'!$T:$T&lt;&gt;"")),'1126 4度C'!$T:$T)</f>
        <v>0.93611111111111101</v>
      </c>
      <c r="J17" s="51">
        <f>LOOKUP(2,1/(('1126 4度C'!$A:$A="新豐10線")*('1126 4度C'!$T:$T&lt;&gt;"")),'1126 4度C'!$T:$T)</f>
        <v>0.43958333333333333</v>
      </c>
      <c r="K17" s="49">
        <f>LOOKUP(2,1/(('1126 4度C'!$A:$A="新豐8線")*('1126 4度C'!$T:$T&lt;&gt;"")),'1126 4度C'!$T:$T)</f>
        <v>0.73402777777777772</v>
      </c>
      <c r="L17" s="50">
        <f>LOOKUP(2,1/(('1126 4度C'!$A:$A="新豐9線")*('1126 4度C'!$T:$T&lt;&gt;"")),'1126 4度C'!$T:$T)</f>
        <v>0.7270833333333333</v>
      </c>
      <c r="M17" s="51">
        <f>LOOKUP(2,1/(('1126 4度C'!$A:$A="新豐4線")*('1126 4度C'!$T:$T&lt;&gt;"")),'1126 4度C'!$T:$T)</f>
        <v>0.66805555555555551</v>
      </c>
    </row>
    <row r="18" spans="2:13" ht="17.25" customHeight="1">
      <c r="B18" s="452" t="s">
        <v>2140</v>
      </c>
      <c r="C18" s="453"/>
      <c r="D18" s="39">
        <f>SUMIFS('1126 4度C'!$I:$I,'1126 4度C'!$A:$A,"新豐6線",'1126 4度C'!$B:$B,"平均")</f>
        <v>14.5</v>
      </c>
      <c r="E18" s="40">
        <f>SUMIFS('1126 4度C'!$I:$I,'1126 4度C'!$A:$A,"新豐2線",'1126 4度C'!$B:$B,"平均")</f>
        <v>18.5</v>
      </c>
      <c r="F18" s="40">
        <f>SUMIFS('1126 4度C'!$I:$I,'1126 4度C'!$A:$A,"新豐5線",'1126 4度C'!$B:$B,"平均")</f>
        <v>18.333333333333332</v>
      </c>
      <c r="G18" s="40">
        <f>SUMIFS('1126 4度C'!$I:$I,'1126 4度C'!$A:$A,"新豐7線",'1126 4度C'!$B:$B,"平均")</f>
        <v>16.875</v>
      </c>
      <c r="H18" s="40">
        <f>SUMIFS('1126 4度C'!$I:$I,'1126 4度C'!$A:$A,"新豐3線",'1126 4度C'!$B:$B,"平均")</f>
        <v>10.111111111111111</v>
      </c>
      <c r="I18" s="40">
        <f>SUMIFS('1126 4度C'!$I:$I,'1126 4度C'!$A:$A,"新豐1線",'1126 4度C'!$B:$B,"平均")</f>
        <v>16.333333333333332</v>
      </c>
      <c r="J18" s="41">
        <f>SUMIFS('1126 4度C'!$I:$I,'1126 4度C'!$A:$A,"新豐10線",'1126 4度C'!$B:$B,"平均")</f>
        <v>9</v>
      </c>
      <c r="K18" s="39">
        <f>SUMIFS('1126 4度C'!$I:$I,'1126 4度C'!$A:$A,"新豐8線",'1126 4度C'!$B:$B,"平均")</f>
        <v>17.875</v>
      </c>
      <c r="L18" s="40">
        <f>SUMIFS('1126 4度C'!$I:$I,'1126 4度C'!$A:$A,"新豐9線",'1126 4度C'!$B:$B,"平均")</f>
        <v>17.375</v>
      </c>
      <c r="M18" s="41">
        <f>SUMIFS('1126 4度C'!$I:$I,'1126 4度C'!$A:$A,"新豐4線",'1126 4度C'!$B:$B,"平均")</f>
        <v>15.5</v>
      </c>
    </row>
    <row r="19" spans="2:13" ht="17.25" customHeight="1">
      <c r="B19" s="452" t="s">
        <v>2141</v>
      </c>
      <c r="C19" s="453"/>
      <c r="D19" s="42" t="s">
        <v>65</v>
      </c>
      <c r="E19" s="43" t="s">
        <v>66</v>
      </c>
      <c r="F19" s="43" t="s">
        <v>2142</v>
      </c>
      <c r="G19" s="43" t="s">
        <v>2143</v>
      </c>
      <c r="H19" s="43" t="s">
        <v>67</v>
      </c>
      <c r="I19" s="43" t="s">
        <v>65</v>
      </c>
      <c r="J19" s="44" t="s">
        <v>67</v>
      </c>
      <c r="K19" s="42" t="s">
        <v>2144</v>
      </c>
      <c r="L19" s="43" t="s">
        <v>2144</v>
      </c>
      <c r="M19" s="44" t="s">
        <v>2144</v>
      </c>
    </row>
    <row r="20" spans="2:13" ht="17.25" customHeight="1">
      <c r="B20" s="452" t="s">
        <v>2145</v>
      </c>
      <c r="C20" s="453"/>
      <c r="D20" s="42"/>
      <c r="E20" s="43"/>
      <c r="F20" s="43" t="s">
        <v>2146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2147</v>
      </c>
      <c r="C21" s="455"/>
      <c r="D21" s="45"/>
      <c r="E21" s="46" t="s">
        <v>2148</v>
      </c>
      <c r="F21" s="456" t="s">
        <v>2149</v>
      </c>
      <c r="G21" s="457"/>
      <c r="H21" s="46" t="s">
        <v>2150</v>
      </c>
      <c r="I21" s="46" t="s">
        <v>2151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1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B18" sqref="B18:D18"/>
      <selection pane="bottomLeft" activeCell="B18" sqref="B18:D18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203</v>
      </c>
      <c r="B1" s="52"/>
      <c r="C1" s="53" t="s">
        <v>121</v>
      </c>
      <c r="D1" s="54">
        <f>SUM(F5:F77)</f>
        <v>191926</v>
      </c>
      <c r="E1" s="395" t="s">
        <v>2152</v>
      </c>
      <c r="F1" s="52">
        <f>SUM(G5:G77)</f>
        <v>6301287.2799999993</v>
      </c>
      <c r="G1" s="52" t="s">
        <v>2153</v>
      </c>
      <c r="H1" s="55">
        <f>L9+L12+L56+L63+L19+L68+L37+L46+L28+L77</f>
        <v>154.40277777777777</v>
      </c>
      <c r="I1" s="556" t="s">
        <v>2154</v>
      </c>
      <c r="J1" s="556"/>
      <c r="K1" s="556"/>
      <c r="L1" s="556" t="s">
        <v>2155</v>
      </c>
      <c r="M1" s="556"/>
      <c r="N1" s="556"/>
      <c r="O1" s="556" t="s">
        <v>2156</v>
      </c>
      <c r="P1" s="556"/>
      <c r="Q1" s="556"/>
      <c r="R1" s="556"/>
      <c r="S1" s="556" t="s">
        <v>2157</v>
      </c>
      <c r="T1" s="556"/>
      <c r="U1" s="556"/>
      <c r="V1" s="556"/>
      <c r="W1" s="556"/>
      <c r="X1" s="556"/>
      <c r="Y1" s="556" t="s">
        <v>2158</v>
      </c>
      <c r="Z1" s="556"/>
      <c r="AA1" s="556" t="s">
        <v>2159</v>
      </c>
      <c r="AB1" s="557"/>
      <c r="AC1" s="557"/>
    </row>
    <row r="2" spans="1:29" ht="26.25" customHeight="1">
      <c r="A2" s="57">
        <v>45987</v>
      </c>
      <c r="B2" s="58" t="s">
        <v>460</v>
      </c>
      <c r="C2" s="53" t="s">
        <v>2160</v>
      </c>
      <c r="D2" s="59">
        <f>AVERAGE(N9,N12,N56,N63,N19,N68,N28,N37,N46,N77)</f>
        <v>148.82799181684155</v>
      </c>
      <c r="E2" s="60" t="s">
        <v>0</v>
      </c>
      <c r="F2" s="61">
        <f>F1/D1</f>
        <v>32.831858528807977</v>
      </c>
      <c r="G2" s="52" t="s">
        <v>2161</v>
      </c>
      <c r="H2" s="403">
        <f>COUNT(H5:H77)</f>
        <v>12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2162</v>
      </c>
      <c r="B3" s="510" t="s">
        <v>2163</v>
      </c>
      <c r="C3" s="510" t="s">
        <v>2164</v>
      </c>
      <c r="D3" s="510"/>
      <c r="E3" s="554" t="s">
        <v>2165</v>
      </c>
      <c r="F3" s="510" t="s">
        <v>2166</v>
      </c>
      <c r="G3" s="554" t="s">
        <v>2167</v>
      </c>
      <c r="H3" s="547" t="s">
        <v>2168</v>
      </c>
      <c r="I3" s="545" t="s">
        <v>2169</v>
      </c>
      <c r="J3" s="550" t="s">
        <v>2170</v>
      </c>
      <c r="K3" s="552" t="s">
        <v>2160</v>
      </c>
      <c r="L3" s="545" t="s">
        <v>2169</v>
      </c>
      <c r="M3" s="550" t="s">
        <v>2170</v>
      </c>
      <c r="N3" s="552" t="s">
        <v>2160</v>
      </c>
      <c r="O3" s="545" t="s">
        <v>2169</v>
      </c>
      <c r="P3" s="552" t="s">
        <v>2160</v>
      </c>
      <c r="Q3" s="551" t="s">
        <v>2171</v>
      </c>
      <c r="R3" s="523" t="s">
        <v>2172</v>
      </c>
      <c r="S3" s="510" t="s">
        <v>1</v>
      </c>
      <c r="T3" s="510"/>
      <c r="U3" s="547" t="s">
        <v>2</v>
      </c>
      <c r="V3" s="547" t="s">
        <v>2173</v>
      </c>
      <c r="W3" s="510" t="s">
        <v>2174</v>
      </c>
      <c r="X3" s="510"/>
      <c r="Y3" s="548" t="s">
        <v>2175</v>
      </c>
      <c r="Z3" s="549"/>
      <c r="AA3" s="550" t="s">
        <v>2170</v>
      </c>
      <c r="AB3" s="551" t="s">
        <v>2171</v>
      </c>
      <c r="AC3" s="523" t="s">
        <v>2172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95" t="s">
        <v>3</v>
      </c>
      <c r="T4" s="395" t="s">
        <v>4</v>
      </c>
      <c r="U4" s="547"/>
      <c r="V4" s="547"/>
      <c r="W4" s="395" t="s">
        <v>2176</v>
      </c>
      <c r="X4" s="395" t="s">
        <v>2177</v>
      </c>
      <c r="Y4" s="549"/>
      <c r="Z4" s="549"/>
      <c r="AA4" s="550"/>
      <c r="AB4" s="551"/>
      <c r="AC4" s="523"/>
    </row>
    <row r="5" spans="1:29">
      <c r="A5" s="544" t="s">
        <v>2178</v>
      </c>
      <c r="B5" s="62" t="s">
        <v>6</v>
      </c>
      <c r="C5" s="546" t="s">
        <v>9</v>
      </c>
      <c r="D5" s="546"/>
      <c r="E5" s="62">
        <v>50.67</v>
      </c>
      <c r="F5" s="402">
        <v>1541</v>
      </c>
      <c r="G5" s="395">
        <f t="shared" ref="G5:G8" si="0">E5*F5</f>
        <v>78082.47</v>
      </c>
      <c r="H5" s="90" t="s">
        <v>5</v>
      </c>
      <c r="I5" s="400">
        <v>17</v>
      </c>
      <c r="J5" s="63">
        <v>2000</v>
      </c>
      <c r="K5" s="64">
        <f t="shared" ref="K5:K68" si="1">J5/I5</f>
        <v>117.64705882352941</v>
      </c>
      <c r="L5" s="400">
        <v>17</v>
      </c>
      <c r="M5" s="65">
        <f t="shared" ref="M5:M8" si="2">F5/V5*60</f>
        <v>1926.2500000000007</v>
      </c>
      <c r="N5" s="64">
        <f t="shared" ref="N5:N68" si="3">M5/L5</f>
        <v>113.30882352941181</v>
      </c>
      <c r="O5" s="66">
        <f t="shared" ref="O5:O68" si="4">L5-I5</f>
        <v>0</v>
      </c>
      <c r="P5" s="67">
        <f t="shared" ref="P5:P68" si="5">N5-K5</f>
        <v>-4.3382352941175952</v>
      </c>
      <c r="Q5" s="396">
        <f t="shared" ref="Q5:Q68" si="6">N5/K5</f>
        <v>0.96312500000000045</v>
      </c>
      <c r="R5" s="511">
        <f>Q9</f>
        <v>0.95906031162465044</v>
      </c>
      <c r="S5" s="68">
        <v>0.70833333333333337</v>
      </c>
      <c r="T5" s="68">
        <v>0.7416666666666667</v>
      </c>
      <c r="U5" s="395"/>
      <c r="V5" s="401">
        <f t="shared" ref="V5:V8" si="7">(T5-S5)*24*60</f>
        <v>47.999999999999986</v>
      </c>
      <c r="W5" s="69"/>
      <c r="X5" s="70"/>
      <c r="Y5" s="510"/>
      <c r="Z5" s="510"/>
      <c r="AA5" s="66">
        <f t="shared" ref="AA5:AA68" si="8">M5-J5</f>
        <v>-73.749999999999318</v>
      </c>
      <c r="AB5" s="396">
        <f t="shared" ref="AB5:AB68" si="9">M5/J5</f>
        <v>0.96312500000000034</v>
      </c>
      <c r="AC5" s="511">
        <f>AB9</f>
        <v>0.95906031162465044</v>
      </c>
    </row>
    <row r="6" spans="1:29">
      <c r="A6" s="545" t="s">
        <v>2178</v>
      </c>
      <c r="B6" s="62" t="s">
        <v>6</v>
      </c>
      <c r="C6" s="546" t="s">
        <v>8</v>
      </c>
      <c r="D6" s="546"/>
      <c r="E6" s="62">
        <v>50.49</v>
      </c>
      <c r="F6" s="402">
        <v>2032</v>
      </c>
      <c r="G6" s="395">
        <f t="shared" si="0"/>
        <v>102595.68000000001</v>
      </c>
      <c r="H6" s="90" t="s">
        <v>5</v>
      </c>
      <c r="I6" s="400">
        <v>15</v>
      </c>
      <c r="J6" s="63">
        <v>2000</v>
      </c>
      <c r="K6" s="64">
        <f t="shared" si="1"/>
        <v>133.33333333333334</v>
      </c>
      <c r="L6" s="400">
        <v>15</v>
      </c>
      <c r="M6" s="65">
        <f t="shared" si="2"/>
        <v>1905.000000000002</v>
      </c>
      <c r="N6" s="64">
        <f t="shared" si="3"/>
        <v>127.00000000000014</v>
      </c>
      <c r="O6" s="66">
        <f t="shared" si="4"/>
        <v>0</v>
      </c>
      <c r="P6" s="67">
        <f t="shared" si="5"/>
        <v>-6.3333333333332007</v>
      </c>
      <c r="Q6" s="396">
        <f t="shared" si="6"/>
        <v>0.95250000000000101</v>
      </c>
      <c r="R6" s="511"/>
      <c r="S6" s="68">
        <v>0.74722222222222223</v>
      </c>
      <c r="T6" s="68">
        <v>0.79166666666666663</v>
      </c>
      <c r="U6" s="395">
        <f t="shared" ref="U6:U8" si="10">IF(S6=TIME(17,0,0),"",(S6-T5)*24*60)</f>
        <v>7.9999999999999716</v>
      </c>
      <c r="V6" s="401">
        <f t="shared" si="7"/>
        <v>63.999999999999929</v>
      </c>
      <c r="W6" s="69"/>
      <c r="X6" s="69"/>
      <c r="Y6" s="510"/>
      <c r="Z6" s="510"/>
      <c r="AA6" s="66">
        <f t="shared" si="8"/>
        <v>-94.999999999997954</v>
      </c>
      <c r="AB6" s="396">
        <f t="shared" si="9"/>
        <v>0.95250000000000101</v>
      </c>
      <c r="AC6" s="511"/>
    </row>
    <row r="7" spans="1:29">
      <c r="A7" s="545" t="s">
        <v>2178</v>
      </c>
      <c r="B7" s="62" t="s">
        <v>6</v>
      </c>
      <c r="C7" s="539" t="s">
        <v>886</v>
      </c>
      <c r="D7" s="540"/>
      <c r="E7" s="62">
        <v>57.3</v>
      </c>
      <c r="F7" s="402">
        <v>2000</v>
      </c>
      <c r="G7" s="395">
        <f t="shared" si="0"/>
        <v>114600</v>
      </c>
      <c r="H7" s="90">
        <v>2</v>
      </c>
      <c r="I7" s="400">
        <v>13</v>
      </c>
      <c r="J7" s="63">
        <v>2000</v>
      </c>
      <c r="K7" s="64">
        <f t="shared" si="1"/>
        <v>153.84615384615384</v>
      </c>
      <c r="L7" s="400">
        <v>13</v>
      </c>
      <c r="M7" s="65">
        <f t="shared" si="2"/>
        <v>1904.7619047619066</v>
      </c>
      <c r="N7" s="64">
        <f t="shared" si="3"/>
        <v>146.52014652014665</v>
      </c>
      <c r="O7" s="66">
        <f t="shared" si="4"/>
        <v>0</v>
      </c>
      <c r="P7" s="67">
        <f t="shared" si="5"/>
        <v>-7.3260073260071863</v>
      </c>
      <c r="Q7" s="396">
        <f t="shared" si="6"/>
        <v>0.95238095238095333</v>
      </c>
      <c r="R7" s="511"/>
      <c r="S7" s="68">
        <v>0.79652777777777772</v>
      </c>
      <c r="T7" s="68">
        <v>0.84027777777777768</v>
      </c>
      <c r="U7" s="395">
        <f t="shared" si="10"/>
        <v>6.9999999999999751</v>
      </c>
      <c r="V7" s="401">
        <f t="shared" si="7"/>
        <v>62.999999999999936</v>
      </c>
      <c r="W7" s="69">
        <f>T7</f>
        <v>0.84027777777777768</v>
      </c>
      <c r="X7" s="69">
        <f>S8</f>
        <v>0.88194444444444431</v>
      </c>
      <c r="Y7" s="517"/>
      <c r="Z7" s="518"/>
      <c r="AA7" s="66">
        <f t="shared" si="8"/>
        <v>-95.238095238093365</v>
      </c>
      <c r="AB7" s="396">
        <f t="shared" si="9"/>
        <v>0.95238095238095333</v>
      </c>
      <c r="AC7" s="511"/>
    </row>
    <row r="8" spans="1:29">
      <c r="A8" s="545" t="s">
        <v>2179</v>
      </c>
      <c r="B8" s="62" t="s">
        <v>6</v>
      </c>
      <c r="C8" s="539" t="s">
        <v>886</v>
      </c>
      <c r="D8" s="540"/>
      <c r="E8" s="62">
        <v>57.3</v>
      </c>
      <c r="F8" s="402">
        <v>1646</v>
      </c>
      <c r="G8" s="395">
        <f t="shared" si="0"/>
        <v>94315.799999999988</v>
      </c>
      <c r="H8" s="90" t="s">
        <v>5</v>
      </c>
      <c r="I8" s="400">
        <v>13</v>
      </c>
      <c r="J8" s="63">
        <v>2000</v>
      </c>
      <c r="K8" s="64">
        <f t="shared" si="1"/>
        <v>153.84615384615384</v>
      </c>
      <c r="L8" s="400">
        <v>13</v>
      </c>
      <c r="M8" s="65">
        <f t="shared" si="2"/>
        <v>1936.4705882352948</v>
      </c>
      <c r="N8" s="64">
        <f t="shared" si="3"/>
        <v>148.95927601809962</v>
      </c>
      <c r="O8" s="66">
        <f t="shared" si="4"/>
        <v>0</v>
      </c>
      <c r="P8" s="67">
        <f t="shared" si="5"/>
        <v>-4.8868778280542244</v>
      </c>
      <c r="Q8" s="396">
        <f t="shared" si="6"/>
        <v>0.96823529411764753</v>
      </c>
      <c r="R8" s="511"/>
      <c r="S8" s="68">
        <v>0.88194444444444431</v>
      </c>
      <c r="T8" s="68">
        <v>0.91736111111111096</v>
      </c>
      <c r="U8" s="395">
        <f t="shared" si="10"/>
        <v>59.999999999999943</v>
      </c>
      <c r="V8" s="401">
        <f t="shared" si="7"/>
        <v>50.999999999999979</v>
      </c>
      <c r="W8" s="73"/>
      <c r="X8" s="73"/>
      <c r="Y8" s="517"/>
      <c r="Z8" s="518"/>
      <c r="AA8" s="66">
        <f t="shared" si="8"/>
        <v>-63.529411764705173</v>
      </c>
      <c r="AB8" s="396">
        <f t="shared" si="9"/>
        <v>0.96823529411764742</v>
      </c>
      <c r="AC8" s="511"/>
    </row>
    <row r="9" spans="1:29">
      <c r="A9" s="545" t="s">
        <v>2178</v>
      </c>
      <c r="B9" s="62" t="s">
        <v>2180</v>
      </c>
      <c r="C9" s="513"/>
      <c r="D9" s="513"/>
      <c r="E9" s="397"/>
      <c r="F9" s="71"/>
      <c r="G9" s="64"/>
      <c r="H9" s="402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1918.1206232493009</v>
      </c>
      <c r="N9" s="64">
        <f t="shared" si="3"/>
        <v>132.2841809137449</v>
      </c>
      <c r="O9" s="66">
        <f t="shared" si="4"/>
        <v>0</v>
      </c>
      <c r="P9" s="67">
        <f t="shared" si="5"/>
        <v>-5.6468535690137287</v>
      </c>
      <c r="Q9" s="396">
        <f t="shared" si="6"/>
        <v>0.95906031162465044</v>
      </c>
      <c r="R9" s="511"/>
      <c r="S9" s="68"/>
      <c r="T9" s="68"/>
      <c r="U9" s="395"/>
      <c r="V9" s="401"/>
      <c r="W9" s="64"/>
      <c r="X9" s="64"/>
      <c r="Y9" s="510"/>
      <c r="Z9" s="510"/>
      <c r="AA9" s="66">
        <f t="shared" si="8"/>
        <v>-81.879376750699066</v>
      </c>
      <c r="AB9" s="396">
        <f t="shared" si="9"/>
        <v>0.95906031162465044</v>
      </c>
      <c r="AC9" s="511"/>
    </row>
    <row r="10" spans="1:29" ht="15.75" customHeight="1">
      <c r="A10" s="543" t="s">
        <v>2181</v>
      </c>
      <c r="B10" s="62" t="s">
        <v>10</v>
      </c>
      <c r="C10" s="539" t="s">
        <v>12</v>
      </c>
      <c r="D10" s="540"/>
      <c r="E10" s="62">
        <v>39.36</v>
      </c>
      <c r="F10" s="402">
        <v>1466</v>
      </c>
      <c r="G10" s="395">
        <f t="shared" ref="G10:G11" si="11">E10*F10</f>
        <v>57701.760000000002</v>
      </c>
      <c r="H10" s="90" t="s">
        <v>5</v>
      </c>
      <c r="I10" s="400">
        <v>20</v>
      </c>
      <c r="J10" s="63">
        <v>1500</v>
      </c>
      <c r="K10" s="64">
        <f t="shared" si="1"/>
        <v>75</v>
      </c>
      <c r="L10" s="400">
        <v>20</v>
      </c>
      <c r="M10" s="65">
        <f t="shared" ref="M10:M11" si="12">F10/V10*60</f>
        <v>1441.9672131147545</v>
      </c>
      <c r="N10" s="64">
        <f t="shared" si="3"/>
        <v>72.098360655737721</v>
      </c>
      <c r="O10" s="66">
        <f t="shared" si="4"/>
        <v>0</v>
      </c>
      <c r="P10" s="67">
        <f t="shared" si="5"/>
        <v>-2.9016393442622785</v>
      </c>
      <c r="Q10" s="396">
        <f t="shared" si="6"/>
        <v>0.9613114754098363</v>
      </c>
      <c r="R10" s="511">
        <f>Q12</f>
        <v>0.95634916836185246</v>
      </c>
      <c r="S10" s="68">
        <v>0.20833333333333334</v>
      </c>
      <c r="T10" s="68">
        <v>0.25069444444444444</v>
      </c>
      <c r="U10" s="395"/>
      <c r="V10" s="401">
        <f t="shared" ref="V10:V11" si="13">(T10-S10)*24*60</f>
        <v>60.999999999999986</v>
      </c>
      <c r="W10" s="69"/>
      <c r="X10" s="69"/>
      <c r="Y10" s="510"/>
      <c r="Z10" s="510"/>
      <c r="AA10" s="66">
        <f t="shared" si="8"/>
        <v>-58.032786885245514</v>
      </c>
      <c r="AB10" s="396">
        <f t="shared" si="9"/>
        <v>0.9613114754098363</v>
      </c>
      <c r="AC10" s="511">
        <f>AB12</f>
        <v>0.95634916836185246</v>
      </c>
    </row>
    <row r="11" spans="1:29" ht="15.75" customHeight="1">
      <c r="A11" s="543" t="s">
        <v>2181</v>
      </c>
      <c r="B11" s="62" t="s">
        <v>10</v>
      </c>
      <c r="C11" s="539" t="s">
        <v>11</v>
      </c>
      <c r="D11" s="540"/>
      <c r="E11" s="62">
        <v>39.799999999999997</v>
      </c>
      <c r="F11" s="402">
        <v>6517</v>
      </c>
      <c r="G11" s="395">
        <f t="shared" si="11"/>
        <v>259376.59999999998</v>
      </c>
      <c r="H11" s="90" t="s">
        <v>5</v>
      </c>
      <c r="I11" s="400">
        <v>17</v>
      </c>
      <c r="J11" s="63">
        <v>1500</v>
      </c>
      <c r="K11" s="64">
        <f t="shared" si="1"/>
        <v>88.235294117647058</v>
      </c>
      <c r="L11" s="400">
        <v>17</v>
      </c>
      <c r="M11" s="65">
        <f t="shared" si="12"/>
        <v>1427.080291970803</v>
      </c>
      <c r="N11" s="64">
        <f t="shared" si="3"/>
        <v>83.945899527694294</v>
      </c>
      <c r="O11" s="66">
        <f t="shared" si="4"/>
        <v>0</v>
      </c>
      <c r="P11" s="67">
        <f t="shared" si="5"/>
        <v>-4.2893945899527637</v>
      </c>
      <c r="Q11" s="396">
        <f t="shared" si="6"/>
        <v>0.95138686131386863</v>
      </c>
      <c r="R11" s="511"/>
      <c r="S11" s="68">
        <v>0.25555555555555554</v>
      </c>
      <c r="T11" s="68">
        <v>0.4458333333333333</v>
      </c>
      <c r="U11" s="395">
        <f t="shared" ref="U11" si="14">IF(S11=TIME(17,0,0),"",(S11-T10)*24*60)</f>
        <v>6.9999999999999751</v>
      </c>
      <c r="V11" s="401">
        <f t="shared" si="13"/>
        <v>274</v>
      </c>
      <c r="W11" s="69"/>
      <c r="X11" s="69"/>
      <c r="Y11" s="510"/>
      <c r="Z11" s="510"/>
      <c r="AA11" s="66">
        <f t="shared" si="8"/>
        <v>-72.919708029196954</v>
      </c>
      <c r="AB11" s="396">
        <f t="shared" si="9"/>
        <v>0.95138686131386874</v>
      </c>
      <c r="AC11" s="511"/>
    </row>
    <row r="12" spans="1:29" ht="16.5" customHeight="1">
      <c r="A12" s="543" t="s">
        <v>2181</v>
      </c>
      <c r="B12" s="62" t="s">
        <v>2180</v>
      </c>
      <c r="C12" s="513"/>
      <c r="D12" s="513"/>
      <c r="E12" s="397"/>
      <c r="F12" s="63"/>
      <c r="G12" s="65"/>
      <c r="H12" s="402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1434.5237525427788</v>
      </c>
      <c r="N12" s="64">
        <f t="shared" si="3"/>
        <v>77.541824461771824</v>
      </c>
      <c r="O12" s="66">
        <f t="shared" si="4"/>
        <v>0</v>
      </c>
      <c r="P12" s="67">
        <f t="shared" si="5"/>
        <v>-3.5392566193092563</v>
      </c>
      <c r="Q12" s="396">
        <f t="shared" si="6"/>
        <v>0.95634916836185246</v>
      </c>
      <c r="R12" s="511"/>
      <c r="S12" s="68"/>
      <c r="T12" s="68"/>
      <c r="U12" s="64"/>
      <c r="V12" s="401"/>
      <c r="W12" s="64"/>
      <c r="X12" s="64"/>
      <c r="Y12" s="510"/>
      <c r="Z12" s="510"/>
      <c r="AA12" s="66">
        <f t="shared" si="8"/>
        <v>-65.476247457221234</v>
      </c>
      <c r="AB12" s="396">
        <f t="shared" si="9"/>
        <v>0.95634916836185246</v>
      </c>
      <c r="AC12" s="511"/>
    </row>
    <row r="13" spans="1:29" ht="16.5" customHeight="1">
      <c r="A13" s="541" t="s">
        <v>2182</v>
      </c>
      <c r="B13" s="402" t="s">
        <v>13</v>
      </c>
      <c r="C13" s="533" t="s">
        <v>14</v>
      </c>
      <c r="D13" s="533"/>
      <c r="E13" s="62">
        <v>41</v>
      </c>
      <c r="F13" s="402">
        <v>2313</v>
      </c>
      <c r="G13" s="395">
        <f t="shared" ref="G13:G18" si="15">E13*F13</f>
        <v>94833</v>
      </c>
      <c r="H13" s="90" t="s">
        <v>5</v>
      </c>
      <c r="I13" s="400">
        <v>26</v>
      </c>
      <c r="J13" s="63">
        <v>1500</v>
      </c>
      <c r="K13" s="64">
        <f t="shared" si="1"/>
        <v>57.692307692307693</v>
      </c>
      <c r="L13" s="400">
        <v>26</v>
      </c>
      <c r="M13" s="65">
        <f t="shared" ref="M13:M18" si="16">F13/V13*60</f>
        <v>1430.7216494845366</v>
      </c>
      <c r="N13" s="64">
        <f t="shared" si="3"/>
        <v>55.027755749405252</v>
      </c>
      <c r="O13" s="66">
        <f t="shared" si="4"/>
        <v>0</v>
      </c>
      <c r="P13" s="67">
        <f t="shared" si="5"/>
        <v>-2.6645519429024418</v>
      </c>
      <c r="Q13" s="396">
        <f t="shared" si="6"/>
        <v>0.95381443298969104</v>
      </c>
      <c r="R13" s="511">
        <f>Q19</f>
        <v>0.95579542115337701</v>
      </c>
      <c r="S13" s="68">
        <v>0.125</v>
      </c>
      <c r="T13" s="68">
        <v>0.19236111111111109</v>
      </c>
      <c r="U13" s="395"/>
      <c r="V13" s="401">
        <f t="shared" ref="V13:V18" si="17">(T13-S13)*24*60</f>
        <v>96.999999999999972</v>
      </c>
      <c r="W13" s="69">
        <f>T13</f>
        <v>0.19236111111111109</v>
      </c>
      <c r="X13" s="69">
        <f>S14</f>
        <v>0.21180555555555555</v>
      </c>
      <c r="Y13" s="510"/>
      <c r="Z13" s="510"/>
      <c r="AA13" s="66">
        <f t="shared" si="8"/>
        <v>-69.278350515463444</v>
      </c>
      <c r="AB13" s="396">
        <f t="shared" si="9"/>
        <v>0.95381443298969104</v>
      </c>
      <c r="AC13" s="511">
        <f>AB19</f>
        <v>0.95579542115337701</v>
      </c>
    </row>
    <row r="14" spans="1:29" ht="16.5" customHeight="1">
      <c r="A14" s="542" t="s">
        <v>2182</v>
      </c>
      <c r="B14" s="402" t="s">
        <v>10</v>
      </c>
      <c r="C14" s="533" t="s">
        <v>15</v>
      </c>
      <c r="D14" s="533"/>
      <c r="E14" s="62">
        <v>39.619999999999997</v>
      </c>
      <c r="F14" s="402">
        <v>4114</v>
      </c>
      <c r="G14" s="395">
        <f t="shared" si="15"/>
        <v>162996.68</v>
      </c>
      <c r="H14" s="90" t="s">
        <v>5</v>
      </c>
      <c r="I14" s="400">
        <v>19</v>
      </c>
      <c r="J14" s="63">
        <v>1500</v>
      </c>
      <c r="K14" s="64">
        <f t="shared" si="1"/>
        <v>78.94736842105263</v>
      </c>
      <c r="L14" s="400">
        <v>19</v>
      </c>
      <c r="M14" s="65">
        <f t="shared" si="16"/>
        <v>1435.1162790697676</v>
      </c>
      <c r="N14" s="64">
        <f t="shared" si="3"/>
        <v>75.532435740514089</v>
      </c>
      <c r="O14" s="66">
        <f t="shared" si="4"/>
        <v>0</v>
      </c>
      <c r="P14" s="67">
        <f t="shared" si="5"/>
        <v>-3.4149326805385414</v>
      </c>
      <c r="Q14" s="396">
        <f t="shared" si="6"/>
        <v>0.95674418604651179</v>
      </c>
      <c r="R14" s="511"/>
      <c r="S14" s="68">
        <v>0.21180555555555555</v>
      </c>
      <c r="T14" s="68">
        <v>0.33124999999999999</v>
      </c>
      <c r="U14" s="395">
        <f t="shared" ref="U14:U18" si="18">IF(S14=TIME(17,0,0),"",(S14-T13)*24*60)</f>
        <v>28.000000000000021</v>
      </c>
      <c r="V14" s="401">
        <f t="shared" si="17"/>
        <v>171.99999999999997</v>
      </c>
      <c r="W14" s="69"/>
      <c r="X14" s="69"/>
      <c r="Y14" s="510"/>
      <c r="Z14" s="510"/>
      <c r="AA14" s="66">
        <f t="shared" si="8"/>
        <v>-64.883720930232357</v>
      </c>
      <c r="AB14" s="396">
        <f t="shared" si="9"/>
        <v>0.95674418604651179</v>
      </c>
      <c r="AC14" s="511"/>
    </row>
    <row r="15" spans="1:29" ht="16.5" customHeight="1">
      <c r="A15" s="542" t="s">
        <v>2182</v>
      </c>
      <c r="B15" s="402" t="s">
        <v>16</v>
      </c>
      <c r="C15" s="533" t="s">
        <v>31</v>
      </c>
      <c r="D15" s="533"/>
      <c r="E15" s="62">
        <v>26.2</v>
      </c>
      <c r="F15" s="402">
        <v>7087</v>
      </c>
      <c r="G15" s="395">
        <f t="shared" si="15"/>
        <v>185679.4</v>
      </c>
      <c r="H15" s="90" t="s">
        <v>5</v>
      </c>
      <c r="I15" s="400">
        <v>18</v>
      </c>
      <c r="J15" s="63">
        <v>2400</v>
      </c>
      <c r="K15" s="64">
        <f t="shared" si="1"/>
        <v>133.33333333333334</v>
      </c>
      <c r="L15" s="400">
        <v>18</v>
      </c>
      <c r="M15" s="65">
        <f t="shared" si="16"/>
        <v>2286.1290322580635</v>
      </c>
      <c r="N15" s="64">
        <f t="shared" si="3"/>
        <v>127.00716845878131</v>
      </c>
      <c r="O15" s="66">
        <f t="shared" si="4"/>
        <v>0</v>
      </c>
      <c r="P15" s="67">
        <f t="shared" si="5"/>
        <v>-6.3261648745520347</v>
      </c>
      <c r="Q15" s="396">
        <f t="shared" si="6"/>
        <v>0.95255376344085974</v>
      </c>
      <c r="R15" s="511"/>
      <c r="S15" s="68">
        <v>0.3347222222222222</v>
      </c>
      <c r="T15" s="68">
        <v>0.46388888888888891</v>
      </c>
      <c r="U15" s="395">
        <f t="shared" si="18"/>
        <v>4.9999999999999822</v>
      </c>
      <c r="V15" s="401">
        <f t="shared" si="17"/>
        <v>186.00000000000006</v>
      </c>
      <c r="W15" s="69"/>
      <c r="X15" s="69"/>
      <c r="Y15" s="510"/>
      <c r="Z15" s="510"/>
      <c r="AA15" s="66">
        <f t="shared" si="8"/>
        <v>-113.87096774193651</v>
      </c>
      <c r="AB15" s="396">
        <f t="shared" si="9"/>
        <v>0.95255376344085974</v>
      </c>
      <c r="AC15" s="511"/>
    </row>
    <row r="16" spans="1:29" ht="16.5" customHeight="1">
      <c r="A16" s="542" t="s">
        <v>2182</v>
      </c>
      <c r="B16" s="402" t="s">
        <v>6</v>
      </c>
      <c r="C16" s="533" t="s">
        <v>890</v>
      </c>
      <c r="D16" s="533"/>
      <c r="E16" s="62">
        <v>50.98</v>
      </c>
      <c r="F16" s="402">
        <v>2725</v>
      </c>
      <c r="G16" s="395">
        <f t="shared" si="15"/>
        <v>138920.5</v>
      </c>
      <c r="H16" s="90" t="s">
        <v>5</v>
      </c>
      <c r="I16" s="400">
        <v>16</v>
      </c>
      <c r="J16" s="63">
        <v>2000</v>
      </c>
      <c r="K16" s="64">
        <f t="shared" si="1"/>
        <v>125</v>
      </c>
      <c r="L16" s="400">
        <v>16</v>
      </c>
      <c r="M16" s="65">
        <f t="shared" si="16"/>
        <v>1923.5294117647056</v>
      </c>
      <c r="N16" s="64">
        <f t="shared" si="3"/>
        <v>120.2205882352941</v>
      </c>
      <c r="O16" s="66">
        <f t="shared" si="4"/>
        <v>0</v>
      </c>
      <c r="P16" s="67">
        <f t="shared" si="5"/>
        <v>-4.7794117647058982</v>
      </c>
      <c r="Q16" s="396">
        <f t="shared" si="6"/>
        <v>0.96176470588235285</v>
      </c>
      <c r="R16" s="511"/>
      <c r="S16" s="68">
        <v>0.70833333333333337</v>
      </c>
      <c r="T16" s="68">
        <v>0.76736111111111116</v>
      </c>
      <c r="U16" s="395" t="str">
        <f t="shared" si="18"/>
        <v/>
      </c>
      <c r="V16" s="401">
        <f t="shared" si="17"/>
        <v>85.000000000000014</v>
      </c>
      <c r="W16" s="69"/>
      <c r="X16" s="69"/>
      <c r="Y16" s="510"/>
      <c r="Z16" s="510"/>
      <c r="AA16" s="66">
        <f t="shared" si="8"/>
        <v>-76.470588235294372</v>
      </c>
      <c r="AB16" s="396">
        <f t="shared" si="9"/>
        <v>0.96176470588235285</v>
      </c>
      <c r="AC16" s="511"/>
    </row>
    <row r="17" spans="1:29" ht="16.5" customHeight="1">
      <c r="A17" s="542" t="s">
        <v>2182</v>
      </c>
      <c r="B17" s="402" t="s">
        <v>6</v>
      </c>
      <c r="C17" s="533" t="s">
        <v>20</v>
      </c>
      <c r="D17" s="533"/>
      <c r="E17" s="62">
        <v>50.92</v>
      </c>
      <c r="F17" s="402">
        <v>2672</v>
      </c>
      <c r="G17" s="395">
        <f t="shared" si="15"/>
        <v>136058.23999999999</v>
      </c>
      <c r="H17" s="90" t="s">
        <v>5</v>
      </c>
      <c r="I17" s="400">
        <v>15</v>
      </c>
      <c r="J17" s="63">
        <v>2000</v>
      </c>
      <c r="K17" s="64">
        <f t="shared" si="1"/>
        <v>133.33333333333334</v>
      </c>
      <c r="L17" s="400">
        <v>15</v>
      </c>
      <c r="M17" s="65">
        <f t="shared" si="16"/>
        <v>1908.571428571428</v>
      </c>
      <c r="N17" s="64">
        <f t="shared" si="3"/>
        <v>127.2380952380952</v>
      </c>
      <c r="O17" s="66">
        <f t="shared" si="4"/>
        <v>0</v>
      </c>
      <c r="P17" s="67">
        <f t="shared" si="5"/>
        <v>-6.0952380952381446</v>
      </c>
      <c r="Q17" s="396">
        <f t="shared" si="6"/>
        <v>0.95428571428571396</v>
      </c>
      <c r="R17" s="511"/>
      <c r="S17" s="68">
        <v>0.77152777777777781</v>
      </c>
      <c r="T17" s="68">
        <v>0.82986111111111116</v>
      </c>
      <c r="U17" s="395">
        <f t="shared" si="18"/>
        <v>5.9999999999999787</v>
      </c>
      <c r="V17" s="401">
        <f t="shared" si="17"/>
        <v>84.000000000000028</v>
      </c>
      <c r="W17" s="69"/>
      <c r="X17" s="69"/>
      <c r="Y17" s="510"/>
      <c r="Z17" s="510"/>
      <c r="AA17" s="66">
        <f t="shared" si="8"/>
        <v>-91.428571428572013</v>
      </c>
      <c r="AB17" s="396">
        <f t="shared" si="9"/>
        <v>0.95428571428571396</v>
      </c>
      <c r="AC17" s="511"/>
    </row>
    <row r="18" spans="1:29" ht="16.5" customHeight="1">
      <c r="A18" s="542" t="s">
        <v>2182</v>
      </c>
      <c r="B18" s="402" t="s">
        <v>6</v>
      </c>
      <c r="C18" s="534" t="s">
        <v>7</v>
      </c>
      <c r="D18" s="535"/>
      <c r="E18" s="62">
        <v>46.93</v>
      </c>
      <c r="F18" s="402">
        <v>956</v>
      </c>
      <c r="G18" s="395">
        <f t="shared" si="15"/>
        <v>44865.08</v>
      </c>
      <c r="H18" s="90" t="s">
        <v>5</v>
      </c>
      <c r="I18" s="400">
        <v>16</v>
      </c>
      <c r="J18" s="63">
        <v>2000</v>
      </c>
      <c r="K18" s="64">
        <f t="shared" si="1"/>
        <v>125</v>
      </c>
      <c r="L18" s="400">
        <v>16</v>
      </c>
      <c r="M18" s="65">
        <f t="shared" si="16"/>
        <v>1911.9999999999966</v>
      </c>
      <c r="N18" s="64">
        <f t="shared" si="3"/>
        <v>119.49999999999979</v>
      </c>
      <c r="O18" s="66">
        <f t="shared" si="4"/>
        <v>0</v>
      </c>
      <c r="P18" s="67">
        <f t="shared" si="5"/>
        <v>-5.5000000000002132</v>
      </c>
      <c r="Q18" s="396">
        <f t="shared" si="6"/>
        <v>0.9559999999999983</v>
      </c>
      <c r="R18" s="511"/>
      <c r="S18" s="68">
        <v>0.8354166666666667</v>
      </c>
      <c r="T18" s="68">
        <v>0.85625000000000007</v>
      </c>
      <c r="U18" s="395">
        <f t="shared" si="18"/>
        <v>7.9999999999999716</v>
      </c>
      <c r="V18" s="401">
        <f t="shared" si="17"/>
        <v>30.000000000000053</v>
      </c>
      <c r="W18" s="69"/>
      <c r="X18" s="69"/>
      <c r="Y18" s="517"/>
      <c r="Z18" s="518"/>
      <c r="AA18" s="66">
        <f t="shared" si="8"/>
        <v>-88.000000000003411</v>
      </c>
      <c r="AB18" s="396">
        <f t="shared" si="9"/>
        <v>0.9559999999999983</v>
      </c>
      <c r="AC18" s="511"/>
    </row>
    <row r="19" spans="1:29" ht="16.5" customHeight="1">
      <c r="A19" s="542" t="s">
        <v>2182</v>
      </c>
      <c r="B19" s="62" t="s">
        <v>2180</v>
      </c>
      <c r="C19" s="513"/>
      <c r="D19" s="513"/>
      <c r="E19" s="397"/>
      <c r="F19" s="71"/>
      <c r="G19" s="64"/>
      <c r="H19" s="402"/>
      <c r="I19" s="72">
        <v>18.333333333333332</v>
      </c>
      <c r="J19" s="63">
        <v>1900</v>
      </c>
      <c r="K19" s="64">
        <f t="shared" si="1"/>
        <v>103.63636363636364</v>
      </c>
      <c r="L19" s="72">
        <v>18.333333333333332</v>
      </c>
      <c r="M19" s="65">
        <f>AVERAGE(M13:M18)</f>
        <v>1816.0113001914162</v>
      </c>
      <c r="N19" s="64">
        <f t="shared" si="3"/>
        <v>99.055161828622715</v>
      </c>
      <c r="O19" s="66">
        <f t="shared" si="4"/>
        <v>0</v>
      </c>
      <c r="P19" s="67">
        <f t="shared" si="5"/>
        <v>-4.5812018077409249</v>
      </c>
      <c r="Q19" s="396">
        <f t="shared" si="6"/>
        <v>0.95579542115337701</v>
      </c>
      <c r="R19" s="511"/>
      <c r="S19" s="68"/>
      <c r="T19" s="68"/>
      <c r="U19" s="395"/>
      <c r="V19" s="401"/>
      <c r="W19" s="64"/>
      <c r="X19" s="64"/>
      <c r="Y19" s="510"/>
      <c r="Z19" s="510"/>
      <c r="AA19" s="66">
        <f t="shared" si="8"/>
        <v>-83.98869980858376</v>
      </c>
      <c r="AB19" s="396">
        <f t="shared" si="9"/>
        <v>0.95579542115337701</v>
      </c>
      <c r="AC19" s="511"/>
    </row>
    <row r="20" spans="1:29" ht="15.75" customHeight="1">
      <c r="A20" s="537" t="s">
        <v>2183</v>
      </c>
      <c r="B20" s="62" t="s">
        <v>13</v>
      </c>
      <c r="C20" s="533" t="s">
        <v>21</v>
      </c>
      <c r="D20" s="533"/>
      <c r="E20" s="62">
        <v>43.14</v>
      </c>
      <c r="F20" s="402">
        <v>1238</v>
      </c>
      <c r="G20" s="395">
        <f t="shared" ref="G20:G27" si="19">E20*F20</f>
        <v>53407.32</v>
      </c>
      <c r="H20" s="90" t="s">
        <v>5</v>
      </c>
      <c r="I20" s="400">
        <v>17</v>
      </c>
      <c r="J20" s="63">
        <v>2000</v>
      </c>
      <c r="K20" s="64">
        <f t="shared" si="1"/>
        <v>117.64705882352941</v>
      </c>
      <c r="L20" s="400">
        <v>17</v>
      </c>
      <c r="M20" s="65">
        <f t="shared" ref="M20:M27" si="20">F20/V20*60</f>
        <v>1904.6153846153857</v>
      </c>
      <c r="N20" s="64">
        <f t="shared" si="3"/>
        <v>112.03619909502268</v>
      </c>
      <c r="O20" s="66">
        <f t="shared" si="4"/>
        <v>0</v>
      </c>
      <c r="P20" s="67">
        <f t="shared" si="5"/>
        <v>-5.6108597285067248</v>
      </c>
      <c r="Q20" s="396">
        <f t="shared" si="6"/>
        <v>0.95230769230769285</v>
      </c>
      <c r="R20" s="511">
        <f>Q28</f>
        <v>0.95729465175066719</v>
      </c>
      <c r="S20" s="68">
        <v>0.20833333333333334</v>
      </c>
      <c r="T20" s="68">
        <v>0.23541666666666666</v>
      </c>
      <c r="U20" s="395"/>
      <c r="V20" s="401">
        <f t="shared" ref="V20:V27" si="21">(T20-S20)*24*60</f>
        <v>38.999999999999979</v>
      </c>
      <c r="W20" s="73"/>
      <c r="X20" s="73"/>
      <c r="Y20" s="510"/>
      <c r="Z20" s="510"/>
      <c r="AA20" s="66">
        <f t="shared" si="8"/>
        <v>-95.384615384614335</v>
      </c>
      <c r="AB20" s="396">
        <f t="shared" si="9"/>
        <v>0.95230769230769285</v>
      </c>
      <c r="AC20" s="511">
        <f>AB28</f>
        <v>0.95729465175066708</v>
      </c>
    </row>
    <row r="21" spans="1:29" ht="15.75" customHeight="1">
      <c r="A21" s="538" t="s">
        <v>2183</v>
      </c>
      <c r="B21" s="62" t="s">
        <v>77</v>
      </c>
      <c r="C21" s="533" t="s">
        <v>980</v>
      </c>
      <c r="D21" s="533"/>
      <c r="E21" s="62">
        <v>49.9</v>
      </c>
      <c r="F21" s="402">
        <v>2147</v>
      </c>
      <c r="G21" s="395">
        <f t="shared" si="19"/>
        <v>107135.3</v>
      </c>
      <c r="H21" s="90" t="s">
        <v>5</v>
      </c>
      <c r="I21" s="400">
        <v>19</v>
      </c>
      <c r="J21" s="63">
        <v>2000</v>
      </c>
      <c r="K21" s="64">
        <f t="shared" si="1"/>
        <v>105.26315789473684</v>
      </c>
      <c r="L21" s="400">
        <v>19</v>
      </c>
      <c r="M21" s="65">
        <f t="shared" si="20"/>
        <v>1922.6865671641801</v>
      </c>
      <c r="N21" s="64">
        <f t="shared" si="3"/>
        <v>101.19402985074632</v>
      </c>
      <c r="O21" s="66">
        <f t="shared" si="4"/>
        <v>0</v>
      </c>
      <c r="P21" s="67">
        <f t="shared" si="5"/>
        <v>-4.0691280439905171</v>
      </c>
      <c r="Q21" s="396">
        <f t="shared" si="6"/>
        <v>0.96134328358209009</v>
      </c>
      <c r="R21" s="511"/>
      <c r="S21" s="68">
        <v>0.23958333333333334</v>
      </c>
      <c r="T21" s="68">
        <v>0.28611111111111109</v>
      </c>
      <c r="U21" s="395">
        <f t="shared" ref="U21:U27" si="22">IF(S21=TIME(17,0,0),"",(S21-T20)*24*60)</f>
        <v>6.0000000000000187</v>
      </c>
      <c r="V21" s="401">
        <f t="shared" si="21"/>
        <v>66.999999999999957</v>
      </c>
      <c r="W21" s="69"/>
      <c r="X21" s="395"/>
      <c r="Y21" s="510"/>
      <c r="Z21" s="510"/>
      <c r="AA21" s="66">
        <f t="shared" si="8"/>
        <v>-77.313432835819867</v>
      </c>
      <c r="AB21" s="396">
        <f t="shared" si="9"/>
        <v>0.96134328358209009</v>
      </c>
      <c r="AC21" s="511"/>
    </row>
    <row r="22" spans="1:29" ht="15.75" customHeight="1">
      <c r="A22" s="538" t="s">
        <v>2183</v>
      </c>
      <c r="B22" s="62" t="s">
        <v>6</v>
      </c>
      <c r="C22" s="533" t="s">
        <v>22</v>
      </c>
      <c r="D22" s="533"/>
      <c r="E22" s="62">
        <v>57.73</v>
      </c>
      <c r="F22" s="402">
        <v>2517</v>
      </c>
      <c r="G22" s="395">
        <f t="shared" si="19"/>
        <v>145306.41</v>
      </c>
      <c r="H22" s="90" t="s">
        <v>5</v>
      </c>
      <c r="I22" s="400">
        <v>14</v>
      </c>
      <c r="J22" s="63">
        <v>2000</v>
      </c>
      <c r="K22" s="64">
        <f t="shared" si="1"/>
        <v>142.85714285714286</v>
      </c>
      <c r="L22" s="400">
        <v>14</v>
      </c>
      <c r="M22" s="65">
        <f t="shared" si="20"/>
        <v>1911.6455696202522</v>
      </c>
      <c r="N22" s="64">
        <f t="shared" si="3"/>
        <v>136.54611211573231</v>
      </c>
      <c r="O22" s="66">
        <f t="shared" si="4"/>
        <v>0</v>
      </c>
      <c r="P22" s="67">
        <f t="shared" si="5"/>
        <v>-6.3110307414105478</v>
      </c>
      <c r="Q22" s="396">
        <f t="shared" si="6"/>
        <v>0.95582278481012617</v>
      </c>
      <c r="R22" s="511"/>
      <c r="S22" s="68">
        <v>0.29097222222222219</v>
      </c>
      <c r="T22" s="68">
        <v>0.34583333333333333</v>
      </c>
      <c r="U22" s="395">
        <f t="shared" si="22"/>
        <v>6.9999999999999751</v>
      </c>
      <c r="V22" s="401">
        <f t="shared" si="21"/>
        <v>79.000000000000043</v>
      </c>
      <c r="W22" s="69"/>
      <c r="X22" s="395"/>
      <c r="Y22" s="510"/>
      <c r="Z22" s="510"/>
      <c r="AA22" s="66">
        <f t="shared" si="8"/>
        <v>-88.354430379747782</v>
      </c>
      <c r="AB22" s="396">
        <f t="shared" si="9"/>
        <v>0.95582278481012606</v>
      </c>
      <c r="AC22" s="511"/>
    </row>
    <row r="23" spans="1:29" ht="15.75" customHeight="1">
      <c r="A23" s="538" t="s">
        <v>2183</v>
      </c>
      <c r="B23" s="62" t="s">
        <v>6</v>
      </c>
      <c r="C23" s="533" t="s">
        <v>23</v>
      </c>
      <c r="D23" s="533"/>
      <c r="E23" s="62">
        <v>53.68</v>
      </c>
      <c r="F23" s="402">
        <v>1591</v>
      </c>
      <c r="G23" s="395">
        <f t="shared" si="19"/>
        <v>85404.88</v>
      </c>
      <c r="H23" s="90" t="s">
        <v>5</v>
      </c>
      <c r="I23" s="400">
        <v>16</v>
      </c>
      <c r="J23" s="63">
        <v>2000</v>
      </c>
      <c r="K23" s="64">
        <f t="shared" si="1"/>
        <v>125</v>
      </c>
      <c r="L23" s="400">
        <v>16</v>
      </c>
      <c r="M23" s="65">
        <f t="shared" si="20"/>
        <v>1909.2000000000005</v>
      </c>
      <c r="N23" s="64">
        <f t="shared" si="3"/>
        <v>119.32500000000003</v>
      </c>
      <c r="O23" s="66">
        <f t="shared" si="4"/>
        <v>0</v>
      </c>
      <c r="P23" s="67">
        <f t="shared" si="5"/>
        <v>-5.6749999999999687</v>
      </c>
      <c r="Q23" s="396">
        <f t="shared" si="6"/>
        <v>0.95460000000000023</v>
      </c>
      <c r="R23" s="511"/>
      <c r="S23" s="68">
        <v>0.35138888888888886</v>
      </c>
      <c r="T23" s="68">
        <v>0.38611111111111107</v>
      </c>
      <c r="U23" s="395">
        <f t="shared" si="22"/>
        <v>7.9999999999999716</v>
      </c>
      <c r="V23" s="401">
        <f t="shared" si="21"/>
        <v>49.999999999999986</v>
      </c>
      <c r="W23" s="69"/>
      <c r="X23" s="395"/>
      <c r="Y23" s="510"/>
      <c r="Z23" s="510"/>
      <c r="AA23" s="66">
        <f t="shared" si="8"/>
        <v>-90.7999999999995</v>
      </c>
      <c r="AB23" s="396">
        <f t="shared" si="9"/>
        <v>0.95460000000000023</v>
      </c>
      <c r="AC23" s="511"/>
    </row>
    <row r="24" spans="1:29" ht="15.75" customHeight="1">
      <c r="A24" s="538" t="s">
        <v>2183</v>
      </c>
      <c r="B24" s="62" t="s">
        <v>6</v>
      </c>
      <c r="C24" s="533" t="s">
        <v>971</v>
      </c>
      <c r="D24" s="533"/>
      <c r="E24" s="62">
        <v>49.91</v>
      </c>
      <c r="F24" s="402">
        <v>1997</v>
      </c>
      <c r="G24" s="395">
        <f t="shared" si="19"/>
        <v>99670.26999999999</v>
      </c>
      <c r="H24" s="90" t="s">
        <v>5</v>
      </c>
      <c r="I24" s="400">
        <v>19</v>
      </c>
      <c r="J24" s="63">
        <v>2000</v>
      </c>
      <c r="K24" s="64">
        <f t="shared" si="1"/>
        <v>105.26315789473684</v>
      </c>
      <c r="L24" s="400">
        <v>19</v>
      </c>
      <c r="M24" s="65">
        <f t="shared" si="20"/>
        <v>1932.5806451612896</v>
      </c>
      <c r="N24" s="64">
        <f t="shared" si="3"/>
        <v>101.71477079796261</v>
      </c>
      <c r="O24" s="66">
        <f t="shared" si="4"/>
        <v>0</v>
      </c>
      <c r="P24" s="67">
        <f t="shared" si="5"/>
        <v>-3.5483870967742206</v>
      </c>
      <c r="Q24" s="396">
        <f t="shared" si="6"/>
        <v>0.96629032258064496</v>
      </c>
      <c r="R24" s="511"/>
      <c r="S24" s="68">
        <v>0.39027777777777772</v>
      </c>
      <c r="T24" s="68">
        <v>0.43333333333333329</v>
      </c>
      <c r="U24" s="395">
        <f t="shared" si="22"/>
        <v>5.9999999999999787</v>
      </c>
      <c r="V24" s="401">
        <f t="shared" si="21"/>
        <v>62.000000000000021</v>
      </c>
      <c r="W24" s="69"/>
      <c r="X24" s="395"/>
      <c r="Y24" s="510"/>
      <c r="Z24" s="510"/>
      <c r="AA24" s="66">
        <f t="shared" si="8"/>
        <v>-67.419354838710433</v>
      </c>
      <c r="AB24" s="396">
        <f t="shared" si="9"/>
        <v>0.96629032258064473</v>
      </c>
      <c r="AC24" s="511"/>
    </row>
    <row r="25" spans="1:29" ht="15.75" customHeight="1">
      <c r="A25" s="538" t="s">
        <v>2183</v>
      </c>
      <c r="B25" s="62" t="s">
        <v>6</v>
      </c>
      <c r="C25" s="533" t="s">
        <v>24</v>
      </c>
      <c r="D25" s="533"/>
      <c r="E25" s="62">
        <v>54.09</v>
      </c>
      <c r="F25" s="402">
        <v>1716</v>
      </c>
      <c r="G25" s="395">
        <f t="shared" si="19"/>
        <v>92818.44</v>
      </c>
      <c r="H25" s="90" t="s">
        <v>5</v>
      </c>
      <c r="I25" s="400">
        <v>19</v>
      </c>
      <c r="J25" s="63">
        <v>2000</v>
      </c>
      <c r="K25" s="64">
        <f t="shared" si="1"/>
        <v>105.26315789473684</v>
      </c>
      <c r="L25" s="400">
        <v>19</v>
      </c>
      <c r="M25" s="65">
        <f t="shared" si="20"/>
        <v>1906.6666666666677</v>
      </c>
      <c r="N25" s="64">
        <f t="shared" si="3"/>
        <v>100.35087719298251</v>
      </c>
      <c r="O25" s="66">
        <f t="shared" si="4"/>
        <v>0</v>
      </c>
      <c r="P25" s="67">
        <f t="shared" si="5"/>
        <v>-4.9122807017543266</v>
      </c>
      <c r="Q25" s="396">
        <f t="shared" si="6"/>
        <v>0.95333333333333392</v>
      </c>
      <c r="R25" s="511"/>
      <c r="S25" s="68">
        <v>0.70833333333333337</v>
      </c>
      <c r="T25" s="68">
        <v>0.74583333333333335</v>
      </c>
      <c r="U25" s="395" t="str">
        <f t="shared" si="22"/>
        <v/>
      </c>
      <c r="V25" s="401">
        <f t="shared" si="21"/>
        <v>53.999999999999972</v>
      </c>
      <c r="W25" s="69"/>
      <c r="X25" s="73"/>
      <c r="Y25" s="510"/>
      <c r="Z25" s="510"/>
      <c r="AA25" s="66">
        <f t="shared" si="8"/>
        <v>-93.333333333332348</v>
      </c>
      <c r="AB25" s="396">
        <f t="shared" si="9"/>
        <v>0.95333333333333381</v>
      </c>
      <c r="AC25" s="511"/>
    </row>
    <row r="26" spans="1:29" ht="15.75" customHeight="1">
      <c r="A26" s="538" t="s">
        <v>2183</v>
      </c>
      <c r="B26" s="62" t="s">
        <v>6</v>
      </c>
      <c r="C26" s="533" t="s">
        <v>82</v>
      </c>
      <c r="D26" s="533"/>
      <c r="E26" s="62">
        <v>57.73</v>
      </c>
      <c r="F26" s="402">
        <v>1636</v>
      </c>
      <c r="G26" s="395">
        <f t="shared" si="19"/>
        <v>94446.28</v>
      </c>
      <c r="H26" s="90" t="s">
        <v>5</v>
      </c>
      <c r="I26" s="400">
        <v>16</v>
      </c>
      <c r="J26" s="63">
        <v>1500</v>
      </c>
      <c r="K26" s="64">
        <f t="shared" si="1"/>
        <v>93.75</v>
      </c>
      <c r="L26" s="400">
        <v>16</v>
      </c>
      <c r="M26" s="65">
        <f t="shared" si="20"/>
        <v>1443.5294117647077</v>
      </c>
      <c r="N26" s="64">
        <f t="shared" si="3"/>
        <v>90.22058823529423</v>
      </c>
      <c r="O26" s="66">
        <f t="shared" si="4"/>
        <v>0</v>
      </c>
      <c r="P26" s="67">
        <f t="shared" si="5"/>
        <v>-3.5294117647057703</v>
      </c>
      <c r="Q26" s="396">
        <f t="shared" si="6"/>
        <v>0.96235294117647174</v>
      </c>
      <c r="R26" s="511"/>
      <c r="S26" s="68">
        <v>0.75069444444444444</v>
      </c>
      <c r="T26" s="68">
        <v>0.79791666666666661</v>
      </c>
      <c r="U26" s="395">
        <f t="shared" si="22"/>
        <v>6.9999999999999751</v>
      </c>
      <c r="V26" s="401">
        <f t="shared" si="21"/>
        <v>67.999999999999915</v>
      </c>
      <c r="W26" s="69"/>
      <c r="X26" s="73"/>
      <c r="Y26" s="517"/>
      <c r="Z26" s="518"/>
      <c r="AA26" s="66">
        <f t="shared" si="8"/>
        <v>-56.470588235292325</v>
      </c>
      <c r="AB26" s="396">
        <f t="shared" si="9"/>
        <v>0.96235294117647174</v>
      </c>
      <c r="AC26" s="511"/>
    </row>
    <row r="27" spans="1:29" ht="15.75" customHeight="1">
      <c r="A27" s="538" t="s">
        <v>2183</v>
      </c>
      <c r="B27" s="62" t="s">
        <v>6</v>
      </c>
      <c r="C27" s="534" t="s">
        <v>81</v>
      </c>
      <c r="D27" s="535"/>
      <c r="E27" s="62">
        <v>50.67</v>
      </c>
      <c r="F27" s="402">
        <v>2225</v>
      </c>
      <c r="G27" s="395">
        <f t="shared" si="19"/>
        <v>112740.75</v>
      </c>
      <c r="H27" s="90" t="s">
        <v>5</v>
      </c>
      <c r="I27" s="400">
        <v>15</v>
      </c>
      <c r="J27" s="63">
        <v>2000</v>
      </c>
      <c r="K27" s="64">
        <f t="shared" si="1"/>
        <v>133.33333333333334</v>
      </c>
      <c r="L27" s="400">
        <v>15</v>
      </c>
      <c r="M27" s="65">
        <f t="shared" si="20"/>
        <v>1907.1428571428551</v>
      </c>
      <c r="N27" s="64">
        <f t="shared" si="3"/>
        <v>127.14285714285701</v>
      </c>
      <c r="O27" s="66">
        <f t="shared" si="4"/>
        <v>0</v>
      </c>
      <c r="P27" s="67">
        <f t="shared" si="5"/>
        <v>-6.1904761904763319</v>
      </c>
      <c r="Q27" s="396">
        <f t="shared" si="6"/>
        <v>0.95357142857142752</v>
      </c>
      <c r="R27" s="511"/>
      <c r="S27" s="68">
        <v>0.80208333333333326</v>
      </c>
      <c r="T27" s="68">
        <v>0.85069444444444442</v>
      </c>
      <c r="U27" s="395">
        <f t="shared" si="22"/>
        <v>5.9999999999999787</v>
      </c>
      <c r="V27" s="401">
        <f t="shared" si="21"/>
        <v>70.000000000000071</v>
      </c>
      <c r="W27" s="69"/>
      <c r="X27" s="69"/>
      <c r="Y27" s="517"/>
      <c r="Z27" s="518"/>
      <c r="AA27" s="66">
        <f t="shared" si="8"/>
        <v>-92.857142857144936</v>
      </c>
      <c r="AB27" s="396">
        <f t="shared" si="9"/>
        <v>0.95357142857142752</v>
      </c>
      <c r="AC27" s="511"/>
    </row>
    <row r="28" spans="1:29" ht="15.75" customHeight="1">
      <c r="A28" s="538" t="s">
        <v>2183</v>
      </c>
      <c r="B28" s="62" t="s">
        <v>2184</v>
      </c>
      <c r="C28" s="513"/>
      <c r="D28" s="513"/>
      <c r="E28" s="397"/>
      <c r="F28" s="402"/>
      <c r="G28" s="395"/>
      <c r="H28" s="402"/>
      <c r="I28" s="72">
        <v>16.875</v>
      </c>
      <c r="J28" s="63">
        <v>1937.5</v>
      </c>
      <c r="K28" s="64">
        <f t="shared" si="1"/>
        <v>114.81481481481481</v>
      </c>
      <c r="L28" s="72">
        <v>16.875</v>
      </c>
      <c r="M28" s="65">
        <f>AVERAGE(M20:M27)</f>
        <v>1854.7583877669174</v>
      </c>
      <c r="N28" s="64">
        <f t="shared" si="3"/>
        <v>109.91160816396548</v>
      </c>
      <c r="O28" s="66">
        <f t="shared" si="4"/>
        <v>0</v>
      </c>
      <c r="P28" s="67">
        <f t="shared" si="5"/>
        <v>-4.9032066508493273</v>
      </c>
      <c r="Q28" s="396">
        <f t="shared" si="6"/>
        <v>0.95729465175066719</v>
      </c>
      <c r="R28" s="511"/>
      <c r="S28" s="68"/>
      <c r="T28" s="68"/>
      <c r="U28" s="64"/>
      <c r="V28" s="401"/>
      <c r="W28" s="64"/>
      <c r="X28" s="64"/>
      <c r="Y28" s="510"/>
      <c r="Z28" s="510"/>
      <c r="AA28" s="66">
        <f t="shared" si="8"/>
        <v>-82.741612233082606</v>
      </c>
      <c r="AB28" s="396">
        <f t="shared" si="9"/>
        <v>0.95729465175066708</v>
      </c>
      <c r="AC28" s="511"/>
    </row>
    <row r="29" spans="1:29" ht="15.75" customHeight="1">
      <c r="A29" s="536" t="s">
        <v>2185</v>
      </c>
      <c r="B29" s="62" t="s">
        <v>16</v>
      </c>
      <c r="C29" s="533" t="s">
        <v>30</v>
      </c>
      <c r="D29" s="533"/>
      <c r="E29" s="62">
        <v>31.29</v>
      </c>
      <c r="F29" s="402">
        <v>5400</v>
      </c>
      <c r="G29" s="395">
        <f t="shared" ref="G29:G36" si="23">E29*F29</f>
        <v>168966</v>
      </c>
      <c r="H29" s="90">
        <v>2</v>
      </c>
      <c r="I29" s="400">
        <v>18</v>
      </c>
      <c r="J29" s="63">
        <v>2400</v>
      </c>
      <c r="K29" s="64">
        <f t="shared" si="1"/>
        <v>133.33333333333334</v>
      </c>
      <c r="L29" s="400">
        <v>18</v>
      </c>
      <c r="M29" s="65">
        <f t="shared" ref="M29:M36" si="24">F29/V29*60</f>
        <v>2281.6901408450703</v>
      </c>
      <c r="N29" s="64">
        <f t="shared" si="3"/>
        <v>126.76056338028168</v>
      </c>
      <c r="O29" s="66">
        <f t="shared" si="4"/>
        <v>0</v>
      </c>
      <c r="P29" s="67">
        <f t="shared" si="5"/>
        <v>-6.5727699530516617</v>
      </c>
      <c r="Q29" s="396">
        <f t="shared" si="6"/>
        <v>0.95070422535211252</v>
      </c>
      <c r="R29" s="511">
        <f>Q37</f>
        <v>0.95677779053687861</v>
      </c>
      <c r="S29" s="68">
        <v>8.3333333333333329E-2</v>
      </c>
      <c r="T29" s="68">
        <v>0.18194444444444444</v>
      </c>
      <c r="U29" s="395"/>
      <c r="V29" s="401">
        <f t="shared" ref="V29:V36" si="25">(T29-S29)*24*60</f>
        <v>142</v>
      </c>
      <c r="W29" s="69">
        <f>T29</f>
        <v>0.18194444444444444</v>
      </c>
      <c r="X29" s="69">
        <f>S30</f>
        <v>0.2013888888888889</v>
      </c>
      <c r="Y29" s="510"/>
      <c r="Z29" s="510"/>
      <c r="AA29" s="66">
        <f t="shared" si="8"/>
        <v>-118.30985915492965</v>
      </c>
      <c r="AB29" s="396">
        <f t="shared" si="9"/>
        <v>0.95070422535211263</v>
      </c>
      <c r="AC29" s="511">
        <f>AB37</f>
        <v>0.95677779053687861</v>
      </c>
    </row>
    <row r="30" spans="1:29" ht="15.75" customHeight="1">
      <c r="A30" s="536" t="s">
        <v>2185</v>
      </c>
      <c r="B30" s="62" t="s">
        <v>16</v>
      </c>
      <c r="C30" s="533" t="s">
        <v>25</v>
      </c>
      <c r="D30" s="533"/>
      <c r="E30" s="62">
        <v>26.2</v>
      </c>
      <c r="F30" s="402">
        <v>3300</v>
      </c>
      <c r="G30" s="395">
        <f t="shared" si="23"/>
        <v>86460</v>
      </c>
      <c r="H30" s="90">
        <v>2</v>
      </c>
      <c r="I30" s="400">
        <v>20</v>
      </c>
      <c r="J30" s="63">
        <v>2400</v>
      </c>
      <c r="K30" s="64">
        <f t="shared" si="1"/>
        <v>120</v>
      </c>
      <c r="L30" s="400">
        <v>20</v>
      </c>
      <c r="M30" s="65">
        <f t="shared" si="24"/>
        <v>2302.3255813953483</v>
      </c>
      <c r="N30" s="64">
        <f t="shared" si="3"/>
        <v>115.11627906976742</v>
      </c>
      <c r="O30" s="66">
        <f t="shared" si="4"/>
        <v>0</v>
      </c>
      <c r="P30" s="67">
        <f t="shared" si="5"/>
        <v>-4.8837209302325846</v>
      </c>
      <c r="Q30" s="396">
        <f t="shared" si="6"/>
        <v>0.95930232558139517</v>
      </c>
      <c r="R30" s="511"/>
      <c r="S30" s="68">
        <v>0.2013888888888889</v>
      </c>
      <c r="T30" s="68">
        <v>0.26111111111111113</v>
      </c>
      <c r="U30" s="395">
        <f t="shared" ref="U30:U36" si="26">(S30-T29)*24*60</f>
        <v>28.000000000000021</v>
      </c>
      <c r="V30" s="401">
        <f t="shared" si="25"/>
        <v>86.000000000000014</v>
      </c>
      <c r="W30" s="69"/>
      <c r="X30" s="69"/>
      <c r="Y30" s="510"/>
      <c r="Z30" s="510"/>
      <c r="AA30" s="66">
        <f t="shared" si="8"/>
        <v>-97.674418604651692</v>
      </c>
      <c r="AB30" s="396">
        <f t="shared" si="9"/>
        <v>0.95930232558139517</v>
      </c>
      <c r="AC30" s="511"/>
    </row>
    <row r="31" spans="1:29" ht="15.75" customHeight="1">
      <c r="A31" s="536" t="s">
        <v>2186</v>
      </c>
      <c r="B31" s="62" t="s">
        <v>16</v>
      </c>
      <c r="C31" s="533" t="s">
        <v>83</v>
      </c>
      <c r="D31" s="533"/>
      <c r="E31" s="62">
        <v>25.99</v>
      </c>
      <c r="F31" s="402">
        <v>3100</v>
      </c>
      <c r="G31" s="395">
        <f t="shared" si="23"/>
        <v>80569</v>
      </c>
      <c r="H31" s="90">
        <v>2</v>
      </c>
      <c r="I31" s="400">
        <v>14</v>
      </c>
      <c r="J31" s="63">
        <v>2400</v>
      </c>
      <c r="K31" s="64">
        <f t="shared" si="1"/>
        <v>171.42857142857142</v>
      </c>
      <c r="L31" s="400">
        <v>14</v>
      </c>
      <c r="M31" s="65">
        <f t="shared" si="24"/>
        <v>2296.2962962962956</v>
      </c>
      <c r="N31" s="64">
        <f t="shared" si="3"/>
        <v>164.02116402116397</v>
      </c>
      <c r="O31" s="66">
        <f t="shared" si="4"/>
        <v>0</v>
      </c>
      <c r="P31" s="67">
        <f t="shared" si="5"/>
        <v>-7.4074074074074474</v>
      </c>
      <c r="Q31" s="396">
        <f t="shared" si="6"/>
        <v>0.95679012345678993</v>
      </c>
      <c r="R31" s="511"/>
      <c r="S31" s="68">
        <v>0.26527777777777778</v>
      </c>
      <c r="T31" s="68">
        <v>0.3215277777777778</v>
      </c>
      <c r="U31" s="395">
        <f t="shared" si="26"/>
        <v>5.9999999999999787</v>
      </c>
      <c r="V31" s="401">
        <f t="shared" si="25"/>
        <v>81.000000000000028</v>
      </c>
      <c r="W31" s="69"/>
      <c r="X31" s="69"/>
      <c r="Y31" s="510"/>
      <c r="Z31" s="510"/>
      <c r="AA31" s="66">
        <f t="shared" si="8"/>
        <v>-103.70370370370438</v>
      </c>
      <c r="AB31" s="396">
        <f t="shared" si="9"/>
        <v>0.95679012345678982</v>
      </c>
      <c r="AC31" s="511"/>
    </row>
    <row r="32" spans="1:29" ht="15.75" customHeight="1">
      <c r="A32" s="536" t="s">
        <v>2185</v>
      </c>
      <c r="B32" s="62" t="s">
        <v>16</v>
      </c>
      <c r="C32" s="533" t="s">
        <v>50</v>
      </c>
      <c r="D32" s="533"/>
      <c r="E32" s="62">
        <v>20.52</v>
      </c>
      <c r="F32" s="402">
        <v>5242</v>
      </c>
      <c r="G32" s="395">
        <f t="shared" si="23"/>
        <v>107565.84</v>
      </c>
      <c r="H32" s="90" t="s">
        <v>5</v>
      </c>
      <c r="I32" s="400">
        <v>18</v>
      </c>
      <c r="J32" s="63">
        <v>2400</v>
      </c>
      <c r="K32" s="64">
        <f t="shared" si="1"/>
        <v>133.33333333333334</v>
      </c>
      <c r="L32" s="400">
        <v>18</v>
      </c>
      <c r="M32" s="65">
        <f t="shared" si="24"/>
        <v>2295.7664233576643</v>
      </c>
      <c r="N32" s="64">
        <f t="shared" si="3"/>
        <v>127.54257907542579</v>
      </c>
      <c r="O32" s="66">
        <f t="shared" si="4"/>
        <v>0</v>
      </c>
      <c r="P32" s="67">
        <f t="shared" si="5"/>
        <v>-5.7907542579075511</v>
      </c>
      <c r="Q32" s="396">
        <f t="shared" si="6"/>
        <v>0.95656934306569341</v>
      </c>
      <c r="R32" s="511"/>
      <c r="S32" s="68">
        <v>0.32569444444444445</v>
      </c>
      <c r="T32" s="68">
        <v>0.42083333333333334</v>
      </c>
      <c r="U32" s="395">
        <f t="shared" si="26"/>
        <v>5.9999999999999787</v>
      </c>
      <c r="V32" s="401">
        <f t="shared" si="25"/>
        <v>137</v>
      </c>
      <c r="W32" s="69"/>
      <c r="X32" s="69"/>
      <c r="Y32" s="510"/>
      <c r="Z32" s="510"/>
      <c r="AA32" s="66">
        <f t="shared" si="8"/>
        <v>-104.23357664233572</v>
      </c>
      <c r="AB32" s="396">
        <f t="shared" si="9"/>
        <v>0.95656934306569341</v>
      </c>
      <c r="AC32" s="511"/>
    </row>
    <row r="33" spans="1:29" ht="15.75" customHeight="1">
      <c r="A33" s="536" t="s">
        <v>2186</v>
      </c>
      <c r="B33" s="62" t="s">
        <v>16</v>
      </c>
      <c r="C33" s="533" t="s">
        <v>982</v>
      </c>
      <c r="D33" s="533"/>
      <c r="E33" s="62">
        <v>25.98</v>
      </c>
      <c r="F33" s="402">
        <v>5331</v>
      </c>
      <c r="G33" s="395">
        <f t="shared" si="23"/>
        <v>138499.38</v>
      </c>
      <c r="H33" s="90" t="s">
        <v>5</v>
      </c>
      <c r="I33" s="400">
        <v>21</v>
      </c>
      <c r="J33" s="63">
        <v>2400</v>
      </c>
      <c r="K33" s="64">
        <f t="shared" si="1"/>
        <v>114.28571428571429</v>
      </c>
      <c r="L33" s="400">
        <v>21</v>
      </c>
      <c r="M33" s="65">
        <f t="shared" si="24"/>
        <v>2284.7142857142849</v>
      </c>
      <c r="N33" s="64">
        <f t="shared" si="3"/>
        <v>108.7959183673469</v>
      </c>
      <c r="O33" s="66">
        <f t="shared" si="4"/>
        <v>0</v>
      </c>
      <c r="P33" s="67">
        <f t="shared" si="5"/>
        <v>-5.4897959183673919</v>
      </c>
      <c r="Q33" s="396">
        <f t="shared" si="6"/>
        <v>0.95196428571428537</v>
      </c>
      <c r="R33" s="511"/>
      <c r="S33" s="68">
        <v>0.42430555555555555</v>
      </c>
      <c r="T33" s="68">
        <v>0.52152777777777781</v>
      </c>
      <c r="U33" s="395">
        <f t="shared" si="26"/>
        <v>4.9999999999999822</v>
      </c>
      <c r="V33" s="401">
        <f t="shared" si="25"/>
        <v>140.00000000000006</v>
      </c>
      <c r="W33" s="69">
        <f>T33</f>
        <v>0.52152777777777781</v>
      </c>
      <c r="X33" s="69">
        <f>S34</f>
        <v>0.5625</v>
      </c>
      <c r="Y33" s="510"/>
      <c r="Z33" s="510"/>
      <c r="AA33" s="66">
        <f t="shared" si="8"/>
        <v>-115.28571428571513</v>
      </c>
      <c r="AB33" s="396">
        <f t="shared" si="9"/>
        <v>0.95196428571428537</v>
      </c>
      <c r="AC33" s="511"/>
    </row>
    <row r="34" spans="1:29" ht="15.75" customHeight="1">
      <c r="A34" s="536" t="s">
        <v>2187</v>
      </c>
      <c r="B34" s="62" t="s">
        <v>16</v>
      </c>
      <c r="C34" s="533" t="s">
        <v>30</v>
      </c>
      <c r="D34" s="533"/>
      <c r="E34" s="62">
        <v>31.29</v>
      </c>
      <c r="F34" s="402">
        <v>4330</v>
      </c>
      <c r="G34" s="395">
        <f t="shared" si="23"/>
        <v>135485.69999999998</v>
      </c>
      <c r="H34" s="90" t="s">
        <v>5</v>
      </c>
      <c r="I34" s="400">
        <v>18</v>
      </c>
      <c r="J34" s="63">
        <v>2400</v>
      </c>
      <c r="K34" s="64">
        <f t="shared" si="1"/>
        <v>133.33333333333334</v>
      </c>
      <c r="L34" s="400">
        <v>18</v>
      </c>
      <c r="M34" s="65">
        <f t="shared" si="24"/>
        <v>2299.115044247786</v>
      </c>
      <c r="N34" s="64">
        <f t="shared" si="3"/>
        <v>127.72861356932145</v>
      </c>
      <c r="O34" s="66">
        <f t="shared" si="4"/>
        <v>0</v>
      </c>
      <c r="P34" s="67">
        <f t="shared" si="5"/>
        <v>-5.6047197640118895</v>
      </c>
      <c r="Q34" s="396">
        <f t="shared" si="6"/>
        <v>0.95796460176991083</v>
      </c>
      <c r="R34" s="511"/>
      <c r="S34" s="68">
        <v>0.5625</v>
      </c>
      <c r="T34" s="68">
        <v>0.64097222222222228</v>
      </c>
      <c r="U34" s="395">
        <f t="shared" si="26"/>
        <v>58.99999999999995</v>
      </c>
      <c r="V34" s="401">
        <f t="shared" si="25"/>
        <v>113.00000000000009</v>
      </c>
      <c r="W34" s="69"/>
      <c r="X34" s="69"/>
      <c r="Y34" s="510"/>
      <c r="Z34" s="510"/>
      <c r="AA34" s="66">
        <f t="shared" si="8"/>
        <v>-100.88495575221395</v>
      </c>
      <c r="AB34" s="396">
        <f t="shared" si="9"/>
        <v>0.95796460176991083</v>
      </c>
      <c r="AC34" s="511"/>
    </row>
    <row r="35" spans="1:29" ht="15.75" customHeight="1">
      <c r="A35" s="536" t="s">
        <v>2185</v>
      </c>
      <c r="B35" s="62" t="s">
        <v>16</v>
      </c>
      <c r="C35" s="533" t="s">
        <v>25</v>
      </c>
      <c r="D35" s="533"/>
      <c r="E35" s="62">
        <v>26.2</v>
      </c>
      <c r="F35" s="402">
        <v>2380</v>
      </c>
      <c r="G35" s="395">
        <f t="shared" si="23"/>
        <v>62356</v>
      </c>
      <c r="H35" s="90" t="s">
        <v>5</v>
      </c>
      <c r="I35" s="400">
        <v>20</v>
      </c>
      <c r="J35" s="63">
        <v>2400</v>
      </c>
      <c r="K35" s="64">
        <f t="shared" si="1"/>
        <v>120</v>
      </c>
      <c r="L35" s="400">
        <v>20</v>
      </c>
      <c r="M35" s="65">
        <f t="shared" si="24"/>
        <v>2303.2258064516154</v>
      </c>
      <c r="N35" s="64">
        <f t="shared" si="3"/>
        <v>115.16129032258077</v>
      </c>
      <c r="O35" s="66">
        <f t="shared" si="4"/>
        <v>0</v>
      </c>
      <c r="P35" s="67">
        <f t="shared" si="5"/>
        <v>-4.8387096774192315</v>
      </c>
      <c r="Q35" s="396">
        <f t="shared" si="6"/>
        <v>0.95967741935483974</v>
      </c>
      <c r="R35" s="511"/>
      <c r="S35" s="68">
        <v>0.64513888888888893</v>
      </c>
      <c r="T35" s="68">
        <v>0.68819444444444444</v>
      </c>
      <c r="U35" s="395">
        <f t="shared" si="26"/>
        <v>5.9999999999999787</v>
      </c>
      <c r="V35" s="401">
        <f t="shared" si="25"/>
        <v>61.999999999999943</v>
      </c>
      <c r="W35" s="69"/>
      <c r="X35" s="69"/>
      <c r="Y35" s="510"/>
      <c r="Z35" s="510"/>
      <c r="AA35" s="66">
        <f t="shared" si="8"/>
        <v>-96.774193548384574</v>
      </c>
      <c r="AB35" s="396">
        <f t="shared" si="9"/>
        <v>0.95967741935483974</v>
      </c>
      <c r="AC35" s="511"/>
    </row>
    <row r="36" spans="1:29" ht="15.75" customHeight="1">
      <c r="A36" s="536" t="s">
        <v>2185</v>
      </c>
      <c r="B36" s="62" t="s">
        <v>16</v>
      </c>
      <c r="C36" s="533" t="s">
        <v>83</v>
      </c>
      <c r="D36" s="533"/>
      <c r="E36" s="62">
        <v>25.99</v>
      </c>
      <c r="F36" s="402">
        <v>2307</v>
      </c>
      <c r="G36" s="395">
        <f t="shared" si="23"/>
        <v>59958.929999999993</v>
      </c>
      <c r="H36" s="90" t="s">
        <v>5</v>
      </c>
      <c r="I36" s="400">
        <v>14</v>
      </c>
      <c r="J36" s="63">
        <v>2400</v>
      </c>
      <c r="K36" s="64">
        <f t="shared" si="1"/>
        <v>171.42857142857142</v>
      </c>
      <c r="L36" s="400">
        <v>14</v>
      </c>
      <c r="M36" s="65">
        <f t="shared" si="24"/>
        <v>2307.0000000000023</v>
      </c>
      <c r="N36" s="64">
        <f t="shared" si="3"/>
        <v>164.78571428571445</v>
      </c>
      <c r="O36" s="66">
        <f t="shared" si="4"/>
        <v>0</v>
      </c>
      <c r="P36" s="67">
        <f t="shared" si="5"/>
        <v>-6.6428571428569683</v>
      </c>
      <c r="Q36" s="396">
        <f t="shared" si="6"/>
        <v>0.96125000000000105</v>
      </c>
      <c r="R36" s="511"/>
      <c r="S36" s="68">
        <v>0.69236111111111109</v>
      </c>
      <c r="T36" s="68">
        <v>0.73402777777777772</v>
      </c>
      <c r="U36" s="395">
        <f t="shared" si="26"/>
        <v>5.9999999999999787</v>
      </c>
      <c r="V36" s="401">
        <f t="shared" si="25"/>
        <v>59.999999999999943</v>
      </c>
      <c r="W36" s="69"/>
      <c r="X36" s="69"/>
      <c r="Y36" s="510"/>
      <c r="Z36" s="510"/>
      <c r="AA36" s="66">
        <f t="shared" si="8"/>
        <v>-92.999999999997726</v>
      </c>
      <c r="AB36" s="396">
        <f t="shared" si="9"/>
        <v>0.96125000000000094</v>
      </c>
      <c r="AC36" s="511"/>
    </row>
    <row r="37" spans="1:29" ht="15.75" customHeight="1">
      <c r="A37" s="536" t="s">
        <v>2187</v>
      </c>
      <c r="B37" s="62" t="s">
        <v>2180</v>
      </c>
      <c r="C37" s="513"/>
      <c r="D37" s="513"/>
      <c r="E37" s="397"/>
      <c r="F37" s="402"/>
      <c r="G37" s="395"/>
      <c r="H37" s="402"/>
      <c r="I37" s="72">
        <v>17.875</v>
      </c>
      <c r="J37" s="63">
        <v>2400</v>
      </c>
      <c r="K37" s="64">
        <f t="shared" si="1"/>
        <v>134.26573426573427</v>
      </c>
      <c r="L37" s="72">
        <v>17.875</v>
      </c>
      <c r="M37" s="65">
        <f>AVERAGE(M29:M36)</f>
        <v>2296.2666972885086</v>
      </c>
      <c r="N37" s="64">
        <f t="shared" si="3"/>
        <v>128.4624725755809</v>
      </c>
      <c r="O37" s="66">
        <f t="shared" si="4"/>
        <v>0</v>
      </c>
      <c r="P37" s="67">
        <f t="shared" si="5"/>
        <v>-5.8032616901533629</v>
      </c>
      <c r="Q37" s="396">
        <f t="shared" si="6"/>
        <v>0.95677779053687861</v>
      </c>
      <c r="R37" s="511"/>
      <c r="S37" s="68"/>
      <c r="T37" s="68"/>
      <c r="U37" s="395"/>
      <c r="V37" s="401"/>
      <c r="W37" s="395"/>
      <c r="X37" s="395"/>
      <c r="Y37" s="510"/>
      <c r="Z37" s="510"/>
      <c r="AA37" s="66">
        <f t="shared" si="8"/>
        <v>-103.73330271149143</v>
      </c>
      <c r="AB37" s="396">
        <f t="shared" si="9"/>
        <v>0.95677779053687861</v>
      </c>
      <c r="AC37" s="511"/>
    </row>
    <row r="38" spans="1:29" ht="15.75" customHeight="1">
      <c r="A38" s="531" t="s">
        <v>2188</v>
      </c>
      <c r="B38" s="62" t="s">
        <v>16</v>
      </c>
      <c r="C38" s="512" t="s">
        <v>49</v>
      </c>
      <c r="D38" s="512"/>
      <c r="E38" s="62">
        <v>19.02</v>
      </c>
      <c r="F38" s="402">
        <v>6000</v>
      </c>
      <c r="G38" s="395">
        <f t="shared" ref="G38:G45" si="27">E38*F38</f>
        <v>114120</v>
      </c>
      <c r="H38" s="90">
        <v>2</v>
      </c>
      <c r="I38" s="400">
        <v>15</v>
      </c>
      <c r="J38" s="63">
        <v>2400</v>
      </c>
      <c r="K38" s="64">
        <f t="shared" si="1"/>
        <v>160</v>
      </c>
      <c r="L38" s="400">
        <v>15</v>
      </c>
      <c r="M38" s="65">
        <f t="shared" ref="M38:M45" si="28">F38/V38*60</f>
        <v>2292.993630573249</v>
      </c>
      <c r="N38" s="64">
        <f t="shared" si="3"/>
        <v>152.8662420382166</v>
      </c>
      <c r="O38" s="66">
        <f t="shared" si="4"/>
        <v>0</v>
      </c>
      <c r="P38" s="67">
        <f t="shared" si="5"/>
        <v>-7.1337579617834024</v>
      </c>
      <c r="Q38" s="396">
        <f t="shared" si="6"/>
        <v>0.95541401273885374</v>
      </c>
      <c r="R38" s="511">
        <f>Q46</f>
        <v>0.95635104581679742</v>
      </c>
      <c r="S38" s="68">
        <v>8.3333333333333329E-2</v>
      </c>
      <c r="T38" s="68">
        <v>0.19236111111111109</v>
      </c>
      <c r="U38" s="395"/>
      <c r="V38" s="401">
        <f t="shared" ref="V38:V45" si="29">(T38-S38)*24*60</f>
        <v>156.99999999999997</v>
      </c>
      <c r="W38" s="73">
        <f>T38</f>
        <v>0.19236111111111109</v>
      </c>
      <c r="X38" s="73">
        <f>S39</f>
        <v>0.21180555555555555</v>
      </c>
      <c r="Y38" s="510"/>
      <c r="Z38" s="510"/>
      <c r="AA38" s="66">
        <f t="shared" si="8"/>
        <v>-107.00636942675101</v>
      </c>
      <c r="AB38" s="396">
        <f t="shared" si="9"/>
        <v>0.95541401273885374</v>
      </c>
      <c r="AC38" s="511">
        <f>AB46</f>
        <v>0.95635104581679742</v>
      </c>
    </row>
    <row r="39" spans="1:29" ht="15.75" customHeight="1">
      <c r="A39" s="531" t="s">
        <v>2188</v>
      </c>
      <c r="B39" s="62" t="s">
        <v>16</v>
      </c>
      <c r="C39" s="512" t="s">
        <v>17</v>
      </c>
      <c r="D39" s="512"/>
      <c r="E39" s="62">
        <v>24.45</v>
      </c>
      <c r="F39" s="402">
        <v>2652</v>
      </c>
      <c r="G39" s="395">
        <f t="shared" si="27"/>
        <v>64841.4</v>
      </c>
      <c r="H39" s="90" t="s">
        <v>5</v>
      </c>
      <c r="I39" s="400">
        <v>20</v>
      </c>
      <c r="J39" s="63">
        <v>2400</v>
      </c>
      <c r="K39" s="64">
        <f t="shared" si="1"/>
        <v>120</v>
      </c>
      <c r="L39" s="400">
        <v>20</v>
      </c>
      <c r="M39" s="65">
        <f t="shared" si="28"/>
        <v>2306.0869565217408</v>
      </c>
      <c r="N39" s="64">
        <f t="shared" si="3"/>
        <v>115.30434782608704</v>
      </c>
      <c r="O39" s="66">
        <f t="shared" si="4"/>
        <v>0</v>
      </c>
      <c r="P39" s="67">
        <f t="shared" si="5"/>
        <v>-4.6956521739129613</v>
      </c>
      <c r="Q39" s="396">
        <f t="shared" si="6"/>
        <v>0.96086956521739197</v>
      </c>
      <c r="R39" s="511"/>
      <c r="S39" s="68">
        <v>0.21180555555555555</v>
      </c>
      <c r="T39" s="68">
        <v>0.25972222222222219</v>
      </c>
      <c r="U39" s="395">
        <f t="shared" ref="U39:U45" si="30">(S39-T38)*24*60</f>
        <v>28.000000000000021</v>
      </c>
      <c r="V39" s="401">
        <f t="shared" si="29"/>
        <v>68.999999999999957</v>
      </c>
      <c r="W39" s="395"/>
      <c r="X39" s="395"/>
      <c r="Y39" s="510"/>
      <c r="Z39" s="510"/>
      <c r="AA39" s="66">
        <f t="shared" si="8"/>
        <v>-93.913043478259169</v>
      </c>
      <c r="AB39" s="396">
        <f t="shared" si="9"/>
        <v>0.96086956521739197</v>
      </c>
      <c r="AC39" s="511"/>
    </row>
    <row r="40" spans="1:29">
      <c r="A40" s="532" t="s">
        <v>2188</v>
      </c>
      <c r="B40" s="62" t="s">
        <v>16</v>
      </c>
      <c r="C40" s="512" t="s">
        <v>28</v>
      </c>
      <c r="D40" s="512"/>
      <c r="E40" s="62">
        <v>26.18</v>
      </c>
      <c r="F40" s="402">
        <v>3124</v>
      </c>
      <c r="G40" s="395">
        <f t="shared" si="27"/>
        <v>81786.319999999992</v>
      </c>
      <c r="H40" s="90" t="s">
        <v>5</v>
      </c>
      <c r="I40" s="400">
        <v>19</v>
      </c>
      <c r="J40" s="63">
        <v>2400</v>
      </c>
      <c r="K40" s="64">
        <f t="shared" si="1"/>
        <v>126.31578947368421</v>
      </c>
      <c r="L40" s="400">
        <v>19</v>
      </c>
      <c r="M40" s="65">
        <f t="shared" si="28"/>
        <v>2285.8536585365846</v>
      </c>
      <c r="N40" s="64">
        <f t="shared" si="3"/>
        <v>120.30808729139919</v>
      </c>
      <c r="O40" s="66">
        <f t="shared" si="4"/>
        <v>0</v>
      </c>
      <c r="P40" s="67">
        <f t="shared" si="5"/>
        <v>-6.0077021822850156</v>
      </c>
      <c r="Q40" s="396">
        <f t="shared" si="6"/>
        <v>0.95243902439024364</v>
      </c>
      <c r="R40" s="511"/>
      <c r="S40" s="68">
        <v>0.26527777777777772</v>
      </c>
      <c r="T40" s="68">
        <v>0.32222222222222219</v>
      </c>
      <c r="U40" s="395">
        <f t="shared" si="30"/>
        <v>7.9999999999999716</v>
      </c>
      <c r="V40" s="401">
        <f t="shared" si="29"/>
        <v>82.000000000000028</v>
      </c>
      <c r="W40" s="395"/>
      <c r="X40" s="395"/>
      <c r="Y40" s="510"/>
      <c r="Z40" s="510"/>
      <c r="AA40" s="66">
        <f t="shared" si="8"/>
        <v>-114.14634146341541</v>
      </c>
      <c r="AB40" s="396">
        <f t="shared" si="9"/>
        <v>0.95243902439024353</v>
      </c>
      <c r="AC40" s="511"/>
    </row>
    <row r="41" spans="1:29">
      <c r="A41" s="532" t="s">
        <v>2188</v>
      </c>
      <c r="B41" s="62" t="s">
        <v>16</v>
      </c>
      <c r="C41" s="512" t="s">
        <v>32</v>
      </c>
      <c r="D41" s="512"/>
      <c r="E41" s="62">
        <v>26.39</v>
      </c>
      <c r="F41" s="402">
        <v>4100</v>
      </c>
      <c r="G41" s="395">
        <f t="shared" si="27"/>
        <v>108199</v>
      </c>
      <c r="H41" s="90">
        <v>2</v>
      </c>
      <c r="I41" s="400">
        <v>19</v>
      </c>
      <c r="J41" s="63">
        <v>2400</v>
      </c>
      <c r="K41" s="64">
        <f t="shared" si="1"/>
        <v>126.31578947368421</v>
      </c>
      <c r="L41" s="400">
        <v>19</v>
      </c>
      <c r="M41" s="65">
        <f t="shared" si="28"/>
        <v>2299.0654205607475</v>
      </c>
      <c r="N41" s="64">
        <f t="shared" si="3"/>
        <v>121.00344318740777</v>
      </c>
      <c r="O41" s="66">
        <f t="shared" si="4"/>
        <v>0</v>
      </c>
      <c r="P41" s="67">
        <f t="shared" si="5"/>
        <v>-5.312346286276437</v>
      </c>
      <c r="Q41" s="396">
        <f t="shared" si="6"/>
        <v>0.95794392523364491</v>
      </c>
      <c r="R41" s="511"/>
      <c r="S41" s="68">
        <v>0.32708333333333328</v>
      </c>
      <c r="T41" s="68">
        <v>0.40138888888888885</v>
      </c>
      <c r="U41" s="395">
        <f t="shared" si="30"/>
        <v>6.9999999999999751</v>
      </c>
      <c r="V41" s="401">
        <f t="shared" si="29"/>
        <v>107.00000000000001</v>
      </c>
      <c r="W41" s="69"/>
      <c r="X41" s="69"/>
      <c r="Y41" s="510"/>
      <c r="Z41" s="510"/>
      <c r="AA41" s="66">
        <f t="shared" si="8"/>
        <v>-100.9345794392525</v>
      </c>
      <c r="AB41" s="396">
        <f t="shared" si="9"/>
        <v>0.9579439252336448</v>
      </c>
      <c r="AC41" s="511"/>
    </row>
    <row r="42" spans="1:29">
      <c r="A42" s="532" t="s">
        <v>2188</v>
      </c>
      <c r="B42" s="62" t="s">
        <v>16</v>
      </c>
      <c r="C42" s="512" t="s">
        <v>2110</v>
      </c>
      <c r="D42" s="512"/>
      <c r="E42" s="62">
        <v>27.24</v>
      </c>
      <c r="F42" s="402">
        <v>4500</v>
      </c>
      <c r="G42" s="395">
        <f t="shared" si="27"/>
        <v>122580</v>
      </c>
      <c r="H42" s="90">
        <v>2</v>
      </c>
      <c r="I42" s="400">
        <v>16</v>
      </c>
      <c r="J42" s="63">
        <v>2400</v>
      </c>
      <c r="K42" s="64">
        <f t="shared" si="1"/>
        <v>150</v>
      </c>
      <c r="L42" s="400">
        <v>16</v>
      </c>
      <c r="M42" s="65">
        <f t="shared" si="28"/>
        <v>2288.1355932203396</v>
      </c>
      <c r="N42" s="64">
        <f t="shared" si="3"/>
        <v>143.00847457627123</v>
      </c>
      <c r="O42" s="66">
        <f t="shared" si="4"/>
        <v>0</v>
      </c>
      <c r="P42" s="67">
        <f t="shared" si="5"/>
        <v>-6.9915254237287741</v>
      </c>
      <c r="Q42" s="396">
        <f t="shared" si="6"/>
        <v>0.95338983050847481</v>
      </c>
      <c r="R42" s="511"/>
      <c r="S42" s="68">
        <v>0.40694444444444439</v>
      </c>
      <c r="T42" s="68">
        <v>0.48888888888888882</v>
      </c>
      <c r="U42" s="395">
        <f t="shared" si="30"/>
        <v>7.9999999999999716</v>
      </c>
      <c r="V42" s="401">
        <f t="shared" si="29"/>
        <v>117.99999999999999</v>
      </c>
      <c r="W42" s="69">
        <f>T42</f>
        <v>0.48888888888888882</v>
      </c>
      <c r="X42" s="69">
        <f>S43</f>
        <v>0.52916666666666656</v>
      </c>
      <c r="Y42" s="510"/>
      <c r="Z42" s="510"/>
      <c r="AA42" s="66">
        <f t="shared" si="8"/>
        <v>-111.86440677966038</v>
      </c>
      <c r="AB42" s="396">
        <f t="shared" si="9"/>
        <v>0.95338983050847481</v>
      </c>
      <c r="AC42" s="511"/>
    </row>
    <row r="43" spans="1:29">
      <c r="A43" s="532" t="s">
        <v>2188</v>
      </c>
      <c r="B43" s="62" t="s">
        <v>16</v>
      </c>
      <c r="C43" s="512" t="s">
        <v>2110</v>
      </c>
      <c r="D43" s="512"/>
      <c r="E43" s="62">
        <v>27.24</v>
      </c>
      <c r="F43" s="402">
        <v>3219</v>
      </c>
      <c r="G43" s="395">
        <f t="shared" si="27"/>
        <v>87685.56</v>
      </c>
      <c r="H43" s="90" t="s">
        <v>5</v>
      </c>
      <c r="I43" s="400">
        <v>16</v>
      </c>
      <c r="J43" s="63">
        <v>2400</v>
      </c>
      <c r="K43" s="64">
        <f t="shared" si="1"/>
        <v>150</v>
      </c>
      <c r="L43" s="400">
        <v>16</v>
      </c>
      <c r="M43" s="65">
        <f t="shared" si="28"/>
        <v>2299.2857142857133</v>
      </c>
      <c r="N43" s="64">
        <f t="shared" si="3"/>
        <v>143.70535714285708</v>
      </c>
      <c r="O43" s="66">
        <f t="shared" si="4"/>
        <v>0</v>
      </c>
      <c r="P43" s="67">
        <f t="shared" si="5"/>
        <v>-6.294642857142918</v>
      </c>
      <c r="Q43" s="396">
        <f t="shared" si="6"/>
        <v>0.95803571428571388</v>
      </c>
      <c r="R43" s="511"/>
      <c r="S43" s="68">
        <v>0.52916666666666656</v>
      </c>
      <c r="T43" s="68">
        <v>0.58749999999999991</v>
      </c>
      <c r="U43" s="395">
        <f t="shared" si="30"/>
        <v>57.999999999999957</v>
      </c>
      <c r="V43" s="401">
        <f t="shared" si="29"/>
        <v>84.000000000000028</v>
      </c>
      <c r="W43" s="69"/>
      <c r="X43" s="69"/>
      <c r="Y43" s="510"/>
      <c r="Z43" s="510"/>
      <c r="AA43" s="66">
        <f t="shared" si="8"/>
        <v>-100.71428571428669</v>
      </c>
      <c r="AB43" s="396">
        <f t="shared" si="9"/>
        <v>0.95803571428571388</v>
      </c>
      <c r="AC43" s="511"/>
    </row>
    <row r="44" spans="1:29">
      <c r="A44" s="532" t="s">
        <v>2188</v>
      </c>
      <c r="B44" s="62" t="s">
        <v>16</v>
      </c>
      <c r="C44" s="512" t="s">
        <v>32</v>
      </c>
      <c r="D44" s="512"/>
      <c r="E44" s="62">
        <v>26.39</v>
      </c>
      <c r="F44" s="402">
        <v>2790</v>
      </c>
      <c r="G44" s="395">
        <f t="shared" si="27"/>
        <v>73628.100000000006</v>
      </c>
      <c r="H44" s="90" t="s">
        <v>5</v>
      </c>
      <c r="I44" s="400">
        <v>19</v>
      </c>
      <c r="J44" s="63">
        <v>2400</v>
      </c>
      <c r="K44" s="64">
        <f t="shared" si="1"/>
        <v>126.31578947368421</v>
      </c>
      <c r="L44" s="400">
        <v>19</v>
      </c>
      <c r="M44" s="65">
        <f t="shared" si="28"/>
        <v>2293.1506849315051</v>
      </c>
      <c r="N44" s="64">
        <f t="shared" si="3"/>
        <v>120.69214131218448</v>
      </c>
      <c r="O44" s="66">
        <f t="shared" si="4"/>
        <v>0</v>
      </c>
      <c r="P44" s="67">
        <f t="shared" si="5"/>
        <v>-5.6236481614997302</v>
      </c>
      <c r="Q44" s="396">
        <f t="shared" si="6"/>
        <v>0.95547945205479379</v>
      </c>
      <c r="R44" s="511"/>
      <c r="S44" s="68">
        <v>0.59166666666666656</v>
      </c>
      <c r="T44" s="68">
        <v>0.64236111111111105</v>
      </c>
      <c r="U44" s="395">
        <f t="shared" si="30"/>
        <v>5.9999999999999787</v>
      </c>
      <c r="V44" s="401">
        <f t="shared" si="29"/>
        <v>73.000000000000057</v>
      </c>
      <c r="W44" s="69"/>
      <c r="X44" s="69"/>
      <c r="Y44" s="517"/>
      <c r="Z44" s="518"/>
      <c r="AA44" s="66">
        <f t="shared" si="8"/>
        <v>-106.84931506849489</v>
      </c>
      <c r="AB44" s="396">
        <f t="shared" si="9"/>
        <v>0.95547945205479379</v>
      </c>
      <c r="AC44" s="511"/>
    </row>
    <row r="45" spans="1:29">
      <c r="A45" s="532" t="s">
        <v>2188</v>
      </c>
      <c r="B45" s="62" t="s">
        <v>16</v>
      </c>
      <c r="C45" s="512" t="s">
        <v>49</v>
      </c>
      <c r="D45" s="512"/>
      <c r="E45" s="62">
        <v>19.02</v>
      </c>
      <c r="F45" s="402">
        <v>4365</v>
      </c>
      <c r="G45" s="395">
        <f t="shared" si="27"/>
        <v>83022.3</v>
      </c>
      <c r="H45" s="90" t="s">
        <v>5</v>
      </c>
      <c r="I45" s="400">
        <v>15</v>
      </c>
      <c r="J45" s="63">
        <v>2400</v>
      </c>
      <c r="K45" s="64">
        <f t="shared" si="1"/>
        <v>160</v>
      </c>
      <c r="L45" s="400">
        <v>15</v>
      </c>
      <c r="M45" s="65">
        <f t="shared" si="28"/>
        <v>2297.3684210526299</v>
      </c>
      <c r="N45" s="64">
        <f t="shared" si="3"/>
        <v>153.157894736842</v>
      </c>
      <c r="O45" s="66">
        <f t="shared" si="4"/>
        <v>0</v>
      </c>
      <c r="P45" s="67">
        <f t="shared" si="5"/>
        <v>-6.8421052631580039</v>
      </c>
      <c r="Q45" s="396">
        <f t="shared" si="6"/>
        <v>0.9572368421052625</v>
      </c>
      <c r="R45" s="511"/>
      <c r="S45" s="68">
        <v>0.64791666666666659</v>
      </c>
      <c r="T45" s="68">
        <v>0.7270833333333333</v>
      </c>
      <c r="U45" s="395">
        <f t="shared" si="30"/>
        <v>7.9999999999999716</v>
      </c>
      <c r="V45" s="401">
        <f t="shared" si="29"/>
        <v>114.00000000000007</v>
      </c>
      <c r="W45" s="69"/>
      <c r="X45" s="69"/>
      <c r="Y45" s="517"/>
      <c r="Z45" s="518"/>
      <c r="AA45" s="66">
        <f t="shared" si="8"/>
        <v>-102.63157894737014</v>
      </c>
      <c r="AB45" s="396">
        <f t="shared" si="9"/>
        <v>0.95723684210526239</v>
      </c>
      <c r="AC45" s="511"/>
    </row>
    <row r="46" spans="1:29">
      <c r="A46" s="532" t="s">
        <v>2188</v>
      </c>
      <c r="B46" s="71" t="s">
        <v>2180</v>
      </c>
      <c r="C46" s="513"/>
      <c r="D46" s="513"/>
      <c r="E46" s="397"/>
      <c r="F46" s="71"/>
      <c r="G46" s="64"/>
      <c r="H46" s="402"/>
      <c r="I46" s="72">
        <v>17.375</v>
      </c>
      <c r="J46" s="63">
        <v>2400</v>
      </c>
      <c r="K46" s="64">
        <f t="shared" si="1"/>
        <v>138.12949640287769</v>
      </c>
      <c r="L46" s="72">
        <v>17.375</v>
      </c>
      <c r="M46" s="65">
        <f>AVERAGE(M38:M45)</f>
        <v>2295.2425099603138</v>
      </c>
      <c r="N46" s="64">
        <f t="shared" si="3"/>
        <v>132.10028834303964</v>
      </c>
      <c r="O46" s="66">
        <f t="shared" si="4"/>
        <v>0</v>
      </c>
      <c r="P46" s="67">
        <f t="shared" si="5"/>
        <v>-6.0292080598380551</v>
      </c>
      <c r="Q46" s="396">
        <f t="shared" si="6"/>
        <v>0.95635104581679742</v>
      </c>
      <c r="R46" s="511"/>
      <c r="S46" s="68"/>
      <c r="T46" s="68"/>
      <c r="U46" s="64"/>
      <c r="V46" s="401"/>
      <c r="W46" s="64"/>
      <c r="X46" s="64"/>
      <c r="Y46" s="510"/>
      <c r="Z46" s="510"/>
      <c r="AA46" s="66">
        <f t="shared" si="8"/>
        <v>-104.75749003968622</v>
      </c>
      <c r="AB46" s="396">
        <f t="shared" si="9"/>
        <v>0.95635104581679742</v>
      </c>
      <c r="AC46" s="511"/>
    </row>
    <row r="47" spans="1:29" ht="15.75" customHeight="1">
      <c r="A47" s="525" t="s">
        <v>2189</v>
      </c>
      <c r="B47" s="62" t="s">
        <v>35</v>
      </c>
      <c r="C47" s="521" t="s">
        <v>36</v>
      </c>
      <c r="D47" s="522"/>
      <c r="E47" s="62">
        <v>21.13</v>
      </c>
      <c r="F47" s="402">
        <v>3400</v>
      </c>
      <c r="G47" s="395">
        <f t="shared" ref="G47:G55" si="31">E47*F47</f>
        <v>71842</v>
      </c>
      <c r="H47" s="90">
        <v>2</v>
      </c>
      <c r="I47" s="400">
        <v>10</v>
      </c>
      <c r="J47" s="63">
        <v>3000</v>
      </c>
      <c r="K47" s="64">
        <f t="shared" si="1"/>
        <v>300</v>
      </c>
      <c r="L47" s="400">
        <v>10</v>
      </c>
      <c r="M47" s="65">
        <f t="shared" ref="M47:M55" si="32">F47/V47*60</f>
        <v>2873.2394366197177</v>
      </c>
      <c r="N47" s="65">
        <f t="shared" si="3"/>
        <v>287.32394366197178</v>
      </c>
      <c r="O47" s="66">
        <f t="shared" si="4"/>
        <v>0</v>
      </c>
      <c r="P47" s="67">
        <f t="shared" si="5"/>
        <v>-12.676056338028218</v>
      </c>
      <c r="Q47" s="396">
        <f t="shared" si="6"/>
        <v>0.95774647887323927</v>
      </c>
      <c r="R47" s="528">
        <f>Q56</f>
        <v>0.95829419754577905</v>
      </c>
      <c r="S47" s="68">
        <v>8.3333333333333329E-2</v>
      </c>
      <c r="T47" s="68">
        <v>0.13263888888888889</v>
      </c>
      <c r="U47" s="73"/>
      <c r="V47" s="401">
        <f t="shared" ref="V47:V55" si="33">(T47-S47)*24*60</f>
        <v>71.000000000000014</v>
      </c>
      <c r="W47" s="69">
        <f>T47</f>
        <v>0.13263888888888889</v>
      </c>
      <c r="X47" s="69">
        <f>S48</f>
        <v>0.15416666666666667</v>
      </c>
      <c r="Y47" s="517"/>
      <c r="Z47" s="518"/>
      <c r="AA47" s="66">
        <f t="shared" si="8"/>
        <v>-126.76056338028229</v>
      </c>
      <c r="AB47" s="396">
        <f t="shared" si="9"/>
        <v>0.95774647887323927</v>
      </c>
      <c r="AC47" s="528">
        <f>AB56</f>
        <v>0.95829419754577916</v>
      </c>
    </row>
    <row r="48" spans="1:29" ht="15.75" customHeight="1">
      <c r="A48" s="526" t="s">
        <v>2189</v>
      </c>
      <c r="B48" s="62" t="s">
        <v>35</v>
      </c>
      <c r="C48" s="521" t="s">
        <v>37</v>
      </c>
      <c r="D48" s="522"/>
      <c r="E48" s="62">
        <v>27.17</v>
      </c>
      <c r="F48" s="402">
        <v>4300</v>
      </c>
      <c r="G48" s="395">
        <f t="shared" si="31"/>
        <v>116831.00000000001</v>
      </c>
      <c r="H48" s="90">
        <v>2</v>
      </c>
      <c r="I48" s="400">
        <v>10</v>
      </c>
      <c r="J48" s="63">
        <v>3000</v>
      </c>
      <c r="K48" s="64">
        <f t="shared" si="1"/>
        <v>300</v>
      </c>
      <c r="L48" s="400">
        <v>10</v>
      </c>
      <c r="M48" s="65">
        <f t="shared" si="32"/>
        <v>2866.6666666666665</v>
      </c>
      <c r="N48" s="65">
        <f t="shared" si="3"/>
        <v>286.66666666666663</v>
      </c>
      <c r="O48" s="66">
        <f t="shared" si="4"/>
        <v>0</v>
      </c>
      <c r="P48" s="67">
        <f t="shared" si="5"/>
        <v>-13.333333333333371</v>
      </c>
      <c r="Q48" s="396">
        <f t="shared" si="6"/>
        <v>0.95555555555555538</v>
      </c>
      <c r="R48" s="529"/>
      <c r="S48" s="68">
        <v>0.15416666666666667</v>
      </c>
      <c r="T48" s="68">
        <v>0.21666666666666667</v>
      </c>
      <c r="U48" s="395">
        <f t="shared" ref="U48:U55" si="34">(S48-T47)*24*60</f>
        <v>31.000000000000011</v>
      </c>
      <c r="V48" s="401">
        <f t="shared" si="33"/>
        <v>90</v>
      </c>
      <c r="W48" s="69"/>
      <c r="X48" s="69"/>
      <c r="Y48" s="517"/>
      <c r="Z48" s="518"/>
      <c r="AA48" s="66">
        <f t="shared" si="8"/>
        <v>-133.33333333333348</v>
      </c>
      <c r="AB48" s="396">
        <f t="shared" si="9"/>
        <v>0.95555555555555549</v>
      </c>
      <c r="AC48" s="529"/>
    </row>
    <row r="49" spans="1:29" ht="15.75" customHeight="1">
      <c r="A49" s="526" t="s">
        <v>2189</v>
      </c>
      <c r="B49" s="62" t="s">
        <v>35</v>
      </c>
      <c r="C49" s="521" t="s">
        <v>38</v>
      </c>
      <c r="D49" s="522"/>
      <c r="E49" s="62">
        <v>35.119999999999997</v>
      </c>
      <c r="F49" s="402">
        <v>4591</v>
      </c>
      <c r="G49" s="395">
        <f t="shared" si="31"/>
        <v>161235.91999999998</v>
      </c>
      <c r="H49" s="90" t="s">
        <v>5</v>
      </c>
      <c r="I49" s="400">
        <v>10</v>
      </c>
      <c r="J49" s="63">
        <v>3000</v>
      </c>
      <c r="K49" s="64">
        <f t="shared" si="1"/>
        <v>300</v>
      </c>
      <c r="L49" s="400">
        <v>10</v>
      </c>
      <c r="M49" s="65">
        <f t="shared" si="32"/>
        <v>2869.3750000000009</v>
      </c>
      <c r="N49" s="65">
        <f t="shared" si="3"/>
        <v>286.93750000000011</v>
      </c>
      <c r="O49" s="66">
        <f t="shared" si="4"/>
        <v>0</v>
      </c>
      <c r="P49" s="67">
        <f t="shared" si="5"/>
        <v>-13.062499999999886</v>
      </c>
      <c r="Q49" s="396">
        <f t="shared" si="6"/>
        <v>0.95645833333333374</v>
      </c>
      <c r="R49" s="529"/>
      <c r="S49" s="68">
        <v>0.22013888888888888</v>
      </c>
      <c r="T49" s="68">
        <v>0.28680555555555554</v>
      </c>
      <c r="U49" s="395">
        <f t="shared" si="34"/>
        <v>4.9999999999999822</v>
      </c>
      <c r="V49" s="401">
        <f t="shared" si="33"/>
        <v>95.999999999999972</v>
      </c>
      <c r="W49" s="69"/>
      <c r="X49" s="69"/>
      <c r="Y49" s="517"/>
      <c r="Z49" s="518"/>
      <c r="AA49" s="66">
        <f t="shared" si="8"/>
        <v>-130.62499999999909</v>
      </c>
      <c r="AB49" s="396">
        <f t="shared" si="9"/>
        <v>0.95645833333333363</v>
      </c>
      <c r="AC49" s="529"/>
    </row>
    <row r="50" spans="1:29" ht="15.75" customHeight="1">
      <c r="A50" s="526" t="s">
        <v>2189</v>
      </c>
      <c r="B50" s="62" t="s">
        <v>35</v>
      </c>
      <c r="C50" s="521" t="s">
        <v>39</v>
      </c>
      <c r="D50" s="522"/>
      <c r="E50" s="62">
        <v>35.869999999999997</v>
      </c>
      <c r="F50" s="402">
        <v>2912</v>
      </c>
      <c r="G50" s="395">
        <f t="shared" si="31"/>
        <v>104453.43999999999</v>
      </c>
      <c r="H50" s="90" t="s">
        <v>5</v>
      </c>
      <c r="I50" s="400">
        <v>9</v>
      </c>
      <c r="J50" s="63">
        <v>3000</v>
      </c>
      <c r="K50" s="64">
        <f t="shared" si="1"/>
        <v>333.33333333333331</v>
      </c>
      <c r="L50" s="400">
        <v>9</v>
      </c>
      <c r="M50" s="65">
        <f t="shared" si="32"/>
        <v>2864.2622950819659</v>
      </c>
      <c r="N50" s="65">
        <f t="shared" si="3"/>
        <v>318.25136612021845</v>
      </c>
      <c r="O50" s="66">
        <f t="shared" si="4"/>
        <v>0</v>
      </c>
      <c r="P50" s="67">
        <f t="shared" si="5"/>
        <v>-15.081967213114865</v>
      </c>
      <c r="Q50" s="396">
        <f t="shared" si="6"/>
        <v>0.95475409836065539</v>
      </c>
      <c r="R50" s="529"/>
      <c r="S50" s="68">
        <v>0.29097222222222219</v>
      </c>
      <c r="T50" s="68">
        <v>0.33333333333333331</v>
      </c>
      <c r="U50" s="395">
        <f t="shared" si="34"/>
        <v>5.9999999999999787</v>
      </c>
      <c r="V50" s="401">
        <f t="shared" si="33"/>
        <v>61.000000000000021</v>
      </c>
      <c r="W50" s="69"/>
      <c r="X50" s="69"/>
      <c r="Y50" s="517"/>
      <c r="Z50" s="518"/>
      <c r="AA50" s="66">
        <f t="shared" si="8"/>
        <v>-135.73770491803407</v>
      </c>
      <c r="AB50" s="396">
        <f t="shared" si="9"/>
        <v>0.95475409836065528</v>
      </c>
      <c r="AC50" s="529"/>
    </row>
    <row r="51" spans="1:29" ht="15.75" customHeight="1">
      <c r="A51" s="526" t="s">
        <v>2189</v>
      </c>
      <c r="B51" s="62" t="s">
        <v>35</v>
      </c>
      <c r="C51" s="521" t="s">
        <v>40</v>
      </c>
      <c r="D51" s="522"/>
      <c r="E51" s="62">
        <v>36.14</v>
      </c>
      <c r="F51" s="402">
        <v>1224</v>
      </c>
      <c r="G51" s="395">
        <f t="shared" si="31"/>
        <v>44235.360000000001</v>
      </c>
      <c r="H51" s="90" t="s">
        <v>5</v>
      </c>
      <c r="I51" s="400">
        <v>9</v>
      </c>
      <c r="J51" s="63">
        <v>3000</v>
      </c>
      <c r="K51" s="64">
        <f t="shared" si="1"/>
        <v>333.33333333333331</v>
      </c>
      <c r="L51" s="400">
        <v>9</v>
      </c>
      <c r="M51" s="65">
        <f t="shared" si="32"/>
        <v>2937.6000000000008</v>
      </c>
      <c r="N51" s="65">
        <f t="shared" si="3"/>
        <v>326.40000000000009</v>
      </c>
      <c r="O51" s="66">
        <f t="shared" si="4"/>
        <v>0</v>
      </c>
      <c r="P51" s="67">
        <f t="shared" si="5"/>
        <v>-6.9333333333332234</v>
      </c>
      <c r="Q51" s="396">
        <f t="shared" si="6"/>
        <v>0.97920000000000029</v>
      </c>
      <c r="R51" s="529"/>
      <c r="S51" s="68">
        <v>0.33888888888888885</v>
      </c>
      <c r="T51" s="68">
        <v>0.35624999999999996</v>
      </c>
      <c r="U51" s="395">
        <f t="shared" si="34"/>
        <v>7.9999999999999716</v>
      </c>
      <c r="V51" s="401">
        <f t="shared" si="33"/>
        <v>24.999999999999993</v>
      </c>
      <c r="W51" s="69"/>
      <c r="X51" s="69"/>
      <c r="Y51" s="517"/>
      <c r="Z51" s="518"/>
      <c r="AA51" s="66">
        <f t="shared" si="8"/>
        <v>-62.399999999999181</v>
      </c>
      <c r="AB51" s="396">
        <f t="shared" si="9"/>
        <v>0.97920000000000029</v>
      </c>
      <c r="AC51" s="529"/>
    </row>
    <row r="52" spans="1:29" ht="15.75" customHeight="1">
      <c r="A52" s="526" t="s">
        <v>2189</v>
      </c>
      <c r="B52" s="62" t="s">
        <v>35</v>
      </c>
      <c r="C52" s="521" t="s">
        <v>74</v>
      </c>
      <c r="D52" s="522"/>
      <c r="E52" s="62">
        <v>34.36</v>
      </c>
      <c r="F52" s="402">
        <v>2350</v>
      </c>
      <c r="G52" s="395">
        <f t="shared" si="31"/>
        <v>80746</v>
      </c>
      <c r="H52" s="90" t="s">
        <v>5</v>
      </c>
      <c r="I52" s="400">
        <v>10</v>
      </c>
      <c r="J52" s="63">
        <v>3000</v>
      </c>
      <c r="K52" s="64">
        <f t="shared" si="1"/>
        <v>300</v>
      </c>
      <c r="L52" s="400">
        <v>10</v>
      </c>
      <c r="M52" s="65">
        <f t="shared" si="32"/>
        <v>2877.5510204081643</v>
      </c>
      <c r="N52" s="65">
        <f t="shared" si="3"/>
        <v>287.75510204081644</v>
      </c>
      <c r="O52" s="66">
        <f t="shared" si="4"/>
        <v>0</v>
      </c>
      <c r="P52" s="67">
        <f t="shared" si="5"/>
        <v>-12.244897959183561</v>
      </c>
      <c r="Q52" s="396">
        <f t="shared" si="6"/>
        <v>0.95918367346938815</v>
      </c>
      <c r="R52" s="529"/>
      <c r="S52" s="68">
        <v>0.36041666666666661</v>
      </c>
      <c r="T52" s="68">
        <v>0.39444444444444438</v>
      </c>
      <c r="U52" s="395">
        <f t="shared" si="34"/>
        <v>5.9999999999999787</v>
      </c>
      <c r="V52" s="401">
        <f t="shared" si="33"/>
        <v>48.999999999999986</v>
      </c>
      <c r="W52" s="69"/>
      <c r="X52" s="69"/>
      <c r="Y52" s="517"/>
      <c r="Z52" s="518"/>
      <c r="AA52" s="66">
        <f t="shared" si="8"/>
        <v>-122.44897959183572</v>
      </c>
      <c r="AB52" s="396">
        <f t="shared" si="9"/>
        <v>0.95918367346938804</v>
      </c>
      <c r="AC52" s="529"/>
    </row>
    <row r="53" spans="1:29" ht="15.75" customHeight="1">
      <c r="A53" s="526" t="s">
        <v>2189</v>
      </c>
      <c r="B53" s="62" t="s">
        <v>35</v>
      </c>
      <c r="C53" s="521" t="s">
        <v>84</v>
      </c>
      <c r="D53" s="522"/>
      <c r="E53" s="62">
        <v>31</v>
      </c>
      <c r="F53" s="402">
        <v>3869</v>
      </c>
      <c r="G53" s="395">
        <f t="shared" si="31"/>
        <v>119939</v>
      </c>
      <c r="H53" s="90" t="s">
        <v>5</v>
      </c>
      <c r="I53" s="400">
        <v>13</v>
      </c>
      <c r="J53" s="63">
        <v>2000</v>
      </c>
      <c r="K53" s="64">
        <f t="shared" si="1"/>
        <v>153.84615384615384</v>
      </c>
      <c r="L53" s="400">
        <v>13</v>
      </c>
      <c r="M53" s="65">
        <f t="shared" si="32"/>
        <v>1902.7868852459021</v>
      </c>
      <c r="N53" s="65">
        <f t="shared" si="3"/>
        <v>146.36822194199246</v>
      </c>
      <c r="O53" s="66">
        <f t="shared" si="4"/>
        <v>0</v>
      </c>
      <c r="P53" s="67">
        <f t="shared" si="5"/>
        <v>-7.4779319041613803</v>
      </c>
      <c r="Q53" s="396">
        <f t="shared" si="6"/>
        <v>0.951393442622951</v>
      </c>
      <c r="R53" s="529"/>
      <c r="S53" s="68">
        <v>0.39999999999999991</v>
      </c>
      <c r="T53" s="68">
        <v>0.48472222222222211</v>
      </c>
      <c r="U53" s="395">
        <f t="shared" si="34"/>
        <v>7.9999999999999716</v>
      </c>
      <c r="V53" s="401">
        <f t="shared" si="33"/>
        <v>121.99999999999997</v>
      </c>
      <c r="W53" s="69">
        <f>T53</f>
        <v>0.48472222222222211</v>
      </c>
      <c r="X53" s="69">
        <f>S54</f>
        <v>0.52499999999999991</v>
      </c>
      <c r="Y53" s="517"/>
      <c r="Z53" s="518"/>
      <c r="AA53" s="66">
        <f t="shared" si="8"/>
        <v>-97.213114754097887</v>
      </c>
      <c r="AB53" s="396">
        <f t="shared" si="9"/>
        <v>0.951393442622951</v>
      </c>
      <c r="AC53" s="529"/>
    </row>
    <row r="54" spans="1:29" ht="15.75" customHeight="1">
      <c r="A54" s="526" t="s">
        <v>2189</v>
      </c>
      <c r="B54" s="62" t="s">
        <v>35</v>
      </c>
      <c r="C54" s="521" t="s">
        <v>37</v>
      </c>
      <c r="D54" s="522"/>
      <c r="E54" s="62">
        <v>27.17</v>
      </c>
      <c r="F54" s="402">
        <v>3093</v>
      </c>
      <c r="G54" s="395">
        <f t="shared" si="31"/>
        <v>84036.810000000012</v>
      </c>
      <c r="H54" s="90" t="s">
        <v>5</v>
      </c>
      <c r="I54" s="400">
        <v>10</v>
      </c>
      <c r="J54" s="63">
        <v>3000</v>
      </c>
      <c r="K54" s="64">
        <f t="shared" si="1"/>
        <v>300</v>
      </c>
      <c r="L54" s="400">
        <v>10</v>
      </c>
      <c r="M54" s="65">
        <f t="shared" si="32"/>
        <v>2855.0769230769265</v>
      </c>
      <c r="N54" s="65">
        <f t="shared" si="3"/>
        <v>285.50769230769265</v>
      </c>
      <c r="O54" s="66">
        <f t="shared" si="4"/>
        <v>0</v>
      </c>
      <c r="P54" s="67">
        <f t="shared" si="5"/>
        <v>-14.492307692307349</v>
      </c>
      <c r="Q54" s="396">
        <f t="shared" si="6"/>
        <v>0.95169230769230884</v>
      </c>
      <c r="R54" s="529"/>
      <c r="S54" s="68">
        <v>0.52499999999999991</v>
      </c>
      <c r="T54" s="68">
        <v>0.57013888888888875</v>
      </c>
      <c r="U54" s="395">
        <f t="shared" si="34"/>
        <v>58.000000000000036</v>
      </c>
      <c r="V54" s="401">
        <f t="shared" si="33"/>
        <v>64.999999999999929</v>
      </c>
      <c r="W54" s="69"/>
      <c r="X54" s="69"/>
      <c r="Y54" s="517"/>
      <c r="Z54" s="518"/>
      <c r="AA54" s="66">
        <f t="shared" si="8"/>
        <v>-144.92307692307349</v>
      </c>
      <c r="AB54" s="396">
        <f t="shared" si="9"/>
        <v>0.95169230769230884</v>
      </c>
      <c r="AC54" s="529"/>
    </row>
    <row r="55" spans="1:29" ht="15.75" customHeight="1">
      <c r="A55" s="526" t="s">
        <v>2189</v>
      </c>
      <c r="B55" s="62" t="s">
        <v>35</v>
      </c>
      <c r="C55" s="521" t="s">
        <v>36</v>
      </c>
      <c r="D55" s="522"/>
      <c r="E55" s="62">
        <v>21.13</v>
      </c>
      <c r="F55" s="402">
        <v>2104</v>
      </c>
      <c r="G55" s="395">
        <f t="shared" si="31"/>
        <v>44457.52</v>
      </c>
      <c r="H55" s="90" t="s">
        <v>5</v>
      </c>
      <c r="I55" s="400">
        <v>10</v>
      </c>
      <c r="J55" s="63">
        <v>3000</v>
      </c>
      <c r="K55" s="64">
        <f t="shared" si="1"/>
        <v>300</v>
      </c>
      <c r="L55" s="400">
        <v>10</v>
      </c>
      <c r="M55" s="65">
        <f t="shared" si="32"/>
        <v>2869.090909090909</v>
      </c>
      <c r="N55" s="65">
        <f t="shared" si="3"/>
        <v>286.90909090909088</v>
      </c>
      <c r="O55" s="66">
        <f t="shared" si="4"/>
        <v>0</v>
      </c>
      <c r="P55" s="67">
        <f t="shared" si="5"/>
        <v>-13.090909090909122</v>
      </c>
      <c r="Q55" s="396">
        <f t="shared" si="6"/>
        <v>0.9563636363636363</v>
      </c>
      <c r="R55" s="529"/>
      <c r="S55" s="68">
        <v>0.57361111111111096</v>
      </c>
      <c r="T55" s="68">
        <v>0.60416666666666652</v>
      </c>
      <c r="U55" s="395">
        <f t="shared" si="34"/>
        <v>4.9999999999999822</v>
      </c>
      <c r="V55" s="401">
        <f t="shared" si="33"/>
        <v>44</v>
      </c>
      <c r="W55" s="69"/>
      <c r="X55" s="69"/>
      <c r="Y55" s="517"/>
      <c r="Z55" s="518"/>
      <c r="AA55" s="66">
        <f t="shared" si="8"/>
        <v>-130.90909090909099</v>
      </c>
      <c r="AB55" s="396">
        <f t="shared" si="9"/>
        <v>0.9563636363636363</v>
      </c>
      <c r="AC55" s="529"/>
    </row>
    <row r="56" spans="1:29" ht="15.75" customHeight="1">
      <c r="A56" s="527" t="s">
        <v>2189</v>
      </c>
      <c r="B56" s="62" t="s">
        <v>2180</v>
      </c>
      <c r="C56" s="508"/>
      <c r="D56" s="509"/>
      <c r="E56" s="394"/>
      <c r="F56" s="402"/>
      <c r="G56" s="395"/>
      <c r="H56" s="402"/>
      <c r="I56" s="72">
        <v>10.111111111111111</v>
      </c>
      <c r="J56" s="63">
        <v>2888.8888888888887</v>
      </c>
      <c r="K56" s="64">
        <f t="shared" si="1"/>
        <v>285.71428571428572</v>
      </c>
      <c r="L56" s="72">
        <v>10.111111111111111</v>
      </c>
      <c r="M56" s="65">
        <f>AVERAGE(M47:M55)</f>
        <v>2768.4054595766952</v>
      </c>
      <c r="N56" s="64">
        <f t="shared" si="3"/>
        <v>273.79834215593689</v>
      </c>
      <c r="O56" s="66">
        <f t="shared" si="4"/>
        <v>0</v>
      </c>
      <c r="P56" s="67">
        <f t="shared" si="5"/>
        <v>-11.915943558348829</v>
      </c>
      <c r="Q56" s="396">
        <f t="shared" si="6"/>
        <v>0.95829419754577905</v>
      </c>
      <c r="R56" s="530"/>
      <c r="S56" s="68"/>
      <c r="T56" s="68"/>
      <c r="U56" s="395"/>
      <c r="V56" s="401"/>
      <c r="W56" s="69"/>
      <c r="X56" s="69"/>
      <c r="Y56" s="517"/>
      <c r="Z56" s="518"/>
      <c r="AA56" s="66">
        <f t="shared" si="8"/>
        <v>-120.48342931219349</v>
      </c>
      <c r="AB56" s="396">
        <f t="shared" si="9"/>
        <v>0.95829419754577916</v>
      </c>
      <c r="AC56" s="530"/>
    </row>
    <row r="57" spans="1:29" ht="15.75" customHeight="1">
      <c r="A57" s="523" t="s">
        <v>2190</v>
      </c>
      <c r="B57" s="62" t="s">
        <v>10</v>
      </c>
      <c r="C57" s="512" t="s">
        <v>41</v>
      </c>
      <c r="D57" s="512"/>
      <c r="E57" s="62">
        <v>46</v>
      </c>
      <c r="F57" s="74">
        <v>2459</v>
      </c>
      <c r="G57" s="395">
        <f t="shared" ref="G57:G62" si="35">E57*F57</f>
        <v>113114</v>
      </c>
      <c r="H57" s="90" t="s">
        <v>5</v>
      </c>
      <c r="I57" s="400">
        <v>17</v>
      </c>
      <c r="J57" s="63">
        <v>2000</v>
      </c>
      <c r="K57" s="64">
        <f t="shared" si="1"/>
        <v>117.64705882352941</v>
      </c>
      <c r="L57" s="400">
        <v>17</v>
      </c>
      <c r="M57" s="65">
        <f t="shared" ref="M57:M62" si="36">F57/V57*60</f>
        <v>1916.1038961038962</v>
      </c>
      <c r="N57" s="65">
        <f t="shared" si="3"/>
        <v>112.71199388846448</v>
      </c>
      <c r="O57" s="66">
        <f t="shared" si="4"/>
        <v>0</v>
      </c>
      <c r="P57" s="67">
        <f t="shared" si="5"/>
        <v>-4.9350649350649292</v>
      </c>
      <c r="Q57" s="396">
        <f t="shared" si="6"/>
        <v>0.95805194805194815</v>
      </c>
      <c r="R57" s="511">
        <f>Q63</f>
        <v>0.95773213593857087</v>
      </c>
      <c r="S57" s="68">
        <v>0.20833333333333334</v>
      </c>
      <c r="T57" s="68">
        <v>0.26180555555555557</v>
      </c>
      <c r="U57" s="73"/>
      <c r="V57" s="401">
        <f t="shared" ref="V57:V62" si="37">(T57-S57)*24*60</f>
        <v>77</v>
      </c>
      <c r="W57" s="73"/>
      <c r="X57" s="73"/>
      <c r="Y57" s="510"/>
      <c r="Z57" s="510"/>
      <c r="AA57" s="66">
        <f t="shared" si="8"/>
        <v>-83.896103896103796</v>
      </c>
      <c r="AB57" s="396">
        <f t="shared" si="9"/>
        <v>0.95805194805194815</v>
      </c>
      <c r="AC57" s="511">
        <f>AB63</f>
        <v>0.95773213593857076</v>
      </c>
    </row>
    <row r="58" spans="1:29" ht="15.75" customHeight="1">
      <c r="A58" s="523" t="s">
        <v>2190</v>
      </c>
      <c r="B58" s="62" t="s">
        <v>10</v>
      </c>
      <c r="C58" s="512" t="s">
        <v>42</v>
      </c>
      <c r="D58" s="512"/>
      <c r="E58" s="62">
        <v>46</v>
      </c>
      <c r="F58" s="74">
        <v>2585</v>
      </c>
      <c r="G58" s="395">
        <f t="shared" si="35"/>
        <v>118910</v>
      </c>
      <c r="H58" s="90" t="s">
        <v>5</v>
      </c>
      <c r="I58" s="400">
        <v>17</v>
      </c>
      <c r="J58" s="63">
        <v>2000</v>
      </c>
      <c r="K58" s="64">
        <f t="shared" si="1"/>
        <v>117.64705882352941</v>
      </c>
      <c r="L58" s="400">
        <v>17</v>
      </c>
      <c r="M58" s="65">
        <f t="shared" si="36"/>
        <v>1914.8148148148141</v>
      </c>
      <c r="N58" s="65">
        <f t="shared" si="3"/>
        <v>112.63616557734201</v>
      </c>
      <c r="O58" s="66">
        <f t="shared" si="4"/>
        <v>0</v>
      </c>
      <c r="P58" s="67">
        <f t="shared" si="5"/>
        <v>-5.0108932461873934</v>
      </c>
      <c r="Q58" s="396">
        <f t="shared" si="6"/>
        <v>0.95740740740740715</v>
      </c>
      <c r="R58" s="511"/>
      <c r="S58" s="68">
        <v>0.2673611111111111</v>
      </c>
      <c r="T58" s="68">
        <v>0.32361111111111113</v>
      </c>
      <c r="U58" s="395">
        <f t="shared" ref="U58:U62" si="38">IF(S58=TIME(17,0,0),"",(S58-T57)*24*60)</f>
        <v>7.9999999999999716</v>
      </c>
      <c r="V58" s="401">
        <f t="shared" si="37"/>
        <v>81.000000000000028</v>
      </c>
      <c r="W58" s="69"/>
      <c r="X58" s="69"/>
      <c r="Y58" s="510"/>
      <c r="Z58" s="510"/>
      <c r="AA58" s="66">
        <f t="shared" si="8"/>
        <v>-85.185185185185901</v>
      </c>
      <c r="AB58" s="396">
        <f t="shared" si="9"/>
        <v>0.95740740740740704</v>
      </c>
      <c r="AC58" s="511"/>
    </row>
    <row r="59" spans="1:29" ht="15.75" customHeight="1">
      <c r="A59" s="523" t="s">
        <v>2190</v>
      </c>
      <c r="B59" s="62" t="s">
        <v>6</v>
      </c>
      <c r="C59" s="521" t="s">
        <v>43</v>
      </c>
      <c r="D59" s="522"/>
      <c r="E59" s="62">
        <v>55.56</v>
      </c>
      <c r="F59" s="74">
        <v>1965</v>
      </c>
      <c r="G59" s="395">
        <f t="shared" si="35"/>
        <v>109175.40000000001</v>
      </c>
      <c r="H59" s="90" t="s">
        <v>5</v>
      </c>
      <c r="I59" s="400">
        <v>17</v>
      </c>
      <c r="J59" s="63">
        <v>2000</v>
      </c>
      <c r="K59" s="64">
        <f t="shared" si="1"/>
        <v>117.64705882352941</v>
      </c>
      <c r="L59" s="400">
        <v>17</v>
      </c>
      <c r="M59" s="65">
        <f t="shared" si="36"/>
        <v>1932.7868852459035</v>
      </c>
      <c r="N59" s="65">
        <f t="shared" si="3"/>
        <v>113.6933461909355</v>
      </c>
      <c r="O59" s="66">
        <f t="shared" si="4"/>
        <v>0</v>
      </c>
      <c r="P59" s="67">
        <f t="shared" si="5"/>
        <v>-3.9537126325939056</v>
      </c>
      <c r="Q59" s="396">
        <f t="shared" si="6"/>
        <v>0.96639344262295179</v>
      </c>
      <c r="R59" s="511"/>
      <c r="S59" s="68">
        <v>0.70833333333333337</v>
      </c>
      <c r="T59" s="68">
        <v>0.75069444444444444</v>
      </c>
      <c r="U59" s="395" t="str">
        <f t="shared" si="38"/>
        <v/>
      </c>
      <c r="V59" s="401">
        <f t="shared" si="37"/>
        <v>60.999999999999943</v>
      </c>
      <c r="W59" s="69"/>
      <c r="X59" s="69"/>
      <c r="Y59" s="392"/>
      <c r="Z59" s="393"/>
      <c r="AA59" s="66">
        <f t="shared" si="8"/>
        <v>-67.213114754096523</v>
      </c>
      <c r="AB59" s="396">
        <f t="shared" si="9"/>
        <v>0.96639344262295179</v>
      </c>
      <c r="AC59" s="511"/>
    </row>
    <row r="60" spans="1:29" ht="15.75" customHeight="1">
      <c r="A60" s="523" t="s">
        <v>2190</v>
      </c>
      <c r="B60" s="62" t="s">
        <v>6</v>
      </c>
      <c r="C60" s="398" t="s">
        <v>44</v>
      </c>
      <c r="D60" s="399"/>
      <c r="E60" s="62">
        <v>55.32</v>
      </c>
      <c r="F60" s="74">
        <v>1593</v>
      </c>
      <c r="G60" s="395">
        <f t="shared" si="35"/>
        <v>88124.76</v>
      </c>
      <c r="H60" s="90" t="s">
        <v>5</v>
      </c>
      <c r="I60" s="400">
        <v>15</v>
      </c>
      <c r="J60" s="63">
        <v>2000</v>
      </c>
      <c r="K60" s="64">
        <f t="shared" si="1"/>
        <v>133.33333333333334</v>
      </c>
      <c r="L60" s="400">
        <v>15</v>
      </c>
      <c r="M60" s="65">
        <f t="shared" si="36"/>
        <v>1911.6000000000006</v>
      </c>
      <c r="N60" s="65">
        <f t="shared" si="3"/>
        <v>127.44000000000004</v>
      </c>
      <c r="O60" s="66">
        <f t="shared" si="4"/>
        <v>0</v>
      </c>
      <c r="P60" s="67">
        <f t="shared" si="5"/>
        <v>-5.8933333333333024</v>
      </c>
      <c r="Q60" s="396">
        <f t="shared" si="6"/>
        <v>0.9558000000000002</v>
      </c>
      <c r="R60" s="511"/>
      <c r="S60" s="68">
        <v>0.75416666666666665</v>
      </c>
      <c r="T60" s="68">
        <v>0.78888888888888886</v>
      </c>
      <c r="U60" s="395">
        <f t="shared" si="38"/>
        <v>4.9999999999999822</v>
      </c>
      <c r="V60" s="401">
        <f t="shared" si="37"/>
        <v>49.999999999999986</v>
      </c>
      <c r="W60" s="69"/>
      <c r="X60" s="69"/>
      <c r="Y60" s="392"/>
      <c r="Z60" s="393"/>
      <c r="AA60" s="66">
        <f t="shared" si="8"/>
        <v>-88.399999999999409</v>
      </c>
      <c r="AB60" s="396">
        <f t="shared" si="9"/>
        <v>0.95580000000000032</v>
      </c>
      <c r="AC60" s="511"/>
    </row>
    <row r="61" spans="1:29" ht="15.75" customHeight="1">
      <c r="A61" s="523" t="s">
        <v>2190</v>
      </c>
      <c r="B61" s="62" t="s">
        <v>6</v>
      </c>
      <c r="C61" s="398" t="s">
        <v>1462</v>
      </c>
      <c r="D61" s="399"/>
      <c r="E61" s="62">
        <v>53.68</v>
      </c>
      <c r="F61" s="74">
        <v>1000</v>
      </c>
      <c r="G61" s="395">
        <f t="shared" si="35"/>
        <v>53680</v>
      </c>
      <c r="H61" s="90">
        <v>2</v>
      </c>
      <c r="I61" s="400">
        <v>16</v>
      </c>
      <c r="J61" s="63">
        <v>1500</v>
      </c>
      <c r="K61" s="64">
        <f t="shared" si="1"/>
        <v>93.75</v>
      </c>
      <c r="L61" s="400">
        <v>16</v>
      </c>
      <c r="M61" s="65">
        <f t="shared" si="36"/>
        <v>1428.5714285714282</v>
      </c>
      <c r="N61" s="65">
        <f t="shared" si="3"/>
        <v>89.285714285714263</v>
      </c>
      <c r="O61" s="66">
        <f t="shared" si="4"/>
        <v>0</v>
      </c>
      <c r="P61" s="67">
        <f t="shared" si="5"/>
        <v>-4.4642857142857366</v>
      </c>
      <c r="Q61" s="396">
        <f t="shared" si="6"/>
        <v>0.95238095238095211</v>
      </c>
      <c r="R61" s="511"/>
      <c r="S61" s="68">
        <v>0.7944444444444444</v>
      </c>
      <c r="T61" s="68">
        <v>0.82361111111111107</v>
      </c>
      <c r="U61" s="395">
        <f t="shared" si="38"/>
        <v>7.9999999999999716</v>
      </c>
      <c r="V61" s="401">
        <f t="shared" si="37"/>
        <v>42.000000000000014</v>
      </c>
      <c r="W61" s="69">
        <f>T61</f>
        <v>0.82361111111111107</v>
      </c>
      <c r="X61" s="69">
        <f>S62</f>
        <v>0.8652777777777777</v>
      </c>
      <c r="Y61" s="392"/>
      <c r="Z61" s="393"/>
      <c r="AA61" s="66">
        <f t="shared" si="8"/>
        <v>-71.428571428571786</v>
      </c>
      <c r="AB61" s="396">
        <f t="shared" si="9"/>
        <v>0.95238095238095211</v>
      </c>
      <c r="AC61" s="511"/>
    </row>
    <row r="62" spans="1:29" ht="15.75" customHeight="1">
      <c r="A62" s="523" t="s">
        <v>2190</v>
      </c>
      <c r="B62" s="62" t="s">
        <v>6</v>
      </c>
      <c r="C62" s="521" t="s">
        <v>1462</v>
      </c>
      <c r="D62" s="522"/>
      <c r="E62" s="62">
        <v>53.68</v>
      </c>
      <c r="F62" s="74">
        <v>2433</v>
      </c>
      <c r="G62" s="395">
        <f t="shared" si="35"/>
        <v>130603.44</v>
      </c>
      <c r="H62" s="90" t="s">
        <v>5</v>
      </c>
      <c r="I62" s="400">
        <v>16</v>
      </c>
      <c r="J62" s="63">
        <v>1500</v>
      </c>
      <c r="K62" s="64">
        <f t="shared" si="1"/>
        <v>93.75</v>
      </c>
      <c r="L62" s="400">
        <v>16</v>
      </c>
      <c r="M62" s="65">
        <f t="shared" si="36"/>
        <v>1431.1764705882358</v>
      </c>
      <c r="N62" s="65">
        <f t="shared" si="3"/>
        <v>89.448529411764738</v>
      </c>
      <c r="O62" s="66">
        <f t="shared" si="4"/>
        <v>0</v>
      </c>
      <c r="P62" s="67">
        <f t="shared" si="5"/>
        <v>-4.3014705882352615</v>
      </c>
      <c r="Q62" s="396">
        <f t="shared" si="6"/>
        <v>0.95411764705882385</v>
      </c>
      <c r="R62" s="511"/>
      <c r="S62" s="68">
        <v>0.8652777777777777</v>
      </c>
      <c r="T62" s="68">
        <v>0.93611111111111101</v>
      </c>
      <c r="U62" s="395">
        <f t="shared" si="38"/>
        <v>59.999999999999943</v>
      </c>
      <c r="V62" s="401">
        <f t="shared" si="37"/>
        <v>101.99999999999996</v>
      </c>
      <c r="W62" s="69"/>
      <c r="X62" s="69"/>
      <c r="Y62" s="517"/>
      <c r="Z62" s="518"/>
      <c r="AA62" s="66">
        <f t="shared" si="8"/>
        <v>-68.823529411764184</v>
      </c>
      <c r="AB62" s="396">
        <f t="shared" si="9"/>
        <v>0.95411764705882385</v>
      </c>
      <c r="AC62" s="511"/>
    </row>
    <row r="63" spans="1:29">
      <c r="A63" s="524" t="s">
        <v>2190</v>
      </c>
      <c r="B63" s="62" t="s">
        <v>2180</v>
      </c>
      <c r="C63" s="513"/>
      <c r="D63" s="513"/>
      <c r="E63" s="397"/>
      <c r="F63" s="71"/>
      <c r="G63" s="64"/>
      <c r="H63" s="402"/>
      <c r="I63" s="72">
        <v>16.333333333333332</v>
      </c>
      <c r="J63" s="63">
        <v>1833.3333333333333</v>
      </c>
      <c r="K63" s="64">
        <f t="shared" si="1"/>
        <v>112.24489795918367</v>
      </c>
      <c r="L63" s="72">
        <v>16.333333333333332</v>
      </c>
      <c r="M63" s="65">
        <f>AVERAGE(M57:M62)</f>
        <v>1755.842249220713</v>
      </c>
      <c r="N63" s="64">
        <f t="shared" si="3"/>
        <v>107.50054587065591</v>
      </c>
      <c r="O63" s="66">
        <f t="shared" si="4"/>
        <v>0</v>
      </c>
      <c r="P63" s="67">
        <f t="shared" si="5"/>
        <v>-4.7443520885277621</v>
      </c>
      <c r="Q63" s="396">
        <f t="shared" si="6"/>
        <v>0.95773213593857087</v>
      </c>
      <c r="R63" s="511"/>
      <c r="S63" s="75"/>
      <c r="T63" s="68"/>
      <c r="U63" s="64"/>
      <c r="V63" s="401"/>
      <c r="W63" s="64"/>
      <c r="X63" s="64"/>
      <c r="Y63" s="510"/>
      <c r="Z63" s="510"/>
      <c r="AA63" s="66">
        <f t="shared" si="8"/>
        <v>-77.491084112620229</v>
      </c>
      <c r="AB63" s="396">
        <f t="shared" si="9"/>
        <v>0.95773213593857076</v>
      </c>
      <c r="AC63" s="511"/>
    </row>
    <row r="64" spans="1:29" ht="15.75" customHeight="1">
      <c r="A64" s="519" t="s">
        <v>2191</v>
      </c>
      <c r="B64" s="402" t="s">
        <v>10</v>
      </c>
      <c r="C64" s="512" t="s">
        <v>46</v>
      </c>
      <c r="D64" s="512"/>
      <c r="E64" s="62">
        <v>26.97</v>
      </c>
      <c r="F64" s="74">
        <v>3068</v>
      </c>
      <c r="G64" s="395">
        <f t="shared" ref="G64:G67" si="39">E64*F64</f>
        <v>82743.959999999992</v>
      </c>
      <c r="H64" s="90" t="s">
        <v>5</v>
      </c>
      <c r="I64" s="400">
        <v>8</v>
      </c>
      <c r="J64" s="63">
        <v>1500</v>
      </c>
      <c r="K64" s="64">
        <f t="shared" si="1"/>
        <v>187.5</v>
      </c>
      <c r="L64" s="400">
        <v>8</v>
      </c>
      <c r="M64" s="65">
        <f t="shared" ref="M64:M67" si="40">F64/V64*60</f>
        <v>1438.1250000000002</v>
      </c>
      <c r="N64" s="64">
        <f t="shared" si="3"/>
        <v>179.76562500000003</v>
      </c>
      <c r="O64" s="66">
        <f t="shared" si="4"/>
        <v>0</v>
      </c>
      <c r="P64" s="67">
        <f t="shared" si="5"/>
        <v>-7.7343749999999716</v>
      </c>
      <c r="Q64" s="396">
        <f t="shared" si="6"/>
        <v>0.9587500000000001</v>
      </c>
      <c r="R64" s="511">
        <f>Q68</f>
        <v>0.95777162878336775</v>
      </c>
      <c r="S64" s="68">
        <v>0.20833333333333334</v>
      </c>
      <c r="T64" s="68">
        <v>0.29722222222222222</v>
      </c>
      <c r="U64" s="395"/>
      <c r="V64" s="401">
        <f t="shared" ref="V64:V67" si="41">(T64-S64)*24*60</f>
        <v>127.99999999999997</v>
      </c>
      <c r="W64" s="73"/>
      <c r="X64" s="73"/>
      <c r="Y64" s="510"/>
      <c r="Z64" s="510"/>
      <c r="AA64" s="66">
        <f t="shared" si="8"/>
        <v>-61.874999999999773</v>
      </c>
      <c r="AB64" s="396">
        <f t="shared" si="9"/>
        <v>0.9587500000000001</v>
      </c>
      <c r="AC64" s="511">
        <f>AB68</f>
        <v>0.95777162878336786</v>
      </c>
    </row>
    <row r="65" spans="1:29" ht="15.75" customHeight="1">
      <c r="A65" s="519" t="s">
        <v>2191</v>
      </c>
      <c r="B65" s="402" t="s">
        <v>35</v>
      </c>
      <c r="C65" s="512" t="s">
        <v>45</v>
      </c>
      <c r="D65" s="512"/>
      <c r="E65" s="62">
        <v>26.78</v>
      </c>
      <c r="F65" s="74">
        <v>2827</v>
      </c>
      <c r="G65" s="395">
        <f t="shared" si="39"/>
        <v>75707.06</v>
      </c>
      <c r="H65" s="90" t="s">
        <v>5</v>
      </c>
      <c r="I65" s="400">
        <v>10</v>
      </c>
      <c r="J65" s="63">
        <v>3000</v>
      </c>
      <c r="K65" s="64">
        <f t="shared" si="1"/>
        <v>300</v>
      </c>
      <c r="L65" s="400">
        <v>10</v>
      </c>
      <c r="M65" s="65">
        <f t="shared" si="40"/>
        <v>2874.9152542372867</v>
      </c>
      <c r="N65" s="64">
        <f t="shared" si="3"/>
        <v>287.49152542372866</v>
      </c>
      <c r="O65" s="66">
        <f t="shared" si="4"/>
        <v>0</v>
      </c>
      <c r="P65" s="67">
        <f t="shared" si="5"/>
        <v>-12.50847457627134</v>
      </c>
      <c r="Q65" s="396">
        <f t="shared" si="6"/>
        <v>0.95830508474576215</v>
      </c>
      <c r="R65" s="511"/>
      <c r="S65" s="68">
        <v>0.30069444444444443</v>
      </c>
      <c r="T65" s="68">
        <v>0.34166666666666667</v>
      </c>
      <c r="U65" s="395">
        <f t="shared" ref="U65:U67" si="42">(S65-T64)*24*60</f>
        <v>4.9999999999999822</v>
      </c>
      <c r="V65" s="401">
        <f t="shared" si="41"/>
        <v>59.000000000000028</v>
      </c>
      <c r="W65" s="395"/>
      <c r="X65" s="395"/>
      <c r="Y65" s="510"/>
      <c r="Z65" s="510"/>
      <c r="AA65" s="66">
        <f t="shared" si="8"/>
        <v>-125.08474576271328</v>
      </c>
      <c r="AB65" s="396">
        <f t="shared" si="9"/>
        <v>0.95830508474576226</v>
      </c>
      <c r="AC65" s="511"/>
    </row>
    <row r="66" spans="1:29" ht="15.75" customHeight="1">
      <c r="A66" s="519" t="s">
        <v>2191</v>
      </c>
      <c r="B66" s="402" t="s">
        <v>35</v>
      </c>
      <c r="C66" s="512" t="s">
        <v>75</v>
      </c>
      <c r="D66" s="512"/>
      <c r="E66" s="62">
        <v>37.880000000000003</v>
      </c>
      <c r="F66" s="74">
        <v>3151</v>
      </c>
      <c r="G66" s="395">
        <f t="shared" si="39"/>
        <v>119359.88</v>
      </c>
      <c r="H66" s="90" t="s">
        <v>5</v>
      </c>
      <c r="I66" s="400">
        <v>10</v>
      </c>
      <c r="J66" s="63">
        <v>3000</v>
      </c>
      <c r="K66" s="64">
        <f t="shared" si="1"/>
        <v>300</v>
      </c>
      <c r="L66" s="400">
        <v>10</v>
      </c>
      <c r="M66" s="65">
        <f t="shared" si="40"/>
        <v>2864.5454545454545</v>
      </c>
      <c r="N66" s="64">
        <f t="shared" si="3"/>
        <v>286.45454545454544</v>
      </c>
      <c r="O66" s="66">
        <f t="shared" si="4"/>
        <v>0</v>
      </c>
      <c r="P66" s="67">
        <f t="shared" si="5"/>
        <v>-13.545454545454561</v>
      </c>
      <c r="Q66" s="396">
        <f t="shared" si="6"/>
        <v>0.95484848484848484</v>
      </c>
      <c r="R66" s="511"/>
      <c r="S66" s="68">
        <v>0.34652777777777777</v>
      </c>
      <c r="T66" s="68">
        <v>0.3923611111111111</v>
      </c>
      <c r="U66" s="395">
        <f t="shared" si="42"/>
        <v>6.9999999999999751</v>
      </c>
      <c r="V66" s="401">
        <f t="shared" si="41"/>
        <v>66</v>
      </c>
      <c r="W66" s="395"/>
      <c r="X66" s="395"/>
      <c r="Y66" s="510"/>
      <c r="Z66" s="510"/>
      <c r="AA66" s="66">
        <f t="shared" si="8"/>
        <v>-135.4545454545455</v>
      </c>
      <c r="AB66" s="396">
        <f t="shared" si="9"/>
        <v>0.95484848484848484</v>
      </c>
      <c r="AC66" s="511"/>
    </row>
    <row r="67" spans="1:29" ht="15.75" customHeight="1">
      <c r="A67" s="519" t="s">
        <v>2191</v>
      </c>
      <c r="B67" s="402" t="s">
        <v>35</v>
      </c>
      <c r="C67" s="512" t="s">
        <v>85</v>
      </c>
      <c r="D67" s="512"/>
      <c r="E67" s="62">
        <v>40.51</v>
      </c>
      <c r="F67" s="74">
        <v>2927</v>
      </c>
      <c r="G67" s="395">
        <f t="shared" si="39"/>
        <v>118572.76999999999</v>
      </c>
      <c r="H67" s="90" t="s">
        <v>5</v>
      </c>
      <c r="I67" s="400">
        <v>8</v>
      </c>
      <c r="J67" s="63">
        <v>3000</v>
      </c>
      <c r="K67" s="64">
        <f t="shared" si="1"/>
        <v>375</v>
      </c>
      <c r="L67" s="400">
        <v>8</v>
      </c>
      <c r="M67" s="65">
        <f t="shared" si="40"/>
        <v>2879.0163934426218</v>
      </c>
      <c r="N67" s="64">
        <f t="shared" si="3"/>
        <v>359.87704918032773</v>
      </c>
      <c r="O67" s="66">
        <f t="shared" si="4"/>
        <v>0</v>
      </c>
      <c r="P67" s="67">
        <f t="shared" si="5"/>
        <v>-15.122950819672269</v>
      </c>
      <c r="Q67" s="396">
        <f t="shared" si="6"/>
        <v>0.95967213114754057</v>
      </c>
      <c r="R67" s="511"/>
      <c r="S67" s="68">
        <v>0.3972222222222222</v>
      </c>
      <c r="T67" s="68">
        <v>0.43958333333333333</v>
      </c>
      <c r="U67" s="395">
        <f t="shared" si="42"/>
        <v>6.9999999999999751</v>
      </c>
      <c r="V67" s="401">
        <f t="shared" si="41"/>
        <v>61.000000000000021</v>
      </c>
      <c r="W67" s="395"/>
      <c r="X67" s="395"/>
      <c r="Y67" s="510"/>
      <c r="Z67" s="510"/>
      <c r="AA67" s="66">
        <f t="shared" si="8"/>
        <v>-120.98360655737815</v>
      </c>
      <c r="AB67" s="396">
        <f t="shared" si="9"/>
        <v>0.95967213114754057</v>
      </c>
      <c r="AC67" s="511"/>
    </row>
    <row r="68" spans="1:29">
      <c r="A68" s="520" t="s">
        <v>2191</v>
      </c>
      <c r="B68" s="62" t="s">
        <v>2180</v>
      </c>
      <c r="C68" s="513"/>
      <c r="D68" s="513"/>
      <c r="E68" s="397"/>
      <c r="F68" s="71"/>
      <c r="G68" s="64"/>
      <c r="H68" s="402"/>
      <c r="I68" s="72">
        <v>9</v>
      </c>
      <c r="J68" s="63">
        <v>2625</v>
      </c>
      <c r="K68" s="64">
        <f t="shared" si="1"/>
        <v>291.66666666666669</v>
      </c>
      <c r="L68" s="72">
        <v>9</v>
      </c>
      <c r="M68" s="65">
        <f>AVERAGE(M64:M67)</f>
        <v>2514.1505255563407</v>
      </c>
      <c r="N68" s="64">
        <f t="shared" si="3"/>
        <v>279.35005839514895</v>
      </c>
      <c r="O68" s="66">
        <f t="shared" si="4"/>
        <v>0</v>
      </c>
      <c r="P68" s="67">
        <f t="shared" si="5"/>
        <v>-12.316608271517737</v>
      </c>
      <c r="Q68" s="396">
        <f t="shared" si="6"/>
        <v>0.95777162878336775</v>
      </c>
      <c r="R68" s="511"/>
      <c r="S68" s="68"/>
      <c r="T68" s="68"/>
      <c r="U68" s="64"/>
      <c r="V68" s="401"/>
      <c r="W68" s="64"/>
      <c r="X68" s="64"/>
      <c r="Y68" s="510"/>
      <c r="Z68" s="510"/>
      <c r="AA68" s="66">
        <f t="shared" si="8"/>
        <v>-110.84947444365935</v>
      </c>
      <c r="AB68" s="396">
        <f t="shared" si="9"/>
        <v>0.95777162878336786</v>
      </c>
      <c r="AC68" s="511"/>
    </row>
    <row r="69" spans="1:29" ht="15.75" customHeight="1">
      <c r="A69" s="514" t="s">
        <v>2192</v>
      </c>
      <c r="B69" s="402" t="s">
        <v>16</v>
      </c>
      <c r="C69" s="512" t="s">
        <v>48</v>
      </c>
      <c r="D69" s="512"/>
      <c r="E69" s="62">
        <v>20.2</v>
      </c>
      <c r="F69" s="402">
        <v>2775</v>
      </c>
      <c r="G69" s="395">
        <f t="shared" ref="G69:G76" si="43">E69*F69</f>
        <v>56055</v>
      </c>
      <c r="H69" s="90" t="s">
        <v>5</v>
      </c>
      <c r="I69" s="400">
        <v>19</v>
      </c>
      <c r="J69" s="63">
        <v>2400</v>
      </c>
      <c r="K69" s="64">
        <f t="shared" ref="K69:K77" si="44">J69/I69</f>
        <v>126.31578947368421</v>
      </c>
      <c r="L69" s="400">
        <v>19</v>
      </c>
      <c r="M69" s="65">
        <f t="shared" ref="M69:M76" si="45">F69/V69*60</f>
        <v>2312.4999999999995</v>
      </c>
      <c r="N69" s="64">
        <f t="shared" ref="N69:N77" si="46">M69/L69</f>
        <v>121.71052631578945</v>
      </c>
      <c r="O69" s="66">
        <f t="shared" ref="O69:O77" si="47">L69-I69</f>
        <v>0</v>
      </c>
      <c r="P69" s="67">
        <f t="shared" ref="P69:P77" si="48">N69-K69</f>
        <v>-4.605263157894754</v>
      </c>
      <c r="Q69" s="396">
        <f t="shared" ref="Q69:Q77" si="49">N69/K69</f>
        <v>0.96354166666666652</v>
      </c>
      <c r="R69" s="511">
        <f>Q77</f>
        <v>0.95761218734549858</v>
      </c>
      <c r="S69" s="68">
        <v>8.3333333333333329E-2</v>
      </c>
      <c r="T69" s="68">
        <v>0.13333333333333333</v>
      </c>
      <c r="U69" s="73"/>
      <c r="V69" s="401">
        <f t="shared" ref="V69:V76" si="50">(T69-S69)*24*60</f>
        <v>72.000000000000014</v>
      </c>
      <c r="W69" s="69">
        <f>T69</f>
        <v>0.13333333333333333</v>
      </c>
      <c r="X69" s="69">
        <f>S70</f>
        <v>0.15347222222222223</v>
      </c>
      <c r="Y69" s="510"/>
      <c r="Z69" s="510"/>
      <c r="AA69" s="66">
        <f t="shared" ref="AA69:AA77" si="51">M69-J69</f>
        <v>-87.500000000000455</v>
      </c>
      <c r="AB69" s="396">
        <f t="shared" ref="AB69:AB77" si="52">M69/J69</f>
        <v>0.96354166666666652</v>
      </c>
      <c r="AC69" s="511">
        <f>AB77</f>
        <v>0.95761218734549858</v>
      </c>
    </row>
    <row r="70" spans="1:29" ht="15.75" customHeight="1">
      <c r="A70" s="515" t="s">
        <v>342</v>
      </c>
      <c r="B70" s="402" t="s">
        <v>16</v>
      </c>
      <c r="C70" s="512" t="s">
        <v>18</v>
      </c>
      <c r="D70" s="512"/>
      <c r="E70" s="62">
        <v>22.35</v>
      </c>
      <c r="F70" s="402">
        <v>2178</v>
      </c>
      <c r="G70" s="395">
        <f t="shared" si="43"/>
        <v>48678.3</v>
      </c>
      <c r="H70" s="90" t="s">
        <v>5</v>
      </c>
      <c r="I70" s="400">
        <v>16</v>
      </c>
      <c r="J70" s="63">
        <v>2400</v>
      </c>
      <c r="K70" s="64">
        <f t="shared" si="44"/>
        <v>150</v>
      </c>
      <c r="L70" s="400">
        <v>16</v>
      </c>
      <c r="M70" s="65">
        <f t="shared" si="45"/>
        <v>2292.6315789473683</v>
      </c>
      <c r="N70" s="64">
        <f t="shared" si="46"/>
        <v>143.28947368421052</v>
      </c>
      <c r="O70" s="66">
        <f t="shared" si="47"/>
        <v>0</v>
      </c>
      <c r="P70" s="67">
        <f t="shared" si="48"/>
        <v>-6.7105263157894797</v>
      </c>
      <c r="Q70" s="396">
        <f t="shared" si="49"/>
        <v>0.95526315789473681</v>
      </c>
      <c r="R70" s="511"/>
      <c r="S70" s="68">
        <v>0.15347222222222223</v>
      </c>
      <c r="T70" s="68">
        <v>0.19305555555555556</v>
      </c>
      <c r="U70" s="395">
        <f t="shared" ref="U70:U76" si="53">(S70-T69)*24*60</f>
        <v>29.000000000000018</v>
      </c>
      <c r="V70" s="401">
        <f t="shared" si="50"/>
        <v>57</v>
      </c>
      <c r="W70" s="69"/>
      <c r="X70" s="69"/>
      <c r="Y70" s="510"/>
      <c r="Z70" s="510"/>
      <c r="AA70" s="66">
        <f t="shared" si="51"/>
        <v>-107.36842105263167</v>
      </c>
      <c r="AB70" s="396">
        <f t="shared" si="52"/>
        <v>0.95526315789473681</v>
      </c>
      <c r="AC70" s="511"/>
    </row>
    <row r="71" spans="1:29" ht="15.75" customHeight="1">
      <c r="A71" s="515" t="s">
        <v>342</v>
      </c>
      <c r="B71" s="402" t="s">
        <v>16</v>
      </c>
      <c r="C71" s="512" t="s">
        <v>34</v>
      </c>
      <c r="D71" s="512"/>
      <c r="E71" s="62">
        <v>24.25</v>
      </c>
      <c r="F71" s="402">
        <v>2955</v>
      </c>
      <c r="G71" s="395">
        <f t="shared" si="43"/>
        <v>71658.75</v>
      </c>
      <c r="H71" s="90" t="s">
        <v>5</v>
      </c>
      <c r="I71" s="400">
        <v>13</v>
      </c>
      <c r="J71" s="63">
        <v>2400</v>
      </c>
      <c r="K71" s="64">
        <f t="shared" si="44"/>
        <v>184.61538461538461</v>
      </c>
      <c r="L71" s="400">
        <v>13</v>
      </c>
      <c r="M71" s="65">
        <f t="shared" si="45"/>
        <v>2302.5974025974028</v>
      </c>
      <c r="N71" s="64">
        <f t="shared" si="46"/>
        <v>177.12287712287713</v>
      </c>
      <c r="O71" s="66">
        <f t="shared" si="47"/>
        <v>0</v>
      </c>
      <c r="P71" s="67">
        <f t="shared" si="48"/>
        <v>-7.4925074925074853</v>
      </c>
      <c r="Q71" s="396">
        <f t="shared" si="49"/>
        <v>0.9594155844155845</v>
      </c>
      <c r="R71" s="511"/>
      <c r="S71" s="68">
        <v>0.19652777777777777</v>
      </c>
      <c r="T71" s="68">
        <v>0.25</v>
      </c>
      <c r="U71" s="395">
        <f t="shared" si="53"/>
        <v>4.9999999999999822</v>
      </c>
      <c r="V71" s="401">
        <f t="shared" si="50"/>
        <v>77</v>
      </c>
      <c r="W71" s="69"/>
      <c r="X71" s="69"/>
      <c r="Y71" s="510"/>
      <c r="Z71" s="510"/>
      <c r="AA71" s="66">
        <f t="shared" si="51"/>
        <v>-97.402597402597166</v>
      </c>
      <c r="AB71" s="396">
        <f t="shared" si="52"/>
        <v>0.9594155844155845</v>
      </c>
      <c r="AC71" s="511"/>
    </row>
    <row r="72" spans="1:29" ht="15.75" customHeight="1">
      <c r="A72" s="515" t="s">
        <v>342</v>
      </c>
      <c r="B72" s="402" t="s">
        <v>16</v>
      </c>
      <c r="C72" s="512" t="s">
        <v>26</v>
      </c>
      <c r="D72" s="512"/>
      <c r="E72" s="62">
        <v>20.52</v>
      </c>
      <c r="F72" s="402">
        <v>3646</v>
      </c>
      <c r="G72" s="395">
        <f t="shared" si="43"/>
        <v>74815.92</v>
      </c>
      <c r="H72" s="90" t="s">
        <v>5</v>
      </c>
      <c r="I72" s="400">
        <v>18</v>
      </c>
      <c r="J72" s="63">
        <v>2400</v>
      </c>
      <c r="K72" s="64">
        <f t="shared" si="44"/>
        <v>133.33333333333334</v>
      </c>
      <c r="L72" s="400">
        <v>18</v>
      </c>
      <c r="M72" s="65">
        <f t="shared" si="45"/>
        <v>2302.7368421052633</v>
      </c>
      <c r="N72" s="64">
        <f t="shared" si="46"/>
        <v>127.92982456140352</v>
      </c>
      <c r="O72" s="66">
        <f t="shared" si="47"/>
        <v>0</v>
      </c>
      <c r="P72" s="67">
        <f t="shared" si="48"/>
        <v>-5.4035087719298218</v>
      </c>
      <c r="Q72" s="396">
        <f t="shared" si="49"/>
        <v>0.95947368421052637</v>
      </c>
      <c r="R72" s="511"/>
      <c r="S72" s="68">
        <v>0.25486111111111109</v>
      </c>
      <c r="T72" s="68">
        <v>0.3208333333333333</v>
      </c>
      <c r="U72" s="395">
        <f t="shared" si="53"/>
        <v>6.9999999999999751</v>
      </c>
      <c r="V72" s="401">
        <f t="shared" si="50"/>
        <v>94.999999999999986</v>
      </c>
      <c r="W72" s="69"/>
      <c r="X72" s="69"/>
      <c r="Y72" s="510"/>
      <c r="Z72" s="510"/>
      <c r="AA72" s="66">
        <f t="shared" si="51"/>
        <v>-97.263157894736651</v>
      </c>
      <c r="AB72" s="396">
        <f t="shared" si="52"/>
        <v>0.95947368421052637</v>
      </c>
      <c r="AC72" s="511"/>
    </row>
    <row r="73" spans="1:29" ht="15.75" customHeight="1">
      <c r="A73" s="515" t="s">
        <v>2192</v>
      </c>
      <c r="B73" s="402" t="s">
        <v>16</v>
      </c>
      <c r="C73" s="512" t="s">
        <v>2115</v>
      </c>
      <c r="D73" s="512"/>
      <c r="E73" s="62">
        <v>21.68</v>
      </c>
      <c r="F73" s="402">
        <v>4500</v>
      </c>
      <c r="G73" s="395">
        <f t="shared" si="43"/>
        <v>97560</v>
      </c>
      <c r="H73" s="90">
        <v>2</v>
      </c>
      <c r="I73" s="400">
        <v>15</v>
      </c>
      <c r="J73" s="63">
        <v>2400</v>
      </c>
      <c r="K73" s="64">
        <f t="shared" si="44"/>
        <v>160</v>
      </c>
      <c r="L73" s="400">
        <v>15</v>
      </c>
      <c r="M73" s="65">
        <f t="shared" si="45"/>
        <v>2288.1355932203396</v>
      </c>
      <c r="N73" s="64">
        <f t="shared" si="46"/>
        <v>152.54237288135599</v>
      </c>
      <c r="O73" s="66">
        <f t="shared" si="47"/>
        <v>0</v>
      </c>
      <c r="P73" s="67">
        <f t="shared" si="48"/>
        <v>-7.4576271186440124</v>
      </c>
      <c r="Q73" s="396">
        <f t="shared" si="49"/>
        <v>0.95338983050847492</v>
      </c>
      <c r="R73" s="511"/>
      <c r="S73" s="68">
        <v>0.32430555555555551</v>
      </c>
      <c r="T73" s="68">
        <v>0.40624999999999994</v>
      </c>
      <c r="U73" s="395">
        <f t="shared" si="53"/>
        <v>4.9999999999999822</v>
      </c>
      <c r="V73" s="401">
        <f t="shared" si="50"/>
        <v>117.99999999999999</v>
      </c>
      <c r="W73" s="69"/>
      <c r="X73" s="69"/>
      <c r="Y73" s="510"/>
      <c r="Z73" s="510"/>
      <c r="AA73" s="66">
        <f t="shared" si="51"/>
        <v>-111.86440677966038</v>
      </c>
      <c r="AB73" s="396">
        <f t="shared" si="52"/>
        <v>0.95338983050847481</v>
      </c>
      <c r="AC73" s="511"/>
    </row>
    <row r="74" spans="1:29" ht="15.75" customHeight="1">
      <c r="A74" s="515" t="s">
        <v>342</v>
      </c>
      <c r="B74" s="402" t="s">
        <v>16</v>
      </c>
      <c r="C74" s="512" t="s">
        <v>33</v>
      </c>
      <c r="D74" s="512"/>
      <c r="E74" s="62">
        <v>24.43</v>
      </c>
      <c r="F74" s="402">
        <v>4200</v>
      </c>
      <c r="G74" s="395">
        <f t="shared" si="43"/>
        <v>102606</v>
      </c>
      <c r="H74" s="90">
        <v>2</v>
      </c>
      <c r="I74" s="400">
        <v>14</v>
      </c>
      <c r="J74" s="63">
        <v>2400</v>
      </c>
      <c r="K74" s="64">
        <f t="shared" si="44"/>
        <v>171.42857142857142</v>
      </c>
      <c r="L74" s="400">
        <v>14</v>
      </c>
      <c r="M74" s="65">
        <f t="shared" si="45"/>
        <v>2290.909090909091</v>
      </c>
      <c r="N74" s="64">
        <f t="shared" si="46"/>
        <v>163.63636363636365</v>
      </c>
      <c r="O74" s="66">
        <f t="shared" si="47"/>
        <v>0</v>
      </c>
      <c r="P74" s="67">
        <f t="shared" si="48"/>
        <v>-7.7922077922077619</v>
      </c>
      <c r="Q74" s="396">
        <f t="shared" si="49"/>
        <v>0.9545454545454547</v>
      </c>
      <c r="R74" s="511"/>
      <c r="S74" s="68">
        <v>0.41111111111111104</v>
      </c>
      <c r="T74" s="68">
        <v>0.48749999999999993</v>
      </c>
      <c r="U74" s="395">
        <f t="shared" si="53"/>
        <v>6.9999999999999751</v>
      </c>
      <c r="V74" s="401">
        <f t="shared" si="50"/>
        <v>110.00000000000001</v>
      </c>
      <c r="W74" s="69">
        <f>T74</f>
        <v>0.48749999999999993</v>
      </c>
      <c r="X74" s="69">
        <f>S75</f>
        <v>0.5263888888888888</v>
      </c>
      <c r="Y74" s="510"/>
      <c r="Z74" s="510"/>
      <c r="AA74" s="66">
        <f t="shared" si="51"/>
        <v>-109.09090909090901</v>
      </c>
      <c r="AB74" s="396">
        <f t="shared" si="52"/>
        <v>0.95454545454545459</v>
      </c>
      <c r="AC74" s="511"/>
    </row>
    <row r="75" spans="1:29" ht="15.75" customHeight="1">
      <c r="A75" s="515" t="s">
        <v>2192</v>
      </c>
      <c r="B75" s="402" t="s">
        <v>16</v>
      </c>
      <c r="C75" s="512" t="s">
        <v>33</v>
      </c>
      <c r="D75" s="512"/>
      <c r="E75" s="62">
        <v>24.43</v>
      </c>
      <c r="F75" s="402">
        <v>4324</v>
      </c>
      <c r="G75" s="395">
        <f t="shared" si="43"/>
        <v>105635.31999999999</v>
      </c>
      <c r="H75" s="90" t="s">
        <v>5</v>
      </c>
      <c r="I75" s="400">
        <v>14</v>
      </c>
      <c r="J75" s="63">
        <v>2400</v>
      </c>
      <c r="K75" s="64">
        <f t="shared" si="44"/>
        <v>171.42857142857142</v>
      </c>
      <c r="L75" s="400">
        <v>14</v>
      </c>
      <c r="M75" s="65">
        <f t="shared" si="45"/>
        <v>2295.9292035398212</v>
      </c>
      <c r="N75" s="64">
        <f t="shared" si="46"/>
        <v>163.99494310998722</v>
      </c>
      <c r="O75" s="66">
        <f t="shared" si="47"/>
        <v>0</v>
      </c>
      <c r="P75" s="67">
        <f t="shared" si="48"/>
        <v>-7.4336283185841978</v>
      </c>
      <c r="Q75" s="396">
        <f t="shared" si="49"/>
        <v>0.95663716814159216</v>
      </c>
      <c r="R75" s="511"/>
      <c r="S75" s="68">
        <v>0.5263888888888888</v>
      </c>
      <c r="T75" s="68">
        <v>0.60486111111111107</v>
      </c>
      <c r="U75" s="395">
        <f t="shared" si="53"/>
        <v>55.999999999999957</v>
      </c>
      <c r="V75" s="401">
        <f t="shared" si="50"/>
        <v>113.00000000000009</v>
      </c>
      <c r="W75" s="69"/>
      <c r="X75" s="69"/>
      <c r="Y75" s="517"/>
      <c r="Z75" s="518"/>
      <c r="AA75" s="66">
        <f t="shared" si="51"/>
        <v>-104.07079646017883</v>
      </c>
      <c r="AB75" s="396">
        <f t="shared" si="52"/>
        <v>0.95663716814159216</v>
      </c>
      <c r="AC75" s="511"/>
    </row>
    <row r="76" spans="1:29" ht="15.75" customHeight="1">
      <c r="A76" s="515" t="s">
        <v>2192</v>
      </c>
      <c r="B76" s="402" t="s">
        <v>16</v>
      </c>
      <c r="C76" s="512" t="s">
        <v>2115</v>
      </c>
      <c r="D76" s="512"/>
      <c r="E76" s="62">
        <v>21.68</v>
      </c>
      <c r="F76" s="402">
        <v>3221</v>
      </c>
      <c r="G76" s="395">
        <f t="shared" si="43"/>
        <v>69831.28</v>
      </c>
      <c r="H76" s="90" t="s">
        <v>5</v>
      </c>
      <c r="I76" s="400">
        <v>15</v>
      </c>
      <c r="J76" s="63">
        <v>2400</v>
      </c>
      <c r="K76" s="64">
        <f t="shared" si="44"/>
        <v>160</v>
      </c>
      <c r="L76" s="400">
        <v>15</v>
      </c>
      <c r="M76" s="65">
        <f t="shared" si="45"/>
        <v>2300.7142857142849</v>
      </c>
      <c r="N76" s="64">
        <f t="shared" si="46"/>
        <v>153.38095238095232</v>
      </c>
      <c r="O76" s="66">
        <f t="shared" si="47"/>
        <v>0</v>
      </c>
      <c r="P76" s="67">
        <f t="shared" si="48"/>
        <v>-6.6190476190476772</v>
      </c>
      <c r="Q76" s="396">
        <f t="shared" si="49"/>
        <v>0.95863095238095197</v>
      </c>
      <c r="R76" s="511"/>
      <c r="S76" s="68">
        <v>0.60972222222222217</v>
      </c>
      <c r="T76" s="68">
        <v>0.66805555555555551</v>
      </c>
      <c r="U76" s="395">
        <f t="shared" si="53"/>
        <v>6.9999999999999751</v>
      </c>
      <c r="V76" s="401">
        <f t="shared" si="50"/>
        <v>84.000000000000028</v>
      </c>
      <c r="W76" s="69"/>
      <c r="X76" s="69"/>
      <c r="Y76" s="517"/>
      <c r="Z76" s="518"/>
      <c r="AA76" s="66">
        <f t="shared" si="51"/>
        <v>-99.28571428571513</v>
      </c>
      <c r="AB76" s="396">
        <f t="shared" si="52"/>
        <v>0.95863095238095208</v>
      </c>
      <c r="AC76" s="511"/>
    </row>
    <row r="77" spans="1:29" ht="16.5" customHeight="1">
      <c r="A77" s="516" t="s">
        <v>2192</v>
      </c>
      <c r="B77" s="62" t="s">
        <v>2180</v>
      </c>
      <c r="C77" s="508"/>
      <c r="D77" s="509"/>
      <c r="E77" s="397"/>
      <c r="F77" s="71"/>
      <c r="G77" s="64"/>
      <c r="H77" s="402"/>
      <c r="I77" s="72">
        <v>15.5</v>
      </c>
      <c r="J77" s="63">
        <v>2400</v>
      </c>
      <c r="K77" s="64">
        <f t="shared" si="44"/>
        <v>154.83870967741936</v>
      </c>
      <c r="L77" s="72">
        <v>15.5</v>
      </c>
      <c r="M77" s="65">
        <f>AVERAGE(M69:M76)</f>
        <v>2298.2692496291966</v>
      </c>
      <c r="N77" s="64">
        <f t="shared" si="46"/>
        <v>148.27543545994817</v>
      </c>
      <c r="O77" s="66">
        <f t="shared" si="47"/>
        <v>0</v>
      </c>
      <c r="P77" s="67">
        <f t="shared" si="48"/>
        <v>-6.5632742174711893</v>
      </c>
      <c r="Q77" s="396">
        <f t="shared" si="49"/>
        <v>0.95761218734549858</v>
      </c>
      <c r="R77" s="511"/>
      <c r="S77" s="68"/>
      <c r="T77" s="68"/>
      <c r="U77" s="64"/>
      <c r="V77" s="401"/>
      <c r="W77" s="64"/>
      <c r="X77" s="64"/>
      <c r="Y77" s="510"/>
      <c r="Z77" s="510"/>
      <c r="AA77" s="66">
        <f t="shared" si="51"/>
        <v>-101.73075037080343</v>
      </c>
      <c r="AB77" s="396">
        <f t="shared" si="52"/>
        <v>0.95761218734549858</v>
      </c>
      <c r="AC77" s="511"/>
    </row>
    <row r="78" spans="1:29">
      <c r="D78" s="76"/>
      <c r="E78" s="76"/>
    </row>
  </sheetData>
  <mergeCells count="202">
    <mergeCell ref="A69:A77"/>
    <mergeCell ref="C69:D69"/>
    <mergeCell ref="R69:R77"/>
    <mergeCell ref="Y69:Z69"/>
    <mergeCell ref="AC69:AC77"/>
    <mergeCell ref="C70:D70"/>
    <mergeCell ref="Y70:Z70"/>
    <mergeCell ref="C71:D71"/>
    <mergeCell ref="Y71:Z71"/>
    <mergeCell ref="C72:D72"/>
    <mergeCell ref="C76:D76"/>
    <mergeCell ref="Y76:Z76"/>
    <mergeCell ref="C77:D77"/>
    <mergeCell ref="Y77:Z77"/>
    <mergeCell ref="Y72:Z72"/>
    <mergeCell ref="C73:D73"/>
    <mergeCell ref="Y73:Z73"/>
    <mergeCell ref="C74:D74"/>
    <mergeCell ref="Y74:Z74"/>
    <mergeCell ref="C75:D75"/>
    <mergeCell ref="Y75:Z75"/>
    <mergeCell ref="A64:A68"/>
    <mergeCell ref="C64:D64"/>
    <mergeCell ref="R64:R68"/>
    <mergeCell ref="Y64:Z64"/>
    <mergeCell ref="A57:A63"/>
    <mergeCell ref="C57:D57"/>
    <mergeCell ref="R57:R63"/>
    <mergeCell ref="Y57:Z57"/>
    <mergeCell ref="AC64:AC68"/>
    <mergeCell ref="C65:D65"/>
    <mergeCell ref="Y65:Z65"/>
    <mergeCell ref="C66:D66"/>
    <mergeCell ref="Y66:Z66"/>
    <mergeCell ref="C67:D67"/>
    <mergeCell ref="Y67:Z67"/>
    <mergeCell ref="C68:D68"/>
    <mergeCell ref="Y68:Z68"/>
    <mergeCell ref="AC57:AC63"/>
    <mergeCell ref="C58:D58"/>
    <mergeCell ref="Y58:Z58"/>
    <mergeCell ref="C59:D59"/>
    <mergeCell ref="C62:D62"/>
    <mergeCell ref="Y62:Z62"/>
    <mergeCell ref="AC47:AC56"/>
    <mergeCell ref="C63:D63"/>
    <mergeCell ref="Y63:Z63"/>
    <mergeCell ref="Y50:Z50"/>
    <mergeCell ref="C51:D51"/>
    <mergeCell ref="Y51:Z51"/>
    <mergeCell ref="C52:D52"/>
    <mergeCell ref="Y52:Z52"/>
    <mergeCell ref="C53:D53"/>
    <mergeCell ref="Y53:Z53"/>
    <mergeCell ref="A47:A56"/>
    <mergeCell ref="C47:D47"/>
    <mergeCell ref="R47:R56"/>
    <mergeCell ref="Y47:Z47"/>
    <mergeCell ref="C48:D48"/>
    <mergeCell ref="Y48:Z48"/>
    <mergeCell ref="C49:D49"/>
    <mergeCell ref="Y49:Z49"/>
    <mergeCell ref="C50:D50"/>
    <mergeCell ref="C54:D54"/>
    <mergeCell ref="Y54:Z54"/>
    <mergeCell ref="C55:D55"/>
    <mergeCell ref="Y55:Z55"/>
    <mergeCell ref="C56:D56"/>
    <mergeCell ref="Y56:Z56"/>
    <mergeCell ref="AC38:AC46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A38:A46"/>
    <mergeCell ref="C38:D38"/>
    <mergeCell ref="R38:R46"/>
    <mergeCell ref="Y38:Z38"/>
    <mergeCell ref="Y43:Z43"/>
    <mergeCell ref="C44:D44"/>
    <mergeCell ref="Y44:Z44"/>
    <mergeCell ref="C45:D45"/>
    <mergeCell ref="Y45:Z45"/>
    <mergeCell ref="C46:D46"/>
    <mergeCell ref="Y46:Z46"/>
    <mergeCell ref="AC29:AC37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5:Z35"/>
    <mergeCell ref="C36:D36"/>
    <mergeCell ref="Y36:Z36"/>
    <mergeCell ref="C37:D37"/>
    <mergeCell ref="Y37:Z37"/>
    <mergeCell ref="A20:A28"/>
    <mergeCell ref="C20:D20"/>
    <mergeCell ref="R20:R28"/>
    <mergeCell ref="Y20:Z20"/>
    <mergeCell ref="C27:D27"/>
    <mergeCell ref="Y27:Z27"/>
    <mergeCell ref="C28:D28"/>
    <mergeCell ref="Y28:Z28"/>
    <mergeCell ref="A29:A37"/>
    <mergeCell ref="C29:D29"/>
    <mergeCell ref="R29:R37"/>
    <mergeCell ref="Y29:Z29"/>
    <mergeCell ref="Y34:Z34"/>
    <mergeCell ref="C35:D35"/>
    <mergeCell ref="C12:D12"/>
    <mergeCell ref="Y12:Z12"/>
    <mergeCell ref="AC20:AC28"/>
    <mergeCell ref="C21:D21"/>
    <mergeCell ref="Y21:Z21"/>
    <mergeCell ref="C22:D22"/>
    <mergeCell ref="Y22:Z22"/>
    <mergeCell ref="C23:D23"/>
    <mergeCell ref="C17:D17"/>
    <mergeCell ref="Y17:Z17"/>
    <mergeCell ref="C18:D18"/>
    <mergeCell ref="Y18:Z18"/>
    <mergeCell ref="C19:D19"/>
    <mergeCell ref="Y19:Z19"/>
    <mergeCell ref="Y23:Z23"/>
    <mergeCell ref="C24:D24"/>
    <mergeCell ref="Y24:Z24"/>
    <mergeCell ref="C25:D25"/>
    <mergeCell ref="Y25:Z25"/>
    <mergeCell ref="C26:D26"/>
    <mergeCell ref="Y26:Z26"/>
    <mergeCell ref="H3:H4"/>
    <mergeCell ref="I3:I4"/>
    <mergeCell ref="A13:A19"/>
    <mergeCell ref="C13:D13"/>
    <mergeCell ref="R13:R19"/>
    <mergeCell ref="Y13:Z13"/>
    <mergeCell ref="AC13:AC19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7:O74 O77 O5:O10 O12:O14 O56:O64 O19:O52">
    <cfRule type="cellIs" dxfId="2158" priority="67" operator="greaterThan">
      <formula>0</formula>
    </cfRule>
  </conditionalFormatting>
  <conditionalFormatting sqref="P5:P8 P67 AA67 P69:P74 P29:P36 P64 P10 P12:P14 P20:P27 P57:P62 P38:P52 AA5:AA64 AA69:AA77">
    <cfRule type="cellIs" dxfId="2157" priority="71" operator="lessThan">
      <formula>0</formula>
    </cfRule>
  </conditionalFormatting>
  <conditionalFormatting sqref="AB67 Q67:Q74 Q77 Q5:Q10 Q12:Q14 Q56:Q64 Q19:Q52 AB5:AB64 AB69:AB77">
    <cfRule type="cellIs" dxfId="2156" priority="68" operator="greaterThan">
      <formula>1</formula>
    </cfRule>
    <cfRule type="cellIs" dxfId="2155" priority="69" operator="lessThan">
      <formula>0.8</formula>
    </cfRule>
  </conditionalFormatting>
  <conditionalFormatting sqref="AC13:AC14 R13:R14 AC67 R67:R74 R19:R25 AC19:AC25 R77 AC5:AC10 R5:R10 R28:R52 AC28:AC52 AC56:AC64 R56:R64">
    <cfRule type="cellIs" dxfId="2154" priority="73" operator="lessThan">
      <formula>0.8</formula>
    </cfRule>
  </conditionalFormatting>
  <conditionalFormatting sqref="AC47">
    <cfRule type="cellIs" dxfId="2153" priority="75" operator="lessThan">
      <formula>0.8</formula>
    </cfRule>
  </conditionalFormatting>
  <conditionalFormatting sqref="AC20:AC25">
    <cfRule type="cellIs" dxfId="2152" priority="72" operator="lessThan">
      <formula>0.8</formula>
    </cfRule>
  </conditionalFormatting>
  <conditionalFormatting sqref="AC29">
    <cfRule type="cellIs" dxfId="2151" priority="74" operator="lessThan">
      <formula>0.8</formula>
    </cfRule>
  </conditionalFormatting>
  <conditionalFormatting sqref="AC38:AC45">
    <cfRule type="cellIs" dxfId="2150" priority="70" operator="lessThan">
      <formula>0.8</formula>
    </cfRule>
  </conditionalFormatting>
  <conditionalFormatting sqref="AA68">
    <cfRule type="cellIs" dxfId="2149" priority="66" operator="lessThan">
      <formula>0</formula>
    </cfRule>
  </conditionalFormatting>
  <conditionalFormatting sqref="AB68">
    <cfRule type="cellIs" dxfId="2148" priority="64" operator="greaterThan">
      <formula>1</formula>
    </cfRule>
    <cfRule type="cellIs" dxfId="2147" priority="65" operator="lessThan">
      <formula>0.8</formula>
    </cfRule>
  </conditionalFormatting>
  <conditionalFormatting sqref="O15:O16">
    <cfRule type="cellIs" dxfId="2146" priority="59" operator="greaterThan">
      <formula>0</formula>
    </cfRule>
  </conditionalFormatting>
  <conditionalFormatting sqref="P15:P16">
    <cfRule type="cellIs" dxfId="2145" priority="62" operator="lessThan">
      <formula>0</formula>
    </cfRule>
  </conditionalFormatting>
  <conditionalFormatting sqref="Q15:Q16">
    <cfRule type="cellIs" dxfId="2144" priority="60" operator="greaterThan">
      <formula>1</formula>
    </cfRule>
    <cfRule type="cellIs" dxfId="2143" priority="61" operator="lessThan">
      <formula>0.8</formula>
    </cfRule>
  </conditionalFormatting>
  <conditionalFormatting sqref="R15:R16 AC15:AC16">
    <cfRule type="cellIs" dxfId="2142" priority="63" operator="lessThan">
      <formula>0.8</formula>
    </cfRule>
  </conditionalFormatting>
  <conditionalFormatting sqref="O11">
    <cfRule type="cellIs" dxfId="2141" priority="55" operator="greaterThan">
      <formula>0</formula>
    </cfRule>
  </conditionalFormatting>
  <conditionalFormatting sqref="P11">
    <cfRule type="cellIs" dxfId="2140" priority="58" operator="lessThan">
      <formula>0</formula>
    </cfRule>
  </conditionalFormatting>
  <conditionalFormatting sqref="Q11">
    <cfRule type="cellIs" dxfId="2139" priority="56" operator="greaterThan">
      <formula>1</formula>
    </cfRule>
    <cfRule type="cellIs" dxfId="2138" priority="57" operator="lessThan">
      <formula>0.8</formula>
    </cfRule>
  </conditionalFormatting>
  <conditionalFormatting sqref="AC27 R27">
    <cfRule type="cellIs" dxfId="2137" priority="54" operator="lessThan">
      <formula>0.8</formula>
    </cfRule>
  </conditionalFormatting>
  <conditionalFormatting sqref="O66">
    <cfRule type="cellIs" dxfId="2136" priority="49" operator="greaterThan">
      <formula>0</formula>
    </cfRule>
  </conditionalFormatting>
  <conditionalFormatting sqref="P66 AA66">
    <cfRule type="cellIs" dxfId="2135" priority="52" operator="lessThan">
      <formula>0</formula>
    </cfRule>
  </conditionalFormatting>
  <conditionalFormatting sqref="Q66 AB66">
    <cfRule type="cellIs" dxfId="2134" priority="50" operator="greaterThan">
      <formula>1</formula>
    </cfRule>
    <cfRule type="cellIs" dxfId="2133" priority="51" operator="lessThan">
      <formula>0.8</formula>
    </cfRule>
  </conditionalFormatting>
  <conditionalFormatting sqref="R66 AC66">
    <cfRule type="cellIs" dxfId="2132" priority="53" operator="lessThan">
      <formula>0.8</formula>
    </cfRule>
  </conditionalFormatting>
  <conditionalFormatting sqref="O75">
    <cfRule type="cellIs" dxfId="2131" priority="44" operator="greaterThan">
      <formula>0</formula>
    </cfRule>
  </conditionalFormatting>
  <conditionalFormatting sqref="P75">
    <cfRule type="cellIs" dxfId="2130" priority="47" operator="lessThan">
      <formula>0</formula>
    </cfRule>
  </conditionalFormatting>
  <conditionalFormatting sqref="Q75">
    <cfRule type="cellIs" dxfId="2129" priority="45" operator="greaterThan">
      <formula>1</formula>
    </cfRule>
    <cfRule type="cellIs" dxfId="2128" priority="46" operator="lessThan">
      <formula>0.8</formula>
    </cfRule>
  </conditionalFormatting>
  <conditionalFormatting sqref="R75">
    <cfRule type="cellIs" dxfId="2127" priority="48" operator="lessThan">
      <formula>0.8</formula>
    </cfRule>
  </conditionalFormatting>
  <conditionalFormatting sqref="O17:O18">
    <cfRule type="cellIs" dxfId="2126" priority="39" operator="greaterThan">
      <formula>0</formula>
    </cfRule>
  </conditionalFormatting>
  <conditionalFormatting sqref="P17:P18">
    <cfRule type="cellIs" dxfId="2125" priority="42" operator="lessThan">
      <formula>0</formula>
    </cfRule>
  </conditionalFormatting>
  <conditionalFormatting sqref="Q17:Q18">
    <cfRule type="cellIs" dxfId="2124" priority="40" operator="greaterThan">
      <formula>1</formula>
    </cfRule>
    <cfRule type="cellIs" dxfId="2123" priority="41" operator="lessThan">
      <formula>0.8</formula>
    </cfRule>
  </conditionalFormatting>
  <conditionalFormatting sqref="R17:R18 AC17:AC18">
    <cfRule type="cellIs" dxfId="2122" priority="43" operator="lessThan">
      <formula>0.8</formula>
    </cfRule>
  </conditionalFormatting>
  <conditionalFormatting sqref="O53">
    <cfRule type="cellIs" dxfId="2121" priority="33" operator="greaterThan">
      <formula>0</formula>
    </cfRule>
  </conditionalFormatting>
  <conditionalFormatting sqref="P53">
    <cfRule type="cellIs" dxfId="2120" priority="37" operator="lessThan">
      <formula>0</formula>
    </cfRule>
  </conditionalFormatting>
  <conditionalFormatting sqref="Q53">
    <cfRule type="cellIs" dxfId="2119" priority="34" operator="greaterThan">
      <formula>1</formula>
    </cfRule>
    <cfRule type="cellIs" dxfId="2118" priority="35" operator="lessThan">
      <formula>0.8</formula>
    </cfRule>
  </conditionalFormatting>
  <conditionalFormatting sqref="R53 AC53">
    <cfRule type="cellIs" dxfId="2117" priority="38" operator="lessThan">
      <formula>0.8</formula>
    </cfRule>
  </conditionalFormatting>
  <conditionalFormatting sqref="AC53">
    <cfRule type="cellIs" dxfId="2116" priority="36" operator="lessThan">
      <formula>0.8</formula>
    </cfRule>
  </conditionalFormatting>
  <conditionalFormatting sqref="O54">
    <cfRule type="cellIs" dxfId="2115" priority="27" operator="greaterThan">
      <formula>0</formula>
    </cfRule>
  </conditionalFormatting>
  <conditionalFormatting sqref="P54">
    <cfRule type="cellIs" dxfId="2114" priority="31" operator="lessThan">
      <formula>0</formula>
    </cfRule>
  </conditionalFormatting>
  <conditionalFormatting sqref="Q54">
    <cfRule type="cellIs" dxfId="2113" priority="28" operator="greaterThan">
      <formula>1</formula>
    </cfRule>
    <cfRule type="cellIs" dxfId="2112" priority="29" operator="lessThan">
      <formula>0.8</formula>
    </cfRule>
  </conditionalFormatting>
  <conditionalFormatting sqref="R54 AC54">
    <cfRule type="cellIs" dxfId="2111" priority="32" operator="lessThan">
      <formula>0.8</formula>
    </cfRule>
  </conditionalFormatting>
  <conditionalFormatting sqref="AC54">
    <cfRule type="cellIs" dxfId="2110" priority="30" operator="lessThan">
      <formula>0.8</formula>
    </cfRule>
  </conditionalFormatting>
  <conditionalFormatting sqref="R26 AC26">
    <cfRule type="cellIs" dxfId="2109" priority="26" operator="lessThan">
      <formula>0.8</formula>
    </cfRule>
  </conditionalFormatting>
  <conditionalFormatting sqref="AC26">
    <cfRule type="cellIs" dxfId="2108" priority="25" operator="lessThan">
      <formula>0.8</formula>
    </cfRule>
  </conditionalFormatting>
  <conditionalFormatting sqref="O55">
    <cfRule type="cellIs" dxfId="2107" priority="19" operator="greaterThan">
      <formula>0</formula>
    </cfRule>
  </conditionalFormatting>
  <conditionalFormatting sqref="P55">
    <cfRule type="cellIs" dxfId="2106" priority="23" operator="lessThan">
      <formula>0</formula>
    </cfRule>
  </conditionalFormatting>
  <conditionalFormatting sqref="Q55">
    <cfRule type="cellIs" dxfId="2105" priority="20" operator="greaterThan">
      <formula>1</formula>
    </cfRule>
    <cfRule type="cellIs" dxfId="2104" priority="21" operator="lessThan">
      <formula>0.8</formula>
    </cfRule>
  </conditionalFormatting>
  <conditionalFormatting sqref="R55 AC55">
    <cfRule type="cellIs" dxfId="2103" priority="24" operator="lessThan">
      <formula>0.8</formula>
    </cfRule>
  </conditionalFormatting>
  <conditionalFormatting sqref="AC55">
    <cfRule type="cellIs" dxfId="2102" priority="22" operator="lessThan">
      <formula>0.8</formula>
    </cfRule>
  </conditionalFormatting>
  <conditionalFormatting sqref="O65">
    <cfRule type="cellIs" dxfId="2101" priority="14" operator="greaterThan">
      <formula>0</formula>
    </cfRule>
  </conditionalFormatting>
  <conditionalFormatting sqref="P65 AA65">
    <cfRule type="cellIs" dxfId="2100" priority="17" operator="lessThan">
      <formula>0</formula>
    </cfRule>
  </conditionalFormatting>
  <conditionalFormatting sqref="Q65 AB65">
    <cfRule type="cellIs" dxfId="2099" priority="15" operator="greaterThan">
      <formula>1</formula>
    </cfRule>
    <cfRule type="cellIs" dxfId="2098" priority="16" operator="lessThan">
      <formula>0.8</formula>
    </cfRule>
  </conditionalFormatting>
  <conditionalFormatting sqref="R65 AC65">
    <cfRule type="cellIs" dxfId="2097" priority="18" operator="lessThan">
      <formula>0.8</formula>
    </cfRule>
  </conditionalFormatting>
  <conditionalFormatting sqref="P9">
    <cfRule type="cellIs" dxfId="2096" priority="13" operator="lessThan">
      <formula>0</formula>
    </cfRule>
  </conditionalFormatting>
  <conditionalFormatting sqref="P19">
    <cfRule type="cellIs" dxfId="2095" priority="12" operator="lessThan">
      <formula>0</formula>
    </cfRule>
  </conditionalFormatting>
  <conditionalFormatting sqref="P28">
    <cfRule type="cellIs" dxfId="2094" priority="11" operator="lessThan">
      <formula>0</formula>
    </cfRule>
  </conditionalFormatting>
  <conditionalFormatting sqref="P37">
    <cfRule type="cellIs" dxfId="2093" priority="10" operator="lessThan">
      <formula>0</formula>
    </cfRule>
  </conditionalFormatting>
  <conditionalFormatting sqref="P56">
    <cfRule type="cellIs" dxfId="2092" priority="9" operator="lessThan">
      <formula>0</formula>
    </cfRule>
  </conditionalFormatting>
  <conditionalFormatting sqref="P63">
    <cfRule type="cellIs" dxfId="2091" priority="8" operator="lessThan">
      <formula>0</formula>
    </cfRule>
  </conditionalFormatting>
  <conditionalFormatting sqref="P68">
    <cfRule type="cellIs" dxfId="2090" priority="7" operator="lessThan">
      <formula>0</formula>
    </cfRule>
  </conditionalFormatting>
  <conditionalFormatting sqref="P77">
    <cfRule type="cellIs" dxfId="2089" priority="6" operator="lessThan">
      <formula>0</formula>
    </cfRule>
  </conditionalFormatting>
  <conditionalFormatting sqref="O76">
    <cfRule type="cellIs" dxfId="2088" priority="1" operator="greaterThan">
      <formula>0</formula>
    </cfRule>
  </conditionalFormatting>
  <conditionalFormatting sqref="P76">
    <cfRule type="cellIs" dxfId="2087" priority="4" operator="lessThan">
      <formula>0</formula>
    </cfRule>
  </conditionalFormatting>
  <conditionalFormatting sqref="Q76">
    <cfRule type="cellIs" dxfId="2086" priority="2" operator="greaterThan">
      <formula>1</formula>
    </cfRule>
    <cfRule type="cellIs" dxfId="2085" priority="3" operator="lessThan">
      <formula>0.8</formula>
    </cfRule>
  </conditionalFormatting>
  <conditionalFormatting sqref="R76">
    <cfRule type="cellIs" dxfId="2084" priority="5" operator="lessThan">
      <formula>0.8</formula>
    </cfRule>
  </conditionalFormatting>
  <dataValidations count="1">
    <dataValidation type="list" allowBlank="1" showInputMessage="1" showErrorMessage="1" sqref="Z9 Y5:Z8 Y9:Y67 Z11:Z64 Y68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6" zoomScale="85" zoomScaleNormal="85" workbookViewId="0">
      <selection activeCell="D13" sqref="D1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2033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2034</v>
      </c>
      <c r="C3" s="497" t="str">
        <f>TEXT('1125 4度C'!A2,"yyyy.mm.ddaaaa")</f>
        <v>2025.11.25星期二</v>
      </c>
      <c r="D3" s="498"/>
      <c r="E3" s="4" t="s">
        <v>2035</v>
      </c>
      <c r="F3" s="499">
        <f>'1125 4度C'!D1</f>
        <v>203365</v>
      </c>
      <c r="G3" s="500"/>
      <c r="H3" s="4" t="s">
        <v>2036</v>
      </c>
      <c r="I3" s="501">
        <f>'1125 4度C'!F1</f>
        <v>6722530.1999999983</v>
      </c>
      <c r="J3" s="502"/>
      <c r="K3" s="5"/>
      <c r="L3" s="6"/>
      <c r="M3" s="7"/>
      <c r="N3" s="7"/>
    </row>
    <row r="4" spans="2:17" ht="28.5" customHeight="1">
      <c r="B4" s="503" t="s">
        <v>2037</v>
      </c>
      <c r="C4" s="485" t="s">
        <v>2038</v>
      </c>
      <c r="D4" s="486"/>
      <c r="E4" s="506" t="s">
        <v>2039</v>
      </c>
      <c r="F4" s="507"/>
      <c r="G4" s="506" t="s">
        <v>2040</v>
      </c>
      <c r="H4" s="507"/>
      <c r="I4" s="506" t="s">
        <v>2041</v>
      </c>
      <c r="J4" s="507"/>
      <c r="L4" s="7"/>
      <c r="M4" s="7"/>
      <c r="N4" s="7"/>
    </row>
    <row r="5" spans="2:17" ht="28.5" customHeight="1">
      <c r="B5" s="504"/>
      <c r="C5" s="485" t="s">
        <v>2042</v>
      </c>
      <c r="D5" s="486"/>
      <c r="E5" s="485" t="s">
        <v>2043</v>
      </c>
      <c r="F5" s="486"/>
      <c r="G5" s="487" t="s">
        <v>2044</v>
      </c>
      <c r="H5" s="488"/>
      <c r="I5" s="489" t="s">
        <v>2045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156.25570113743879</v>
      </c>
      <c r="F6" s="492">
        <f>AVERAGE(D27:O27,D13:J13)</f>
        <v>162.18901014690809</v>
      </c>
      <c r="G6" s="493">
        <f>AVERAGE(D13:J13)</f>
        <v>162.18901014690809</v>
      </c>
      <c r="H6" s="494"/>
      <c r="I6" s="493">
        <f>AVERAGE(K13:M13)</f>
        <v>142.41131344867711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149.72174338692633</v>
      </c>
      <c r="F7" s="478">
        <f>AVERAGE(D28:O28,D14:J14)</f>
        <v>155.51473098488557</v>
      </c>
      <c r="G7" s="479">
        <f>AVERAGE(D14:J14)</f>
        <v>155.51473098488557</v>
      </c>
      <c r="H7" s="480"/>
      <c r="I7" s="479">
        <f>AVERAGE(K14:M14)</f>
        <v>136.20477232502151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0.95825700913791345</v>
      </c>
      <c r="F8" s="482">
        <f>AVERAGE(D15:J15,D29:O29)</f>
        <v>0.95905015790765435</v>
      </c>
      <c r="G8" s="483">
        <f>AVERAGE(D15:J15)</f>
        <v>0.95905015790765435</v>
      </c>
      <c r="H8" s="484"/>
      <c r="I8" s="483">
        <f>AVERAGE(K15:M15)</f>
        <v>0.95640632867518471</v>
      </c>
      <c r="J8" s="484"/>
      <c r="K8" s="8" t="s">
        <v>2046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2047</v>
      </c>
      <c r="C10" s="459"/>
      <c r="D10" s="460" t="s">
        <v>2048</v>
      </c>
      <c r="E10" s="461"/>
      <c r="F10" s="461"/>
      <c r="G10" s="461"/>
      <c r="H10" s="461"/>
      <c r="I10" s="461"/>
      <c r="J10" s="462"/>
      <c r="K10" s="463" t="s">
        <v>2049</v>
      </c>
      <c r="L10" s="464"/>
      <c r="M10" s="465"/>
      <c r="P10" s="11"/>
      <c r="Q10" s="11"/>
    </row>
    <row r="11" spans="2:17" ht="17.25" customHeight="1">
      <c r="B11" s="466" t="s">
        <v>2050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2051</v>
      </c>
      <c r="C13" s="18" t="s">
        <v>2052</v>
      </c>
      <c r="D13" s="19">
        <f>SUMIFS('1125 4度C'!$K:$K,'1125 4度C'!$A:$A,"新豐6線",'1125 4度C'!$B:$B,"平均")</f>
        <v>137.93103448275863</v>
      </c>
      <c r="E13" s="20">
        <f>SUMIFS('1125 4度C'!$K:$K,'1125 4度C'!$A:$A,"新豐2線",'1125 4度C'!$B:$B,"平均")</f>
        <v>81.081081081081081</v>
      </c>
      <c r="F13" s="21">
        <f>SUMIFS('1125 4度C'!$K:$K,'1125 4度C'!$A:$A,"新豐5線",'1125 4度C'!$B:$B,"平均")</f>
        <v>109.21985815602837</v>
      </c>
      <c r="G13" s="21">
        <f>SUMIFS('1125 4度C'!$K:$K,'1125 4度C'!$A:$A,"新豐7線",'1125 4度C'!$B:$B,"平均")</f>
        <v>116.66666666666666</v>
      </c>
      <c r="H13" s="21">
        <f>SUMIFS('1125 4度C'!$K:$K,'1125 4度C'!$A:$A,"新豐3線",'1125 4度C'!$B:$B,"平均")</f>
        <v>285.71428571428572</v>
      </c>
      <c r="I13" s="21">
        <f>SUMIFS('1125 4度C'!$K:$K,'1125 4度C'!$A:$A,"新豐1線",'1125 4度C'!$B:$B,"平均")</f>
        <v>113.04347826086958</v>
      </c>
      <c r="J13" s="22">
        <f>SUMIFS('1125 4度C'!$K:$K,'1125 4度C'!$A:$A,"新豐10線",'1125 4度C'!$B:$B,"平均")</f>
        <v>291.66666666666669</v>
      </c>
      <c r="K13" s="23">
        <f>SUMIFS('1125 4度C'!$K:$K,'1125 4度C'!$A:$A,"新豐8線",'1125 4度C'!$B:$B,"平均")</f>
        <v>134.26573426573427</v>
      </c>
      <c r="L13" s="24">
        <f>SUMIFS('1125 4度C'!$K:$K,'1125 4度C'!$A:$A,"新豐9線",'1125 4度C'!$B:$B,"平均")</f>
        <v>138.12949640287769</v>
      </c>
      <c r="M13" s="22">
        <f>SUMIFS('1125 4度C'!$K:$K,'1125 4度C'!$A:$A,"新豐4線",'1125 4度C'!$B:$B,"平均")</f>
        <v>154.83870967741936</v>
      </c>
    </row>
    <row r="14" spans="2:17" ht="39.6" customHeight="1">
      <c r="B14" s="471"/>
      <c r="C14" s="25" t="s">
        <v>2053</v>
      </c>
      <c r="D14" s="26">
        <f>SUMIFS('1125 4度C'!$N:$N,'1125 4度C'!$A:$A,"新豐6線",'1125 4度C'!$B:$B,"平均")</f>
        <v>132.8042274839008</v>
      </c>
      <c r="E14" s="27">
        <f>SUMIFS('1125 4度C'!$N:$N,'1125 4度C'!$A:$A,"新豐2線",'1125 4度C'!$B:$B,"平均")</f>
        <v>77.531345778768497</v>
      </c>
      <c r="F14" s="27">
        <f>SUMIFS('1125 4度C'!$N:$N,'1125 4度C'!$A:$A,"新豐5線",'1125 4度C'!$B:$B,"平均")</f>
        <v>105.17153749520303</v>
      </c>
      <c r="G14" s="27">
        <f>SUMIFS('1125 4度C'!$N:$N,'1125 4度C'!$A:$A,"新豐7線",'1125 4度C'!$B:$B,"平均")</f>
        <v>111.73987276847699</v>
      </c>
      <c r="H14" s="27">
        <f>SUMIFS('1125 4度C'!$N:$N,'1125 4度C'!$A:$A,"新豐3線",'1125 4度C'!$B:$B,"平均")</f>
        <v>274.59021716891453</v>
      </c>
      <c r="I14" s="27">
        <f>SUMIFS('1125 4度C'!$N:$N,'1125 4度C'!$A:$A,"新豐1線",'1125 4度C'!$B:$B,"平均")</f>
        <v>108.25412605671029</v>
      </c>
      <c r="J14" s="28">
        <f>SUMIFS('1125 4度C'!$N:$N,'1125 4度C'!$A:$A,"新豐10線",'1125 4度C'!$B:$B,"平均")</f>
        <v>278.51179014222481</v>
      </c>
      <c r="K14" s="29">
        <f>SUMIFS('1125 4度C'!$N:$N,'1125 4度C'!$A:$A,"新豐8線",'1125 4度C'!$B:$B,"平均")</f>
        <v>128.35247243697319</v>
      </c>
      <c r="L14" s="30">
        <f>SUMIFS('1125 4度C'!$N:$N,'1125 4度C'!$A:$A,"新豐9線",'1125 4度C'!$B:$B,"平均")</f>
        <v>132.14215003201011</v>
      </c>
      <c r="M14" s="28">
        <f>SUMIFS('1125 4度C'!$N:$N,'1125 4度C'!$A:$A,"新豐4線",'1125 4度C'!$B:$B,"平均")</f>
        <v>148.11969450608123</v>
      </c>
    </row>
    <row r="15" spans="2:17" ht="40.15" customHeight="1">
      <c r="B15" s="472"/>
      <c r="C15" s="31" t="s">
        <v>2054</v>
      </c>
      <c r="D15" s="32">
        <f t="shared" ref="D15:M15" si="0">D14/D13</f>
        <v>0.96283064925828077</v>
      </c>
      <c r="E15" s="33">
        <f t="shared" si="0"/>
        <v>0.95621993127147809</v>
      </c>
      <c r="F15" s="33">
        <f t="shared" si="0"/>
        <v>0.96293420693659915</v>
      </c>
      <c r="G15" s="33">
        <f t="shared" si="0"/>
        <v>0.95777033801551714</v>
      </c>
      <c r="H15" s="33">
        <f t="shared" si="0"/>
        <v>0.96106576009120082</v>
      </c>
      <c r="I15" s="33">
        <f t="shared" si="0"/>
        <v>0.95763265357859095</v>
      </c>
      <c r="J15" s="34">
        <f t="shared" si="0"/>
        <v>0.95489756620191357</v>
      </c>
      <c r="K15" s="32">
        <f t="shared" si="0"/>
        <v>0.95595851867120651</v>
      </c>
      <c r="L15" s="33">
        <f t="shared" si="0"/>
        <v>0.95665410700257325</v>
      </c>
      <c r="M15" s="34">
        <f t="shared" si="0"/>
        <v>0.9566063603517746</v>
      </c>
    </row>
    <row r="16" spans="2:17" ht="17.25" customHeight="1">
      <c r="B16" s="473" t="s">
        <v>2055</v>
      </c>
      <c r="C16" s="35" t="s">
        <v>2056</v>
      </c>
      <c r="D16" s="49">
        <f>VLOOKUP("新豐6線",'1125 4度C'!$A:$T,19,0)</f>
        <v>0.70833333333333337</v>
      </c>
      <c r="E16" s="50">
        <f>VLOOKUP("新豐2線",'1125 4度C'!$A:$T,19,0)</f>
        <v>0.20833333333333334</v>
      </c>
      <c r="F16" s="50">
        <f>VLOOKUP("新豐5線",'1125 4度C'!$A:$T,19,0)</f>
        <v>0.125</v>
      </c>
      <c r="G16" s="50">
        <f>VLOOKUP("新豐7線",'1125 4度C'!$A:$T,19,0)</f>
        <v>0.20833333333333334</v>
      </c>
      <c r="H16" s="50">
        <f>VLOOKUP("新豐3線",'1125 4度C'!$A:$T,19,0)</f>
        <v>8.3333333333333329E-2</v>
      </c>
      <c r="I16" s="50">
        <f>VLOOKUP("新豐1線",'1125 4度C'!$A:$T,19,0)</f>
        <v>0.20833333333333334</v>
      </c>
      <c r="J16" s="51">
        <f>VLOOKUP("新豐10線",'1125 4度C'!$A:$T,19,0)</f>
        <v>0.20833333333333334</v>
      </c>
      <c r="K16" s="36">
        <f>VLOOKUP("新豐8線",'1125 4度C'!$A:$T,19,0)</f>
        <v>8.3333333333333329E-2</v>
      </c>
      <c r="L16" s="37">
        <f>VLOOKUP("新豐9線",'1125 4度C'!$A:$T,19,0)</f>
        <v>8.3333333333333329E-2</v>
      </c>
      <c r="M16" s="38">
        <f>VLOOKUP("新豐4線",'1125 4度C'!$A:$T,19,0)</f>
        <v>8.3333333333333329E-2</v>
      </c>
    </row>
    <row r="17" spans="2:13" ht="17.25" customHeight="1">
      <c r="B17" s="474"/>
      <c r="C17" s="35" t="s">
        <v>2057</v>
      </c>
      <c r="D17" s="36">
        <f>LOOKUP(2,1/(('1125 4度C'!$A:$A="新豐6線")*('1125 4度C'!$T:$T&lt;&gt;"")),'1125 4度C'!$T:$T)</f>
        <v>0.92291666666666661</v>
      </c>
      <c r="E17" s="50">
        <f>LOOKUP(2,1/(('1125 4度C'!$A:$A="新豐2線")*('1125 4度C'!$T:$T&lt;&gt;"")),'1125 4度C'!$T:$T)</f>
        <v>0.4590277777777777</v>
      </c>
      <c r="F17" s="50">
        <f>LOOKUP(2,1/(('1125 4度C'!$A:$A="新豐5線")*('1125 4度C'!$T:$T&lt;&gt;"")),'1125 4度C'!$T:$T)</f>
        <v>0.93055555555555558</v>
      </c>
      <c r="G17" s="50">
        <f>LOOKUP(2,1/(('1125 4度C'!$A:$A="新豐7線")*('1125 4度C'!$T:$T&lt;&gt;"")),'1125 4度C'!$T:$T)</f>
        <v>0.91319444444444442</v>
      </c>
      <c r="H17" s="50">
        <f>LOOKUP(2,1/(('1125 4度C'!$A:$A="新豐3線")*('1125 4度C'!$T:$T&lt;&gt;"")),'1125 4度C'!$T:$T)</f>
        <v>0.60902777777777761</v>
      </c>
      <c r="I17" s="50">
        <f>LOOKUP(2,1/(('1125 4度C'!$A:$A="新豐1線")*('1125 4度C'!$T:$T&lt;&gt;"")),'1125 4度C'!$T:$T)</f>
        <v>0.96805555555555545</v>
      </c>
      <c r="J17" s="51">
        <f>LOOKUP(2,1/(('1125 4度C'!$A:$A="新豐10線")*('1125 4度C'!$T:$T&lt;&gt;"")),'1125 4度C'!$T:$T)</f>
        <v>0.44722222222222224</v>
      </c>
      <c r="K17" s="49">
        <f>LOOKUP(2,1/(('1125 4度C'!$A:$A="新豐8線")*('1125 4度C'!$T:$T&lt;&gt;"")),'1125 4度C'!$T:$T)</f>
        <v>0.73680555555555538</v>
      </c>
      <c r="L17" s="50">
        <f>LOOKUP(2,1/(('1125 4度C'!$A:$A="新豐9線")*('1125 4度C'!$T:$T&lt;&gt;"")),'1125 4度C'!$T:$T)</f>
        <v>0.77569444444444435</v>
      </c>
      <c r="M17" s="51">
        <f>LOOKUP(2,1/(('1125 4度C'!$A:$A="新豐4線")*('1125 4度C'!$T:$T&lt;&gt;"")),'1125 4度C'!$T:$T)</f>
        <v>0.72013888888888877</v>
      </c>
    </row>
    <row r="18" spans="2:13" ht="17.25" customHeight="1">
      <c r="B18" s="452" t="s">
        <v>2058</v>
      </c>
      <c r="C18" s="453"/>
      <c r="D18" s="39">
        <f>SUMIFS('1125 4度C'!$I:$I,'1125 4度C'!$A:$A,"新豐6線",'1125 4度C'!$B:$B,"平均")</f>
        <v>14.5</v>
      </c>
      <c r="E18" s="40">
        <f>SUMIFS('1125 4度C'!$I:$I,'1125 4度C'!$A:$A,"新豐2線",'1125 4度C'!$B:$B,"平均")</f>
        <v>18.5</v>
      </c>
      <c r="F18" s="40">
        <f>SUMIFS('1125 4度C'!$I:$I,'1125 4度C'!$A:$A,"新豐5線",'1125 4度C'!$B:$B,"平均")</f>
        <v>17.625</v>
      </c>
      <c r="G18" s="40">
        <f>SUMIFS('1125 4度C'!$I:$I,'1125 4度C'!$A:$A,"新豐7線",'1125 4度C'!$B:$B,"平均")</f>
        <v>16.666666666666668</v>
      </c>
      <c r="H18" s="40">
        <f>SUMIFS('1125 4度C'!$I:$I,'1125 4度C'!$A:$A,"新豐3線",'1125 4度C'!$B:$B,"平均")</f>
        <v>10.111111111111111</v>
      </c>
      <c r="I18" s="40">
        <f>SUMIFS('1125 4度C'!$I:$I,'1125 4度C'!$A:$A,"新豐1線",'1125 4度C'!$B:$B,"平均")</f>
        <v>16.428571428571427</v>
      </c>
      <c r="J18" s="41">
        <f>SUMIFS('1125 4度C'!$I:$I,'1125 4度C'!$A:$A,"新豐10線",'1125 4度C'!$B:$B,"平均")</f>
        <v>9</v>
      </c>
      <c r="K18" s="39">
        <f>SUMIFS('1125 4度C'!$I:$I,'1125 4度C'!$A:$A,"新豐8線",'1125 4度C'!$B:$B,"平均")</f>
        <v>17.875</v>
      </c>
      <c r="L18" s="40">
        <f>SUMIFS('1125 4度C'!$I:$I,'1125 4度C'!$A:$A,"新豐9線",'1125 4度C'!$B:$B,"平均")</f>
        <v>17.375</v>
      </c>
      <c r="M18" s="41">
        <f>SUMIFS('1125 4度C'!$I:$I,'1125 4度C'!$A:$A,"新豐4線",'1125 4度C'!$B:$B,"平均")</f>
        <v>15.5</v>
      </c>
    </row>
    <row r="19" spans="2:13" ht="17.25" customHeight="1">
      <c r="B19" s="452" t="s">
        <v>2059</v>
      </c>
      <c r="C19" s="453"/>
      <c r="D19" s="42" t="s">
        <v>65</v>
      </c>
      <c r="E19" s="43" t="s">
        <v>66</v>
      </c>
      <c r="F19" s="43" t="s">
        <v>2060</v>
      </c>
      <c r="G19" s="43" t="s">
        <v>2060</v>
      </c>
      <c r="H19" s="43" t="s">
        <v>67</v>
      </c>
      <c r="I19" s="43" t="s">
        <v>65</v>
      </c>
      <c r="J19" s="44" t="s">
        <v>67</v>
      </c>
      <c r="K19" s="42" t="s">
        <v>2061</v>
      </c>
      <c r="L19" s="43" t="s">
        <v>2061</v>
      </c>
      <c r="M19" s="44" t="s">
        <v>2061</v>
      </c>
    </row>
    <row r="20" spans="2:13" ht="17.25" customHeight="1">
      <c r="B20" s="452" t="s">
        <v>2062</v>
      </c>
      <c r="C20" s="453"/>
      <c r="D20" s="42"/>
      <c r="E20" s="43"/>
      <c r="F20" s="43" t="s">
        <v>2063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2064</v>
      </c>
      <c r="C21" s="455"/>
      <c r="D21" s="45"/>
      <c r="E21" s="46" t="s">
        <v>2065</v>
      </c>
      <c r="F21" s="456" t="s">
        <v>2066</v>
      </c>
      <c r="G21" s="457"/>
      <c r="H21" s="46" t="s">
        <v>2067</v>
      </c>
      <c r="I21" s="46" t="s">
        <v>2068</v>
      </c>
      <c r="J21" s="47" t="s">
        <v>2067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0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zoomScale="80" zoomScaleNormal="80" workbookViewId="0">
      <pane ySplit="4" topLeftCell="A5" activePane="bottomLeft" state="frozen"/>
      <selection activeCell="G9" sqref="G9"/>
      <selection pane="bottomLeft" activeCell="X80" sqref="X80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2069</v>
      </c>
      <c r="B1" s="52"/>
      <c r="C1" s="53" t="s">
        <v>2070</v>
      </c>
      <c r="D1" s="54">
        <f>SUM(F5:F81)</f>
        <v>203365</v>
      </c>
      <c r="E1" s="380" t="s">
        <v>2071</v>
      </c>
      <c r="F1" s="52">
        <f>SUM(G5:G81)</f>
        <v>6722530.1999999983</v>
      </c>
      <c r="G1" s="52" t="s">
        <v>2072</v>
      </c>
      <c r="H1" s="55">
        <f>L9+L12+L59+L67+L21+L72+L40+L49+L31+L81</f>
        <v>153.58134920634922</v>
      </c>
      <c r="I1" s="556" t="s">
        <v>2073</v>
      </c>
      <c r="J1" s="556"/>
      <c r="K1" s="556"/>
      <c r="L1" s="556" t="s">
        <v>2074</v>
      </c>
      <c r="M1" s="556"/>
      <c r="N1" s="556"/>
      <c r="O1" s="556" t="s">
        <v>2075</v>
      </c>
      <c r="P1" s="556"/>
      <c r="Q1" s="556"/>
      <c r="R1" s="556"/>
      <c r="S1" s="556" t="s">
        <v>2076</v>
      </c>
      <c r="T1" s="556"/>
      <c r="U1" s="556"/>
      <c r="V1" s="556"/>
      <c r="W1" s="556"/>
      <c r="X1" s="556"/>
      <c r="Y1" s="556" t="s">
        <v>2077</v>
      </c>
      <c r="Z1" s="556"/>
      <c r="AA1" s="556" t="s">
        <v>2078</v>
      </c>
      <c r="AB1" s="557"/>
      <c r="AC1" s="557"/>
    </row>
    <row r="2" spans="1:29" ht="26.25" customHeight="1">
      <c r="A2" s="57">
        <v>45986</v>
      </c>
      <c r="B2" s="58" t="s">
        <v>387</v>
      </c>
      <c r="C2" s="53" t="s">
        <v>2079</v>
      </c>
      <c r="D2" s="59">
        <f>AVERAGE(N9,N12,N59,N67,N21,N72,N31,N40,N49,N81)</f>
        <v>149.72174338692633</v>
      </c>
      <c r="E2" s="60" t="s">
        <v>0</v>
      </c>
      <c r="F2" s="61">
        <f>F1/D1</f>
        <v>33.056475794753268</v>
      </c>
      <c r="G2" s="52" t="s">
        <v>2080</v>
      </c>
      <c r="H2" s="389">
        <f>COUNT(H5:H81)</f>
        <v>16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2081</v>
      </c>
      <c r="B3" s="510" t="s">
        <v>2082</v>
      </c>
      <c r="C3" s="510" t="s">
        <v>2083</v>
      </c>
      <c r="D3" s="510"/>
      <c r="E3" s="554" t="s">
        <v>2084</v>
      </c>
      <c r="F3" s="510" t="s">
        <v>2085</v>
      </c>
      <c r="G3" s="554" t="s">
        <v>2086</v>
      </c>
      <c r="H3" s="547" t="s">
        <v>2087</v>
      </c>
      <c r="I3" s="545" t="s">
        <v>2088</v>
      </c>
      <c r="J3" s="550" t="s">
        <v>2089</v>
      </c>
      <c r="K3" s="552" t="s">
        <v>2079</v>
      </c>
      <c r="L3" s="545" t="s">
        <v>2088</v>
      </c>
      <c r="M3" s="550" t="s">
        <v>2089</v>
      </c>
      <c r="N3" s="552" t="s">
        <v>2079</v>
      </c>
      <c r="O3" s="545" t="s">
        <v>312</v>
      </c>
      <c r="P3" s="552" t="s">
        <v>2079</v>
      </c>
      <c r="Q3" s="551" t="s">
        <v>2090</v>
      </c>
      <c r="R3" s="523" t="s">
        <v>2091</v>
      </c>
      <c r="S3" s="553" t="s">
        <v>1</v>
      </c>
      <c r="T3" s="553"/>
      <c r="U3" s="547" t="s">
        <v>2</v>
      </c>
      <c r="V3" s="547" t="s">
        <v>2092</v>
      </c>
      <c r="W3" s="510" t="s">
        <v>2093</v>
      </c>
      <c r="X3" s="510"/>
      <c r="Y3" s="548" t="s">
        <v>2094</v>
      </c>
      <c r="Z3" s="549"/>
      <c r="AA3" s="550" t="s">
        <v>2089</v>
      </c>
      <c r="AB3" s="551" t="s">
        <v>2090</v>
      </c>
      <c r="AC3" s="523" t="s">
        <v>2095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90" t="s">
        <v>3</v>
      </c>
      <c r="T4" s="390" t="s">
        <v>4</v>
      </c>
      <c r="U4" s="547"/>
      <c r="V4" s="547"/>
      <c r="W4" s="380" t="s">
        <v>2096</v>
      </c>
      <c r="X4" s="380" t="s">
        <v>2097</v>
      </c>
      <c r="Y4" s="549"/>
      <c r="Z4" s="549"/>
      <c r="AA4" s="550"/>
      <c r="AB4" s="551"/>
      <c r="AC4" s="523"/>
    </row>
    <row r="5" spans="1:29">
      <c r="A5" s="544" t="s">
        <v>2098</v>
      </c>
      <c r="B5" s="62" t="s">
        <v>6</v>
      </c>
      <c r="C5" s="546" t="s">
        <v>9</v>
      </c>
      <c r="D5" s="546"/>
      <c r="E5" s="62">
        <v>50.67</v>
      </c>
      <c r="F5" s="390">
        <v>1821</v>
      </c>
      <c r="G5" s="380">
        <f t="shared" ref="G5:G8" si="0">E5*F5</f>
        <v>92270.07</v>
      </c>
      <c r="H5" s="90" t="s">
        <v>5</v>
      </c>
      <c r="I5" s="387">
        <v>17</v>
      </c>
      <c r="J5" s="63">
        <v>2000</v>
      </c>
      <c r="K5" s="64">
        <f t="shared" ref="K5:K68" si="1">J5/I5</f>
        <v>117.64705882352941</v>
      </c>
      <c r="L5" s="387">
        <v>17</v>
      </c>
      <c r="M5" s="65">
        <f t="shared" ref="M5:M8" si="2">F5/V5*60</f>
        <v>1916.8421052631593</v>
      </c>
      <c r="N5" s="64">
        <f t="shared" ref="N5:N68" si="3">M5/L5</f>
        <v>112.75541795665643</v>
      </c>
      <c r="O5" s="66">
        <f t="shared" ref="O5:O68" si="4">L5-I5</f>
        <v>0</v>
      </c>
      <c r="P5" s="67">
        <f t="shared" ref="P5:P68" si="5">N5-K5</f>
        <v>-4.8916408668729758</v>
      </c>
      <c r="Q5" s="381">
        <f t="shared" ref="Q5:Q68" si="6">N5/K5</f>
        <v>0.95842105263157973</v>
      </c>
      <c r="R5" s="511">
        <f>Q9</f>
        <v>0.96283064925828077</v>
      </c>
      <c r="S5" s="68">
        <v>0.70833333333333337</v>
      </c>
      <c r="T5" s="68">
        <v>0.74791666666666667</v>
      </c>
      <c r="U5" s="380"/>
      <c r="V5" s="388">
        <f t="shared" ref="V5:V8" si="7">(T5-S5)*24*60</f>
        <v>56.999999999999957</v>
      </c>
      <c r="W5" s="69"/>
      <c r="X5" s="70"/>
      <c r="Y5" s="510"/>
      <c r="Z5" s="510"/>
      <c r="AA5" s="66">
        <f t="shared" ref="AA5:AA68" si="8">M5-J5</f>
        <v>-83.157894736840717</v>
      </c>
      <c r="AB5" s="381">
        <f t="shared" ref="AB5:AB68" si="9">M5/J5</f>
        <v>0.95842105263157962</v>
      </c>
      <c r="AC5" s="511">
        <f>AB9</f>
        <v>0.96283064925828088</v>
      </c>
    </row>
    <row r="6" spans="1:29">
      <c r="A6" s="545" t="s">
        <v>2098</v>
      </c>
      <c r="B6" s="62" t="s">
        <v>6</v>
      </c>
      <c r="C6" s="546" t="s">
        <v>8</v>
      </c>
      <c r="D6" s="546"/>
      <c r="E6" s="62">
        <v>50.49</v>
      </c>
      <c r="F6" s="390">
        <v>2019</v>
      </c>
      <c r="G6" s="380">
        <f t="shared" si="0"/>
        <v>101939.31</v>
      </c>
      <c r="H6" s="90" t="s">
        <v>5</v>
      </c>
      <c r="I6" s="387">
        <v>15</v>
      </c>
      <c r="J6" s="63">
        <v>2000</v>
      </c>
      <c r="K6" s="64">
        <f t="shared" si="1"/>
        <v>133.33333333333334</v>
      </c>
      <c r="L6" s="387">
        <v>15</v>
      </c>
      <c r="M6" s="65">
        <f t="shared" si="2"/>
        <v>1922.8571428571447</v>
      </c>
      <c r="N6" s="64">
        <f t="shared" si="3"/>
        <v>128.19047619047632</v>
      </c>
      <c r="O6" s="66">
        <f t="shared" si="4"/>
        <v>0</v>
      </c>
      <c r="P6" s="67">
        <f t="shared" si="5"/>
        <v>-5.1428571428570251</v>
      </c>
      <c r="Q6" s="381">
        <f t="shared" si="6"/>
        <v>0.9614285714285723</v>
      </c>
      <c r="R6" s="511"/>
      <c r="S6" s="68">
        <v>0.75138888888888888</v>
      </c>
      <c r="T6" s="68">
        <v>0.79513888888888884</v>
      </c>
      <c r="U6" s="380">
        <f t="shared" ref="U6:U8" si="10">IF(S6=TIME(17,0,0),"",(S6-T5)*24*60)</f>
        <v>4.9999999999999822</v>
      </c>
      <c r="V6" s="388">
        <f t="shared" si="7"/>
        <v>62.999999999999936</v>
      </c>
      <c r="W6" s="69"/>
      <c r="X6" s="69"/>
      <c r="Y6" s="510"/>
      <c r="Z6" s="510"/>
      <c r="AA6" s="66">
        <f t="shared" si="8"/>
        <v>-77.142857142855291</v>
      </c>
      <c r="AB6" s="381">
        <f t="shared" si="9"/>
        <v>0.96142857142857241</v>
      </c>
      <c r="AC6" s="511"/>
    </row>
    <row r="7" spans="1:29">
      <c r="A7" s="545" t="s">
        <v>2098</v>
      </c>
      <c r="B7" s="62" t="s">
        <v>6</v>
      </c>
      <c r="C7" s="539" t="s">
        <v>886</v>
      </c>
      <c r="D7" s="540"/>
      <c r="E7" s="62">
        <v>57.3</v>
      </c>
      <c r="F7" s="390">
        <v>1200</v>
      </c>
      <c r="G7" s="380">
        <f t="shared" si="0"/>
        <v>68760</v>
      </c>
      <c r="H7" s="90">
        <v>2</v>
      </c>
      <c r="I7" s="387">
        <v>13</v>
      </c>
      <c r="J7" s="63">
        <v>2000</v>
      </c>
      <c r="K7" s="64">
        <f t="shared" si="1"/>
        <v>153.84615384615384</v>
      </c>
      <c r="L7" s="387">
        <v>13</v>
      </c>
      <c r="M7" s="65">
        <f t="shared" si="2"/>
        <v>1945.9459459459445</v>
      </c>
      <c r="N7" s="64">
        <f t="shared" si="3"/>
        <v>149.68814968814957</v>
      </c>
      <c r="O7" s="66">
        <f t="shared" si="4"/>
        <v>0</v>
      </c>
      <c r="P7" s="67">
        <f t="shared" si="5"/>
        <v>-4.1580041580042746</v>
      </c>
      <c r="Q7" s="381">
        <f t="shared" si="6"/>
        <v>0.97297297297297225</v>
      </c>
      <c r="R7" s="511"/>
      <c r="S7" s="68">
        <v>0.80069444444444438</v>
      </c>
      <c r="T7" s="68">
        <v>0.82638888888888884</v>
      </c>
      <c r="U7" s="380">
        <f t="shared" si="10"/>
        <v>7.9999999999999716</v>
      </c>
      <c r="V7" s="388">
        <f t="shared" si="7"/>
        <v>37.000000000000028</v>
      </c>
      <c r="W7" s="69">
        <f>T7</f>
        <v>0.82638888888888884</v>
      </c>
      <c r="X7" s="69">
        <f>S8</f>
        <v>0.86736111111111103</v>
      </c>
      <c r="Y7" s="517"/>
      <c r="Z7" s="518"/>
      <c r="AA7" s="66">
        <f t="shared" si="8"/>
        <v>-54.054054054055541</v>
      </c>
      <c r="AB7" s="381">
        <f t="shared" si="9"/>
        <v>0.97297297297297225</v>
      </c>
      <c r="AC7" s="511"/>
    </row>
    <row r="8" spans="1:29">
      <c r="A8" s="545" t="s">
        <v>2099</v>
      </c>
      <c r="B8" s="62" t="s">
        <v>6</v>
      </c>
      <c r="C8" s="539" t="s">
        <v>886</v>
      </c>
      <c r="D8" s="540"/>
      <c r="E8" s="62">
        <v>57.3</v>
      </c>
      <c r="F8" s="390">
        <v>2556</v>
      </c>
      <c r="G8" s="380">
        <f t="shared" si="0"/>
        <v>146458.79999999999</v>
      </c>
      <c r="H8" s="90" t="s">
        <v>5</v>
      </c>
      <c r="I8" s="387">
        <v>13</v>
      </c>
      <c r="J8" s="63">
        <v>2000</v>
      </c>
      <c r="K8" s="64">
        <f t="shared" si="1"/>
        <v>153.84615384615384</v>
      </c>
      <c r="L8" s="387">
        <v>13</v>
      </c>
      <c r="M8" s="65">
        <f t="shared" si="2"/>
        <v>1916.9999999999993</v>
      </c>
      <c r="N8" s="64">
        <f t="shared" si="3"/>
        <v>147.4615384615384</v>
      </c>
      <c r="O8" s="66">
        <f t="shared" si="4"/>
        <v>0</v>
      </c>
      <c r="P8" s="67">
        <f t="shared" si="5"/>
        <v>-6.3846153846154436</v>
      </c>
      <c r="Q8" s="381">
        <f t="shared" si="6"/>
        <v>0.95849999999999957</v>
      </c>
      <c r="R8" s="511"/>
      <c r="S8" s="68">
        <v>0.86736111111111103</v>
      </c>
      <c r="T8" s="68">
        <v>0.92291666666666661</v>
      </c>
      <c r="U8" s="380">
        <f t="shared" si="10"/>
        <v>58.99999999999995</v>
      </c>
      <c r="V8" s="388">
        <f t="shared" si="7"/>
        <v>80.000000000000028</v>
      </c>
      <c r="W8" s="73"/>
      <c r="X8" s="73"/>
      <c r="Y8" s="517"/>
      <c r="Z8" s="518"/>
      <c r="AA8" s="66">
        <f t="shared" si="8"/>
        <v>-83.000000000000682</v>
      </c>
      <c r="AB8" s="381">
        <f t="shared" si="9"/>
        <v>0.95849999999999969</v>
      </c>
      <c r="AC8" s="511"/>
    </row>
    <row r="9" spans="1:29">
      <c r="A9" s="545" t="s">
        <v>2099</v>
      </c>
      <c r="B9" s="62" t="s">
        <v>2100</v>
      </c>
      <c r="C9" s="513"/>
      <c r="D9" s="513"/>
      <c r="E9" s="382"/>
      <c r="F9" s="71"/>
      <c r="G9" s="64"/>
      <c r="H9" s="390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1925.6612985165618</v>
      </c>
      <c r="N9" s="64">
        <f t="shared" si="3"/>
        <v>132.8042274839008</v>
      </c>
      <c r="O9" s="66">
        <f t="shared" si="4"/>
        <v>0</v>
      </c>
      <c r="P9" s="67">
        <f t="shared" si="5"/>
        <v>-5.1268069988578304</v>
      </c>
      <c r="Q9" s="381">
        <f t="shared" si="6"/>
        <v>0.96283064925828077</v>
      </c>
      <c r="R9" s="511"/>
      <c r="S9" s="68"/>
      <c r="T9" s="68"/>
      <c r="U9" s="380"/>
      <c r="V9" s="388"/>
      <c r="W9" s="64"/>
      <c r="X9" s="64"/>
      <c r="Y9" s="510"/>
      <c r="Z9" s="510"/>
      <c r="AA9" s="66">
        <f t="shared" si="8"/>
        <v>-74.338701483438172</v>
      </c>
      <c r="AB9" s="381">
        <f t="shared" si="9"/>
        <v>0.96283064925828088</v>
      </c>
      <c r="AC9" s="511"/>
    </row>
    <row r="10" spans="1:29" ht="15.75" customHeight="1">
      <c r="A10" s="543" t="s">
        <v>2101</v>
      </c>
      <c r="B10" s="62" t="s">
        <v>10</v>
      </c>
      <c r="C10" s="539" t="s">
        <v>12</v>
      </c>
      <c r="D10" s="540"/>
      <c r="E10" s="62">
        <v>39.36</v>
      </c>
      <c r="F10" s="390">
        <v>1560</v>
      </c>
      <c r="G10" s="380">
        <f t="shared" ref="G10:G11" si="11">E10*F10</f>
        <v>61401.599999999999</v>
      </c>
      <c r="H10" s="90" t="s">
        <v>5</v>
      </c>
      <c r="I10" s="387">
        <v>20</v>
      </c>
      <c r="J10" s="63">
        <v>1500</v>
      </c>
      <c r="K10" s="64">
        <f t="shared" si="1"/>
        <v>75</v>
      </c>
      <c r="L10" s="387">
        <v>20</v>
      </c>
      <c r="M10" s="65">
        <f t="shared" ref="M10:M11" si="12">F10/V10*60</f>
        <v>1440.0000000000007</v>
      </c>
      <c r="N10" s="64">
        <f t="shared" si="3"/>
        <v>72.000000000000028</v>
      </c>
      <c r="O10" s="66">
        <f t="shared" si="4"/>
        <v>0</v>
      </c>
      <c r="P10" s="67">
        <f t="shared" si="5"/>
        <v>-2.9999999999999716</v>
      </c>
      <c r="Q10" s="381">
        <f t="shared" si="6"/>
        <v>0.96000000000000041</v>
      </c>
      <c r="R10" s="511">
        <f>Q12</f>
        <v>0.95621993127147809</v>
      </c>
      <c r="S10" s="68">
        <v>0.20833333333333334</v>
      </c>
      <c r="T10" s="68">
        <v>0.25347222222222221</v>
      </c>
      <c r="U10" s="380"/>
      <c r="V10" s="388">
        <f t="shared" ref="V10:V11" si="13">(T10-S10)*24*60</f>
        <v>64.999999999999972</v>
      </c>
      <c r="W10" s="69"/>
      <c r="X10" s="69"/>
      <c r="Y10" s="510"/>
      <c r="Z10" s="510"/>
      <c r="AA10" s="66">
        <f t="shared" si="8"/>
        <v>-59.999999999999318</v>
      </c>
      <c r="AB10" s="381">
        <f t="shared" si="9"/>
        <v>0.96000000000000041</v>
      </c>
      <c r="AC10" s="511">
        <f>AB12</f>
        <v>0.95621993127147809</v>
      </c>
    </row>
    <row r="11" spans="1:29" ht="15.75" customHeight="1">
      <c r="A11" s="543" t="s">
        <v>2101</v>
      </c>
      <c r="B11" s="62" t="s">
        <v>10</v>
      </c>
      <c r="C11" s="539" t="s">
        <v>11</v>
      </c>
      <c r="D11" s="540"/>
      <c r="E11" s="62">
        <v>39.799999999999997</v>
      </c>
      <c r="F11" s="390">
        <v>6929</v>
      </c>
      <c r="G11" s="380">
        <f t="shared" si="11"/>
        <v>275774.19999999995</v>
      </c>
      <c r="H11" s="90" t="s">
        <v>5</v>
      </c>
      <c r="I11" s="387">
        <v>17</v>
      </c>
      <c r="J11" s="63">
        <v>1500</v>
      </c>
      <c r="K11" s="64">
        <f t="shared" si="1"/>
        <v>88.235294117647058</v>
      </c>
      <c r="L11" s="387">
        <v>17</v>
      </c>
      <c r="M11" s="65">
        <f t="shared" si="12"/>
        <v>1428.6597938144332</v>
      </c>
      <c r="N11" s="64">
        <f t="shared" si="3"/>
        <v>84.038811400849013</v>
      </c>
      <c r="O11" s="66">
        <f t="shared" si="4"/>
        <v>0</v>
      </c>
      <c r="P11" s="67">
        <f t="shared" si="5"/>
        <v>-4.1964827167980445</v>
      </c>
      <c r="Q11" s="381">
        <f t="shared" si="6"/>
        <v>0.95243986254295554</v>
      </c>
      <c r="R11" s="511"/>
      <c r="S11" s="68">
        <v>0.25694444444444442</v>
      </c>
      <c r="T11" s="68">
        <v>0.4590277777777777</v>
      </c>
      <c r="U11" s="380">
        <f t="shared" ref="U11" si="14">IF(S11=TIME(17,0,0),"",(S11-T10)*24*60)</f>
        <v>4.9999999999999822</v>
      </c>
      <c r="V11" s="388">
        <f t="shared" si="13"/>
        <v>290.99999999999994</v>
      </c>
      <c r="W11" s="69"/>
      <c r="X11" s="69"/>
      <c r="Y11" s="510"/>
      <c r="Z11" s="510"/>
      <c r="AA11" s="66">
        <f t="shared" si="8"/>
        <v>-71.340206185566785</v>
      </c>
      <c r="AB11" s="381">
        <f t="shared" si="9"/>
        <v>0.95243986254295543</v>
      </c>
      <c r="AC11" s="511"/>
    </row>
    <row r="12" spans="1:29" ht="16.5" customHeight="1">
      <c r="A12" s="543" t="s">
        <v>2101</v>
      </c>
      <c r="B12" s="62" t="s">
        <v>2102</v>
      </c>
      <c r="C12" s="513"/>
      <c r="D12" s="513"/>
      <c r="E12" s="382"/>
      <c r="F12" s="63"/>
      <c r="G12" s="65"/>
      <c r="H12" s="390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1434.3298969072171</v>
      </c>
      <c r="N12" s="64">
        <f t="shared" si="3"/>
        <v>77.531345778768497</v>
      </c>
      <c r="O12" s="66">
        <f t="shared" si="4"/>
        <v>0</v>
      </c>
      <c r="P12" s="67">
        <f t="shared" si="5"/>
        <v>-3.5497353023125839</v>
      </c>
      <c r="Q12" s="381">
        <f t="shared" si="6"/>
        <v>0.95621993127147809</v>
      </c>
      <c r="R12" s="511"/>
      <c r="S12" s="68"/>
      <c r="T12" s="68"/>
      <c r="U12" s="64"/>
      <c r="V12" s="388"/>
      <c r="W12" s="64"/>
      <c r="X12" s="64"/>
      <c r="Y12" s="510"/>
      <c r="Z12" s="510"/>
      <c r="AA12" s="66">
        <f t="shared" si="8"/>
        <v>-65.670103092782938</v>
      </c>
      <c r="AB12" s="381">
        <f t="shared" si="9"/>
        <v>0.95621993127147809</v>
      </c>
      <c r="AC12" s="511"/>
    </row>
    <row r="13" spans="1:29" ht="16.5" customHeight="1">
      <c r="A13" s="541" t="s">
        <v>2103</v>
      </c>
      <c r="B13" s="390" t="s">
        <v>13</v>
      </c>
      <c r="C13" s="533" t="s">
        <v>14</v>
      </c>
      <c r="D13" s="533"/>
      <c r="E13" s="62">
        <v>41</v>
      </c>
      <c r="F13" s="390">
        <v>2458</v>
      </c>
      <c r="G13" s="380">
        <f t="shared" ref="G13:G20" si="15">E13*F13</f>
        <v>100778</v>
      </c>
      <c r="H13" s="90" t="s">
        <v>5</v>
      </c>
      <c r="I13" s="387">
        <v>26</v>
      </c>
      <c r="J13" s="63">
        <v>1500</v>
      </c>
      <c r="K13" s="64">
        <f t="shared" si="1"/>
        <v>57.692307692307693</v>
      </c>
      <c r="L13" s="387">
        <v>26</v>
      </c>
      <c r="M13" s="65">
        <f t="shared" ref="M13:M20" si="16">F13/V13*60</f>
        <v>1431.8446601941746</v>
      </c>
      <c r="N13" s="64">
        <f t="shared" si="3"/>
        <v>55.070948469006716</v>
      </c>
      <c r="O13" s="66">
        <f t="shared" si="4"/>
        <v>0</v>
      </c>
      <c r="P13" s="67">
        <f t="shared" si="5"/>
        <v>-2.6213592233009777</v>
      </c>
      <c r="Q13" s="381">
        <f t="shared" si="6"/>
        <v>0.95456310679611633</v>
      </c>
      <c r="R13" s="511">
        <f>Q21</f>
        <v>0.96293420693659915</v>
      </c>
      <c r="S13" s="68">
        <v>0.125</v>
      </c>
      <c r="T13" s="68">
        <v>0.19652777777777777</v>
      </c>
      <c r="U13" s="380"/>
      <c r="V13" s="388">
        <f t="shared" ref="V13:V20" si="17">(T13-S13)*24*60</f>
        <v>103</v>
      </c>
      <c r="W13" s="69">
        <f>T13</f>
        <v>0.19652777777777777</v>
      </c>
      <c r="X13" s="69">
        <f>S14</f>
        <v>0.21805555555555556</v>
      </c>
      <c r="Y13" s="510"/>
      <c r="Z13" s="510"/>
      <c r="AA13" s="66">
        <f t="shared" si="8"/>
        <v>-68.155339805825406</v>
      </c>
      <c r="AB13" s="381">
        <f t="shared" si="9"/>
        <v>0.95456310679611645</v>
      </c>
      <c r="AC13" s="511">
        <f>AB21</f>
        <v>0.96293420693659904</v>
      </c>
    </row>
    <row r="14" spans="1:29" ht="16.5" customHeight="1">
      <c r="A14" s="542" t="s">
        <v>2103</v>
      </c>
      <c r="B14" s="390" t="s">
        <v>10</v>
      </c>
      <c r="C14" s="533" t="s">
        <v>15</v>
      </c>
      <c r="D14" s="533"/>
      <c r="E14" s="62">
        <v>39.619999999999997</v>
      </c>
      <c r="F14" s="390">
        <v>4424</v>
      </c>
      <c r="G14" s="380">
        <f t="shared" si="15"/>
        <v>175278.87999999998</v>
      </c>
      <c r="H14" s="90" t="s">
        <v>5</v>
      </c>
      <c r="I14" s="387">
        <v>19</v>
      </c>
      <c r="J14" s="63">
        <v>1500</v>
      </c>
      <c r="K14" s="64">
        <f t="shared" si="1"/>
        <v>78.94736842105263</v>
      </c>
      <c r="L14" s="387">
        <v>19</v>
      </c>
      <c r="M14" s="65">
        <f t="shared" si="16"/>
        <v>1434.8108108108111</v>
      </c>
      <c r="N14" s="64">
        <f t="shared" si="3"/>
        <v>75.516358463726903</v>
      </c>
      <c r="O14" s="66">
        <f t="shared" si="4"/>
        <v>0</v>
      </c>
      <c r="P14" s="67">
        <f t="shared" si="5"/>
        <v>-3.4310099573257276</v>
      </c>
      <c r="Q14" s="381">
        <f t="shared" si="6"/>
        <v>0.95654054054054083</v>
      </c>
      <c r="R14" s="511"/>
      <c r="S14" s="68">
        <v>0.21805555555555556</v>
      </c>
      <c r="T14" s="68">
        <v>0.34652777777777777</v>
      </c>
      <c r="U14" s="380">
        <f t="shared" ref="U14:U20" si="18">IF(S14=TIME(17,0,0),"",(S14-T13)*24*60)</f>
        <v>31.000000000000011</v>
      </c>
      <c r="V14" s="388">
        <f t="shared" si="17"/>
        <v>184.99999999999997</v>
      </c>
      <c r="W14" s="69"/>
      <c r="X14" s="69"/>
      <c r="Y14" s="510"/>
      <c r="Z14" s="510"/>
      <c r="AA14" s="66">
        <f t="shared" si="8"/>
        <v>-65.189189189188937</v>
      </c>
      <c r="AB14" s="381">
        <f t="shared" si="9"/>
        <v>0.95654054054054072</v>
      </c>
      <c r="AC14" s="511"/>
    </row>
    <row r="15" spans="1:29" ht="16.5" customHeight="1">
      <c r="A15" s="542" t="s">
        <v>2103</v>
      </c>
      <c r="B15" s="390" t="s">
        <v>16</v>
      </c>
      <c r="C15" s="533" t="s">
        <v>31</v>
      </c>
      <c r="D15" s="533"/>
      <c r="E15" s="62">
        <v>26.2</v>
      </c>
      <c r="F15" s="390">
        <v>7404</v>
      </c>
      <c r="G15" s="380">
        <f t="shared" si="15"/>
        <v>193984.8</v>
      </c>
      <c r="H15" s="90" t="s">
        <v>5</v>
      </c>
      <c r="I15" s="387">
        <v>18</v>
      </c>
      <c r="J15" s="63">
        <v>2400</v>
      </c>
      <c r="K15" s="64">
        <f t="shared" si="1"/>
        <v>133.33333333333334</v>
      </c>
      <c r="L15" s="387">
        <v>18</v>
      </c>
      <c r="M15" s="65">
        <f t="shared" si="16"/>
        <v>2289.8969072164955</v>
      </c>
      <c r="N15" s="64">
        <f t="shared" si="3"/>
        <v>127.21649484536086</v>
      </c>
      <c r="O15" s="66">
        <f t="shared" si="4"/>
        <v>0</v>
      </c>
      <c r="P15" s="67">
        <f t="shared" si="5"/>
        <v>-6.1168384879724869</v>
      </c>
      <c r="Q15" s="381">
        <f t="shared" si="6"/>
        <v>0.95412371134020635</v>
      </c>
      <c r="R15" s="511"/>
      <c r="S15" s="68">
        <v>0.35069444444444442</v>
      </c>
      <c r="T15" s="68">
        <v>0.48541666666666661</v>
      </c>
      <c r="U15" s="380">
        <f t="shared" si="18"/>
        <v>5.9999999999999787</v>
      </c>
      <c r="V15" s="388">
        <f t="shared" si="17"/>
        <v>193.99999999999994</v>
      </c>
      <c r="W15" s="69"/>
      <c r="X15" s="69"/>
      <c r="Y15" s="510"/>
      <c r="Z15" s="510"/>
      <c r="AA15" s="66">
        <f t="shared" si="8"/>
        <v>-110.10309278350451</v>
      </c>
      <c r="AB15" s="381">
        <f t="shared" si="9"/>
        <v>0.95412371134020646</v>
      </c>
      <c r="AC15" s="511"/>
    </row>
    <row r="16" spans="1:29" ht="16.5" customHeight="1">
      <c r="A16" s="542" t="s">
        <v>2104</v>
      </c>
      <c r="B16" s="390" t="s">
        <v>6</v>
      </c>
      <c r="C16" s="533" t="s">
        <v>890</v>
      </c>
      <c r="D16" s="533"/>
      <c r="E16" s="62">
        <v>50.98</v>
      </c>
      <c r="F16" s="390">
        <v>2000</v>
      </c>
      <c r="G16" s="380">
        <f t="shared" si="15"/>
        <v>101960</v>
      </c>
      <c r="H16" s="90">
        <v>2</v>
      </c>
      <c r="I16" s="387">
        <v>16</v>
      </c>
      <c r="J16" s="63">
        <v>2000</v>
      </c>
      <c r="K16" s="64">
        <f t="shared" si="1"/>
        <v>125</v>
      </c>
      <c r="L16" s="387">
        <v>16</v>
      </c>
      <c r="M16" s="65">
        <f t="shared" si="16"/>
        <v>1935.4838709677435</v>
      </c>
      <c r="N16" s="64">
        <f t="shared" si="3"/>
        <v>120.96774193548397</v>
      </c>
      <c r="O16" s="66">
        <f t="shared" si="4"/>
        <v>0</v>
      </c>
      <c r="P16" s="67">
        <f t="shared" si="5"/>
        <v>-4.0322580645160286</v>
      </c>
      <c r="Q16" s="381">
        <f t="shared" si="6"/>
        <v>0.96774193548387177</v>
      </c>
      <c r="R16" s="511"/>
      <c r="S16" s="68">
        <v>0.70833333333333337</v>
      </c>
      <c r="T16" s="68">
        <v>0.75138888888888888</v>
      </c>
      <c r="U16" s="380" t="str">
        <f t="shared" si="18"/>
        <v/>
      </c>
      <c r="V16" s="388">
        <f t="shared" si="17"/>
        <v>61.999999999999943</v>
      </c>
      <c r="W16" s="69"/>
      <c r="X16" s="69"/>
      <c r="Y16" s="510"/>
      <c r="Z16" s="510"/>
      <c r="AA16" s="66">
        <f t="shared" si="8"/>
        <v>-64.516129032256458</v>
      </c>
      <c r="AB16" s="381">
        <f t="shared" si="9"/>
        <v>0.96774193548387177</v>
      </c>
      <c r="AC16" s="511"/>
    </row>
    <row r="17" spans="1:29" ht="16.5" customHeight="1">
      <c r="A17" s="542" t="s">
        <v>2105</v>
      </c>
      <c r="B17" s="390" t="s">
        <v>6</v>
      </c>
      <c r="C17" s="533" t="s">
        <v>20</v>
      </c>
      <c r="D17" s="533"/>
      <c r="E17" s="62">
        <v>50.92</v>
      </c>
      <c r="F17" s="390">
        <v>1000</v>
      </c>
      <c r="G17" s="380">
        <f t="shared" si="15"/>
        <v>50920</v>
      </c>
      <c r="H17" s="90">
        <v>2</v>
      </c>
      <c r="I17" s="387">
        <v>15</v>
      </c>
      <c r="J17" s="63">
        <v>2000</v>
      </c>
      <c r="K17" s="64">
        <f t="shared" si="1"/>
        <v>133.33333333333334</v>
      </c>
      <c r="L17" s="387">
        <v>15</v>
      </c>
      <c r="M17" s="65">
        <f t="shared" si="16"/>
        <v>1935.483870967739</v>
      </c>
      <c r="N17" s="64">
        <f t="shared" si="3"/>
        <v>129.03225806451593</v>
      </c>
      <c r="O17" s="66">
        <f t="shared" si="4"/>
        <v>0</v>
      </c>
      <c r="P17" s="67">
        <f t="shared" si="5"/>
        <v>-4.3010752688174136</v>
      </c>
      <c r="Q17" s="381">
        <f t="shared" si="6"/>
        <v>0.96774193548386944</v>
      </c>
      <c r="R17" s="511"/>
      <c r="S17" s="68">
        <v>0.75624999999999998</v>
      </c>
      <c r="T17" s="68">
        <v>0.77777777777777779</v>
      </c>
      <c r="U17" s="380">
        <f t="shared" si="18"/>
        <v>6.9999999999999751</v>
      </c>
      <c r="V17" s="388">
        <f t="shared" si="17"/>
        <v>31.00000000000005</v>
      </c>
      <c r="W17" s="69"/>
      <c r="X17" s="69"/>
      <c r="Y17" s="510"/>
      <c r="Z17" s="510"/>
      <c r="AA17" s="66">
        <f t="shared" si="8"/>
        <v>-64.516129032261006</v>
      </c>
      <c r="AB17" s="381">
        <f t="shared" si="9"/>
        <v>0.96774193548386944</v>
      </c>
      <c r="AC17" s="511"/>
    </row>
    <row r="18" spans="1:29" ht="16.5" customHeight="1">
      <c r="A18" s="542" t="s">
        <v>2104</v>
      </c>
      <c r="B18" s="390" t="s">
        <v>6</v>
      </c>
      <c r="C18" s="534" t="s">
        <v>7</v>
      </c>
      <c r="D18" s="535"/>
      <c r="E18" s="62">
        <v>46.93</v>
      </c>
      <c r="F18" s="390">
        <v>1076</v>
      </c>
      <c r="G18" s="380">
        <f t="shared" si="15"/>
        <v>50496.68</v>
      </c>
      <c r="H18" s="90" t="s">
        <v>5</v>
      </c>
      <c r="I18" s="387">
        <v>16</v>
      </c>
      <c r="J18" s="63">
        <v>2000</v>
      </c>
      <c r="K18" s="64">
        <f t="shared" si="1"/>
        <v>125</v>
      </c>
      <c r="L18" s="387">
        <v>16</v>
      </c>
      <c r="M18" s="65">
        <f t="shared" si="16"/>
        <v>1956.363636363634</v>
      </c>
      <c r="N18" s="64">
        <f t="shared" si="3"/>
        <v>122.27272727272712</v>
      </c>
      <c r="O18" s="66">
        <f t="shared" si="4"/>
        <v>0</v>
      </c>
      <c r="P18" s="67">
        <f t="shared" si="5"/>
        <v>-2.7272727272728758</v>
      </c>
      <c r="Q18" s="381">
        <f t="shared" si="6"/>
        <v>0.97818181818181704</v>
      </c>
      <c r="R18" s="511"/>
      <c r="S18" s="68">
        <v>0.78263888888888888</v>
      </c>
      <c r="T18" s="68">
        <v>0.80555555555555558</v>
      </c>
      <c r="U18" s="380">
        <f t="shared" si="18"/>
        <v>6.9999999999999751</v>
      </c>
      <c r="V18" s="388">
        <f t="shared" si="17"/>
        <v>33.000000000000043</v>
      </c>
      <c r="W18" s="69">
        <f>T18</f>
        <v>0.80555555555555558</v>
      </c>
      <c r="X18" s="69">
        <f>S19</f>
        <v>0.84652777777777777</v>
      </c>
      <c r="Y18" s="517"/>
      <c r="Z18" s="518"/>
      <c r="AA18" s="66">
        <f t="shared" si="8"/>
        <v>-43.636363636366013</v>
      </c>
      <c r="AB18" s="381">
        <f t="shared" si="9"/>
        <v>0.97818181818181704</v>
      </c>
      <c r="AC18" s="511"/>
    </row>
    <row r="19" spans="1:29" ht="16.5" customHeight="1">
      <c r="A19" s="542" t="s">
        <v>2103</v>
      </c>
      <c r="B19" s="390" t="s">
        <v>6</v>
      </c>
      <c r="C19" s="385" t="s">
        <v>20</v>
      </c>
      <c r="D19" s="386"/>
      <c r="E19" s="62">
        <v>50.92</v>
      </c>
      <c r="F19" s="390">
        <v>2312</v>
      </c>
      <c r="G19" s="380">
        <f t="shared" si="15"/>
        <v>117727.04000000001</v>
      </c>
      <c r="H19" s="90" t="s">
        <v>5</v>
      </c>
      <c r="I19" s="387">
        <v>15</v>
      </c>
      <c r="J19" s="63">
        <v>2000</v>
      </c>
      <c r="K19" s="64">
        <f t="shared" si="1"/>
        <v>133.33333333333334</v>
      </c>
      <c r="L19" s="387">
        <v>15</v>
      </c>
      <c r="M19" s="65">
        <f t="shared" si="16"/>
        <v>1926.6666666666652</v>
      </c>
      <c r="N19" s="64">
        <f t="shared" si="3"/>
        <v>128.44444444444434</v>
      </c>
      <c r="O19" s="66">
        <f t="shared" si="4"/>
        <v>0</v>
      </c>
      <c r="P19" s="67">
        <f t="shared" si="5"/>
        <v>-4.8888888888889994</v>
      </c>
      <c r="Q19" s="381">
        <f t="shared" si="6"/>
        <v>0.96333333333333249</v>
      </c>
      <c r="R19" s="511"/>
      <c r="S19" s="68">
        <v>0.84652777777777777</v>
      </c>
      <c r="T19" s="68">
        <v>0.89652777777777781</v>
      </c>
      <c r="U19" s="380">
        <f t="shared" si="18"/>
        <v>58.99999999999995</v>
      </c>
      <c r="V19" s="388">
        <f t="shared" si="17"/>
        <v>72.000000000000057</v>
      </c>
      <c r="W19" s="69"/>
      <c r="X19" s="69"/>
      <c r="Y19" s="517"/>
      <c r="Z19" s="518"/>
      <c r="AA19" s="66">
        <f t="shared" si="8"/>
        <v>-73.333333333334849</v>
      </c>
      <c r="AB19" s="381">
        <f t="shared" si="9"/>
        <v>0.9633333333333326</v>
      </c>
      <c r="AC19" s="511"/>
    </row>
    <row r="20" spans="1:29" ht="16.5" customHeight="1">
      <c r="A20" s="542" t="s">
        <v>2104</v>
      </c>
      <c r="B20" s="390" t="s">
        <v>6</v>
      </c>
      <c r="C20" s="385" t="s">
        <v>890</v>
      </c>
      <c r="D20" s="386"/>
      <c r="E20" s="62">
        <v>50.98</v>
      </c>
      <c r="F20" s="390">
        <v>1407</v>
      </c>
      <c r="G20" s="380">
        <f t="shared" si="15"/>
        <v>71728.86</v>
      </c>
      <c r="H20" s="90" t="s">
        <v>5</v>
      </c>
      <c r="I20" s="387">
        <v>16</v>
      </c>
      <c r="J20" s="63">
        <v>2000</v>
      </c>
      <c r="K20" s="64">
        <f t="shared" si="1"/>
        <v>125</v>
      </c>
      <c r="L20" s="387">
        <v>16</v>
      </c>
      <c r="M20" s="65">
        <f t="shared" si="16"/>
        <v>1918.6363636363635</v>
      </c>
      <c r="N20" s="64">
        <f t="shared" si="3"/>
        <v>119.91477272727272</v>
      </c>
      <c r="O20" s="66">
        <f t="shared" si="4"/>
        <v>0</v>
      </c>
      <c r="P20" s="67">
        <f t="shared" si="5"/>
        <v>-5.0852272727272805</v>
      </c>
      <c r="Q20" s="381">
        <f t="shared" si="6"/>
        <v>0.95931818181818174</v>
      </c>
      <c r="R20" s="511"/>
      <c r="S20" s="68">
        <v>0.9</v>
      </c>
      <c r="T20" s="68">
        <v>0.93055555555555558</v>
      </c>
      <c r="U20" s="380">
        <f t="shared" si="18"/>
        <v>4.9999999999999822</v>
      </c>
      <c r="V20" s="388">
        <f t="shared" si="17"/>
        <v>44</v>
      </c>
      <c r="W20" s="69"/>
      <c r="X20" s="69"/>
      <c r="Y20" s="517"/>
      <c r="Z20" s="518"/>
      <c r="AA20" s="66">
        <f t="shared" si="8"/>
        <v>-81.363636363636488</v>
      </c>
      <c r="AB20" s="381">
        <f t="shared" si="9"/>
        <v>0.95931818181818174</v>
      </c>
      <c r="AC20" s="511"/>
    </row>
    <row r="21" spans="1:29" ht="16.5" customHeight="1">
      <c r="A21" s="542" t="s">
        <v>2103</v>
      </c>
      <c r="B21" s="62" t="s">
        <v>2100</v>
      </c>
      <c r="C21" s="513"/>
      <c r="D21" s="513"/>
      <c r="E21" s="382"/>
      <c r="F21" s="71"/>
      <c r="G21" s="64"/>
      <c r="H21" s="390"/>
      <c r="I21" s="72">
        <v>17.625</v>
      </c>
      <c r="J21" s="63">
        <v>1925</v>
      </c>
      <c r="K21" s="64">
        <f t="shared" si="1"/>
        <v>109.21985815602837</v>
      </c>
      <c r="L21" s="72">
        <v>17.625</v>
      </c>
      <c r="M21" s="65">
        <f>AVERAGE(M13:M20)</f>
        <v>1853.6483483529532</v>
      </c>
      <c r="N21" s="64">
        <f t="shared" si="3"/>
        <v>105.17153749520303</v>
      </c>
      <c r="O21" s="66">
        <f t="shared" si="4"/>
        <v>0</v>
      </c>
      <c r="P21" s="67">
        <f t="shared" si="5"/>
        <v>-4.0483206608253397</v>
      </c>
      <c r="Q21" s="381">
        <f t="shared" si="6"/>
        <v>0.96293420693659915</v>
      </c>
      <c r="R21" s="511"/>
      <c r="S21" s="68"/>
      <c r="T21" s="68"/>
      <c r="U21" s="380"/>
      <c r="V21" s="388"/>
      <c r="W21" s="64"/>
      <c r="X21" s="64"/>
      <c r="Y21" s="510"/>
      <c r="Z21" s="510"/>
      <c r="AA21" s="66">
        <f t="shared" si="8"/>
        <v>-71.351651647046765</v>
      </c>
      <c r="AB21" s="381">
        <f t="shared" si="9"/>
        <v>0.96293420693659904</v>
      </c>
      <c r="AC21" s="511"/>
    </row>
    <row r="22" spans="1:29" ht="15.75" customHeight="1">
      <c r="A22" s="537" t="s">
        <v>2106</v>
      </c>
      <c r="B22" s="62" t="s">
        <v>13</v>
      </c>
      <c r="C22" s="533" t="s">
        <v>21</v>
      </c>
      <c r="D22" s="533"/>
      <c r="E22" s="62">
        <v>43.14</v>
      </c>
      <c r="F22" s="390">
        <v>1248</v>
      </c>
      <c r="G22" s="380">
        <f t="shared" ref="G22:G30" si="19">E22*F22</f>
        <v>53838.720000000001</v>
      </c>
      <c r="H22" s="90" t="s">
        <v>5</v>
      </c>
      <c r="I22" s="387">
        <v>17</v>
      </c>
      <c r="J22" s="63">
        <v>2000</v>
      </c>
      <c r="K22" s="64">
        <f t="shared" si="1"/>
        <v>117.64705882352941</v>
      </c>
      <c r="L22" s="387">
        <v>17</v>
      </c>
      <c r="M22" s="65">
        <f t="shared" ref="M22:M30" si="20">F22/V22*60</f>
        <v>1920.0000000000009</v>
      </c>
      <c r="N22" s="64">
        <f t="shared" si="3"/>
        <v>112.94117647058829</v>
      </c>
      <c r="O22" s="66">
        <f t="shared" si="4"/>
        <v>0</v>
      </c>
      <c r="P22" s="67">
        <f t="shared" si="5"/>
        <v>-4.7058823529411171</v>
      </c>
      <c r="Q22" s="381">
        <f t="shared" si="6"/>
        <v>0.96000000000000052</v>
      </c>
      <c r="R22" s="511">
        <f>Q31</f>
        <v>0.95777033801551714</v>
      </c>
      <c r="S22" s="68">
        <v>0.20833333333333334</v>
      </c>
      <c r="T22" s="68">
        <v>0.23541666666666666</v>
      </c>
      <c r="U22" s="380"/>
      <c r="V22" s="388">
        <f t="shared" ref="V22:V30" si="21">(T22-S22)*24*60</f>
        <v>38.999999999999979</v>
      </c>
      <c r="W22" s="73"/>
      <c r="X22" s="73"/>
      <c r="Y22" s="510"/>
      <c r="Z22" s="510"/>
      <c r="AA22" s="66">
        <f t="shared" si="8"/>
        <v>-79.999999999999091</v>
      </c>
      <c r="AB22" s="381">
        <f t="shared" si="9"/>
        <v>0.96000000000000041</v>
      </c>
      <c r="AC22" s="511">
        <f>AB31</f>
        <v>0.95777033801551714</v>
      </c>
    </row>
    <row r="23" spans="1:29" ht="15.75" customHeight="1">
      <c r="A23" s="538" t="s">
        <v>2106</v>
      </c>
      <c r="B23" s="62" t="s">
        <v>77</v>
      </c>
      <c r="C23" s="533" t="s">
        <v>980</v>
      </c>
      <c r="D23" s="533"/>
      <c r="E23" s="62">
        <v>49.9</v>
      </c>
      <c r="F23" s="390">
        <v>1996</v>
      </c>
      <c r="G23" s="380">
        <f t="shared" si="19"/>
        <v>99600.4</v>
      </c>
      <c r="H23" s="90" t="s">
        <v>5</v>
      </c>
      <c r="I23" s="387">
        <v>19</v>
      </c>
      <c r="J23" s="63">
        <v>2000</v>
      </c>
      <c r="K23" s="64">
        <f t="shared" si="1"/>
        <v>105.26315789473684</v>
      </c>
      <c r="L23" s="387">
        <v>19</v>
      </c>
      <c r="M23" s="65">
        <f t="shared" si="20"/>
        <v>1931.6129032258057</v>
      </c>
      <c r="N23" s="64">
        <f t="shared" si="3"/>
        <v>101.66383701188451</v>
      </c>
      <c r="O23" s="66">
        <f t="shared" si="4"/>
        <v>0</v>
      </c>
      <c r="P23" s="67">
        <f t="shared" si="5"/>
        <v>-3.5993208828523251</v>
      </c>
      <c r="Q23" s="381">
        <f t="shared" si="6"/>
        <v>0.96580645161290291</v>
      </c>
      <c r="R23" s="511"/>
      <c r="S23" s="68">
        <v>0.23888888888888887</v>
      </c>
      <c r="T23" s="68">
        <v>0.28194444444444444</v>
      </c>
      <c r="U23" s="380">
        <f t="shared" ref="U23:U30" si="22">IF(S23=TIME(17,0,0),"",(S23-T22)*24*60)</f>
        <v>4.9999999999999822</v>
      </c>
      <c r="V23" s="388">
        <f t="shared" si="21"/>
        <v>62.000000000000021</v>
      </c>
      <c r="W23" s="69"/>
      <c r="X23" s="380"/>
      <c r="Y23" s="510"/>
      <c r="Z23" s="510"/>
      <c r="AA23" s="66">
        <f t="shared" si="8"/>
        <v>-68.387096774194333</v>
      </c>
      <c r="AB23" s="381">
        <f t="shared" si="9"/>
        <v>0.96580645161290279</v>
      </c>
      <c r="AC23" s="511"/>
    </row>
    <row r="24" spans="1:29" ht="15.75" customHeight="1">
      <c r="A24" s="538" t="s">
        <v>2106</v>
      </c>
      <c r="B24" s="62" t="s">
        <v>6</v>
      </c>
      <c r="C24" s="533" t="s">
        <v>22</v>
      </c>
      <c r="D24" s="533"/>
      <c r="E24" s="62">
        <v>57.73</v>
      </c>
      <c r="F24" s="390">
        <v>2729</v>
      </c>
      <c r="G24" s="380">
        <f t="shared" si="19"/>
        <v>157545.16999999998</v>
      </c>
      <c r="H24" s="90" t="s">
        <v>5</v>
      </c>
      <c r="I24" s="387">
        <v>14</v>
      </c>
      <c r="J24" s="63">
        <v>2000</v>
      </c>
      <c r="K24" s="64">
        <f t="shared" si="1"/>
        <v>142.85714285714286</v>
      </c>
      <c r="L24" s="387">
        <v>14</v>
      </c>
      <c r="M24" s="65">
        <f t="shared" si="20"/>
        <v>1903.9534883720926</v>
      </c>
      <c r="N24" s="64">
        <f t="shared" si="3"/>
        <v>135.99667774086376</v>
      </c>
      <c r="O24" s="66">
        <f t="shared" si="4"/>
        <v>0</v>
      </c>
      <c r="P24" s="67">
        <f t="shared" si="5"/>
        <v>-6.8604651162791015</v>
      </c>
      <c r="Q24" s="381">
        <f t="shared" si="6"/>
        <v>0.95197674418604628</v>
      </c>
      <c r="R24" s="511"/>
      <c r="S24" s="68">
        <v>0.28749999999999998</v>
      </c>
      <c r="T24" s="68">
        <v>0.34722222222222221</v>
      </c>
      <c r="U24" s="380">
        <f t="shared" si="22"/>
        <v>7.9999999999999716</v>
      </c>
      <c r="V24" s="388">
        <f t="shared" si="21"/>
        <v>86.000000000000014</v>
      </c>
      <c r="W24" s="69"/>
      <c r="X24" s="380"/>
      <c r="Y24" s="510"/>
      <c r="Z24" s="510"/>
      <c r="AA24" s="66">
        <f t="shared" si="8"/>
        <v>-96.046511627907421</v>
      </c>
      <c r="AB24" s="381">
        <f t="shared" si="9"/>
        <v>0.95197674418604628</v>
      </c>
      <c r="AC24" s="511"/>
    </row>
    <row r="25" spans="1:29" ht="15.75" customHeight="1">
      <c r="A25" s="538" t="s">
        <v>2106</v>
      </c>
      <c r="B25" s="62" t="s">
        <v>6</v>
      </c>
      <c r="C25" s="533" t="s">
        <v>23</v>
      </c>
      <c r="D25" s="533"/>
      <c r="E25" s="62">
        <v>53.68</v>
      </c>
      <c r="F25" s="390">
        <v>1697</v>
      </c>
      <c r="G25" s="380">
        <f t="shared" si="19"/>
        <v>91094.96</v>
      </c>
      <c r="H25" s="90" t="s">
        <v>5</v>
      </c>
      <c r="I25" s="387">
        <v>16</v>
      </c>
      <c r="J25" s="63">
        <v>2000</v>
      </c>
      <c r="K25" s="64">
        <f t="shared" si="1"/>
        <v>125</v>
      </c>
      <c r="L25" s="387">
        <v>16</v>
      </c>
      <c r="M25" s="65">
        <f t="shared" si="20"/>
        <v>1921.1320754716994</v>
      </c>
      <c r="N25" s="64">
        <f t="shared" si="3"/>
        <v>120.07075471698121</v>
      </c>
      <c r="O25" s="66">
        <f t="shared" si="4"/>
        <v>0</v>
      </c>
      <c r="P25" s="67">
        <f t="shared" si="5"/>
        <v>-4.9292452830187869</v>
      </c>
      <c r="Q25" s="381">
        <f t="shared" si="6"/>
        <v>0.9605660377358497</v>
      </c>
      <c r="R25" s="511"/>
      <c r="S25" s="68">
        <v>0.35277777777777775</v>
      </c>
      <c r="T25" s="68">
        <v>0.38958333333333328</v>
      </c>
      <c r="U25" s="380">
        <f t="shared" si="22"/>
        <v>7.9999999999999716</v>
      </c>
      <c r="V25" s="388">
        <f t="shared" si="21"/>
        <v>52.999999999999972</v>
      </c>
      <c r="W25" s="69"/>
      <c r="X25" s="380"/>
      <c r="Y25" s="510"/>
      <c r="Z25" s="510"/>
      <c r="AA25" s="66">
        <f t="shared" si="8"/>
        <v>-78.867924528300591</v>
      </c>
      <c r="AB25" s="381">
        <f t="shared" si="9"/>
        <v>0.9605660377358497</v>
      </c>
      <c r="AC25" s="511"/>
    </row>
    <row r="26" spans="1:29" ht="15.75" customHeight="1">
      <c r="A26" s="538" t="s">
        <v>2107</v>
      </c>
      <c r="B26" s="62" t="s">
        <v>6</v>
      </c>
      <c r="C26" s="533" t="s">
        <v>971</v>
      </c>
      <c r="D26" s="533"/>
      <c r="E26" s="62">
        <v>49.91</v>
      </c>
      <c r="F26" s="390">
        <v>1618</v>
      </c>
      <c r="G26" s="380">
        <f t="shared" si="19"/>
        <v>80754.37999999999</v>
      </c>
      <c r="H26" s="90" t="s">
        <v>5</v>
      </c>
      <c r="I26" s="387">
        <v>19</v>
      </c>
      <c r="J26" s="63">
        <v>2000</v>
      </c>
      <c r="K26" s="64">
        <f t="shared" si="1"/>
        <v>105.26315789473684</v>
      </c>
      <c r="L26" s="387">
        <v>19</v>
      </c>
      <c r="M26" s="65">
        <f t="shared" si="20"/>
        <v>1903.5294117647065</v>
      </c>
      <c r="N26" s="64">
        <f t="shared" si="3"/>
        <v>100.18575851393193</v>
      </c>
      <c r="O26" s="66">
        <f t="shared" si="4"/>
        <v>0</v>
      </c>
      <c r="P26" s="67">
        <f t="shared" si="5"/>
        <v>-5.0773993808049056</v>
      </c>
      <c r="Q26" s="381">
        <f t="shared" si="6"/>
        <v>0.9517647058823534</v>
      </c>
      <c r="R26" s="511"/>
      <c r="S26" s="68">
        <v>0.39444444444444438</v>
      </c>
      <c r="T26" s="68">
        <v>0.42986111111111103</v>
      </c>
      <c r="U26" s="380">
        <f t="shared" si="22"/>
        <v>6.9999999999999751</v>
      </c>
      <c r="V26" s="388">
        <f t="shared" si="21"/>
        <v>50.999999999999979</v>
      </c>
      <c r="W26" s="69"/>
      <c r="X26" s="380"/>
      <c r="Y26" s="510"/>
      <c r="Z26" s="510"/>
      <c r="AA26" s="66">
        <f t="shared" si="8"/>
        <v>-96.470588235293462</v>
      </c>
      <c r="AB26" s="381">
        <f t="shared" si="9"/>
        <v>0.95176470588235329</v>
      </c>
      <c r="AC26" s="511"/>
    </row>
    <row r="27" spans="1:29" ht="15.75" customHeight="1">
      <c r="A27" s="538" t="s">
        <v>2106</v>
      </c>
      <c r="B27" s="62" t="s">
        <v>6</v>
      </c>
      <c r="C27" s="533" t="s">
        <v>24</v>
      </c>
      <c r="D27" s="533"/>
      <c r="E27" s="62">
        <v>54.09</v>
      </c>
      <c r="F27" s="390">
        <v>2067</v>
      </c>
      <c r="G27" s="380">
        <f t="shared" si="19"/>
        <v>111804.03000000001</v>
      </c>
      <c r="H27" s="90" t="s">
        <v>5</v>
      </c>
      <c r="I27" s="387">
        <v>19</v>
      </c>
      <c r="J27" s="63">
        <v>2000</v>
      </c>
      <c r="K27" s="64">
        <f t="shared" si="1"/>
        <v>105.26315789473684</v>
      </c>
      <c r="L27" s="387">
        <v>19</v>
      </c>
      <c r="M27" s="65">
        <f t="shared" si="20"/>
        <v>1908.0000000000023</v>
      </c>
      <c r="N27" s="64">
        <f t="shared" si="3"/>
        <v>100.42105263157907</v>
      </c>
      <c r="O27" s="66">
        <f t="shared" si="4"/>
        <v>0</v>
      </c>
      <c r="P27" s="67">
        <f t="shared" si="5"/>
        <v>-4.8421052631577624</v>
      </c>
      <c r="Q27" s="381">
        <f t="shared" si="6"/>
        <v>0.95400000000000129</v>
      </c>
      <c r="R27" s="511"/>
      <c r="S27" s="68">
        <v>0.70833333333333337</v>
      </c>
      <c r="T27" s="68">
        <v>0.75347222222222221</v>
      </c>
      <c r="U27" s="380" t="str">
        <f t="shared" si="22"/>
        <v/>
      </c>
      <c r="V27" s="388">
        <f t="shared" si="21"/>
        <v>64.999999999999929</v>
      </c>
      <c r="W27" s="69"/>
      <c r="X27" s="73"/>
      <c r="Y27" s="510"/>
      <c r="Z27" s="510"/>
      <c r="AA27" s="66">
        <f t="shared" si="8"/>
        <v>-91.999999999997726</v>
      </c>
      <c r="AB27" s="381">
        <f t="shared" si="9"/>
        <v>0.95400000000000118</v>
      </c>
      <c r="AC27" s="511"/>
    </row>
    <row r="28" spans="1:29" ht="15.75" customHeight="1">
      <c r="A28" s="538" t="s">
        <v>2106</v>
      </c>
      <c r="B28" s="62" t="s">
        <v>6</v>
      </c>
      <c r="C28" s="533" t="s">
        <v>82</v>
      </c>
      <c r="D28" s="533"/>
      <c r="E28" s="62">
        <v>57.73</v>
      </c>
      <c r="F28" s="390">
        <v>1879</v>
      </c>
      <c r="G28" s="380">
        <f t="shared" si="19"/>
        <v>108474.67</v>
      </c>
      <c r="H28" s="90" t="s">
        <v>5</v>
      </c>
      <c r="I28" s="387">
        <v>16</v>
      </c>
      <c r="J28" s="63">
        <v>1500</v>
      </c>
      <c r="K28" s="64">
        <f t="shared" si="1"/>
        <v>93.75</v>
      </c>
      <c r="L28" s="387">
        <v>16</v>
      </c>
      <c r="M28" s="65">
        <f t="shared" si="20"/>
        <v>1445.3846153846146</v>
      </c>
      <c r="N28" s="64">
        <f t="shared" si="3"/>
        <v>90.33653846153841</v>
      </c>
      <c r="O28" s="66">
        <f t="shared" si="4"/>
        <v>0</v>
      </c>
      <c r="P28" s="67">
        <f t="shared" si="5"/>
        <v>-3.4134615384615898</v>
      </c>
      <c r="Q28" s="381">
        <f t="shared" si="6"/>
        <v>0.96358974358974303</v>
      </c>
      <c r="R28" s="511"/>
      <c r="S28" s="68">
        <v>0.7583333333333333</v>
      </c>
      <c r="T28" s="68">
        <v>0.8125</v>
      </c>
      <c r="U28" s="380">
        <f t="shared" si="22"/>
        <v>6.9999999999999751</v>
      </c>
      <c r="V28" s="388">
        <f t="shared" si="21"/>
        <v>78.000000000000043</v>
      </c>
      <c r="W28" s="69"/>
      <c r="X28" s="73"/>
      <c r="Y28" s="517"/>
      <c r="Z28" s="518"/>
      <c r="AA28" s="66">
        <f t="shared" si="8"/>
        <v>-54.615384615385437</v>
      </c>
      <c r="AB28" s="381">
        <f t="shared" si="9"/>
        <v>0.96358974358974303</v>
      </c>
      <c r="AC28" s="511"/>
    </row>
    <row r="29" spans="1:29" ht="15.75" customHeight="1">
      <c r="A29" s="538" t="s">
        <v>2106</v>
      </c>
      <c r="B29" s="62" t="s">
        <v>6</v>
      </c>
      <c r="C29" s="534" t="s">
        <v>81</v>
      </c>
      <c r="D29" s="535"/>
      <c r="E29" s="62">
        <v>50.67</v>
      </c>
      <c r="F29" s="390">
        <v>800</v>
      </c>
      <c r="G29" s="380">
        <f t="shared" si="19"/>
        <v>40536</v>
      </c>
      <c r="H29" s="90">
        <v>2</v>
      </c>
      <c r="I29" s="387">
        <v>15</v>
      </c>
      <c r="J29" s="63">
        <v>2000</v>
      </c>
      <c r="K29" s="64">
        <f t="shared" si="1"/>
        <v>133.33333333333334</v>
      </c>
      <c r="L29" s="387">
        <v>15</v>
      </c>
      <c r="M29" s="65">
        <f t="shared" si="20"/>
        <v>1919.9999999999945</v>
      </c>
      <c r="N29" s="64">
        <f t="shared" si="3"/>
        <v>127.99999999999963</v>
      </c>
      <c r="O29" s="66">
        <f t="shared" si="4"/>
        <v>0</v>
      </c>
      <c r="P29" s="67">
        <f t="shared" si="5"/>
        <v>-5.3333333333337123</v>
      </c>
      <c r="Q29" s="381">
        <f t="shared" si="6"/>
        <v>0.95999999999999719</v>
      </c>
      <c r="R29" s="511"/>
      <c r="S29" s="68">
        <v>0.81597222222222221</v>
      </c>
      <c r="T29" s="68">
        <v>0.83333333333333337</v>
      </c>
      <c r="U29" s="380">
        <f t="shared" si="22"/>
        <v>4.9999999999999822</v>
      </c>
      <c r="V29" s="388">
        <f t="shared" si="21"/>
        <v>25.000000000000071</v>
      </c>
      <c r="W29" s="69">
        <f>T29</f>
        <v>0.83333333333333337</v>
      </c>
      <c r="X29" s="69">
        <f>S30</f>
        <v>0.87361111111111112</v>
      </c>
      <c r="Y29" s="517"/>
      <c r="Z29" s="518"/>
      <c r="AA29" s="66">
        <f t="shared" si="8"/>
        <v>-80.000000000005457</v>
      </c>
      <c r="AB29" s="381">
        <f t="shared" si="9"/>
        <v>0.9599999999999973</v>
      </c>
      <c r="AC29" s="511"/>
    </row>
    <row r="30" spans="1:29" ht="15.75" customHeight="1">
      <c r="A30" s="538" t="s">
        <v>2107</v>
      </c>
      <c r="B30" s="62" t="s">
        <v>6</v>
      </c>
      <c r="C30" s="534" t="s">
        <v>81</v>
      </c>
      <c r="D30" s="535"/>
      <c r="E30" s="62">
        <v>50.67</v>
      </c>
      <c r="F30" s="390">
        <v>1812</v>
      </c>
      <c r="G30" s="380">
        <f t="shared" si="19"/>
        <v>91814.040000000008</v>
      </c>
      <c r="H30" s="90" t="s">
        <v>5</v>
      </c>
      <c r="I30" s="387">
        <v>15</v>
      </c>
      <c r="J30" s="63">
        <v>2000</v>
      </c>
      <c r="K30" s="64">
        <f t="shared" si="1"/>
        <v>133.33333333333334</v>
      </c>
      <c r="L30" s="387">
        <v>15</v>
      </c>
      <c r="M30" s="65">
        <f t="shared" si="20"/>
        <v>1907.368421052633</v>
      </c>
      <c r="N30" s="64">
        <f t="shared" si="3"/>
        <v>127.15789473684221</v>
      </c>
      <c r="O30" s="66">
        <f t="shared" si="4"/>
        <v>0</v>
      </c>
      <c r="P30" s="67">
        <f t="shared" si="5"/>
        <v>-6.1754385964911336</v>
      </c>
      <c r="Q30" s="381">
        <f t="shared" si="6"/>
        <v>0.95368421052631647</v>
      </c>
      <c r="R30" s="511"/>
      <c r="S30" s="68">
        <v>0.87361111111111112</v>
      </c>
      <c r="T30" s="68">
        <v>0.91319444444444442</v>
      </c>
      <c r="U30" s="380">
        <f t="shared" si="22"/>
        <v>57.999999999999957</v>
      </c>
      <c r="V30" s="388">
        <f t="shared" si="21"/>
        <v>56.999999999999957</v>
      </c>
      <c r="W30" s="69"/>
      <c r="X30" s="69"/>
      <c r="Y30" s="517"/>
      <c r="Z30" s="518"/>
      <c r="AA30" s="66">
        <f t="shared" si="8"/>
        <v>-92.631578947366961</v>
      </c>
      <c r="AB30" s="381">
        <f t="shared" si="9"/>
        <v>0.95368421052631647</v>
      </c>
      <c r="AC30" s="511"/>
    </row>
    <row r="31" spans="1:29" ht="15.75" customHeight="1">
      <c r="A31" s="538" t="s">
        <v>2106</v>
      </c>
      <c r="B31" s="62" t="s">
        <v>2100</v>
      </c>
      <c r="C31" s="513"/>
      <c r="D31" s="513"/>
      <c r="E31" s="382"/>
      <c r="F31" s="390"/>
      <c r="G31" s="380"/>
      <c r="H31" s="390"/>
      <c r="I31" s="72">
        <v>16.666666666666668</v>
      </c>
      <c r="J31" s="63">
        <v>1944.4444444444443</v>
      </c>
      <c r="K31" s="64">
        <f t="shared" si="1"/>
        <v>116.66666666666666</v>
      </c>
      <c r="L31" s="72">
        <v>16.666666666666668</v>
      </c>
      <c r="M31" s="65">
        <f>AVERAGE(M22:M30)</f>
        <v>1862.3312128079499</v>
      </c>
      <c r="N31" s="64">
        <f t="shared" si="3"/>
        <v>111.73987276847699</v>
      </c>
      <c r="O31" s="66">
        <f t="shared" si="4"/>
        <v>0</v>
      </c>
      <c r="P31" s="67">
        <f t="shared" si="5"/>
        <v>-4.9267938981896719</v>
      </c>
      <c r="Q31" s="381">
        <f t="shared" si="6"/>
        <v>0.95777033801551714</v>
      </c>
      <c r="R31" s="511"/>
      <c r="S31" s="68"/>
      <c r="T31" s="68"/>
      <c r="U31" s="64"/>
      <c r="V31" s="388"/>
      <c r="W31" s="64"/>
      <c r="X31" s="64"/>
      <c r="Y31" s="510"/>
      <c r="Z31" s="510"/>
      <c r="AA31" s="66">
        <f t="shared" si="8"/>
        <v>-82.113231636494447</v>
      </c>
      <c r="AB31" s="381">
        <f t="shared" si="9"/>
        <v>0.95777033801551714</v>
      </c>
      <c r="AC31" s="511"/>
    </row>
    <row r="32" spans="1:29" ht="15.75" customHeight="1">
      <c r="A32" s="536" t="s">
        <v>2108</v>
      </c>
      <c r="B32" s="62" t="s">
        <v>16</v>
      </c>
      <c r="C32" s="533" t="s">
        <v>30</v>
      </c>
      <c r="D32" s="533"/>
      <c r="E32" s="62">
        <v>31.29</v>
      </c>
      <c r="F32" s="390">
        <v>5800</v>
      </c>
      <c r="G32" s="380">
        <f t="shared" ref="G32:G39" si="23">E32*F32</f>
        <v>181482</v>
      </c>
      <c r="H32" s="90">
        <v>2</v>
      </c>
      <c r="I32" s="387">
        <v>18</v>
      </c>
      <c r="J32" s="63">
        <v>2400</v>
      </c>
      <c r="K32" s="64">
        <f t="shared" si="1"/>
        <v>133.33333333333334</v>
      </c>
      <c r="L32" s="387">
        <v>18</v>
      </c>
      <c r="M32" s="65">
        <f t="shared" ref="M32:M39" si="24">F32/V32*60</f>
        <v>2289.4736842105262</v>
      </c>
      <c r="N32" s="64">
        <f t="shared" si="3"/>
        <v>127.19298245614034</v>
      </c>
      <c r="O32" s="66">
        <f t="shared" si="4"/>
        <v>0</v>
      </c>
      <c r="P32" s="67">
        <f t="shared" si="5"/>
        <v>-6.1403508771930007</v>
      </c>
      <c r="Q32" s="381">
        <f t="shared" si="6"/>
        <v>0.95394736842105254</v>
      </c>
      <c r="R32" s="511">
        <f>Q40</f>
        <v>0.95595851867120651</v>
      </c>
      <c r="S32" s="68">
        <v>8.3333333333333329E-2</v>
      </c>
      <c r="T32" s="68">
        <v>0.18888888888888888</v>
      </c>
      <c r="U32" s="380"/>
      <c r="V32" s="388">
        <f t="shared" ref="V32:V39" si="25">(T32-S32)*24*60</f>
        <v>152</v>
      </c>
      <c r="W32" s="69">
        <f>T32</f>
        <v>0.18888888888888888</v>
      </c>
      <c r="X32" s="69">
        <f>S33</f>
        <v>0.20833333333333331</v>
      </c>
      <c r="Y32" s="510"/>
      <c r="Z32" s="510"/>
      <c r="AA32" s="66">
        <f t="shared" si="8"/>
        <v>-110.52631578947376</v>
      </c>
      <c r="AB32" s="381">
        <f t="shared" si="9"/>
        <v>0.95394736842105265</v>
      </c>
      <c r="AC32" s="511">
        <f>AB40</f>
        <v>0.95595851867120663</v>
      </c>
    </row>
    <row r="33" spans="1:29" ht="15.75" customHeight="1">
      <c r="A33" s="536" t="s">
        <v>2108</v>
      </c>
      <c r="B33" s="62" t="s">
        <v>16</v>
      </c>
      <c r="C33" s="533" t="s">
        <v>25</v>
      </c>
      <c r="D33" s="533"/>
      <c r="E33" s="62">
        <v>26.2</v>
      </c>
      <c r="F33" s="390">
        <v>3300</v>
      </c>
      <c r="G33" s="380">
        <f t="shared" si="23"/>
        <v>86460</v>
      </c>
      <c r="H33" s="90">
        <v>2</v>
      </c>
      <c r="I33" s="387">
        <v>20</v>
      </c>
      <c r="J33" s="63">
        <v>2400</v>
      </c>
      <c r="K33" s="64">
        <f t="shared" si="1"/>
        <v>120</v>
      </c>
      <c r="L33" s="387">
        <v>20</v>
      </c>
      <c r="M33" s="65">
        <f t="shared" si="24"/>
        <v>2302.3255813953483</v>
      </c>
      <c r="N33" s="64">
        <f t="shared" si="3"/>
        <v>115.11627906976742</v>
      </c>
      <c r="O33" s="66">
        <f t="shared" si="4"/>
        <v>0</v>
      </c>
      <c r="P33" s="67">
        <f t="shared" si="5"/>
        <v>-4.8837209302325846</v>
      </c>
      <c r="Q33" s="381">
        <f t="shared" si="6"/>
        <v>0.95930232558139517</v>
      </c>
      <c r="R33" s="511"/>
      <c r="S33" s="68">
        <v>0.20833333333333331</v>
      </c>
      <c r="T33" s="68">
        <v>0.26805555555555555</v>
      </c>
      <c r="U33" s="380">
        <f t="shared" ref="U33:U39" si="26">(S33-T32)*24*60</f>
        <v>27.999999999999979</v>
      </c>
      <c r="V33" s="388">
        <f t="shared" si="25"/>
        <v>86.000000000000014</v>
      </c>
      <c r="W33" s="69"/>
      <c r="X33" s="69"/>
      <c r="Y33" s="510"/>
      <c r="Z33" s="510"/>
      <c r="AA33" s="66">
        <f t="shared" si="8"/>
        <v>-97.674418604651692</v>
      </c>
      <c r="AB33" s="381">
        <f t="shared" si="9"/>
        <v>0.95930232558139517</v>
      </c>
      <c r="AC33" s="511"/>
    </row>
    <row r="34" spans="1:29" ht="15.75" customHeight="1">
      <c r="A34" s="536" t="s">
        <v>2108</v>
      </c>
      <c r="B34" s="62" t="s">
        <v>16</v>
      </c>
      <c r="C34" s="533" t="s">
        <v>83</v>
      </c>
      <c r="D34" s="533"/>
      <c r="E34" s="62">
        <v>25.99</v>
      </c>
      <c r="F34" s="390">
        <v>3100</v>
      </c>
      <c r="G34" s="380">
        <f t="shared" si="23"/>
        <v>80569</v>
      </c>
      <c r="H34" s="90">
        <v>2</v>
      </c>
      <c r="I34" s="387">
        <v>14</v>
      </c>
      <c r="J34" s="63">
        <v>2400</v>
      </c>
      <c r="K34" s="64">
        <f t="shared" si="1"/>
        <v>171.42857142857142</v>
      </c>
      <c r="L34" s="387">
        <v>14</v>
      </c>
      <c r="M34" s="65">
        <f t="shared" si="24"/>
        <v>2296.2962962962956</v>
      </c>
      <c r="N34" s="64">
        <f t="shared" si="3"/>
        <v>164.02116402116397</v>
      </c>
      <c r="O34" s="66">
        <f t="shared" si="4"/>
        <v>0</v>
      </c>
      <c r="P34" s="67">
        <f t="shared" si="5"/>
        <v>-7.4074074074074474</v>
      </c>
      <c r="Q34" s="381">
        <f t="shared" si="6"/>
        <v>0.95679012345678993</v>
      </c>
      <c r="R34" s="511"/>
      <c r="S34" s="68">
        <v>0.27361111111111108</v>
      </c>
      <c r="T34" s="68">
        <v>0.3298611111111111</v>
      </c>
      <c r="U34" s="380">
        <f t="shared" si="26"/>
        <v>7.9999999999999716</v>
      </c>
      <c r="V34" s="388">
        <f t="shared" si="25"/>
        <v>81.000000000000028</v>
      </c>
      <c r="W34" s="69"/>
      <c r="X34" s="69"/>
      <c r="Y34" s="510"/>
      <c r="Z34" s="510"/>
      <c r="AA34" s="66">
        <f t="shared" si="8"/>
        <v>-103.70370370370438</v>
      </c>
      <c r="AB34" s="381">
        <f t="shared" si="9"/>
        <v>0.95679012345678982</v>
      </c>
      <c r="AC34" s="511"/>
    </row>
    <row r="35" spans="1:29" ht="15.75" customHeight="1">
      <c r="A35" s="536" t="s">
        <v>2108</v>
      </c>
      <c r="B35" s="62" t="s">
        <v>16</v>
      </c>
      <c r="C35" s="533" t="s">
        <v>50</v>
      </c>
      <c r="D35" s="533"/>
      <c r="E35" s="62">
        <v>20.52</v>
      </c>
      <c r="F35" s="390">
        <v>5280</v>
      </c>
      <c r="G35" s="380">
        <f t="shared" si="23"/>
        <v>108345.59999999999</v>
      </c>
      <c r="H35" s="90" t="s">
        <v>5</v>
      </c>
      <c r="I35" s="387">
        <v>18</v>
      </c>
      <c r="J35" s="63">
        <v>2400</v>
      </c>
      <c r="K35" s="64">
        <f t="shared" si="1"/>
        <v>133.33333333333334</v>
      </c>
      <c r="L35" s="387">
        <v>18</v>
      </c>
      <c r="M35" s="65">
        <f t="shared" si="24"/>
        <v>2295.6521739130435</v>
      </c>
      <c r="N35" s="64">
        <f t="shared" si="3"/>
        <v>127.53623188405797</v>
      </c>
      <c r="O35" s="66">
        <f t="shared" si="4"/>
        <v>0</v>
      </c>
      <c r="P35" s="67">
        <f t="shared" si="5"/>
        <v>-5.7971014492753739</v>
      </c>
      <c r="Q35" s="381">
        <f t="shared" si="6"/>
        <v>0.9565217391304347</v>
      </c>
      <c r="R35" s="511"/>
      <c r="S35" s="68">
        <v>0.33541666666666664</v>
      </c>
      <c r="T35" s="68">
        <v>0.43124999999999997</v>
      </c>
      <c r="U35" s="380">
        <f t="shared" si="26"/>
        <v>7.9999999999999716</v>
      </c>
      <c r="V35" s="388">
        <f t="shared" si="25"/>
        <v>138</v>
      </c>
      <c r="W35" s="69"/>
      <c r="X35" s="69"/>
      <c r="Y35" s="510"/>
      <c r="Z35" s="510"/>
      <c r="AA35" s="66">
        <f t="shared" si="8"/>
        <v>-104.3478260869565</v>
      </c>
      <c r="AB35" s="381">
        <f t="shared" si="9"/>
        <v>0.95652173913043481</v>
      </c>
      <c r="AC35" s="511"/>
    </row>
    <row r="36" spans="1:29" ht="15.75" customHeight="1">
      <c r="A36" s="536" t="s">
        <v>2108</v>
      </c>
      <c r="B36" s="62" t="s">
        <v>16</v>
      </c>
      <c r="C36" s="533" t="s">
        <v>982</v>
      </c>
      <c r="D36" s="533"/>
      <c r="E36" s="62">
        <v>25.98</v>
      </c>
      <c r="F36" s="390">
        <v>4465</v>
      </c>
      <c r="G36" s="380">
        <f t="shared" si="23"/>
        <v>116000.7</v>
      </c>
      <c r="H36" s="90" t="s">
        <v>5</v>
      </c>
      <c r="I36" s="387">
        <v>21</v>
      </c>
      <c r="J36" s="63">
        <v>2400</v>
      </c>
      <c r="K36" s="64">
        <f t="shared" si="1"/>
        <v>114.28571428571429</v>
      </c>
      <c r="L36" s="387">
        <v>21</v>
      </c>
      <c r="M36" s="65">
        <f t="shared" si="24"/>
        <v>2289.7435897435898</v>
      </c>
      <c r="N36" s="64">
        <f t="shared" si="3"/>
        <v>109.03540903540905</v>
      </c>
      <c r="O36" s="66">
        <f t="shared" si="4"/>
        <v>0</v>
      </c>
      <c r="P36" s="67">
        <f t="shared" si="5"/>
        <v>-5.2503052503052459</v>
      </c>
      <c r="Q36" s="381">
        <f t="shared" si="6"/>
        <v>0.95405982905982911</v>
      </c>
      <c r="R36" s="511"/>
      <c r="S36" s="68">
        <v>0.43611111111111106</v>
      </c>
      <c r="T36" s="68">
        <v>0.51736111111111105</v>
      </c>
      <c r="U36" s="380">
        <f t="shared" si="26"/>
        <v>6.9999999999999751</v>
      </c>
      <c r="V36" s="388">
        <f t="shared" si="25"/>
        <v>116.99999999999999</v>
      </c>
      <c r="W36" s="69">
        <f>T36</f>
        <v>0.51736111111111105</v>
      </c>
      <c r="X36" s="69">
        <f>S37</f>
        <v>0.55902777777777768</v>
      </c>
      <c r="Y36" s="510"/>
      <c r="Z36" s="510"/>
      <c r="AA36" s="66">
        <f t="shared" si="8"/>
        <v>-110.25641025641016</v>
      </c>
      <c r="AB36" s="381">
        <f t="shared" si="9"/>
        <v>0.95405982905982911</v>
      </c>
      <c r="AC36" s="511"/>
    </row>
    <row r="37" spans="1:29" ht="15.75" customHeight="1">
      <c r="A37" s="536" t="s">
        <v>2108</v>
      </c>
      <c r="B37" s="62" t="s">
        <v>16</v>
      </c>
      <c r="C37" s="533" t="s">
        <v>30</v>
      </c>
      <c r="D37" s="533"/>
      <c r="E37" s="62">
        <v>31.29</v>
      </c>
      <c r="F37" s="390">
        <v>4290</v>
      </c>
      <c r="G37" s="380">
        <f t="shared" si="23"/>
        <v>134234.1</v>
      </c>
      <c r="H37" s="90" t="s">
        <v>5</v>
      </c>
      <c r="I37" s="387">
        <v>18</v>
      </c>
      <c r="J37" s="63">
        <v>2400</v>
      </c>
      <c r="K37" s="64">
        <f t="shared" si="1"/>
        <v>133.33333333333334</v>
      </c>
      <c r="L37" s="387">
        <v>18</v>
      </c>
      <c r="M37" s="65">
        <f t="shared" si="24"/>
        <v>2298.2142857142876</v>
      </c>
      <c r="N37" s="64">
        <f t="shared" si="3"/>
        <v>127.67857142857153</v>
      </c>
      <c r="O37" s="66">
        <f t="shared" si="4"/>
        <v>0</v>
      </c>
      <c r="P37" s="67">
        <f t="shared" si="5"/>
        <v>-5.6547619047618127</v>
      </c>
      <c r="Q37" s="381">
        <f t="shared" si="6"/>
        <v>0.95758928571428636</v>
      </c>
      <c r="R37" s="511"/>
      <c r="S37" s="68">
        <v>0.55902777777777768</v>
      </c>
      <c r="T37" s="68">
        <v>0.6368055555555554</v>
      </c>
      <c r="U37" s="380">
        <f t="shared" si="26"/>
        <v>59.999999999999943</v>
      </c>
      <c r="V37" s="388">
        <f t="shared" si="25"/>
        <v>111.99999999999991</v>
      </c>
      <c r="W37" s="69"/>
      <c r="X37" s="69"/>
      <c r="Y37" s="510"/>
      <c r="Z37" s="510"/>
      <c r="AA37" s="66">
        <f t="shared" si="8"/>
        <v>-101.7857142857124</v>
      </c>
      <c r="AB37" s="381">
        <f t="shared" si="9"/>
        <v>0.95758928571428648</v>
      </c>
      <c r="AC37" s="511"/>
    </row>
    <row r="38" spans="1:29" ht="15.75" customHeight="1">
      <c r="A38" s="536" t="s">
        <v>2108</v>
      </c>
      <c r="B38" s="62" t="s">
        <v>16</v>
      </c>
      <c r="C38" s="533" t="s">
        <v>25</v>
      </c>
      <c r="D38" s="533"/>
      <c r="E38" s="62">
        <v>26.2</v>
      </c>
      <c r="F38" s="390">
        <v>2517</v>
      </c>
      <c r="G38" s="380">
        <f t="shared" si="23"/>
        <v>65945.399999999994</v>
      </c>
      <c r="H38" s="90" t="s">
        <v>5</v>
      </c>
      <c r="I38" s="387">
        <v>20</v>
      </c>
      <c r="J38" s="63">
        <v>2400</v>
      </c>
      <c r="K38" s="64">
        <f t="shared" si="1"/>
        <v>120</v>
      </c>
      <c r="L38" s="387">
        <v>20</v>
      </c>
      <c r="M38" s="65">
        <f t="shared" si="24"/>
        <v>2288.1818181818153</v>
      </c>
      <c r="N38" s="64">
        <f t="shared" si="3"/>
        <v>114.40909090909076</v>
      </c>
      <c r="O38" s="66">
        <f t="shared" si="4"/>
        <v>0</v>
      </c>
      <c r="P38" s="67">
        <f t="shared" si="5"/>
        <v>-5.5909090909092356</v>
      </c>
      <c r="Q38" s="381">
        <f t="shared" si="6"/>
        <v>0.95340909090908965</v>
      </c>
      <c r="R38" s="511"/>
      <c r="S38" s="68">
        <v>0.64236111111111094</v>
      </c>
      <c r="T38" s="68">
        <v>0.68819444444444433</v>
      </c>
      <c r="U38" s="380">
        <f t="shared" si="26"/>
        <v>7.9999999999999716</v>
      </c>
      <c r="V38" s="388">
        <f t="shared" si="25"/>
        <v>66.000000000000085</v>
      </c>
      <c r="W38" s="69"/>
      <c r="X38" s="69"/>
      <c r="Y38" s="510"/>
      <c r="Z38" s="510"/>
      <c r="AA38" s="66">
        <f t="shared" si="8"/>
        <v>-111.81818181818471</v>
      </c>
      <c r="AB38" s="381">
        <f t="shared" si="9"/>
        <v>0.95340909090908965</v>
      </c>
      <c r="AC38" s="511"/>
    </row>
    <row r="39" spans="1:29" ht="15.75" customHeight="1">
      <c r="A39" s="536" t="s">
        <v>2108</v>
      </c>
      <c r="B39" s="62" t="s">
        <v>16</v>
      </c>
      <c r="C39" s="533" t="s">
        <v>83</v>
      </c>
      <c r="D39" s="533"/>
      <c r="E39" s="62">
        <v>25.99</v>
      </c>
      <c r="F39" s="390">
        <v>2371</v>
      </c>
      <c r="G39" s="380">
        <f t="shared" si="23"/>
        <v>61622.289999999994</v>
      </c>
      <c r="H39" s="90" t="s">
        <v>5</v>
      </c>
      <c r="I39" s="387">
        <v>14</v>
      </c>
      <c r="J39" s="63">
        <v>2400</v>
      </c>
      <c r="K39" s="64">
        <f t="shared" si="1"/>
        <v>171.42857142857142</v>
      </c>
      <c r="L39" s="387">
        <v>14</v>
      </c>
      <c r="M39" s="65">
        <f t="shared" si="24"/>
        <v>2294.5161290322603</v>
      </c>
      <c r="N39" s="64">
        <f t="shared" si="3"/>
        <v>163.89400921659004</v>
      </c>
      <c r="O39" s="66">
        <f t="shared" si="4"/>
        <v>0</v>
      </c>
      <c r="P39" s="67">
        <f t="shared" si="5"/>
        <v>-7.5345622119813811</v>
      </c>
      <c r="Q39" s="381">
        <f t="shared" si="6"/>
        <v>0.95604838709677531</v>
      </c>
      <c r="R39" s="511"/>
      <c r="S39" s="68">
        <v>0.69374999999999987</v>
      </c>
      <c r="T39" s="68">
        <v>0.73680555555555538</v>
      </c>
      <c r="U39" s="380">
        <f t="shared" si="26"/>
        <v>7.9999999999999716</v>
      </c>
      <c r="V39" s="388">
        <f t="shared" si="25"/>
        <v>61.999999999999943</v>
      </c>
      <c r="W39" s="69"/>
      <c r="X39" s="69"/>
      <c r="Y39" s="510"/>
      <c r="Z39" s="510"/>
      <c r="AA39" s="66">
        <f t="shared" si="8"/>
        <v>-105.48387096773968</v>
      </c>
      <c r="AB39" s="381">
        <f t="shared" si="9"/>
        <v>0.95604838709677509</v>
      </c>
      <c r="AC39" s="511"/>
    </row>
    <row r="40" spans="1:29" ht="15.75" customHeight="1">
      <c r="A40" s="536" t="s">
        <v>2108</v>
      </c>
      <c r="B40" s="62" t="s">
        <v>2100</v>
      </c>
      <c r="C40" s="513"/>
      <c r="D40" s="513"/>
      <c r="E40" s="382"/>
      <c r="F40" s="390"/>
      <c r="G40" s="380"/>
      <c r="H40" s="390"/>
      <c r="I40" s="72">
        <v>17.875</v>
      </c>
      <c r="J40" s="63">
        <v>2400</v>
      </c>
      <c r="K40" s="64">
        <f t="shared" si="1"/>
        <v>134.26573426573427</v>
      </c>
      <c r="L40" s="72">
        <v>17.875</v>
      </c>
      <c r="M40" s="65">
        <f>AVERAGE(M32:M39)</f>
        <v>2294.3004448108959</v>
      </c>
      <c r="N40" s="64">
        <f t="shared" si="3"/>
        <v>128.35247243697319</v>
      </c>
      <c r="O40" s="66">
        <f t="shared" si="4"/>
        <v>0</v>
      </c>
      <c r="P40" s="67">
        <f t="shared" si="5"/>
        <v>-5.9132618287610796</v>
      </c>
      <c r="Q40" s="381">
        <f t="shared" si="6"/>
        <v>0.95595851867120651</v>
      </c>
      <c r="R40" s="511"/>
      <c r="S40" s="68"/>
      <c r="T40" s="68"/>
      <c r="U40" s="380"/>
      <c r="V40" s="388"/>
      <c r="W40" s="380"/>
      <c r="X40" s="380"/>
      <c r="Y40" s="510"/>
      <c r="Z40" s="510"/>
      <c r="AA40" s="66">
        <f t="shared" si="8"/>
        <v>-105.6995551891041</v>
      </c>
      <c r="AB40" s="381">
        <f t="shared" si="9"/>
        <v>0.95595851867120663</v>
      </c>
      <c r="AC40" s="511"/>
    </row>
    <row r="41" spans="1:29" ht="15.75" customHeight="1">
      <c r="A41" s="531" t="s">
        <v>2109</v>
      </c>
      <c r="B41" s="62" t="s">
        <v>16</v>
      </c>
      <c r="C41" s="512" t="s">
        <v>49</v>
      </c>
      <c r="D41" s="512"/>
      <c r="E41" s="62">
        <v>19.02</v>
      </c>
      <c r="F41" s="390">
        <v>6000</v>
      </c>
      <c r="G41" s="380">
        <f t="shared" ref="G41:G48" si="27">E41*F41</f>
        <v>114120</v>
      </c>
      <c r="H41" s="90">
        <v>2</v>
      </c>
      <c r="I41" s="387">
        <v>15</v>
      </c>
      <c r="J41" s="63">
        <v>2400</v>
      </c>
      <c r="K41" s="64">
        <f t="shared" si="1"/>
        <v>160</v>
      </c>
      <c r="L41" s="387">
        <v>15</v>
      </c>
      <c r="M41" s="65">
        <f t="shared" ref="M41:M48" si="28">F41/V41*60</f>
        <v>2292.993630573249</v>
      </c>
      <c r="N41" s="64">
        <f t="shared" si="3"/>
        <v>152.8662420382166</v>
      </c>
      <c r="O41" s="66">
        <f t="shared" si="4"/>
        <v>0</v>
      </c>
      <c r="P41" s="67">
        <f t="shared" si="5"/>
        <v>-7.1337579617834024</v>
      </c>
      <c r="Q41" s="381">
        <f t="shared" si="6"/>
        <v>0.95541401273885374</v>
      </c>
      <c r="R41" s="511">
        <f>Q49</f>
        <v>0.95665410700257325</v>
      </c>
      <c r="S41" s="68">
        <v>8.3333333333333329E-2</v>
      </c>
      <c r="T41" s="68">
        <v>0.19236111111111109</v>
      </c>
      <c r="U41" s="380"/>
      <c r="V41" s="388">
        <f t="shared" ref="V41:V48" si="29">(T41-S41)*24*60</f>
        <v>156.99999999999997</v>
      </c>
      <c r="W41" s="73">
        <f>T41</f>
        <v>0.19236111111111109</v>
      </c>
      <c r="X41" s="73">
        <f>S42</f>
        <v>0.21180555555555552</v>
      </c>
      <c r="Y41" s="510"/>
      <c r="Z41" s="510"/>
      <c r="AA41" s="66">
        <f t="shared" si="8"/>
        <v>-107.00636942675101</v>
      </c>
      <c r="AB41" s="381">
        <f t="shared" si="9"/>
        <v>0.95541401273885374</v>
      </c>
      <c r="AC41" s="511">
        <f>AB49</f>
        <v>0.95665410700257325</v>
      </c>
    </row>
    <row r="42" spans="1:29" ht="15.75" customHeight="1">
      <c r="A42" s="531" t="s">
        <v>2109</v>
      </c>
      <c r="B42" s="62" t="s">
        <v>16</v>
      </c>
      <c r="C42" s="512" t="s">
        <v>17</v>
      </c>
      <c r="D42" s="512"/>
      <c r="E42" s="62">
        <v>24.45</v>
      </c>
      <c r="F42" s="390">
        <v>2731</v>
      </c>
      <c r="G42" s="380">
        <f t="shared" si="27"/>
        <v>66772.95</v>
      </c>
      <c r="H42" s="90" t="s">
        <v>5</v>
      </c>
      <c r="I42" s="387">
        <v>20</v>
      </c>
      <c r="J42" s="63">
        <v>2400</v>
      </c>
      <c r="K42" s="64">
        <f t="shared" si="1"/>
        <v>120</v>
      </c>
      <c r="L42" s="387">
        <v>20</v>
      </c>
      <c r="M42" s="65">
        <f t="shared" si="28"/>
        <v>2307.8873239436625</v>
      </c>
      <c r="N42" s="64">
        <f t="shared" si="3"/>
        <v>115.39436619718313</v>
      </c>
      <c r="O42" s="66">
        <f t="shared" si="4"/>
        <v>0</v>
      </c>
      <c r="P42" s="67">
        <f t="shared" si="5"/>
        <v>-4.6056338028168682</v>
      </c>
      <c r="Q42" s="381">
        <f t="shared" si="6"/>
        <v>0.96161971830985948</v>
      </c>
      <c r="R42" s="511"/>
      <c r="S42" s="68">
        <v>0.21180555555555552</v>
      </c>
      <c r="T42" s="68">
        <v>0.26111111111111107</v>
      </c>
      <c r="U42" s="380">
        <f t="shared" ref="U42:U48" si="30">(S42-T41)*24*60</f>
        <v>27.999999999999979</v>
      </c>
      <c r="V42" s="388">
        <f t="shared" si="29"/>
        <v>70.999999999999986</v>
      </c>
      <c r="W42" s="380"/>
      <c r="X42" s="380"/>
      <c r="Y42" s="510"/>
      <c r="Z42" s="510"/>
      <c r="AA42" s="66">
        <f t="shared" si="8"/>
        <v>-92.112676056337477</v>
      </c>
      <c r="AB42" s="381">
        <f t="shared" si="9"/>
        <v>0.96161971830985937</v>
      </c>
      <c r="AC42" s="511"/>
    </row>
    <row r="43" spans="1:29">
      <c r="A43" s="532" t="s">
        <v>2109</v>
      </c>
      <c r="B43" s="62" t="s">
        <v>16</v>
      </c>
      <c r="C43" s="512" t="s">
        <v>28</v>
      </c>
      <c r="D43" s="512"/>
      <c r="E43" s="62">
        <v>26.18</v>
      </c>
      <c r="F43" s="390">
        <v>3114</v>
      </c>
      <c r="G43" s="380">
        <f t="shared" si="27"/>
        <v>81524.52</v>
      </c>
      <c r="H43" s="90" t="s">
        <v>5</v>
      </c>
      <c r="I43" s="387">
        <v>19</v>
      </c>
      <c r="J43" s="63">
        <v>2400</v>
      </c>
      <c r="K43" s="64">
        <f t="shared" si="1"/>
        <v>126.31578947368421</v>
      </c>
      <c r="L43" s="387">
        <v>19</v>
      </c>
      <c r="M43" s="65">
        <f t="shared" si="28"/>
        <v>2306.6666666666656</v>
      </c>
      <c r="N43" s="64">
        <f t="shared" si="3"/>
        <v>121.40350877192976</v>
      </c>
      <c r="O43" s="66">
        <f t="shared" si="4"/>
        <v>0</v>
      </c>
      <c r="P43" s="67">
        <f t="shared" si="5"/>
        <v>-4.9122807017544403</v>
      </c>
      <c r="Q43" s="381">
        <f t="shared" si="6"/>
        <v>0.96111111111111069</v>
      </c>
      <c r="R43" s="511"/>
      <c r="S43" s="68">
        <v>0.26597222222222217</v>
      </c>
      <c r="T43" s="68">
        <v>0.32222222222222219</v>
      </c>
      <c r="U43" s="380">
        <f t="shared" si="30"/>
        <v>6.9999999999999751</v>
      </c>
      <c r="V43" s="388">
        <f t="shared" si="29"/>
        <v>81.000000000000028</v>
      </c>
      <c r="W43" s="380"/>
      <c r="X43" s="380"/>
      <c r="Y43" s="510"/>
      <c r="Z43" s="510"/>
      <c r="AA43" s="66">
        <f t="shared" si="8"/>
        <v>-93.333333333334394</v>
      </c>
      <c r="AB43" s="381">
        <f t="shared" si="9"/>
        <v>0.96111111111111069</v>
      </c>
      <c r="AC43" s="511"/>
    </row>
    <row r="44" spans="1:29">
      <c r="A44" s="532" t="s">
        <v>2109</v>
      </c>
      <c r="B44" s="62" t="s">
        <v>16</v>
      </c>
      <c r="C44" s="512" t="s">
        <v>32</v>
      </c>
      <c r="D44" s="512"/>
      <c r="E44" s="62">
        <v>26.39</v>
      </c>
      <c r="F44" s="390">
        <v>4100</v>
      </c>
      <c r="G44" s="380">
        <f t="shared" si="27"/>
        <v>108199</v>
      </c>
      <c r="H44" s="90">
        <v>2</v>
      </c>
      <c r="I44" s="387">
        <v>19</v>
      </c>
      <c r="J44" s="63">
        <v>2400</v>
      </c>
      <c r="K44" s="64">
        <f t="shared" si="1"/>
        <v>126.31578947368421</v>
      </c>
      <c r="L44" s="387">
        <v>19</v>
      </c>
      <c r="M44" s="65">
        <f t="shared" si="28"/>
        <v>2299.0654205607475</v>
      </c>
      <c r="N44" s="64">
        <f t="shared" si="3"/>
        <v>121.00344318740777</v>
      </c>
      <c r="O44" s="66">
        <f t="shared" si="4"/>
        <v>0</v>
      </c>
      <c r="P44" s="67">
        <f t="shared" si="5"/>
        <v>-5.312346286276437</v>
      </c>
      <c r="Q44" s="381">
        <f t="shared" si="6"/>
        <v>0.95794392523364491</v>
      </c>
      <c r="R44" s="511"/>
      <c r="S44" s="68">
        <v>0.32777777777777772</v>
      </c>
      <c r="T44" s="68">
        <v>0.40208333333333329</v>
      </c>
      <c r="U44" s="380">
        <f t="shared" si="30"/>
        <v>7.9999999999999716</v>
      </c>
      <c r="V44" s="388">
        <f t="shared" si="29"/>
        <v>107.00000000000001</v>
      </c>
      <c r="W44" s="69"/>
      <c r="X44" s="69"/>
      <c r="Y44" s="510"/>
      <c r="Z44" s="510"/>
      <c r="AA44" s="66">
        <f t="shared" si="8"/>
        <v>-100.9345794392525</v>
      </c>
      <c r="AB44" s="381">
        <f t="shared" si="9"/>
        <v>0.9579439252336448</v>
      </c>
      <c r="AC44" s="511"/>
    </row>
    <row r="45" spans="1:29">
      <c r="A45" s="532" t="s">
        <v>2109</v>
      </c>
      <c r="B45" s="62" t="s">
        <v>16</v>
      </c>
      <c r="C45" s="512" t="s">
        <v>2110</v>
      </c>
      <c r="D45" s="512"/>
      <c r="E45" s="62">
        <v>27.24</v>
      </c>
      <c r="F45" s="390">
        <v>5800</v>
      </c>
      <c r="G45" s="380">
        <f t="shared" si="27"/>
        <v>157992</v>
      </c>
      <c r="H45" s="90">
        <v>2</v>
      </c>
      <c r="I45" s="387">
        <v>16</v>
      </c>
      <c r="J45" s="63">
        <v>2400</v>
      </c>
      <c r="K45" s="64">
        <f t="shared" si="1"/>
        <v>150</v>
      </c>
      <c r="L45" s="387">
        <v>16</v>
      </c>
      <c r="M45" s="65">
        <f t="shared" si="28"/>
        <v>2289.4736842105258</v>
      </c>
      <c r="N45" s="64">
        <f t="shared" si="3"/>
        <v>143.09210526315786</v>
      </c>
      <c r="O45" s="66">
        <f t="shared" si="4"/>
        <v>0</v>
      </c>
      <c r="P45" s="67">
        <f t="shared" si="5"/>
        <v>-6.9078947368421382</v>
      </c>
      <c r="Q45" s="381">
        <f t="shared" si="6"/>
        <v>0.95394736842105243</v>
      </c>
      <c r="R45" s="511"/>
      <c r="S45" s="68">
        <v>0.40763888888888883</v>
      </c>
      <c r="T45" s="68">
        <v>0.5131944444444444</v>
      </c>
      <c r="U45" s="380">
        <f t="shared" si="30"/>
        <v>7.9999999999999716</v>
      </c>
      <c r="V45" s="388">
        <f t="shared" si="29"/>
        <v>152.00000000000003</v>
      </c>
      <c r="W45" s="69">
        <f>T45</f>
        <v>0.5131944444444444</v>
      </c>
      <c r="X45" s="69">
        <f>S46</f>
        <v>0.5527777777777777</v>
      </c>
      <c r="Y45" s="510"/>
      <c r="Z45" s="510"/>
      <c r="AA45" s="66">
        <f t="shared" si="8"/>
        <v>-110.52631578947421</v>
      </c>
      <c r="AB45" s="381">
        <f t="shared" si="9"/>
        <v>0.95394736842105243</v>
      </c>
      <c r="AC45" s="511"/>
    </row>
    <row r="46" spans="1:29">
      <c r="A46" s="532" t="s">
        <v>2109</v>
      </c>
      <c r="B46" s="62" t="s">
        <v>16</v>
      </c>
      <c r="C46" s="512" t="s">
        <v>2110</v>
      </c>
      <c r="D46" s="512"/>
      <c r="E46" s="62">
        <v>27.24</v>
      </c>
      <c r="F46" s="390">
        <v>4074</v>
      </c>
      <c r="G46" s="380">
        <f t="shared" si="27"/>
        <v>110975.76</v>
      </c>
      <c r="H46" s="90" t="s">
        <v>5</v>
      </c>
      <c r="I46" s="387">
        <v>16</v>
      </c>
      <c r="J46" s="63">
        <v>2400</v>
      </c>
      <c r="K46" s="64">
        <f t="shared" si="1"/>
        <v>150</v>
      </c>
      <c r="L46" s="387">
        <v>16</v>
      </c>
      <c r="M46" s="65">
        <f t="shared" si="28"/>
        <v>2284.4859813084122</v>
      </c>
      <c r="N46" s="64">
        <f t="shared" si="3"/>
        <v>142.78037383177576</v>
      </c>
      <c r="O46" s="66">
        <f t="shared" si="4"/>
        <v>0</v>
      </c>
      <c r="P46" s="67">
        <f t="shared" si="5"/>
        <v>-7.219626168224238</v>
      </c>
      <c r="Q46" s="381">
        <f t="shared" si="6"/>
        <v>0.95186915887850509</v>
      </c>
      <c r="R46" s="511"/>
      <c r="S46" s="68">
        <v>0.5527777777777777</v>
      </c>
      <c r="T46" s="68">
        <v>0.62708333333333321</v>
      </c>
      <c r="U46" s="380">
        <f t="shared" si="30"/>
        <v>56.999999999999957</v>
      </c>
      <c r="V46" s="388">
        <f t="shared" si="29"/>
        <v>106.99999999999994</v>
      </c>
      <c r="W46" s="69"/>
      <c r="X46" s="69"/>
      <c r="Y46" s="510"/>
      <c r="Z46" s="510"/>
      <c r="AA46" s="66">
        <f t="shared" si="8"/>
        <v>-115.51401869158781</v>
      </c>
      <c r="AB46" s="381">
        <f t="shared" si="9"/>
        <v>0.95186915887850509</v>
      </c>
      <c r="AC46" s="511"/>
    </row>
    <row r="47" spans="1:29">
      <c r="A47" s="532" t="s">
        <v>2109</v>
      </c>
      <c r="B47" s="62" t="s">
        <v>16</v>
      </c>
      <c r="C47" s="512" t="s">
        <v>32</v>
      </c>
      <c r="D47" s="512"/>
      <c r="E47" s="62">
        <v>26.39</v>
      </c>
      <c r="F47" s="390">
        <v>2956</v>
      </c>
      <c r="G47" s="380">
        <f t="shared" si="27"/>
        <v>78008.84</v>
      </c>
      <c r="H47" s="90" t="s">
        <v>5</v>
      </c>
      <c r="I47" s="387">
        <v>19</v>
      </c>
      <c r="J47" s="63">
        <v>2400</v>
      </c>
      <c r="K47" s="64">
        <f t="shared" si="1"/>
        <v>126.31578947368421</v>
      </c>
      <c r="L47" s="387">
        <v>19</v>
      </c>
      <c r="M47" s="65">
        <f t="shared" si="28"/>
        <v>2303.3766233766219</v>
      </c>
      <c r="N47" s="64">
        <f t="shared" si="3"/>
        <v>121.23034859876957</v>
      </c>
      <c r="O47" s="66">
        <f t="shared" si="4"/>
        <v>0</v>
      </c>
      <c r="P47" s="67">
        <f t="shared" si="5"/>
        <v>-5.0854408749146387</v>
      </c>
      <c r="Q47" s="381">
        <f t="shared" si="6"/>
        <v>0.95974025974025912</v>
      </c>
      <c r="R47" s="511"/>
      <c r="S47" s="68">
        <v>0.63055555555555542</v>
      </c>
      <c r="T47" s="68">
        <v>0.68402777777777768</v>
      </c>
      <c r="U47" s="380">
        <f t="shared" si="30"/>
        <v>4.9999999999999822</v>
      </c>
      <c r="V47" s="388">
        <f t="shared" si="29"/>
        <v>77.000000000000043</v>
      </c>
      <c r="W47" s="69"/>
      <c r="X47" s="69"/>
      <c r="Y47" s="517"/>
      <c r="Z47" s="518"/>
      <c r="AA47" s="66">
        <f t="shared" si="8"/>
        <v>-96.623376623378135</v>
      </c>
      <c r="AB47" s="381">
        <f t="shared" si="9"/>
        <v>0.95974025974025912</v>
      </c>
      <c r="AC47" s="511"/>
    </row>
    <row r="48" spans="1:29">
      <c r="A48" s="532" t="s">
        <v>2109</v>
      </c>
      <c r="B48" s="62" t="s">
        <v>16</v>
      </c>
      <c r="C48" s="512" t="s">
        <v>49</v>
      </c>
      <c r="D48" s="512"/>
      <c r="E48" s="62">
        <v>19.02</v>
      </c>
      <c r="F48" s="390">
        <v>4796</v>
      </c>
      <c r="G48" s="380">
        <f t="shared" si="27"/>
        <v>91219.92</v>
      </c>
      <c r="H48" s="90" t="s">
        <v>5</v>
      </c>
      <c r="I48" s="387">
        <v>15</v>
      </c>
      <c r="J48" s="63">
        <v>2400</v>
      </c>
      <c r="K48" s="64">
        <f t="shared" si="1"/>
        <v>160</v>
      </c>
      <c r="L48" s="387">
        <v>15</v>
      </c>
      <c r="M48" s="65">
        <f t="shared" si="28"/>
        <v>2283.8095238095234</v>
      </c>
      <c r="N48" s="64">
        <f t="shared" si="3"/>
        <v>152.25396825396822</v>
      </c>
      <c r="O48" s="66">
        <f t="shared" si="4"/>
        <v>0</v>
      </c>
      <c r="P48" s="67">
        <f t="shared" si="5"/>
        <v>-7.7460317460317754</v>
      </c>
      <c r="Q48" s="381">
        <f t="shared" si="6"/>
        <v>0.95158730158730143</v>
      </c>
      <c r="R48" s="511"/>
      <c r="S48" s="68">
        <v>0.68819444444444433</v>
      </c>
      <c r="T48" s="68">
        <v>0.77569444444444435</v>
      </c>
      <c r="U48" s="380">
        <f t="shared" si="30"/>
        <v>5.9999999999999787</v>
      </c>
      <c r="V48" s="388">
        <f t="shared" si="29"/>
        <v>126.00000000000003</v>
      </c>
      <c r="W48" s="69"/>
      <c r="X48" s="69"/>
      <c r="Y48" s="517"/>
      <c r="Z48" s="518"/>
      <c r="AA48" s="66">
        <f t="shared" si="8"/>
        <v>-116.1904761904766</v>
      </c>
      <c r="AB48" s="381">
        <f t="shared" si="9"/>
        <v>0.95158730158730143</v>
      </c>
      <c r="AC48" s="511"/>
    </row>
    <row r="49" spans="1:29">
      <c r="A49" s="532" t="s">
        <v>2109</v>
      </c>
      <c r="B49" s="71" t="s">
        <v>2100</v>
      </c>
      <c r="C49" s="513"/>
      <c r="D49" s="513"/>
      <c r="E49" s="382"/>
      <c r="F49" s="71"/>
      <c r="G49" s="64"/>
      <c r="H49" s="390"/>
      <c r="I49" s="72">
        <v>17.375</v>
      </c>
      <c r="J49" s="63">
        <v>2400</v>
      </c>
      <c r="K49" s="64">
        <f t="shared" si="1"/>
        <v>138.12949640287769</v>
      </c>
      <c r="L49" s="72">
        <v>17.375</v>
      </c>
      <c r="M49" s="65">
        <f>AVERAGE(M41:M48)</f>
        <v>2295.9698568061758</v>
      </c>
      <c r="N49" s="64">
        <f t="shared" si="3"/>
        <v>132.14215003201011</v>
      </c>
      <c r="O49" s="66">
        <f t="shared" si="4"/>
        <v>0</v>
      </c>
      <c r="P49" s="67">
        <f t="shared" si="5"/>
        <v>-5.9873463708675843</v>
      </c>
      <c r="Q49" s="381">
        <f t="shared" si="6"/>
        <v>0.95665410700257325</v>
      </c>
      <c r="R49" s="511"/>
      <c r="S49" s="68"/>
      <c r="T49" s="68"/>
      <c r="U49" s="64"/>
      <c r="V49" s="388"/>
      <c r="W49" s="64"/>
      <c r="X49" s="64"/>
      <c r="Y49" s="510"/>
      <c r="Z49" s="510"/>
      <c r="AA49" s="66">
        <f t="shared" si="8"/>
        <v>-104.03014319382419</v>
      </c>
      <c r="AB49" s="381">
        <f t="shared" si="9"/>
        <v>0.95665410700257325</v>
      </c>
      <c r="AC49" s="511"/>
    </row>
    <row r="50" spans="1:29" ht="15.75" customHeight="1">
      <c r="A50" s="525" t="s">
        <v>2111</v>
      </c>
      <c r="B50" s="62" t="s">
        <v>35</v>
      </c>
      <c r="C50" s="521" t="s">
        <v>36</v>
      </c>
      <c r="D50" s="522"/>
      <c r="E50" s="62">
        <v>21.13</v>
      </c>
      <c r="F50" s="390">
        <v>3400</v>
      </c>
      <c r="G50" s="380">
        <f t="shared" ref="G50:G58" si="31">E50*F50</f>
        <v>71842</v>
      </c>
      <c r="H50" s="90">
        <v>2</v>
      </c>
      <c r="I50" s="387">
        <v>10</v>
      </c>
      <c r="J50" s="63">
        <v>3000</v>
      </c>
      <c r="K50" s="64">
        <f t="shared" si="1"/>
        <v>300</v>
      </c>
      <c r="L50" s="387">
        <v>10</v>
      </c>
      <c r="M50" s="65">
        <f t="shared" ref="M50:M58" si="32">F50/V50*60</f>
        <v>2873.2394366197177</v>
      </c>
      <c r="N50" s="65">
        <f t="shared" si="3"/>
        <v>287.32394366197178</v>
      </c>
      <c r="O50" s="66">
        <f t="shared" si="4"/>
        <v>0</v>
      </c>
      <c r="P50" s="67">
        <f t="shared" si="5"/>
        <v>-12.676056338028218</v>
      </c>
      <c r="Q50" s="381">
        <f t="shared" si="6"/>
        <v>0.95774647887323927</v>
      </c>
      <c r="R50" s="528">
        <f>Q59</f>
        <v>0.96106576009120082</v>
      </c>
      <c r="S50" s="68">
        <v>8.3333333333333329E-2</v>
      </c>
      <c r="T50" s="68">
        <v>0.13263888888888889</v>
      </c>
      <c r="U50" s="73"/>
      <c r="V50" s="388">
        <f t="shared" ref="V50:V58" si="33">(T50-S50)*24*60</f>
        <v>71.000000000000014</v>
      </c>
      <c r="W50" s="69">
        <f>T50</f>
        <v>0.13263888888888889</v>
      </c>
      <c r="X50" s="69">
        <f>S51</f>
        <v>0.15069444444444444</v>
      </c>
      <c r="Y50" s="517"/>
      <c r="Z50" s="518"/>
      <c r="AA50" s="66">
        <f t="shared" si="8"/>
        <v>-126.76056338028229</v>
      </c>
      <c r="AB50" s="381">
        <f t="shared" si="9"/>
        <v>0.95774647887323927</v>
      </c>
      <c r="AC50" s="528">
        <f>AB59</f>
        <v>0.96106576009120082</v>
      </c>
    </row>
    <row r="51" spans="1:29" ht="15.75" customHeight="1">
      <c r="A51" s="526" t="s">
        <v>2111</v>
      </c>
      <c r="B51" s="62" t="s">
        <v>35</v>
      </c>
      <c r="C51" s="521" t="s">
        <v>37</v>
      </c>
      <c r="D51" s="522"/>
      <c r="E51" s="62">
        <v>27.17</v>
      </c>
      <c r="F51" s="390">
        <v>4300</v>
      </c>
      <c r="G51" s="380">
        <f t="shared" si="31"/>
        <v>116831.00000000001</v>
      </c>
      <c r="H51" s="90">
        <v>2</v>
      </c>
      <c r="I51" s="387">
        <v>10</v>
      </c>
      <c r="J51" s="63">
        <v>3000</v>
      </c>
      <c r="K51" s="64">
        <f t="shared" si="1"/>
        <v>300</v>
      </c>
      <c r="L51" s="387">
        <v>10</v>
      </c>
      <c r="M51" s="65">
        <f t="shared" si="32"/>
        <v>2866.6666666666665</v>
      </c>
      <c r="N51" s="65">
        <f t="shared" si="3"/>
        <v>286.66666666666663</v>
      </c>
      <c r="O51" s="66">
        <f t="shared" si="4"/>
        <v>0</v>
      </c>
      <c r="P51" s="67">
        <f t="shared" si="5"/>
        <v>-13.333333333333371</v>
      </c>
      <c r="Q51" s="381">
        <f t="shared" si="6"/>
        <v>0.95555555555555538</v>
      </c>
      <c r="R51" s="529"/>
      <c r="S51" s="68">
        <v>0.15069444444444444</v>
      </c>
      <c r="T51" s="68">
        <v>0.21319444444444444</v>
      </c>
      <c r="U51" s="380">
        <f t="shared" ref="U51:U58" si="34">(S51-T50)*24*60</f>
        <v>25.999999999999986</v>
      </c>
      <c r="V51" s="388">
        <f t="shared" si="33"/>
        <v>90</v>
      </c>
      <c r="W51" s="69"/>
      <c r="X51" s="69"/>
      <c r="Y51" s="517"/>
      <c r="Z51" s="518"/>
      <c r="AA51" s="66">
        <f t="shared" si="8"/>
        <v>-133.33333333333348</v>
      </c>
      <c r="AB51" s="381">
        <f t="shared" si="9"/>
        <v>0.95555555555555549</v>
      </c>
      <c r="AC51" s="529"/>
    </row>
    <row r="52" spans="1:29" ht="15.75" customHeight="1">
      <c r="A52" s="526" t="s">
        <v>2111</v>
      </c>
      <c r="B52" s="62" t="s">
        <v>35</v>
      </c>
      <c r="C52" s="521" t="s">
        <v>38</v>
      </c>
      <c r="D52" s="522"/>
      <c r="E52" s="62">
        <v>35.119999999999997</v>
      </c>
      <c r="F52" s="390">
        <v>4724</v>
      </c>
      <c r="G52" s="380">
        <f t="shared" si="31"/>
        <v>165906.87999999998</v>
      </c>
      <c r="H52" s="90" t="s">
        <v>5</v>
      </c>
      <c r="I52" s="387">
        <v>10</v>
      </c>
      <c r="J52" s="63">
        <v>3000</v>
      </c>
      <c r="K52" s="64">
        <f t="shared" si="1"/>
        <v>300</v>
      </c>
      <c r="L52" s="387">
        <v>10</v>
      </c>
      <c r="M52" s="65">
        <f t="shared" si="32"/>
        <v>2863.0303030303039</v>
      </c>
      <c r="N52" s="65">
        <f t="shared" si="3"/>
        <v>286.30303030303037</v>
      </c>
      <c r="O52" s="66">
        <f t="shared" si="4"/>
        <v>0</v>
      </c>
      <c r="P52" s="67">
        <f t="shared" si="5"/>
        <v>-13.696969696969632</v>
      </c>
      <c r="Q52" s="381">
        <f t="shared" si="6"/>
        <v>0.9543434343434346</v>
      </c>
      <c r="R52" s="529"/>
      <c r="S52" s="68">
        <v>0.21875</v>
      </c>
      <c r="T52" s="68">
        <v>0.28749999999999998</v>
      </c>
      <c r="U52" s="380">
        <f t="shared" si="34"/>
        <v>8.0000000000000107</v>
      </c>
      <c r="V52" s="388">
        <f t="shared" si="33"/>
        <v>98.999999999999972</v>
      </c>
      <c r="W52" s="69"/>
      <c r="X52" s="69"/>
      <c r="Y52" s="517"/>
      <c r="Z52" s="518"/>
      <c r="AA52" s="66">
        <f t="shared" si="8"/>
        <v>-136.96969696969609</v>
      </c>
      <c r="AB52" s="381">
        <f t="shared" si="9"/>
        <v>0.9543434343434346</v>
      </c>
      <c r="AC52" s="529"/>
    </row>
    <row r="53" spans="1:29" ht="15.75" customHeight="1">
      <c r="A53" s="526" t="s">
        <v>2111</v>
      </c>
      <c r="B53" s="62" t="s">
        <v>35</v>
      </c>
      <c r="C53" s="521" t="s">
        <v>39</v>
      </c>
      <c r="D53" s="522"/>
      <c r="E53" s="62">
        <v>35.869999999999997</v>
      </c>
      <c r="F53" s="390">
        <v>3078</v>
      </c>
      <c r="G53" s="380">
        <f t="shared" si="31"/>
        <v>110407.85999999999</v>
      </c>
      <c r="H53" s="90" t="s">
        <v>5</v>
      </c>
      <c r="I53" s="387">
        <v>9</v>
      </c>
      <c r="J53" s="63">
        <v>3000</v>
      </c>
      <c r="K53" s="64">
        <f t="shared" si="1"/>
        <v>333.33333333333331</v>
      </c>
      <c r="L53" s="387">
        <v>9</v>
      </c>
      <c r="M53" s="65">
        <f t="shared" si="32"/>
        <v>2885.6249999999991</v>
      </c>
      <c r="N53" s="65">
        <f t="shared" si="3"/>
        <v>320.62499999999989</v>
      </c>
      <c r="O53" s="66">
        <f t="shared" si="4"/>
        <v>0</v>
      </c>
      <c r="P53" s="67">
        <f t="shared" si="5"/>
        <v>-12.708333333333428</v>
      </c>
      <c r="Q53" s="381">
        <f t="shared" si="6"/>
        <v>0.9618749999999997</v>
      </c>
      <c r="R53" s="529"/>
      <c r="S53" s="68">
        <v>0.29166666666666663</v>
      </c>
      <c r="T53" s="68">
        <v>0.33611111111111108</v>
      </c>
      <c r="U53" s="380">
        <f t="shared" si="34"/>
        <v>5.9999999999999787</v>
      </c>
      <c r="V53" s="388">
        <f t="shared" si="33"/>
        <v>64.000000000000014</v>
      </c>
      <c r="W53" s="69"/>
      <c r="X53" s="69"/>
      <c r="Y53" s="517"/>
      <c r="Z53" s="518"/>
      <c r="AA53" s="66">
        <f t="shared" si="8"/>
        <v>-114.37500000000091</v>
      </c>
      <c r="AB53" s="381">
        <f t="shared" si="9"/>
        <v>0.9618749999999997</v>
      </c>
      <c r="AC53" s="529"/>
    </row>
    <row r="54" spans="1:29" ht="15.75" customHeight="1">
      <c r="A54" s="526" t="s">
        <v>2111</v>
      </c>
      <c r="B54" s="62" t="s">
        <v>35</v>
      </c>
      <c r="C54" s="521" t="s">
        <v>40</v>
      </c>
      <c r="D54" s="522"/>
      <c r="E54" s="62">
        <v>36.14</v>
      </c>
      <c r="F54" s="390">
        <v>1401</v>
      </c>
      <c r="G54" s="380">
        <f t="shared" si="31"/>
        <v>50632.14</v>
      </c>
      <c r="H54" s="90" t="s">
        <v>5</v>
      </c>
      <c r="I54" s="387">
        <v>9</v>
      </c>
      <c r="J54" s="63">
        <v>3000</v>
      </c>
      <c r="K54" s="64">
        <f t="shared" si="1"/>
        <v>333.33333333333331</v>
      </c>
      <c r="L54" s="387">
        <v>9</v>
      </c>
      <c r="M54" s="65">
        <f t="shared" si="32"/>
        <v>2898.6206896551744</v>
      </c>
      <c r="N54" s="65">
        <f t="shared" si="3"/>
        <v>322.06896551724162</v>
      </c>
      <c r="O54" s="66">
        <f t="shared" si="4"/>
        <v>0</v>
      </c>
      <c r="P54" s="67">
        <f t="shared" si="5"/>
        <v>-11.264367816091692</v>
      </c>
      <c r="Q54" s="381">
        <f t="shared" si="6"/>
        <v>0.96620689655172487</v>
      </c>
      <c r="R54" s="529"/>
      <c r="S54" s="68">
        <v>0.34027777777777773</v>
      </c>
      <c r="T54" s="68">
        <v>0.36041666666666661</v>
      </c>
      <c r="U54" s="380">
        <f t="shared" si="34"/>
        <v>5.9999999999999787</v>
      </c>
      <c r="V54" s="388">
        <f t="shared" si="33"/>
        <v>28.999999999999979</v>
      </c>
      <c r="W54" s="69"/>
      <c r="X54" s="69"/>
      <c r="Y54" s="517"/>
      <c r="Z54" s="518"/>
      <c r="AA54" s="66">
        <f t="shared" si="8"/>
        <v>-101.37931034482563</v>
      </c>
      <c r="AB54" s="381">
        <f t="shared" si="9"/>
        <v>0.96620689655172476</v>
      </c>
      <c r="AC54" s="529"/>
    </row>
    <row r="55" spans="1:29" ht="15.75" customHeight="1">
      <c r="A55" s="526" t="s">
        <v>2111</v>
      </c>
      <c r="B55" s="62" t="s">
        <v>35</v>
      </c>
      <c r="C55" s="521" t="s">
        <v>74</v>
      </c>
      <c r="D55" s="522"/>
      <c r="E55" s="62">
        <v>34.36</v>
      </c>
      <c r="F55" s="390">
        <v>2405</v>
      </c>
      <c r="G55" s="380">
        <f t="shared" si="31"/>
        <v>82635.8</v>
      </c>
      <c r="H55" s="90" t="s">
        <v>5</v>
      </c>
      <c r="I55" s="387">
        <v>10</v>
      </c>
      <c r="J55" s="63">
        <v>3000</v>
      </c>
      <c r="K55" s="64">
        <f t="shared" si="1"/>
        <v>300</v>
      </c>
      <c r="L55" s="387">
        <v>10</v>
      </c>
      <c r="M55" s="65">
        <f t="shared" si="32"/>
        <v>2886.0000000000009</v>
      </c>
      <c r="N55" s="65">
        <f t="shared" si="3"/>
        <v>288.60000000000008</v>
      </c>
      <c r="O55" s="66">
        <f t="shared" si="4"/>
        <v>0</v>
      </c>
      <c r="P55" s="67">
        <f t="shared" si="5"/>
        <v>-11.39999999999992</v>
      </c>
      <c r="Q55" s="381">
        <f t="shared" si="6"/>
        <v>0.9620000000000003</v>
      </c>
      <c r="R55" s="529"/>
      <c r="S55" s="68">
        <v>0.36458333333333326</v>
      </c>
      <c r="T55" s="68">
        <v>0.39930555555555547</v>
      </c>
      <c r="U55" s="380">
        <f t="shared" si="34"/>
        <v>5.9999999999999787</v>
      </c>
      <c r="V55" s="388">
        <f t="shared" si="33"/>
        <v>49.999999999999986</v>
      </c>
      <c r="W55" s="69"/>
      <c r="X55" s="69"/>
      <c r="Y55" s="517"/>
      <c r="Z55" s="518"/>
      <c r="AA55" s="66">
        <f t="shared" si="8"/>
        <v>-113.99999999999909</v>
      </c>
      <c r="AB55" s="381">
        <f t="shared" si="9"/>
        <v>0.9620000000000003</v>
      </c>
      <c r="AC55" s="529"/>
    </row>
    <row r="56" spans="1:29" ht="15.75" customHeight="1">
      <c r="A56" s="526" t="s">
        <v>2111</v>
      </c>
      <c r="B56" s="62" t="s">
        <v>35</v>
      </c>
      <c r="C56" s="521" t="s">
        <v>84</v>
      </c>
      <c r="D56" s="522"/>
      <c r="E56" s="62">
        <v>31</v>
      </c>
      <c r="F56" s="390">
        <v>4134</v>
      </c>
      <c r="G56" s="380">
        <f t="shared" si="31"/>
        <v>128154</v>
      </c>
      <c r="H56" s="90" t="s">
        <v>5</v>
      </c>
      <c r="I56" s="387">
        <v>13</v>
      </c>
      <c r="J56" s="63">
        <v>2000</v>
      </c>
      <c r="K56" s="64">
        <f t="shared" si="1"/>
        <v>153.84615384615384</v>
      </c>
      <c r="L56" s="387">
        <v>13</v>
      </c>
      <c r="M56" s="65">
        <f t="shared" si="32"/>
        <v>1907.9999999999995</v>
      </c>
      <c r="N56" s="65">
        <f t="shared" si="3"/>
        <v>146.76923076923075</v>
      </c>
      <c r="O56" s="66">
        <f t="shared" si="4"/>
        <v>0</v>
      </c>
      <c r="P56" s="67">
        <f t="shared" si="5"/>
        <v>-7.0769230769230944</v>
      </c>
      <c r="Q56" s="381">
        <f t="shared" si="6"/>
        <v>0.95399999999999985</v>
      </c>
      <c r="R56" s="529"/>
      <c r="S56" s="68">
        <v>0.40277777777777768</v>
      </c>
      <c r="T56" s="68">
        <v>0.49305555555555547</v>
      </c>
      <c r="U56" s="380">
        <f t="shared" si="34"/>
        <v>4.9999999999999822</v>
      </c>
      <c r="V56" s="388">
        <f t="shared" si="33"/>
        <v>130.00000000000003</v>
      </c>
      <c r="W56" s="69">
        <f>T56</f>
        <v>0.49305555555555547</v>
      </c>
      <c r="X56" s="69">
        <f>S57</f>
        <v>0.53333333333333321</v>
      </c>
      <c r="Y56" s="517"/>
      <c r="Z56" s="518"/>
      <c r="AA56" s="66">
        <f t="shared" si="8"/>
        <v>-92.000000000000455</v>
      </c>
      <c r="AB56" s="381">
        <f t="shared" si="9"/>
        <v>0.95399999999999974</v>
      </c>
      <c r="AC56" s="529"/>
    </row>
    <row r="57" spans="1:29" ht="15.75" customHeight="1">
      <c r="A57" s="526" t="s">
        <v>2111</v>
      </c>
      <c r="B57" s="62" t="s">
        <v>35</v>
      </c>
      <c r="C57" s="521" t="s">
        <v>37</v>
      </c>
      <c r="D57" s="522"/>
      <c r="E57" s="62">
        <v>27.17</v>
      </c>
      <c r="F57" s="390">
        <v>2802</v>
      </c>
      <c r="G57" s="380">
        <f t="shared" si="31"/>
        <v>76130.340000000011</v>
      </c>
      <c r="H57" s="90" t="s">
        <v>5</v>
      </c>
      <c r="I57" s="387">
        <v>10</v>
      </c>
      <c r="J57" s="63">
        <v>3000</v>
      </c>
      <c r="K57" s="64">
        <f t="shared" si="1"/>
        <v>300</v>
      </c>
      <c r="L57" s="387">
        <v>10</v>
      </c>
      <c r="M57" s="65">
        <f t="shared" si="32"/>
        <v>2898.6206896551744</v>
      </c>
      <c r="N57" s="65">
        <f t="shared" si="3"/>
        <v>289.86206896551744</v>
      </c>
      <c r="O57" s="66">
        <f t="shared" si="4"/>
        <v>0</v>
      </c>
      <c r="P57" s="67">
        <f t="shared" si="5"/>
        <v>-10.137931034482563</v>
      </c>
      <c r="Q57" s="381">
        <f t="shared" si="6"/>
        <v>0.96620689655172476</v>
      </c>
      <c r="R57" s="529"/>
      <c r="S57" s="68">
        <v>0.53333333333333321</v>
      </c>
      <c r="T57" s="68">
        <v>0.57361111111111096</v>
      </c>
      <c r="U57" s="380">
        <f t="shared" si="34"/>
        <v>57.999999999999957</v>
      </c>
      <c r="V57" s="388">
        <f t="shared" si="33"/>
        <v>57.999999999999957</v>
      </c>
      <c r="W57" s="69"/>
      <c r="X57" s="69"/>
      <c r="Y57" s="517"/>
      <c r="Z57" s="518"/>
      <c r="AA57" s="66">
        <f t="shared" si="8"/>
        <v>-101.37931034482563</v>
      </c>
      <c r="AB57" s="381">
        <f t="shared" si="9"/>
        <v>0.96620689655172476</v>
      </c>
      <c r="AC57" s="529"/>
    </row>
    <row r="58" spans="1:29" ht="15.75" customHeight="1">
      <c r="A58" s="526" t="s">
        <v>2111</v>
      </c>
      <c r="B58" s="62" t="s">
        <v>35</v>
      </c>
      <c r="C58" s="521" t="s">
        <v>36</v>
      </c>
      <c r="D58" s="522"/>
      <c r="E58" s="62">
        <v>21.13</v>
      </c>
      <c r="F58" s="390">
        <v>2084</v>
      </c>
      <c r="G58" s="380">
        <f t="shared" si="31"/>
        <v>44034.92</v>
      </c>
      <c r="H58" s="90" t="s">
        <v>5</v>
      </c>
      <c r="I58" s="387">
        <v>10</v>
      </c>
      <c r="J58" s="63">
        <v>3000</v>
      </c>
      <c r="K58" s="64">
        <f t="shared" si="1"/>
        <v>300</v>
      </c>
      <c r="L58" s="387">
        <v>10</v>
      </c>
      <c r="M58" s="65">
        <f t="shared" si="32"/>
        <v>2907.9069767441856</v>
      </c>
      <c r="N58" s="65">
        <f t="shared" si="3"/>
        <v>290.79069767441854</v>
      </c>
      <c r="O58" s="66">
        <f t="shared" si="4"/>
        <v>0</v>
      </c>
      <c r="P58" s="67">
        <f t="shared" si="5"/>
        <v>-9.2093023255814614</v>
      </c>
      <c r="Q58" s="381">
        <f t="shared" si="6"/>
        <v>0.96930232558139517</v>
      </c>
      <c r="R58" s="529"/>
      <c r="S58" s="68">
        <v>0.5791666666666665</v>
      </c>
      <c r="T58" s="68">
        <v>0.60902777777777761</v>
      </c>
      <c r="U58" s="380">
        <f t="shared" si="34"/>
        <v>7.9999999999999716</v>
      </c>
      <c r="V58" s="388">
        <f t="shared" si="33"/>
        <v>43.000000000000007</v>
      </c>
      <c r="W58" s="69"/>
      <c r="X58" s="69"/>
      <c r="Y58" s="517"/>
      <c r="Z58" s="518"/>
      <c r="AA58" s="66">
        <f t="shared" si="8"/>
        <v>-92.093023255814387</v>
      </c>
      <c r="AB58" s="381">
        <f t="shared" si="9"/>
        <v>0.96930232558139517</v>
      </c>
      <c r="AC58" s="529"/>
    </row>
    <row r="59" spans="1:29" ht="15.75" customHeight="1">
      <c r="A59" s="527" t="s">
        <v>2111</v>
      </c>
      <c r="B59" s="62" t="s">
        <v>2100</v>
      </c>
      <c r="C59" s="508"/>
      <c r="D59" s="509"/>
      <c r="E59" s="379"/>
      <c r="F59" s="390"/>
      <c r="G59" s="380"/>
      <c r="H59" s="390"/>
      <c r="I59" s="72">
        <v>10.111111111111111</v>
      </c>
      <c r="J59" s="63">
        <v>2888.8888888888887</v>
      </c>
      <c r="K59" s="64">
        <f t="shared" si="1"/>
        <v>285.71428571428572</v>
      </c>
      <c r="L59" s="72">
        <v>10.111111111111111</v>
      </c>
      <c r="M59" s="65">
        <f>AVERAGE(M50:M58)</f>
        <v>2776.4121958190244</v>
      </c>
      <c r="N59" s="64">
        <f t="shared" si="3"/>
        <v>274.59021716891453</v>
      </c>
      <c r="O59" s="66">
        <f t="shared" si="4"/>
        <v>0</v>
      </c>
      <c r="P59" s="67">
        <f t="shared" si="5"/>
        <v>-11.124068545371188</v>
      </c>
      <c r="Q59" s="381">
        <f t="shared" si="6"/>
        <v>0.96106576009120082</v>
      </c>
      <c r="R59" s="530"/>
      <c r="S59" s="68"/>
      <c r="T59" s="68"/>
      <c r="U59" s="380"/>
      <c r="V59" s="388"/>
      <c r="W59" s="69"/>
      <c r="X59" s="69"/>
      <c r="Y59" s="517"/>
      <c r="Z59" s="518"/>
      <c r="AA59" s="66">
        <f t="shared" si="8"/>
        <v>-112.47669306986427</v>
      </c>
      <c r="AB59" s="381">
        <f t="shared" si="9"/>
        <v>0.96106576009120082</v>
      </c>
      <c r="AC59" s="530"/>
    </row>
    <row r="60" spans="1:29" ht="15.75" customHeight="1">
      <c r="A60" s="523" t="s">
        <v>2112</v>
      </c>
      <c r="B60" s="62" t="s">
        <v>10</v>
      </c>
      <c r="C60" s="512" t="s">
        <v>41</v>
      </c>
      <c r="D60" s="512"/>
      <c r="E60" s="62">
        <v>46</v>
      </c>
      <c r="F60" s="74">
        <v>2611</v>
      </c>
      <c r="G60" s="380">
        <f t="shared" ref="G60:G66" si="35">E60*F60</f>
        <v>120106</v>
      </c>
      <c r="H60" s="90" t="s">
        <v>5</v>
      </c>
      <c r="I60" s="387">
        <v>17</v>
      </c>
      <c r="J60" s="63">
        <v>2000</v>
      </c>
      <c r="K60" s="64">
        <f t="shared" si="1"/>
        <v>117.64705882352941</v>
      </c>
      <c r="L60" s="387">
        <v>17</v>
      </c>
      <c r="M60" s="65">
        <f t="shared" ref="M60:M66" si="36">F60/V60*60</f>
        <v>1910.487804878049</v>
      </c>
      <c r="N60" s="65">
        <f t="shared" si="3"/>
        <v>112.3816355810617</v>
      </c>
      <c r="O60" s="66">
        <f t="shared" si="4"/>
        <v>0</v>
      </c>
      <c r="P60" s="67">
        <f t="shared" si="5"/>
        <v>-5.2654232424677048</v>
      </c>
      <c r="Q60" s="381">
        <f t="shared" si="6"/>
        <v>0.95524390243902446</v>
      </c>
      <c r="R60" s="511">
        <f>Q67</f>
        <v>0.95763265357859095</v>
      </c>
      <c r="S60" s="68">
        <v>0.20833333333333334</v>
      </c>
      <c r="T60" s="68">
        <v>0.26527777777777778</v>
      </c>
      <c r="U60" s="73"/>
      <c r="V60" s="388">
        <f t="shared" ref="V60:V66" si="37">(T60-S60)*24*60</f>
        <v>81.999999999999986</v>
      </c>
      <c r="W60" s="73"/>
      <c r="X60" s="73"/>
      <c r="Y60" s="510"/>
      <c r="Z60" s="510"/>
      <c r="AA60" s="66">
        <f t="shared" si="8"/>
        <v>-89.512195121950981</v>
      </c>
      <c r="AB60" s="381">
        <f t="shared" si="9"/>
        <v>0.95524390243902446</v>
      </c>
      <c r="AC60" s="511">
        <f>AB67</f>
        <v>0.95763265357859095</v>
      </c>
    </row>
    <row r="61" spans="1:29" ht="15.75" customHeight="1">
      <c r="A61" s="523" t="s">
        <v>2112</v>
      </c>
      <c r="B61" s="62" t="s">
        <v>10</v>
      </c>
      <c r="C61" s="512" t="s">
        <v>42</v>
      </c>
      <c r="D61" s="512"/>
      <c r="E61" s="62">
        <v>46</v>
      </c>
      <c r="F61" s="74">
        <v>2694</v>
      </c>
      <c r="G61" s="380">
        <f t="shared" si="35"/>
        <v>123924</v>
      </c>
      <c r="H61" s="90" t="s">
        <v>5</v>
      </c>
      <c r="I61" s="387">
        <v>17</v>
      </c>
      <c r="J61" s="63">
        <v>2000</v>
      </c>
      <c r="K61" s="64">
        <f t="shared" si="1"/>
        <v>117.64705882352941</v>
      </c>
      <c r="L61" s="387">
        <v>17</v>
      </c>
      <c r="M61" s="65">
        <f t="shared" si="36"/>
        <v>1901.6470588235291</v>
      </c>
      <c r="N61" s="65">
        <f t="shared" si="3"/>
        <v>111.86159169550172</v>
      </c>
      <c r="O61" s="66">
        <f t="shared" si="4"/>
        <v>0</v>
      </c>
      <c r="P61" s="67">
        <f t="shared" si="5"/>
        <v>-5.7854671280276904</v>
      </c>
      <c r="Q61" s="381">
        <f t="shared" si="6"/>
        <v>0.95082352941176462</v>
      </c>
      <c r="R61" s="511"/>
      <c r="S61" s="68">
        <v>0.26944444444444443</v>
      </c>
      <c r="T61" s="68">
        <v>0.32847222222222222</v>
      </c>
      <c r="U61" s="380">
        <f t="shared" ref="U61:U66" si="38">IF(S61=TIME(17,0,0),"",(S61-T60)*24*60)</f>
        <v>5.9999999999999787</v>
      </c>
      <c r="V61" s="388">
        <f t="shared" si="37"/>
        <v>85.000000000000014</v>
      </c>
      <c r="W61" s="69"/>
      <c r="X61" s="69"/>
      <c r="Y61" s="510"/>
      <c r="Z61" s="510"/>
      <c r="AA61" s="66">
        <f t="shared" si="8"/>
        <v>-98.352941176470949</v>
      </c>
      <c r="AB61" s="381">
        <f t="shared" si="9"/>
        <v>0.95082352941176451</v>
      </c>
      <c r="AC61" s="511"/>
    </row>
    <row r="62" spans="1:29" ht="15.75" customHeight="1">
      <c r="A62" s="523" t="s">
        <v>2112</v>
      </c>
      <c r="B62" s="62" t="s">
        <v>6</v>
      </c>
      <c r="C62" s="521" t="s">
        <v>43</v>
      </c>
      <c r="D62" s="522"/>
      <c r="E62" s="62">
        <v>55.56</v>
      </c>
      <c r="F62" s="74">
        <v>1000</v>
      </c>
      <c r="G62" s="380">
        <f t="shared" si="35"/>
        <v>55560</v>
      </c>
      <c r="H62" s="90">
        <v>2</v>
      </c>
      <c r="I62" s="387">
        <v>17</v>
      </c>
      <c r="J62" s="63">
        <v>2000</v>
      </c>
      <c r="K62" s="64">
        <f t="shared" si="1"/>
        <v>117.64705882352941</v>
      </c>
      <c r="L62" s="387">
        <v>17</v>
      </c>
      <c r="M62" s="65">
        <f t="shared" si="36"/>
        <v>1935.483870967739</v>
      </c>
      <c r="N62" s="65">
        <f t="shared" si="3"/>
        <v>113.85199240986699</v>
      </c>
      <c r="O62" s="66">
        <f t="shared" si="4"/>
        <v>0</v>
      </c>
      <c r="P62" s="67">
        <f t="shared" si="5"/>
        <v>-3.7950664136624113</v>
      </c>
      <c r="Q62" s="381">
        <f t="shared" si="6"/>
        <v>0.96774193548386955</v>
      </c>
      <c r="R62" s="511"/>
      <c r="S62" s="68">
        <v>0.70833333333333337</v>
      </c>
      <c r="T62" s="68">
        <v>0.72986111111111118</v>
      </c>
      <c r="U62" s="380" t="str">
        <f t="shared" si="38"/>
        <v/>
      </c>
      <c r="V62" s="388">
        <f t="shared" si="37"/>
        <v>31.00000000000005</v>
      </c>
      <c r="W62" s="69"/>
      <c r="X62" s="69"/>
      <c r="Y62" s="377"/>
      <c r="Z62" s="378"/>
      <c r="AA62" s="66">
        <f t="shared" si="8"/>
        <v>-64.516129032261006</v>
      </c>
      <c r="AB62" s="381">
        <f t="shared" si="9"/>
        <v>0.96774193548386944</v>
      </c>
      <c r="AC62" s="511"/>
    </row>
    <row r="63" spans="1:29" ht="15.75" customHeight="1">
      <c r="A63" s="523" t="s">
        <v>2112</v>
      </c>
      <c r="B63" s="62" t="s">
        <v>6</v>
      </c>
      <c r="C63" s="383" t="s">
        <v>44</v>
      </c>
      <c r="D63" s="384"/>
      <c r="E63" s="62">
        <v>55.32</v>
      </c>
      <c r="F63" s="74">
        <v>1991</v>
      </c>
      <c r="G63" s="380">
        <f t="shared" si="35"/>
        <v>110142.12</v>
      </c>
      <c r="H63" s="90" t="s">
        <v>5</v>
      </c>
      <c r="I63" s="387">
        <v>15</v>
      </c>
      <c r="J63" s="63">
        <v>2000</v>
      </c>
      <c r="K63" s="64">
        <f t="shared" si="1"/>
        <v>133.33333333333334</v>
      </c>
      <c r="L63" s="387">
        <v>15</v>
      </c>
      <c r="M63" s="65">
        <f t="shared" si="36"/>
        <v>1926.7741935483891</v>
      </c>
      <c r="N63" s="65">
        <f t="shared" si="3"/>
        <v>128.45161290322594</v>
      </c>
      <c r="O63" s="66">
        <f t="shared" si="4"/>
        <v>0</v>
      </c>
      <c r="P63" s="67">
        <f t="shared" si="5"/>
        <v>-4.8817204301074071</v>
      </c>
      <c r="Q63" s="381">
        <f t="shared" si="6"/>
        <v>0.96338709677419443</v>
      </c>
      <c r="R63" s="511"/>
      <c r="S63" s="68">
        <v>0.73402777777777783</v>
      </c>
      <c r="T63" s="68">
        <v>0.77708333333333335</v>
      </c>
      <c r="U63" s="380">
        <f t="shared" si="38"/>
        <v>5.9999999999999787</v>
      </c>
      <c r="V63" s="388">
        <f t="shared" si="37"/>
        <v>61.999999999999943</v>
      </c>
      <c r="W63" s="69"/>
      <c r="X63" s="69"/>
      <c r="Y63" s="377"/>
      <c r="Z63" s="378"/>
      <c r="AA63" s="66">
        <f t="shared" si="8"/>
        <v>-73.225806451610879</v>
      </c>
      <c r="AB63" s="381">
        <f t="shared" si="9"/>
        <v>0.96338709677419454</v>
      </c>
      <c r="AC63" s="511"/>
    </row>
    <row r="64" spans="1:29" ht="15.75" customHeight="1">
      <c r="A64" s="523" t="s">
        <v>2112</v>
      </c>
      <c r="B64" s="62" t="s">
        <v>6</v>
      </c>
      <c r="C64" s="383" t="s">
        <v>1462</v>
      </c>
      <c r="D64" s="384"/>
      <c r="E64" s="62">
        <v>53.68</v>
      </c>
      <c r="F64" s="74">
        <v>1100</v>
      </c>
      <c r="G64" s="380">
        <f t="shared" si="35"/>
        <v>59048</v>
      </c>
      <c r="H64" s="90">
        <v>2</v>
      </c>
      <c r="I64" s="387">
        <v>16</v>
      </c>
      <c r="J64" s="63">
        <v>1500</v>
      </c>
      <c r="K64" s="64">
        <f t="shared" si="1"/>
        <v>93.75</v>
      </c>
      <c r="L64" s="387">
        <v>16</v>
      </c>
      <c r="M64" s="65">
        <f t="shared" si="36"/>
        <v>1434.7826086956522</v>
      </c>
      <c r="N64" s="65">
        <f t="shared" si="3"/>
        <v>89.673913043478265</v>
      </c>
      <c r="O64" s="66">
        <f t="shared" si="4"/>
        <v>0</v>
      </c>
      <c r="P64" s="67">
        <f t="shared" si="5"/>
        <v>-4.0760869565217348</v>
      </c>
      <c r="Q64" s="381">
        <f t="shared" si="6"/>
        <v>0.95652173913043481</v>
      </c>
      <c r="R64" s="511"/>
      <c r="S64" s="68">
        <v>0.78263888888888888</v>
      </c>
      <c r="T64" s="68">
        <v>0.81458333333333333</v>
      </c>
      <c r="U64" s="380">
        <f t="shared" si="38"/>
        <v>7.9999999999999716</v>
      </c>
      <c r="V64" s="388">
        <f t="shared" si="37"/>
        <v>46</v>
      </c>
      <c r="W64" s="69">
        <f>T64</f>
        <v>0.81458333333333333</v>
      </c>
      <c r="X64" s="69">
        <f>S65</f>
        <v>0.85486111111111107</v>
      </c>
      <c r="Y64" s="377"/>
      <c r="Z64" s="378"/>
      <c r="AA64" s="66">
        <f t="shared" si="8"/>
        <v>-65.217391304347757</v>
      </c>
      <c r="AB64" s="381">
        <f t="shared" si="9"/>
        <v>0.95652173913043481</v>
      </c>
      <c r="AC64" s="511"/>
    </row>
    <row r="65" spans="1:29" ht="15.75" customHeight="1">
      <c r="A65" s="523" t="s">
        <v>2112</v>
      </c>
      <c r="B65" s="62" t="s">
        <v>6</v>
      </c>
      <c r="C65" s="521" t="s">
        <v>1462</v>
      </c>
      <c r="D65" s="522"/>
      <c r="E65" s="62">
        <v>53.68</v>
      </c>
      <c r="F65" s="74">
        <v>2714</v>
      </c>
      <c r="G65" s="380">
        <f t="shared" si="35"/>
        <v>145687.51999999999</v>
      </c>
      <c r="H65" s="90" t="s">
        <v>5</v>
      </c>
      <c r="I65" s="387">
        <v>16</v>
      </c>
      <c r="J65" s="63">
        <v>1500</v>
      </c>
      <c r="K65" s="64">
        <f t="shared" si="1"/>
        <v>93.75</v>
      </c>
      <c r="L65" s="387">
        <v>16</v>
      </c>
      <c r="M65" s="65">
        <f t="shared" si="36"/>
        <v>1428.4210526315801</v>
      </c>
      <c r="N65" s="65">
        <f t="shared" si="3"/>
        <v>89.276315789473756</v>
      </c>
      <c r="O65" s="66">
        <f t="shared" si="4"/>
        <v>0</v>
      </c>
      <c r="P65" s="67">
        <f t="shared" si="5"/>
        <v>-4.473684210526244</v>
      </c>
      <c r="Q65" s="381">
        <f t="shared" si="6"/>
        <v>0.95228070175438673</v>
      </c>
      <c r="R65" s="511"/>
      <c r="S65" s="68">
        <v>0.85486111111111107</v>
      </c>
      <c r="T65" s="68">
        <v>0.93402777777777768</v>
      </c>
      <c r="U65" s="380">
        <f t="shared" si="38"/>
        <v>57.999999999999957</v>
      </c>
      <c r="V65" s="388">
        <f t="shared" si="37"/>
        <v>113.99999999999991</v>
      </c>
      <c r="W65" s="69"/>
      <c r="X65" s="69"/>
      <c r="Y65" s="517"/>
      <c r="Z65" s="518"/>
      <c r="AA65" s="66">
        <f t="shared" si="8"/>
        <v>-71.578947368419904</v>
      </c>
      <c r="AB65" s="381">
        <f t="shared" si="9"/>
        <v>0.95228070175438673</v>
      </c>
      <c r="AC65" s="511"/>
    </row>
    <row r="66" spans="1:29" ht="18" customHeight="1">
      <c r="A66" s="523" t="s">
        <v>2112</v>
      </c>
      <c r="B66" s="62" t="s">
        <v>6</v>
      </c>
      <c r="C66" s="521" t="s">
        <v>43</v>
      </c>
      <c r="D66" s="522"/>
      <c r="E66" s="62">
        <v>55.56</v>
      </c>
      <c r="F66" s="74">
        <v>1370</v>
      </c>
      <c r="G66" s="380">
        <f t="shared" si="35"/>
        <v>76117.2</v>
      </c>
      <c r="H66" s="90" t="s">
        <v>5</v>
      </c>
      <c r="I66" s="387">
        <v>17</v>
      </c>
      <c r="J66" s="63">
        <v>2000</v>
      </c>
      <c r="K66" s="64">
        <f t="shared" si="1"/>
        <v>117.64705882352941</v>
      </c>
      <c r="L66" s="387">
        <v>17</v>
      </c>
      <c r="M66" s="65">
        <f t="shared" si="36"/>
        <v>1911.627906976744</v>
      </c>
      <c r="N66" s="65">
        <f t="shared" si="3"/>
        <v>112.44870041039671</v>
      </c>
      <c r="O66" s="66">
        <f t="shared" si="4"/>
        <v>0</v>
      </c>
      <c r="P66" s="67">
        <f t="shared" si="5"/>
        <v>-5.198358413132695</v>
      </c>
      <c r="Q66" s="381">
        <f t="shared" si="6"/>
        <v>0.95581395348837206</v>
      </c>
      <c r="R66" s="511"/>
      <c r="S66" s="68">
        <v>0.93819444444444433</v>
      </c>
      <c r="T66" s="68">
        <v>0.96805555555555545</v>
      </c>
      <c r="U66" s="380">
        <f t="shared" si="38"/>
        <v>5.9999999999999787</v>
      </c>
      <c r="V66" s="388">
        <f t="shared" si="37"/>
        <v>43.000000000000007</v>
      </c>
      <c r="W66" s="69"/>
      <c r="X66" s="69"/>
      <c r="Y66" s="517"/>
      <c r="Z66" s="518"/>
      <c r="AA66" s="66">
        <f t="shared" si="8"/>
        <v>-88.372093023255957</v>
      </c>
      <c r="AB66" s="381">
        <f t="shared" si="9"/>
        <v>0.95581395348837206</v>
      </c>
      <c r="AC66" s="511"/>
    </row>
    <row r="67" spans="1:29">
      <c r="A67" s="524" t="s">
        <v>2112</v>
      </c>
      <c r="B67" s="62" t="s">
        <v>2100</v>
      </c>
      <c r="C67" s="513"/>
      <c r="D67" s="513"/>
      <c r="E67" s="382"/>
      <c r="F67" s="71"/>
      <c r="G67" s="64"/>
      <c r="H67" s="390"/>
      <c r="I67" s="72">
        <v>16.428571428571427</v>
      </c>
      <c r="J67" s="63">
        <v>1857.1428571428571</v>
      </c>
      <c r="K67" s="64">
        <f t="shared" si="1"/>
        <v>113.04347826086958</v>
      </c>
      <c r="L67" s="72">
        <v>16.428571428571427</v>
      </c>
      <c r="M67" s="65">
        <f>AVERAGE(M60:M66)</f>
        <v>1778.4606423602404</v>
      </c>
      <c r="N67" s="64">
        <f t="shared" si="3"/>
        <v>108.25412605671029</v>
      </c>
      <c r="O67" s="66">
        <f t="shared" si="4"/>
        <v>0</v>
      </c>
      <c r="P67" s="67">
        <f t="shared" si="5"/>
        <v>-4.789352204159286</v>
      </c>
      <c r="Q67" s="381">
        <f t="shared" si="6"/>
        <v>0.95763265357859095</v>
      </c>
      <c r="R67" s="511"/>
      <c r="S67" s="75"/>
      <c r="T67" s="68"/>
      <c r="U67" s="64"/>
      <c r="V67" s="388"/>
      <c r="W67" s="64"/>
      <c r="X67" s="64"/>
      <c r="Y67" s="510"/>
      <c r="Z67" s="510"/>
      <c r="AA67" s="66">
        <f t="shared" si="8"/>
        <v>-78.682214782616711</v>
      </c>
      <c r="AB67" s="381">
        <f t="shared" si="9"/>
        <v>0.95763265357859095</v>
      </c>
      <c r="AC67" s="511"/>
    </row>
    <row r="68" spans="1:29" ht="15.75" customHeight="1">
      <c r="A68" s="519" t="s">
        <v>2113</v>
      </c>
      <c r="B68" s="390" t="s">
        <v>10</v>
      </c>
      <c r="C68" s="512" t="s">
        <v>46</v>
      </c>
      <c r="D68" s="512"/>
      <c r="E68" s="62">
        <v>26.97</v>
      </c>
      <c r="F68" s="74">
        <v>3147</v>
      </c>
      <c r="G68" s="380">
        <f t="shared" ref="G68:G71" si="39">E68*F68</f>
        <v>84874.59</v>
      </c>
      <c r="H68" s="90" t="s">
        <v>5</v>
      </c>
      <c r="I68" s="387">
        <v>8</v>
      </c>
      <c r="J68" s="63">
        <v>1500</v>
      </c>
      <c r="K68" s="64">
        <f t="shared" si="1"/>
        <v>187.5</v>
      </c>
      <c r="L68" s="387">
        <v>8</v>
      </c>
      <c r="M68" s="65">
        <f t="shared" ref="M68:M71" si="40">F68/V68*60</f>
        <v>1430.4545454545448</v>
      </c>
      <c r="N68" s="64">
        <f t="shared" si="3"/>
        <v>178.8068181818181</v>
      </c>
      <c r="O68" s="66">
        <f t="shared" si="4"/>
        <v>0</v>
      </c>
      <c r="P68" s="67">
        <f t="shared" si="5"/>
        <v>-8.6931818181818983</v>
      </c>
      <c r="Q68" s="381">
        <f t="shared" si="6"/>
        <v>0.95363636363636317</v>
      </c>
      <c r="R68" s="511">
        <f>Q72</f>
        <v>0.95489756620191357</v>
      </c>
      <c r="S68" s="68">
        <v>0.20833333333333334</v>
      </c>
      <c r="T68" s="68">
        <v>0.30000000000000004</v>
      </c>
      <c r="U68" s="380"/>
      <c r="V68" s="388">
        <f t="shared" ref="V68:V71" si="41">(T68-S68)*24*60</f>
        <v>132.00000000000006</v>
      </c>
      <c r="W68" s="73"/>
      <c r="X68" s="73"/>
      <c r="Y68" s="510"/>
      <c r="Z68" s="510"/>
      <c r="AA68" s="66">
        <f t="shared" si="8"/>
        <v>-69.545454545455186</v>
      </c>
      <c r="AB68" s="381">
        <f t="shared" si="9"/>
        <v>0.95363636363636317</v>
      </c>
      <c r="AC68" s="511">
        <f>AB72</f>
        <v>0.95489756620191368</v>
      </c>
    </row>
    <row r="69" spans="1:29" ht="15.75" customHeight="1">
      <c r="A69" s="519" t="s">
        <v>2113</v>
      </c>
      <c r="B69" s="390" t="s">
        <v>35</v>
      </c>
      <c r="C69" s="512" t="s">
        <v>45</v>
      </c>
      <c r="D69" s="512"/>
      <c r="E69" s="62">
        <v>26.78</v>
      </c>
      <c r="F69" s="74">
        <v>2857</v>
      </c>
      <c r="G69" s="380">
        <f t="shared" si="39"/>
        <v>76510.460000000006</v>
      </c>
      <c r="H69" s="90" t="s">
        <v>5</v>
      </c>
      <c r="I69" s="387">
        <v>10</v>
      </c>
      <c r="J69" s="63">
        <v>3000</v>
      </c>
      <c r="K69" s="64">
        <f t="shared" ref="K69:K81" si="42">J69/I69</f>
        <v>300</v>
      </c>
      <c r="L69" s="387">
        <v>10</v>
      </c>
      <c r="M69" s="65">
        <f t="shared" si="40"/>
        <v>2856.9999999999986</v>
      </c>
      <c r="N69" s="64">
        <f t="shared" ref="N69:N81" si="43">M69/L69</f>
        <v>285.69999999999987</v>
      </c>
      <c r="O69" s="66">
        <f t="shared" ref="O69:O81" si="44">L69-I69</f>
        <v>0</v>
      </c>
      <c r="P69" s="67">
        <f t="shared" ref="P69:P81" si="45">N69-K69</f>
        <v>-14.300000000000125</v>
      </c>
      <c r="Q69" s="381">
        <f t="shared" ref="Q69:Q81" si="46">N69/K69</f>
        <v>0.95233333333333292</v>
      </c>
      <c r="R69" s="511"/>
      <c r="S69" s="68">
        <v>0.3041666666666667</v>
      </c>
      <c r="T69" s="68">
        <v>0.34583333333333338</v>
      </c>
      <c r="U69" s="380">
        <f t="shared" ref="U69:U71" si="47">(S69-T68)*24*60</f>
        <v>5.9999999999999787</v>
      </c>
      <c r="V69" s="388">
        <f t="shared" si="41"/>
        <v>60.000000000000028</v>
      </c>
      <c r="W69" s="380"/>
      <c r="X69" s="380"/>
      <c r="Y69" s="510"/>
      <c r="Z69" s="510"/>
      <c r="AA69" s="66">
        <f t="shared" ref="AA69:AA81" si="48">M69-J69</f>
        <v>-143.00000000000136</v>
      </c>
      <c r="AB69" s="381">
        <f t="shared" ref="AB69:AB81" si="49">M69/J69</f>
        <v>0.95233333333333292</v>
      </c>
      <c r="AC69" s="511"/>
    </row>
    <row r="70" spans="1:29" ht="15.75" customHeight="1">
      <c r="A70" s="519" t="s">
        <v>2113</v>
      </c>
      <c r="B70" s="390" t="s">
        <v>35</v>
      </c>
      <c r="C70" s="512" t="s">
        <v>75</v>
      </c>
      <c r="D70" s="512"/>
      <c r="E70" s="62">
        <v>37.880000000000003</v>
      </c>
      <c r="F70" s="74">
        <v>3291</v>
      </c>
      <c r="G70" s="380">
        <f t="shared" si="39"/>
        <v>124663.08</v>
      </c>
      <c r="H70" s="90" t="s">
        <v>5</v>
      </c>
      <c r="I70" s="387">
        <v>10</v>
      </c>
      <c r="J70" s="63">
        <v>3000</v>
      </c>
      <c r="K70" s="64">
        <f t="shared" si="42"/>
        <v>300</v>
      </c>
      <c r="L70" s="387">
        <v>10</v>
      </c>
      <c r="M70" s="65">
        <f t="shared" si="40"/>
        <v>2861.739130434783</v>
      </c>
      <c r="N70" s="64">
        <f t="shared" si="43"/>
        <v>286.17391304347831</v>
      </c>
      <c r="O70" s="66">
        <f t="shared" si="44"/>
        <v>0</v>
      </c>
      <c r="P70" s="67">
        <f t="shared" si="45"/>
        <v>-13.826086956521692</v>
      </c>
      <c r="Q70" s="381">
        <f t="shared" si="46"/>
        <v>0.953913043478261</v>
      </c>
      <c r="R70" s="511"/>
      <c r="S70" s="68">
        <v>0.34930555555555559</v>
      </c>
      <c r="T70" s="68">
        <v>0.39722222222222225</v>
      </c>
      <c r="U70" s="380">
        <f t="shared" si="47"/>
        <v>4.9999999999999822</v>
      </c>
      <c r="V70" s="388">
        <f t="shared" si="41"/>
        <v>69</v>
      </c>
      <c r="W70" s="380"/>
      <c r="X70" s="380"/>
      <c r="Y70" s="510"/>
      <c r="Z70" s="510"/>
      <c r="AA70" s="66">
        <f t="shared" si="48"/>
        <v>-138.26086956521704</v>
      </c>
      <c r="AB70" s="381">
        <f t="shared" si="49"/>
        <v>0.953913043478261</v>
      </c>
      <c r="AC70" s="511"/>
    </row>
    <row r="71" spans="1:29" ht="15.75" customHeight="1">
      <c r="A71" s="519" t="s">
        <v>2113</v>
      </c>
      <c r="B71" s="390" t="s">
        <v>35</v>
      </c>
      <c r="C71" s="512" t="s">
        <v>85</v>
      </c>
      <c r="D71" s="512"/>
      <c r="E71" s="62">
        <v>40.51</v>
      </c>
      <c r="F71" s="74">
        <v>3117</v>
      </c>
      <c r="G71" s="380">
        <f t="shared" si="39"/>
        <v>126269.67</v>
      </c>
      <c r="H71" s="90" t="s">
        <v>5</v>
      </c>
      <c r="I71" s="387">
        <v>8</v>
      </c>
      <c r="J71" s="63">
        <v>3000</v>
      </c>
      <c r="K71" s="64">
        <f t="shared" si="42"/>
        <v>375</v>
      </c>
      <c r="L71" s="387">
        <v>8</v>
      </c>
      <c r="M71" s="65">
        <f t="shared" si="40"/>
        <v>2877.2307692307686</v>
      </c>
      <c r="N71" s="64">
        <f t="shared" si="43"/>
        <v>359.65384615384608</v>
      </c>
      <c r="O71" s="66">
        <f t="shared" si="44"/>
        <v>0</v>
      </c>
      <c r="P71" s="67">
        <f t="shared" si="45"/>
        <v>-15.346153846153925</v>
      </c>
      <c r="Q71" s="381">
        <f t="shared" si="46"/>
        <v>0.95907692307692283</v>
      </c>
      <c r="R71" s="511"/>
      <c r="S71" s="68">
        <v>0.40208333333333335</v>
      </c>
      <c r="T71" s="68">
        <v>0.44722222222222224</v>
      </c>
      <c r="U71" s="380">
        <f t="shared" si="47"/>
        <v>6.9999999999999751</v>
      </c>
      <c r="V71" s="388">
        <f t="shared" si="41"/>
        <v>65.000000000000014</v>
      </c>
      <c r="W71" s="380"/>
      <c r="X71" s="380"/>
      <c r="Y71" s="510"/>
      <c r="Z71" s="510"/>
      <c r="AA71" s="66">
        <f t="shared" si="48"/>
        <v>-122.7692307692314</v>
      </c>
      <c r="AB71" s="381">
        <f t="shared" si="49"/>
        <v>0.95907692307692283</v>
      </c>
      <c r="AC71" s="511"/>
    </row>
    <row r="72" spans="1:29">
      <c r="A72" s="520" t="s">
        <v>2113</v>
      </c>
      <c r="B72" s="62" t="s">
        <v>2100</v>
      </c>
      <c r="C72" s="513"/>
      <c r="D72" s="513"/>
      <c r="E72" s="382"/>
      <c r="F72" s="71"/>
      <c r="G72" s="64"/>
      <c r="H72" s="390"/>
      <c r="I72" s="72">
        <v>9</v>
      </c>
      <c r="J72" s="63">
        <v>2625</v>
      </c>
      <c r="K72" s="64">
        <f t="shared" si="42"/>
        <v>291.66666666666669</v>
      </c>
      <c r="L72" s="72">
        <v>9</v>
      </c>
      <c r="M72" s="65">
        <f>AVERAGE(M68:M71)</f>
        <v>2506.6061112800235</v>
      </c>
      <c r="N72" s="64">
        <f t="shared" si="43"/>
        <v>278.51179014222481</v>
      </c>
      <c r="O72" s="66">
        <f t="shared" si="44"/>
        <v>0</v>
      </c>
      <c r="P72" s="67">
        <f t="shared" si="45"/>
        <v>-13.154876524441875</v>
      </c>
      <c r="Q72" s="381">
        <f t="shared" si="46"/>
        <v>0.95489756620191357</v>
      </c>
      <c r="R72" s="511"/>
      <c r="S72" s="68"/>
      <c r="T72" s="68"/>
      <c r="U72" s="64"/>
      <c r="V72" s="388"/>
      <c r="W72" s="64"/>
      <c r="X72" s="64"/>
      <c r="Y72" s="510"/>
      <c r="Z72" s="510"/>
      <c r="AA72" s="66">
        <f t="shared" si="48"/>
        <v>-118.39388871997653</v>
      </c>
      <c r="AB72" s="381">
        <f t="shared" si="49"/>
        <v>0.95489756620191368</v>
      </c>
      <c r="AC72" s="511"/>
    </row>
    <row r="73" spans="1:29" ht="15.75" customHeight="1">
      <c r="A73" s="514" t="s">
        <v>2114</v>
      </c>
      <c r="B73" s="390" t="s">
        <v>16</v>
      </c>
      <c r="C73" s="512" t="s">
        <v>48</v>
      </c>
      <c r="D73" s="512"/>
      <c r="E73" s="62">
        <v>20.2</v>
      </c>
      <c r="F73" s="390">
        <v>2823</v>
      </c>
      <c r="G73" s="380">
        <f t="shared" ref="G73:G80" si="50">E73*F73</f>
        <v>57024.6</v>
      </c>
      <c r="H73" s="90" t="s">
        <v>5</v>
      </c>
      <c r="I73" s="387">
        <v>19</v>
      </c>
      <c r="J73" s="63">
        <v>2400</v>
      </c>
      <c r="K73" s="64">
        <f t="shared" si="42"/>
        <v>126.31578947368421</v>
      </c>
      <c r="L73" s="387">
        <v>19</v>
      </c>
      <c r="M73" s="65">
        <f t="shared" ref="M73:M80" si="51">F73/V73*60</f>
        <v>2288.9189189189187</v>
      </c>
      <c r="N73" s="64">
        <f t="shared" si="43"/>
        <v>120.46941678520625</v>
      </c>
      <c r="O73" s="66">
        <f t="shared" si="44"/>
        <v>0</v>
      </c>
      <c r="P73" s="67">
        <f t="shared" si="45"/>
        <v>-5.8463726884779561</v>
      </c>
      <c r="Q73" s="381">
        <f t="shared" si="46"/>
        <v>0.95371621621621616</v>
      </c>
      <c r="R73" s="511">
        <f>Q81</f>
        <v>0.9566063603517746</v>
      </c>
      <c r="S73" s="68">
        <v>8.3333333333333329E-2</v>
      </c>
      <c r="T73" s="68">
        <v>0.13472222222222222</v>
      </c>
      <c r="U73" s="73"/>
      <c r="V73" s="388">
        <f t="shared" ref="V73:V80" si="52">(T73-S73)*24*60</f>
        <v>74</v>
      </c>
      <c r="W73" s="69">
        <f>T73</f>
        <v>0.13472222222222222</v>
      </c>
      <c r="X73" s="69">
        <f>S74</f>
        <v>0.15555555555555556</v>
      </c>
      <c r="Y73" s="510"/>
      <c r="Z73" s="510"/>
      <c r="AA73" s="66">
        <f t="shared" si="48"/>
        <v>-111.08108108108127</v>
      </c>
      <c r="AB73" s="381">
        <f t="shared" si="49"/>
        <v>0.95371621621621616</v>
      </c>
      <c r="AC73" s="511">
        <f>AB81</f>
        <v>0.95660636035177471</v>
      </c>
    </row>
    <row r="74" spans="1:29" ht="15.75" customHeight="1">
      <c r="A74" s="515" t="s">
        <v>2114</v>
      </c>
      <c r="B74" s="390" t="s">
        <v>16</v>
      </c>
      <c r="C74" s="512" t="s">
        <v>18</v>
      </c>
      <c r="D74" s="512"/>
      <c r="E74" s="62">
        <v>22.35</v>
      </c>
      <c r="F74" s="390">
        <v>2280</v>
      </c>
      <c r="G74" s="380">
        <f t="shared" si="50"/>
        <v>50958</v>
      </c>
      <c r="H74" s="90" t="s">
        <v>5</v>
      </c>
      <c r="I74" s="387">
        <v>16</v>
      </c>
      <c r="J74" s="63">
        <v>2400</v>
      </c>
      <c r="K74" s="64">
        <f t="shared" si="42"/>
        <v>150</v>
      </c>
      <c r="L74" s="387">
        <v>16</v>
      </c>
      <c r="M74" s="65">
        <f t="shared" si="51"/>
        <v>2318.6440677966102</v>
      </c>
      <c r="N74" s="64">
        <f t="shared" si="43"/>
        <v>144.91525423728814</v>
      </c>
      <c r="O74" s="66">
        <f t="shared" si="44"/>
        <v>0</v>
      </c>
      <c r="P74" s="67">
        <f t="shared" si="45"/>
        <v>-5.0847457627118615</v>
      </c>
      <c r="Q74" s="381">
        <f t="shared" si="46"/>
        <v>0.96610169491525422</v>
      </c>
      <c r="R74" s="511"/>
      <c r="S74" s="68">
        <v>0.15555555555555556</v>
      </c>
      <c r="T74" s="68">
        <v>0.19652777777777777</v>
      </c>
      <c r="U74" s="380">
        <f t="shared" ref="U74:U80" si="53">(S74-T73)*24*60</f>
        <v>30.000000000000014</v>
      </c>
      <c r="V74" s="388">
        <f t="shared" si="52"/>
        <v>58.999999999999993</v>
      </c>
      <c r="W74" s="69"/>
      <c r="X74" s="69"/>
      <c r="Y74" s="510"/>
      <c r="Z74" s="510"/>
      <c r="AA74" s="66">
        <f t="shared" si="48"/>
        <v>-81.355932203389784</v>
      </c>
      <c r="AB74" s="381">
        <f t="shared" si="49"/>
        <v>0.96610169491525422</v>
      </c>
      <c r="AC74" s="511"/>
    </row>
    <row r="75" spans="1:29" ht="15.75" customHeight="1">
      <c r="A75" s="515" t="s">
        <v>2114</v>
      </c>
      <c r="B75" s="390" t="s">
        <v>16</v>
      </c>
      <c r="C75" s="512" t="s">
        <v>34</v>
      </c>
      <c r="D75" s="512"/>
      <c r="E75" s="62">
        <v>24.25</v>
      </c>
      <c r="F75" s="390">
        <v>3055</v>
      </c>
      <c r="G75" s="380">
        <f t="shared" si="50"/>
        <v>74083.75</v>
      </c>
      <c r="H75" s="90" t="s">
        <v>5</v>
      </c>
      <c r="I75" s="387">
        <v>13</v>
      </c>
      <c r="J75" s="63">
        <v>2400</v>
      </c>
      <c r="K75" s="64">
        <f t="shared" si="42"/>
        <v>184.61538461538461</v>
      </c>
      <c r="L75" s="387">
        <v>13</v>
      </c>
      <c r="M75" s="65">
        <f t="shared" si="51"/>
        <v>2291.25</v>
      </c>
      <c r="N75" s="64">
        <f t="shared" si="43"/>
        <v>176.25</v>
      </c>
      <c r="O75" s="66">
        <f t="shared" si="44"/>
        <v>0</v>
      </c>
      <c r="P75" s="67">
        <f t="shared" si="45"/>
        <v>-8.3653846153846132</v>
      </c>
      <c r="Q75" s="381">
        <f t="shared" si="46"/>
        <v>0.95468750000000002</v>
      </c>
      <c r="R75" s="511"/>
      <c r="S75" s="68">
        <v>0.19999999999999998</v>
      </c>
      <c r="T75" s="68">
        <v>0.25555555555555554</v>
      </c>
      <c r="U75" s="380">
        <f t="shared" si="53"/>
        <v>4.9999999999999822</v>
      </c>
      <c r="V75" s="388">
        <f t="shared" si="52"/>
        <v>80</v>
      </c>
      <c r="W75" s="69"/>
      <c r="X75" s="69"/>
      <c r="Y75" s="510"/>
      <c r="Z75" s="510"/>
      <c r="AA75" s="66">
        <f t="shared" si="48"/>
        <v>-108.75</v>
      </c>
      <c r="AB75" s="381">
        <f t="shared" si="49"/>
        <v>0.95468750000000002</v>
      </c>
      <c r="AC75" s="511"/>
    </row>
    <row r="76" spans="1:29" ht="15.75" customHeight="1">
      <c r="A76" s="515" t="s">
        <v>2114</v>
      </c>
      <c r="B76" s="390" t="s">
        <v>16</v>
      </c>
      <c r="C76" s="512" t="s">
        <v>26</v>
      </c>
      <c r="D76" s="512"/>
      <c r="E76" s="62">
        <v>20.52</v>
      </c>
      <c r="F76" s="390">
        <v>3725</v>
      </c>
      <c r="G76" s="380">
        <f t="shared" si="50"/>
        <v>76437</v>
      </c>
      <c r="H76" s="90" t="s">
        <v>5</v>
      </c>
      <c r="I76" s="387">
        <v>18</v>
      </c>
      <c r="J76" s="63">
        <v>2400</v>
      </c>
      <c r="K76" s="64">
        <f t="shared" si="42"/>
        <v>133.33333333333334</v>
      </c>
      <c r="L76" s="387">
        <v>18</v>
      </c>
      <c r="M76" s="65">
        <f t="shared" si="51"/>
        <v>2304.1237113402067</v>
      </c>
      <c r="N76" s="64">
        <f t="shared" si="43"/>
        <v>128.0068728522337</v>
      </c>
      <c r="O76" s="66">
        <f t="shared" si="44"/>
        <v>0</v>
      </c>
      <c r="P76" s="67">
        <f t="shared" si="45"/>
        <v>-5.3264604810996445</v>
      </c>
      <c r="Q76" s="381">
        <f t="shared" si="46"/>
        <v>0.96005154639175272</v>
      </c>
      <c r="R76" s="511"/>
      <c r="S76" s="68">
        <v>0.26041666666666663</v>
      </c>
      <c r="T76" s="68">
        <v>0.32777777777777772</v>
      </c>
      <c r="U76" s="380">
        <f t="shared" si="53"/>
        <v>6.9999999999999751</v>
      </c>
      <c r="V76" s="388">
        <f t="shared" si="52"/>
        <v>96.999999999999972</v>
      </c>
      <c r="W76" s="69"/>
      <c r="X76" s="69"/>
      <c r="Y76" s="510"/>
      <c r="Z76" s="510"/>
      <c r="AA76" s="66">
        <f t="shared" si="48"/>
        <v>-95.876288659793317</v>
      </c>
      <c r="AB76" s="381">
        <f t="shared" si="49"/>
        <v>0.96005154639175283</v>
      </c>
      <c r="AC76" s="511"/>
    </row>
    <row r="77" spans="1:29" ht="15.75" customHeight="1">
      <c r="A77" s="515" t="s">
        <v>2114</v>
      </c>
      <c r="B77" s="390" t="s">
        <v>16</v>
      </c>
      <c r="C77" s="512" t="s">
        <v>2115</v>
      </c>
      <c r="D77" s="512"/>
      <c r="E77" s="62">
        <v>21.68</v>
      </c>
      <c r="F77" s="390">
        <v>5800</v>
      </c>
      <c r="G77" s="380">
        <f t="shared" si="50"/>
        <v>125744</v>
      </c>
      <c r="H77" s="90">
        <v>2</v>
      </c>
      <c r="I77" s="387">
        <v>15</v>
      </c>
      <c r="J77" s="63">
        <v>2400</v>
      </c>
      <c r="K77" s="64">
        <f t="shared" si="42"/>
        <v>160</v>
      </c>
      <c r="L77" s="387">
        <v>15</v>
      </c>
      <c r="M77" s="65">
        <f t="shared" si="51"/>
        <v>2289.4736842105258</v>
      </c>
      <c r="N77" s="64">
        <f t="shared" si="43"/>
        <v>152.63157894736838</v>
      </c>
      <c r="O77" s="66">
        <f t="shared" si="44"/>
        <v>0</v>
      </c>
      <c r="P77" s="67">
        <f t="shared" si="45"/>
        <v>-7.3684210526316178</v>
      </c>
      <c r="Q77" s="381">
        <f t="shared" si="46"/>
        <v>0.95394736842105243</v>
      </c>
      <c r="R77" s="511"/>
      <c r="S77" s="68">
        <v>0.33124999999999993</v>
      </c>
      <c r="T77" s="68">
        <v>0.4368055555555555</v>
      </c>
      <c r="U77" s="380">
        <f t="shared" si="53"/>
        <v>4.9999999999999822</v>
      </c>
      <c r="V77" s="388">
        <f t="shared" si="52"/>
        <v>152.00000000000003</v>
      </c>
      <c r="W77" s="69"/>
      <c r="X77" s="69"/>
      <c r="Y77" s="510"/>
      <c r="Z77" s="510"/>
      <c r="AA77" s="66">
        <f t="shared" si="48"/>
        <v>-110.52631578947421</v>
      </c>
      <c r="AB77" s="381">
        <f t="shared" si="49"/>
        <v>0.95394736842105243</v>
      </c>
      <c r="AC77" s="511"/>
    </row>
    <row r="78" spans="1:29" ht="15.75" customHeight="1">
      <c r="A78" s="515" t="s">
        <v>2114</v>
      </c>
      <c r="B78" s="390" t="s">
        <v>16</v>
      </c>
      <c r="C78" s="512" t="s">
        <v>33</v>
      </c>
      <c r="D78" s="512"/>
      <c r="E78" s="62">
        <v>24.43</v>
      </c>
      <c r="F78" s="390">
        <v>4200</v>
      </c>
      <c r="G78" s="380">
        <f t="shared" si="50"/>
        <v>102606</v>
      </c>
      <c r="H78" s="90">
        <v>2</v>
      </c>
      <c r="I78" s="387">
        <v>14</v>
      </c>
      <c r="J78" s="63">
        <v>2400</v>
      </c>
      <c r="K78" s="64">
        <f t="shared" si="42"/>
        <v>171.42857142857142</v>
      </c>
      <c r="L78" s="387">
        <v>14</v>
      </c>
      <c r="M78" s="65">
        <f t="shared" si="51"/>
        <v>2290.909090909091</v>
      </c>
      <c r="N78" s="64">
        <f t="shared" si="43"/>
        <v>163.63636363636365</v>
      </c>
      <c r="O78" s="66">
        <f t="shared" si="44"/>
        <v>0</v>
      </c>
      <c r="P78" s="67">
        <f t="shared" si="45"/>
        <v>-7.7922077922077619</v>
      </c>
      <c r="Q78" s="381">
        <f t="shared" si="46"/>
        <v>0.9545454545454547</v>
      </c>
      <c r="R78" s="511"/>
      <c r="S78" s="68">
        <v>0.4416666666666666</v>
      </c>
      <c r="T78" s="68">
        <v>0.51805555555555549</v>
      </c>
      <c r="U78" s="380">
        <f t="shared" si="53"/>
        <v>6.9999999999999751</v>
      </c>
      <c r="V78" s="388">
        <f t="shared" si="52"/>
        <v>110.00000000000001</v>
      </c>
      <c r="W78" s="69">
        <f>T78</f>
        <v>0.51805555555555549</v>
      </c>
      <c r="X78" s="69">
        <f>S79</f>
        <v>0.56041666666666656</v>
      </c>
      <c r="Y78" s="510"/>
      <c r="Z78" s="510"/>
      <c r="AA78" s="66">
        <f t="shared" si="48"/>
        <v>-109.09090909090901</v>
      </c>
      <c r="AB78" s="381">
        <f t="shared" si="49"/>
        <v>0.95454545454545459</v>
      </c>
      <c r="AC78" s="511"/>
    </row>
    <row r="79" spans="1:29" ht="15.75" customHeight="1">
      <c r="A79" s="515" t="s">
        <v>2114</v>
      </c>
      <c r="B79" s="390" t="s">
        <v>16</v>
      </c>
      <c r="C79" s="512" t="s">
        <v>33</v>
      </c>
      <c r="D79" s="512"/>
      <c r="E79" s="62">
        <v>24.43</v>
      </c>
      <c r="F79" s="390">
        <v>4470</v>
      </c>
      <c r="G79" s="380">
        <f t="shared" si="50"/>
        <v>109202.1</v>
      </c>
      <c r="H79" s="90" t="s">
        <v>5</v>
      </c>
      <c r="I79" s="387">
        <v>14</v>
      </c>
      <c r="J79" s="63">
        <v>2400</v>
      </c>
      <c r="K79" s="64">
        <f t="shared" si="42"/>
        <v>171.42857142857142</v>
      </c>
      <c r="L79" s="387">
        <v>14</v>
      </c>
      <c r="M79" s="65">
        <f t="shared" si="51"/>
        <v>2292.307692307691</v>
      </c>
      <c r="N79" s="64">
        <f t="shared" si="43"/>
        <v>163.73626373626365</v>
      </c>
      <c r="O79" s="66">
        <f t="shared" si="44"/>
        <v>0</v>
      </c>
      <c r="P79" s="67">
        <f t="shared" si="45"/>
        <v>-7.6923076923077645</v>
      </c>
      <c r="Q79" s="381">
        <f t="shared" si="46"/>
        <v>0.95512820512820473</v>
      </c>
      <c r="R79" s="511"/>
      <c r="S79" s="68">
        <v>0.56041666666666656</v>
      </c>
      <c r="T79" s="68">
        <v>0.64166666666666661</v>
      </c>
      <c r="U79" s="380">
        <f t="shared" si="53"/>
        <v>60.999999999999943</v>
      </c>
      <c r="V79" s="388">
        <f t="shared" si="52"/>
        <v>117.00000000000006</v>
      </c>
      <c r="W79" s="69"/>
      <c r="X79" s="69"/>
      <c r="Y79" s="517"/>
      <c r="Z79" s="518"/>
      <c r="AA79" s="66">
        <f t="shared" si="48"/>
        <v>-107.69230769230899</v>
      </c>
      <c r="AB79" s="381">
        <f t="shared" si="49"/>
        <v>0.95512820512820462</v>
      </c>
      <c r="AC79" s="511"/>
    </row>
    <row r="80" spans="1:29" ht="15.75" customHeight="1">
      <c r="A80" s="515" t="s">
        <v>2114</v>
      </c>
      <c r="B80" s="390" t="s">
        <v>16</v>
      </c>
      <c r="C80" s="512" t="s">
        <v>2115</v>
      </c>
      <c r="D80" s="512"/>
      <c r="E80" s="62">
        <v>21.68</v>
      </c>
      <c r="F80" s="390">
        <v>4086</v>
      </c>
      <c r="G80" s="380">
        <f t="shared" si="50"/>
        <v>88584.48</v>
      </c>
      <c r="H80" s="90" t="s">
        <v>5</v>
      </c>
      <c r="I80" s="387">
        <v>15</v>
      </c>
      <c r="J80" s="63">
        <v>2400</v>
      </c>
      <c r="K80" s="64">
        <f t="shared" si="42"/>
        <v>160</v>
      </c>
      <c r="L80" s="387">
        <v>15</v>
      </c>
      <c r="M80" s="65">
        <f t="shared" si="51"/>
        <v>2291.2149532710291</v>
      </c>
      <c r="N80" s="64">
        <f t="shared" si="43"/>
        <v>152.74766355140193</v>
      </c>
      <c r="O80" s="66">
        <f t="shared" si="44"/>
        <v>0</v>
      </c>
      <c r="P80" s="67">
        <f t="shared" si="45"/>
        <v>-7.2523364485980721</v>
      </c>
      <c r="Q80" s="381">
        <f t="shared" si="46"/>
        <v>0.95467289719626203</v>
      </c>
      <c r="R80" s="511"/>
      <c r="S80" s="68">
        <v>0.64583333333333326</v>
      </c>
      <c r="T80" s="68">
        <v>0.72013888888888877</v>
      </c>
      <c r="U80" s="380">
        <f t="shared" si="53"/>
        <v>5.9999999999999787</v>
      </c>
      <c r="V80" s="388">
        <f t="shared" si="52"/>
        <v>106.99999999999994</v>
      </c>
      <c r="W80" s="69"/>
      <c r="X80" s="69"/>
      <c r="Y80" s="517"/>
      <c r="Z80" s="518"/>
      <c r="AA80" s="66">
        <f t="shared" si="48"/>
        <v>-108.78504672897088</v>
      </c>
      <c r="AB80" s="381">
        <f t="shared" si="49"/>
        <v>0.95467289719626214</v>
      </c>
      <c r="AC80" s="511"/>
    </row>
    <row r="81" spans="1:29" ht="16.5" customHeight="1">
      <c r="A81" s="516" t="s">
        <v>2114</v>
      </c>
      <c r="B81" s="62" t="s">
        <v>2100</v>
      </c>
      <c r="C81" s="508"/>
      <c r="D81" s="509"/>
      <c r="E81" s="382"/>
      <c r="F81" s="71"/>
      <c r="G81" s="64"/>
      <c r="H81" s="390"/>
      <c r="I81" s="72">
        <v>15.5</v>
      </c>
      <c r="J81" s="63">
        <v>2400</v>
      </c>
      <c r="K81" s="64">
        <f t="shared" si="42"/>
        <v>154.83870967741936</v>
      </c>
      <c r="L81" s="72">
        <v>15.5</v>
      </c>
      <c r="M81" s="65">
        <f>AVERAGE(M73:M80)</f>
        <v>2295.8552648442592</v>
      </c>
      <c r="N81" s="64">
        <f t="shared" si="43"/>
        <v>148.11969450608123</v>
      </c>
      <c r="O81" s="66">
        <f t="shared" si="44"/>
        <v>0</v>
      </c>
      <c r="P81" s="67">
        <f t="shared" si="45"/>
        <v>-6.7190151713381283</v>
      </c>
      <c r="Q81" s="381">
        <f t="shared" si="46"/>
        <v>0.9566063603517746</v>
      </c>
      <c r="R81" s="511"/>
      <c r="S81" s="68"/>
      <c r="T81" s="68"/>
      <c r="U81" s="64"/>
      <c r="V81" s="388"/>
      <c r="W81" s="64"/>
      <c r="X81" s="64"/>
      <c r="Y81" s="510"/>
      <c r="Z81" s="510"/>
      <c r="AA81" s="66">
        <f t="shared" si="48"/>
        <v>-104.14473515574082</v>
      </c>
      <c r="AB81" s="381">
        <f t="shared" si="49"/>
        <v>0.95660636035177471</v>
      </c>
      <c r="AC81" s="511"/>
    </row>
    <row r="82" spans="1:29">
      <c r="D82" s="76"/>
      <c r="E82" s="76"/>
    </row>
  </sheetData>
  <mergeCells count="20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A13:A21"/>
    <mergeCell ref="C13:D13"/>
    <mergeCell ref="R13:R21"/>
    <mergeCell ref="Y13:Z13"/>
    <mergeCell ref="AC13:AC21"/>
    <mergeCell ref="C17:D17"/>
    <mergeCell ref="Y17:Z17"/>
    <mergeCell ref="C18:D18"/>
    <mergeCell ref="Y18:Z18"/>
    <mergeCell ref="Y19:Z19"/>
    <mergeCell ref="Y20:Z20"/>
    <mergeCell ref="C14:D14"/>
    <mergeCell ref="Y14:Z14"/>
    <mergeCell ref="C15:D15"/>
    <mergeCell ref="Y15:Z15"/>
    <mergeCell ref="C16:D16"/>
    <mergeCell ref="Y16:Z16"/>
    <mergeCell ref="C21:D21"/>
    <mergeCell ref="Y21:Z21"/>
    <mergeCell ref="A22:A31"/>
    <mergeCell ref="C22:D22"/>
    <mergeCell ref="R22:R31"/>
    <mergeCell ref="Y22:Z22"/>
    <mergeCell ref="Y27:Z27"/>
    <mergeCell ref="C28:D28"/>
    <mergeCell ref="Y28:Z28"/>
    <mergeCell ref="C29:D29"/>
    <mergeCell ref="AC22:AC31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Y29:Z29"/>
    <mergeCell ref="C30:D30"/>
    <mergeCell ref="Y30:Z30"/>
    <mergeCell ref="C31:D31"/>
    <mergeCell ref="Y31:Z31"/>
    <mergeCell ref="A32:A40"/>
    <mergeCell ref="C32:D32"/>
    <mergeCell ref="R32:R40"/>
    <mergeCell ref="Y32:Z32"/>
    <mergeCell ref="Y37:Z37"/>
    <mergeCell ref="AC41:AC49"/>
    <mergeCell ref="C42:D42"/>
    <mergeCell ref="Y42:Z42"/>
    <mergeCell ref="C43:D43"/>
    <mergeCell ref="Y43:Z43"/>
    <mergeCell ref="C44:D44"/>
    <mergeCell ref="C38:D38"/>
    <mergeCell ref="Y38:Z38"/>
    <mergeCell ref="C39:D39"/>
    <mergeCell ref="Y39:Z39"/>
    <mergeCell ref="C40:D40"/>
    <mergeCell ref="Y40:Z40"/>
    <mergeCell ref="AC32:AC40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Y44:Z44"/>
    <mergeCell ref="C45:D45"/>
    <mergeCell ref="Y45:Z45"/>
    <mergeCell ref="C46:D46"/>
    <mergeCell ref="Y46:Z46"/>
    <mergeCell ref="C47:D47"/>
    <mergeCell ref="Y47:Z47"/>
    <mergeCell ref="A41:A49"/>
    <mergeCell ref="C41:D41"/>
    <mergeCell ref="R41:R49"/>
    <mergeCell ref="Y41:Z41"/>
    <mergeCell ref="C48:D48"/>
    <mergeCell ref="Y48:Z48"/>
    <mergeCell ref="C49:D49"/>
    <mergeCell ref="Y49:Z49"/>
    <mergeCell ref="A50:A59"/>
    <mergeCell ref="C50:D50"/>
    <mergeCell ref="R50:R59"/>
    <mergeCell ref="Y50:Z50"/>
    <mergeCell ref="Y55:Z55"/>
    <mergeCell ref="C56:D56"/>
    <mergeCell ref="AC60:AC67"/>
    <mergeCell ref="C61:D61"/>
    <mergeCell ref="Y61:Z61"/>
    <mergeCell ref="C62:D62"/>
    <mergeCell ref="C65:D65"/>
    <mergeCell ref="Y65:Z65"/>
    <mergeCell ref="Y56:Z56"/>
    <mergeCell ref="C57:D57"/>
    <mergeCell ref="Y57:Z57"/>
    <mergeCell ref="C58:D58"/>
    <mergeCell ref="Y58:Z58"/>
    <mergeCell ref="C59:D59"/>
    <mergeCell ref="Y59:Z59"/>
    <mergeCell ref="AC50:AC59"/>
    <mergeCell ref="C51:D51"/>
    <mergeCell ref="Y51:Z51"/>
    <mergeCell ref="C52:D52"/>
    <mergeCell ref="Y52:Z52"/>
    <mergeCell ref="C53:D53"/>
    <mergeCell ref="Y53:Z53"/>
    <mergeCell ref="C54:D54"/>
    <mergeCell ref="Y54:Z54"/>
    <mergeCell ref="C55:D55"/>
    <mergeCell ref="C66:D66"/>
    <mergeCell ref="Y66:Z66"/>
    <mergeCell ref="C67:D67"/>
    <mergeCell ref="Y67:Z67"/>
    <mergeCell ref="A68:A72"/>
    <mergeCell ref="C68:D68"/>
    <mergeCell ref="R68:R72"/>
    <mergeCell ref="Y68:Z68"/>
    <mergeCell ref="A60:A67"/>
    <mergeCell ref="C60:D60"/>
    <mergeCell ref="R60:R67"/>
    <mergeCell ref="Y60:Z60"/>
    <mergeCell ref="AC68:AC72"/>
    <mergeCell ref="C69:D69"/>
    <mergeCell ref="Y69:Z69"/>
    <mergeCell ref="C70:D70"/>
    <mergeCell ref="Y70:Z70"/>
    <mergeCell ref="C71:D71"/>
    <mergeCell ref="Y71:Z71"/>
    <mergeCell ref="C72:D72"/>
    <mergeCell ref="Y72:Z72"/>
    <mergeCell ref="A73:A81"/>
    <mergeCell ref="C73:D73"/>
    <mergeCell ref="R73:R81"/>
    <mergeCell ref="Y73:Z73"/>
    <mergeCell ref="AC73:AC81"/>
    <mergeCell ref="C74:D74"/>
    <mergeCell ref="Y74:Z74"/>
    <mergeCell ref="C75:D75"/>
    <mergeCell ref="Y75:Z75"/>
    <mergeCell ref="C76:D76"/>
    <mergeCell ref="C80:D80"/>
    <mergeCell ref="Y80:Z80"/>
    <mergeCell ref="C81:D81"/>
    <mergeCell ref="Y81:Z81"/>
    <mergeCell ref="Y76:Z76"/>
    <mergeCell ref="C77:D77"/>
    <mergeCell ref="Y77:Z77"/>
    <mergeCell ref="C78:D78"/>
    <mergeCell ref="Y78:Z78"/>
    <mergeCell ref="C79:D79"/>
    <mergeCell ref="Y79:Z79"/>
  </mergeCells>
  <phoneticPr fontId="3" type="noConversion"/>
  <conditionalFormatting sqref="O71:O78 O67:O68 O81 O5:O10 O12:O14 O59:O65 O21:O55">
    <cfRule type="cellIs" dxfId="2082" priority="83" operator="greaterThan">
      <formula>0</formula>
    </cfRule>
  </conditionalFormatting>
  <conditionalFormatting sqref="P5:P8 P71 AA71 P73:P78 P32:P39 P68 P10 P12:P14 P22:P30 P60:P65 P41:P55 AA5:AA68 AA73:AA81">
    <cfRule type="cellIs" dxfId="2081" priority="87" operator="lessThan">
      <formula>0</formula>
    </cfRule>
  </conditionalFormatting>
  <conditionalFormatting sqref="AB71 Q71:Q78 Q67:Q68 Q81 Q5:Q10 Q12:Q14 Q59:Q65 Q21:Q55 AB5:AB68 AB73:AB81">
    <cfRule type="cellIs" dxfId="2080" priority="84" operator="greaterThan">
      <formula>1</formula>
    </cfRule>
    <cfRule type="cellIs" dxfId="2079" priority="85" operator="lessThan">
      <formula>0.8</formula>
    </cfRule>
  </conditionalFormatting>
  <conditionalFormatting sqref="AC13:AC14 R13:R14 AC71 R71:R78 R21:R27 AC21:AC27 AC67:AC68 R67:R68 R81 AC5:AC10 R5:R10 R31:R55 AC31:AC55 AC59:AC65 R59:R65">
    <cfRule type="cellIs" dxfId="2078" priority="89" operator="lessThan">
      <formula>0.8</formula>
    </cfRule>
  </conditionalFormatting>
  <conditionalFormatting sqref="AC50">
    <cfRule type="cellIs" dxfId="2077" priority="91" operator="lessThan">
      <formula>0.8</formula>
    </cfRule>
  </conditionalFormatting>
  <conditionalFormatting sqref="AC22:AC27">
    <cfRule type="cellIs" dxfId="2076" priority="88" operator="lessThan">
      <formula>0.8</formula>
    </cfRule>
  </conditionalFormatting>
  <conditionalFormatting sqref="AC32">
    <cfRule type="cellIs" dxfId="2075" priority="90" operator="lessThan">
      <formula>0.8</formula>
    </cfRule>
  </conditionalFormatting>
  <conditionalFormatting sqref="AC41:AC48">
    <cfRule type="cellIs" dxfId="2074" priority="86" operator="lessThan">
      <formula>0.8</formula>
    </cfRule>
  </conditionalFormatting>
  <conditionalFormatting sqref="AA72">
    <cfRule type="cellIs" dxfId="2073" priority="82" operator="lessThan">
      <formula>0</formula>
    </cfRule>
  </conditionalFormatting>
  <conditionalFormatting sqref="AB72">
    <cfRule type="cellIs" dxfId="2072" priority="80" operator="greaterThan">
      <formula>1</formula>
    </cfRule>
    <cfRule type="cellIs" dxfId="2071" priority="81" operator="lessThan">
      <formula>0.8</formula>
    </cfRule>
  </conditionalFormatting>
  <conditionalFormatting sqref="O15:O16">
    <cfRule type="cellIs" dxfId="2070" priority="75" operator="greaterThan">
      <formula>0</formula>
    </cfRule>
  </conditionalFormatting>
  <conditionalFormatting sqref="P15:P16">
    <cfRule type="cellIs" dxfId="2069" priority="78" operator="lessThan">
      <formula>0</formula>
    </cfRule>
  </conditionalFormatting>
  <conditionalFormatting sqref="Q15:Q16">
    <cfRule type="cellIs" dxfId="2068" priority="76" operator="greaterThan">
      <formula>1</formula>
    </cfRule>
    <cfRule type="cellIs" dxfId="2067" priority="77" operator="lessThan">
      <formula>0.8</formula>
    </cfRule>
  </conditionalFormatting>
  <conditionalFormatting sqref="R15:R16 AC15:AC16">
    <cfRule type="cellIs" dxfId="2066" priority="79" operator="lessThan">
      <formula>0.8</formula>
    </cfRule>
  </conditionalFormatting>
  <conditionalFormatting sqref="O11">
    <cfRule type="cellIs" dxfId="2065" priority="71" operator="greaterThan">
      <formula>0</formula>
    </cfRule>
  </conditionalFormatting>
  <conditionalFormatting sqref="P11">
    <cfRule type="cellIs" dxfId="2064" priority="74" operator="lessThan">
      <formula>0</formula>
    </cfRule>
  </conditionalFormatting>
  <conditionalFormatting sqref="Q11">
    <cfRule type="cellIs" dxfId="2063" priority="72" operator="greaterThan">
      <formula>1</formula>
    </cfRule>
    <cfRule type="cellIs" dxfId="2062" priority="73" operator="lessThan">
      <formula>0.8</formula>
    </cfRule>
  </conditionalFormatting>
  <conditionalFormatting sqref="O66">
    <cfRule type="cellIs" dxfId="2061" priority="66" operator="greaterThan">
      <formula>0</formula>
    </cfRule>
  </conditionalFormatting>
  <conditionalFormatting sqref="P66">
    <cfRule type="cellIs" dxfId="2060" priority="69" operator="lessThan">
      <formula>0</formula>
    </cfRule>
  </conditionalFormatting>
  <conditionalFormatting sqref="Q66">
    <cfRule type="cellIs" dxfId="2059" priority="67" operator="greaterThan">
      <formula>1</formula>
    </cfRule>
    <cfRule type="cellIs" dxfId="2058" priority="68" operator="lessThan">
      <formula>0.8</formula>
    </cfRule>
  </conditionalFormatting>
  <conditionalFormatting sqref="R66 AC66">
    <cfRule type="cellIs" dxfId="2057" priority="70" operator="lessThan">
      <formula>0.8</formula>
    </cfRule>
  </conditionalFormatting>
  <conditionalFormatting sqref="AC29 R29">
    <cfRule type="cellIs" dxfId="2056" priority="65" operator="lessThan">
      <formula>0.8</formula>
    </cfRule>
  </conditionalFormatting>
  <conditionalFormatting sqref="O70">
    <cfRule type="cellIs" dxfId="2055" priority="60" operator="greaterThan">
      <formula>0</formula>
    </cfRule>
  </conditionalFormatting>
  <conditionalFormatting sqref="P70 AA70">
    <cfRule type="cellIs" dxfId="2054" priority="63" operator="lessThan">
      <formula>0</formula>
    </cfRule>
  </conditionalFormatting>
  <conditionalFormatting sqref="Q70 AB70">
    <cfRule type="cellIs" dxfId="2053" priority="61" operator="greaterThan">
      <formula>1</formula>
    </cfRule>
    <cfRule type="cellIs" dxfId="2052" priority="62" operator="lessThan">
      <formula>0.8</formula>
    </cfRule>
  </conditionalFormatting>
  <conditionalFormatting sqref="R70 AC70">
    <cfRule type="cellIs" dxfId="2051" priority="64" operator="lessThan">
      <formula>0.8</formula>
    </cfRule>
  </conditionalFormatting>
  <conditionalFormatting sqref="O79">
    <cfRule type="cellIs" dxfId="2050" priority="55" operator="greaterThan">
      <formula>0</formula>
    </cfRule>
  </conditionalFormatting>
  <conditionalFormatting sqref="P79">
    <cfRule type="cellIs" dxfId="2049" priority="58" operator="lessThan">
      <formula>0</formula>
    </cfRule>
  </conditionalFormatting>
  <conditionalFormatting sqref="Q79">
    <cfRule type="cellIs" dxfId="2048" priority="56" operator="greaterThan">
      <formula>1</formula>
    </cfRule>
    <cfRule type="cellIs" dxfId="2047" priority="57" operator="lessThan">
      <formula>0.8</formula>
    </cfRule>
  </conditionalFormatting>
  <conditionalFormatting sqref="R79">
    <cfRule type="cellIs" dxfId="2046" priority="59" operator="lessThan">
      <formula>0.8</formula>
    </cfRule>
  </conditionalFormatting>
  <conditionalFormatting sqref="O17:O18">
    <cfRule type="cellIs" dxfId="2045" priority="50" operator="greaterThan">
      <formula>0</formula>
    </cfRule>
  </conditionalFormatting>
  <conditionalFormatting sqref="P17:P18">
    <cfRule type="cellIs" dxfId="2044" priority="53" operator="lessThan">
      <formula>0</formula>
    </cfRule>
  </conditionalFormatting>
  <conditionalFormatting sqref="Q17:Q18">
    <cfRule type="cellIs" dxfId="2043" priority="51" operator="greaterThan">
      <formula>1</formula>
    </cfRule>
    <cfRule type="cellIs" dxfId="2042" priority="52" operator="lessThan">
      <formula>0.8</formula>
    </cfRule>
  </conditionalFormatting>
  <conditionalFormatting sqref="R17:R18 AC17:AC18">
    <cfRule type="cellIs" dxfId="2041" priority="54" operator="lessThan">
      <formula>0.8</formula>
    </cfRule>
  </conditionalFormatting>
  <conditionalFormatting sqref="O56">
    <cfRule type="cellIs" dxfId="2040" priority="44" operator="greaterThan">
      <formula>0</formula>
    </cfRule>
  </conditionalFormatting>
  <conditionalFormatting sqref="P56">
    <cfRule type="cellIs" dxfId="2039" priority="48" operator="lessThan">
      <formula>0</formula>
    </cfRule>
  </conditionalFormatting>
  <conditionalFormatting sqref="Q56">
    <cfRule type="cellIs" dxfId="2038" priority="45" operator="greaterThan">
      <formula>1</formula>
    </cfRule>
    <cfRule type="cellIs" dxfId="2037" priority="46" operator="lessThan">
      <formula>0.8</formula>
    </cfRule>
  </conditionalFormatting>
  <conditionalFormatting sqref="R56 AC56">
    <cfRule type="cellIs" dxfId="2036" priority="49" operator="lessThan">
      <formula>0.8</formula>
    </cfRule>
  </conditionalFormatting>
  <conditionalFormatting sqref="AC56">
    <cfRule type="cellIs" dxfId="2035" priority="47" operator="lessThan">
      <formula>0.8</formula>
    </cfRule>
  </conditionalFormatting>
  <conditionalFormatting sqref="O57">
    <cfRule type="cellIs" dxfId="2034" priority="38" operator="greaterThan">
      <formula>0</formula>
    </cfRule>
  </conditionalFormatting>
  <conditionalFormatting sqref="P57">
    <cfRule type="cellIs" dxfId="2033" priority="42" operator="lessThan">
      <formula>0</formula>
    </cfRule>
  </conditionalFormatting>
  <conditionalFormatting sqref="Q57">
    <cfRule type="cellIs" dxfId="2032" priority="39" operator="greaterThan">
      <formula>1</formula>
    </cfRule>
    <cfRule type="cellIs" dxfId="2031" priority="40" operator="lessThan">
      <formula>0.8</formula>
    </cfRule>
  </conditionalFormatting>
  <conditionalFormatting sqref="R57 AC57">
    <cfRule type="cellIs" dxfId="2030" priority="43" operator="lessThan">
      <formula>0.8</formula>
    </cfRule>
  </conditionalFormatting>
  <conditionalFormatting sqref="AC57">
    <cfRule type="cellIs" dxfId="2029" priority="41" operator="lessThan">
      <formula>0.8</formula>
    </cfRule>
  </conditionalFormatting>
  <conditionalFormatting sqref="AC30 R30">
    <cfRule type="cellIs" dxfId="2028" priority="37" operator="lessThan">
      <formula>0.8</formula>
    </cfRule>
  </conditionalFormatting>
  <conditionalFormatting sqref="R28 AC28">
    <cfRule type="cellIs" dxfId="2027" priority="36" operator="lessThan">
      <formula>0.8</formula>
    </cfRule>
  </conditionalFormatting>
  <conditionalFormatting sqref="AC28">
    <cfRule type="cellIs" dxfId="2026" priority="35" operator="lessThan">
      <formula>0.8</formula>
    </cfRule>
  </conditionalFormatting>
  <conditionalFormatting sqref="O58">
    <cfRule type="cellIs" dxfId="2025" priority="29" operator="greaterThan">
      <formula>0</formula>
    </cfRule>
  </conditionalFormatting>
  <conditionalFormatting sqref="P58">
    <cfRule type="cellIs" dxfId="2024" priority="33" operator="lessThan">
      <formula>0</formula>
    </cfRule>
  </conditionalFormatting>
  <conditionalFormatting sqref="Q58">
    <cfRule type="cellIs" dxfId="2023" priority="30" operator="greaterThan">
      <formula>1</formula>
    </cfRule>
    <cfRule type="cellIs" dxfId="2022" priority="31" operator="lessThan">
      <formula>0.8</formula>
    </cfRule>
  </conditionalFormatting>
  <conditionalFormatting sqref="R58 AC58">
    <cfRule type="cellIs" dxfId="2021" priority="34" operator="lessThan">
      <formula>0.8</formula>
    </cfRule>
  </conditionalFormatting>
  <conditionalFormatting sqref="AC58">
    <cfRule type="cellIs" dxfId="2020" priority="32" operator="lessThan">
      <formula>0.8</formula>
    </cfRule>
  </conditionalFormatting>
  <conditionalFormatting sqref="O69">
    <cfRule type="cellIs" dxfId="2019" priority="24" operator="greaterThan">
      <formula>0</formula>
    </cfRule>
  </conditionalFormatting>
  <conditionalFormatting sqref="P69 AA69">
    <cfRule type="cellIs" dxfId="2018" priority="27" operator="lessThan">
      <formula>0</formula>
    </cfRule>
  </conditionalFormatting>
  <conditionalFormatting sqref="Q69 AB69">
    <cfRule type="cellIs" dxfId="2017" priority="25" operator="greaterThan">
      <formula>1</formula>
    </cfRule>
    <cfRule type="cellIs" dxfId="2016" priority="26" operator="lessThan">
      <formula>0.8</formula>
    </cfRule>
  </conditionalFormatting>
  <conditionalFormatting sqref="R69 AC69">
    <cfRule type="cellIs" dxfId="2015" priority="28" operator="lessThan">
      <formula>0.8</formula>
    </cfRule>
  </conditionalFormatting>
  <conditionalFormatting sqref="O19">
    <cfRule type="cellIs" dxfId="2014" priority="19" operator="greaterThan">
      <formula>0</formula>
    </cfRule>
  </conditionalFormatting>
  <conditionalFormatting sqref="P19">
    <cfRule type="cellIs" dxfId="2013" priority="22" operator="lessThan">
      <formula>0</formula>
    </cfRule>
  </conditionalFormatting>
  <conditionalFormatting sqref="Q19">
    <cfRule type="cellIs" dxfId="2012" priority="20" operator="greaterThan">
      <formula>1</formula>
    </cfRule>
    <cfRule type="cellIs" dxfId="2011" priority="21" operator="lessThan">
      <formula>0.8</formula>
    </cfRule>
  </conditionalFormatting>
  <conditionalFormatting sqref="AC19 R19">
    <cfRule type="cellIs" dxfId="2010" priority="23" operator="lessThan">
      <formula>0.8</formula>
    </cfRule>
  </conditionalFormatting>
  <conditionalFormatting sqref="O20">
    <cfRule type="cellIs" dxfId="2009" priority="14" operator="greaterThan">
      <formula>0</formula>
    </cfRule>
  </conditionalFormatting>
  <conditionalFormatting sqref="P20">
    <cfRule type="cellIs" dxfId="2008" priority="17" operator="lessThan">
      <formula>0</formula>
    </cfRule>
  </conditionalFormatting>
  <conditionalFormatting sqref="Q20">
    <cfRule type="cellIs" dxfId="2007" priority="15" operator="greaterThan">
      <formula>1</formula>
    </cfRule>
    <cfRule type="cellIs" dxfId="2006" priority="16" operator="lessThan">
      <formula>0.8</formula>
    </cfRule>
  </conditionalFormatting>
  <conditionalFormatting sqref="AC20 R20">
    <cfRule type="cellIs" dxfId="2005" priority="18" operator="lessThan">
      <formula>0.8</formula>
    </cfRule>
  </conditionalFormatting>
  <conditionalFormatting sqref="P9">
    <cfRule type="cellIs" dxfId="2004" priority="13" operator="lessThan">
      <formula>0</formula>
    </cfRule>
  </conditionalFormatting>
  <conditionalFormatting sqref="P21">
    <cfRule type="cellIs" dxfId="2003" priority="12" operator="lessThan">
      <formula>0</formula>
    </cfRule>
  </conditionalFormatting>
  <conditionalFormatting sqref="P31">
    <cfRule type="cellIs" dxfId="2002" priority="11" operator="lessThan">
      <formula>0</formula>
    </cfRule>
  </conditionalFormatting>
  <conditionalFormatting sqref="P40">
    <cfRule type="cellIs" dxfId="2001" priority="10" operator="lessThan">
      <formula>0</formula>
    </cfRule>
  </conditionalFormatting>
  <conditionalFormatting sqref="P59">
    <cfRule type="cellIs" dxfId="2000" priority="9" operator="lessThan">
      <formula>0</formula>
    </cfRule>
  </conditionalFormatting>
  <conditionalFormatting sqref="P67">
    <cfRule type="cellIs" dxfId="1999" priority="8" operator="lessThan">
      <formula>0</formula>
    </cfRule>
  </conditionalFormatting>
  <conditionalFormatting sqref="P72">
    <cfRule type="cellIs" dxfId="1998" priority="7" operator="lessThan">
      <formula>0</formula>
    </cfRule>
  </conditionalFormatting>
  <conditionalFormatting sqref="P81">
    <cfRule type="cellIs" dxfId="1997" priority="6" operator="lessThan">
      <formula>0</formula>
    </cfRule>
  </conditionalFormatting>
  <conditionalFormatting sqref="O80">
    <cfRule type="cellIs" dxfId="1996" priority="1" operator="greaterThan">
      <formula>0</formula>
    </cfRule>
  </conditionalFormatting>
  <conditionalFormatting sqref="P80">
    <cfRule type="cellIs" dxfId="1995" priority="4" operator="lessThan">
      <formula>0</formula>
    </cfRule>
  </conditionalFormatting>
  <conditionalFormatting sqref="Q80">
    <cfRule type="cellIs" dxfId="1994" priority="2" operator="greaterThan">
      <formula>1</formula>
    </cfRule>
    <cfRule type="cellIs" dxfId="1993" priority="3" operator="lessThan">
      <formula>0.8</formula>
    </cfRule>
  </conditionalFormatting>
  <conditionalFormatting sqref="R80">
    <cfRule type="cellIs" dxfId="1992" priority="5" operator="lessThan">
      <formula>0.8</formula>
    </cfRule>
  </conditionalFormatting>
  <dataValidations count="1">
    <dataValidation type="list" allowBlank="1" showInputMessage="1" showErrorMessage="1" sqref="Z9 Y5:Z8 Y9:Y71 Z11:Z68 Y72:Z8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6" zoomScale="85" zoomScaleNormal="85" workbookViewId="0">
      <selection activeCell="F3" sqref="F3:G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1955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1956</v>
      </c>
      <c r="C3" s="497" t="str">
        <f>TEXT('1124 4度C'!A2,"yyyy.mm.ddaaaa")</f>
        <v>2025.11.24星期一</v>
      </c>
      <c r="D3" s="498"/>
      <c r="E3" s="4" t="s">
        <v>1957</v>
      </c>
      <c r="F3" s="499">
        <f>'1124 4度C'!D1</f>
        <v>197931</v>
      </c>
      <c r="G3" s="500"/>
      <c r="H3" s="4" t="s">
        <v>1958</v>
      </c>
      <c r="I3" s="501">
        <f>'1124 4度C'!F1</f>
        <v>6693341.379999999</v>
      </c>
      <c r="J3" s="502"/>
      <c r="K3" s="5"/>
      <c r="L3" s="6"/>
      <c r="M3" s="7"/>
      <c r="N3" s="7"/>
    </row>
    <row r="4" spans="2:17" ht="28.5" customHeight="1">
      <c r="B4" s="503" t="s">
        <v>1959</v>
      </c>
      <c r="C4" s="485" t="s">
        <v>1960</v>
      </c>
      <c r="D4" s="486"/>
      <c r="E4" s="506" t="s">
        <v>1961</v>
      </c>
      <c r="F4" s="507"/>
      <c r="G4" s="506" t="s">
        <v>1962</v>
      </c>
      <c r="H4" s="507"/>
      <c r="I4" s="506" t="s">
        <v>1963</v>
      </c>
      <c r="J4" s="507"/>
      <c r="L4" s="7"/>
      <c r="M4" s="7"/>
      <c r="N4" s="7"/>
    </row>
    <row r="5" spans="2:17" ht="28.5" customHeight="1">
      <c r="B5" s="504"/>
      <c r="C5" s="485" t="s">
        <v>1964</v>
      </c>
      <c r="D5" s="486"/>
      <c r="E5" s="485" t="s">
        <v>1965</v>
      </c>
      <c r="F5" s="486"/>
      <c r="G5" s="487" t="s">
        <v>1966</v>
      </c>
      <c r="H5" s="488"/>
      <c r="I5" s="489" t="s">
        <v>1967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154.39044701946665</v>
      </c>
      <c r="F6" s="492">
        <f>AVERAGE(D27:O27,D13:J13)</f>
        <v>160.87301202622081</v>
      </c>
      <c r="G6" s="493">
        <f>AVERAGE(D13:J13)</f>
        <v>160.87301202622081</v>
      </c>
      <c r="H6" s="494"/>
      <c r="I6" s="493">
        <f>AVERAGE(K13:M13)</f>
        <v>139.26446200370694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147.74037902579187</v>
      </c>
      <c r="F7" s="478">
        <f>AVERAGE(D28:O28,D14:J14)</f>
        <v>153.91300212395927</v>
      </c>
      <c r="G7" s="479">
        <f>AVERAGE(D14:J14)</f>
        <v>153.91300212395927</v>
      </c>
      <c r="H7" s="480"/>
      <c r="I7" s="479">
        <f>AVERAGE(K14:M14)</f>
        <v>133.33759179673459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0.95696755391555999</v>
      </c>
      <c r="F8" s="482">
        <f>AVERAGE(D15:J15,D29:O29)</f>
        <v>0.956764707389129</v>
      </c>
      <c r="G8" s="483">
        <f>AVERAGE(D15:J15)</f>
        <v>0.956764707389129</v>
      </c>
      <c r="H8" s="484"/>
      <c r="I8" s="483">
        <f>AVERAGE(K15:M15)</f>
        <v>0.95744086247723281</v>
      </c>
      <c r="J8" s="484"/>
      <c r="K8" s="8" t="s">
        <v>1968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1969</v>
      </c>
      <c r="C10" s="459"/>
      <c r="D10" s="460" t="s">
        <v>1970</v>
      </c>
      <c r="E10" s="461"/>
      <c r="F10" s="461"/>
      <c r="G10" s="461"/>
      <c r="H10" s="461"/>
      <c r="I10" s="461"/>
      <c r="J10" s="462"/>
      <c r="K10" s="463" t="s">
        <v>1971</v>
      </c>
      <c r="L10" s="464"/>
      <c r="M10" s="465"/>
      <c r="P10" s="11"/>
      <c r="Q10" s="11"/>
    </row>
    <row r="11" spans="2:17" ht="17.25" customHeight="1">
      <c r="B11" s="466" t="s">
        <v>1972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1973</v>
      </c>
      <c r="C13" s="18" t="s">
        <v>1974</v>
      </c>
      <c r="D13" s="19">
        <f>SUMIFS('1124 4度C'!$K:$K,'1124 4度C'!$A:$A,"新豐6線",'1124 4度C'!$B:$B,"平均")</f>
        <v>137.93103448275863</v>
      </c>
      <c r="E13" s="20">
        <f>SUMIFS('1124 4度C'!$K:$K,'1124 4度C'!$A:$A,"新豐2線",'1124 4度C'!$B:$B,"平均")</f>
        <v>81.081081081081081</v>
      </c>
      <c r="F13" s="21">
        <f>SUMIFS('1124 4度C'!$K:$K,'1124 4度C'!$A:$A,"新豐5線",'1124 4度C'!$B:$B,"平均")</f>
        <v>100.80645161290322</v>
      </c>
      <c r="G13" s="21">
        <f>SUMIFS('1124 4度C'!$K:$K,'1124 4度C'!$A:$A,"新豐7線",'1124 4度C'!$B:$B,"平均")</f>
        <v>116.66666666666666</v>
      </c>
      <c r="H13" s="21">
        <f>SUMIFS('1124 4度C'!$K:$K,'1124 4度C'!$A:$A,"新豐3線",'1124 4度C'!$B:$B,"平均")</f>
        <v>285.71428571428572</v>
      </c>
      <c r="I13" s="21">
        <f>SUMIFS('1124 4度C'!$K:$K,'1124 4度C'!$A:$A,"新豐1線",'1124 4度C'!$B:$B,"平均")</f>
        <v>112.24489795918367</v>
      </c>
      <c r="J13" s="22">
        <f>SUMIFS('1124 4度C'!$K:$K,'1124 4度C'!$A:$A,"新豐10線",'1124 4度C'!$B:$B,"平均")</f>
        <v>291.66666666666669</v>
      </c>
      <c r="K13" s="23">
        <f>SUMIFS('1124 4度C'!$K:$K,'1124 4度C'!$A:$A,"新豐8線",'1124 4度C'!$B:$B,"平均")</f>
        <v>133.33333333333334</v>
      </c>
      <c r="L13" s="24">
        <f>SUMIFS('1124 4度C'!$K:$K,'1124 4度C'!$A:$A,"新豐9線",'1124 4度C'!$B:$B,"平均")</f>
        <v>141.1764705882353</v>
      </c>
      <c r="M13" s="22">
        <f>SUMIFS('1124 4度C'!$K:$K,'1124 4度C'!$A:$A,"新豐4線",'1124 4度C'!$B:$B,"平均")</f>
        <v>143.28358208955223</v>
      </c>
    </row>
    <row r="14" spans="2:17" ht="39.6" customHeight="1">
      <c r="B14" s="471"/>
      <c r="C14" s="25" t="s">
        <v>1975</v>
      </c>
      <c r="D14" s="26">
        <f>SUMIFS('1124 4度C'!$N:$N,'1124 4度C'!$A:$A,"新豐6線",'1124 4度C'!$B:$B,"平均")</f>
        <v>132.06450983168361</v>
      </c>
      <c r="E14" s="27">
        <f>SUMIFS('1124 4度C'!$N:$N,'1124 4度C'!$A:$A,"新豐2線",'1124 4度C'!$B:$B,"平均")</f>
        <v>77.308484780194163</v>
      </c>
      <c r="F14" s="27">
        <f>SUMIFS('1124 4度C'!$N:$N,'1124 4度C'!$A:$A,"新豐5線",'1124 4度C'!$B:$B,"平均")</f>
        <v>96.523870280698063</v>
      </c>
      <c r="G14" s="27">
        <f>SUMIFS('1124 4度C'!$N:$N,'1124 4度C'!$A:$A,"新豐7線",'1124 4度C'!$B:$B,"平均")</f>
        <v>111.97827062853294</v>
      </c>
      <c r="H14" s="27">
        <f>SUMIFS('1124 4度C'!$N:$N,'1124 4度C'!$A:$A,"新豐3線",'1124 4度C'!$B:$B,"平均")</f>
        <v>272.97337086788832</v>
      </c>
      <c r="I14" s="27">
        <f>SUMIFS('1124 4度C'!$N:$N,'1124 4度C'!$A:$A,"新豐1線",'1124 4度C'!$B:$B,"平均")</f>
        <v>107.35989631665363</v>
      </c>
      <c r="J14" s="28">
        <f>SUMIFS('1124 4度C'!$N:$N,'1124 4度C'!$A:$A,"新豐10線",'1124 4度C'!$B:$B,"平均")</f>
        <v>279.18261216206417</v>
      </c>
      <c r="K14" s="29">
        <f>SUMIFS('1124 4度C'!$N:$N,'1124 4度C'!$A:$A,"新豐8線",'1124 4度C'!$B:$B,"平均")</f>
        <v>127.62728131169541</v>
      </c>
      <c r="L14" s="30">
        <f>SUMIFS('1124 4度C'!$N:$N,'1124 4度C'!$A:$A,"新豐9線",'1124 4度C'!$B:$B,"平均")</f>
        <v>135.30448164217776</v>
      </c>
      <c r="M14" s="28">
        <f>SUMIFS('1124 4度C'!$N:$N,'1124 4度C'!$A:$A,"新豐4線",'1124 4度C'!$B:$B,"平均")</f>
        <v>137.08101243633058</v>
      </c>
    </row>
    <row r="15" spans="2:17" ht="40.15" customHeight="1">
      <c r="B15" s="472"/>
      <c r="C15" s="31" t="s">
        <v>1976</v>
      </c>
      <c r="D15" s="32">
        <f t="shared" ref="D15:M15" si="0">D14/D13</f>
        <v>0.95746769627970607</v>
      </c>
      <c r="E15" s="33">
        <f t="shared" si="0"/>
        <v>0.95347131228906135</v>
      </c>
      <c r="F15" s="33">
        <f t="shared" si="0"/>
        <v>0.95751679318452487</v>
      </c>
      <c r="G15" s="33">
        <f t="shared" si="0"/>
        <v>0.95981374824456811</v>
      </c>
      <c r="H15" s="33">
        <f t="shared" si="0"/>
        <v>0.95540679803760908</v>
      </c>
      <c r="I15" s="33">
        <f t="shared" si="0"/>
        <v>0.95647907627564144</v>
      </c>
      <c r="J15" s="34">
        <f t="shared" si="0"/>
        <v>0.9571975274127914</v>
      </c>
      <c r="K15" s="32">
        <f t="shared" si="0"/>
        <v>0.95720460983771549</v>
      </c>
      <c r="L15" s="33">
        <f t="shared" si="0"/>
        <v>0.95840674496542577</v>
      </c>
      <c r="M15" s="34">
        <f t="shared" si="0"/>
        <v>0.95671123262855728</v>
      </c>
    </row>
    <row r="16" spans="2:17" ht="17.25" customHeight="1">
      <c r="B16" s="473" t="s">
        <v>1977</v>
      </c>
      <c r="C16" s="35" t="s">
        <v>1978</v>
      </c>
      <c r="D16" s="49">
        <f>VLOOKUP("新豐6線",'1124 4度C'!$A:$T,19,0)</f>
        <v>0.70833333333333337</v>
      </c>
      <c r="E16" s="50">
        <f>VLOOKUP("新豐2線",'1124 4度C'!$A:$T,19,0)</f>
        <v>0.20833333333333334</v>
      </c>
      <c r="F16" s="50">
        <f>VLOOKUP("新豐5線",'1124 4度C'!$A:$T,19,0)</f>
        <v>0.125</v>
      </c>
      <c r="G16" s="50">
        <f>VLOOKUP("新豐7線",'1124 4度C'!$A:$T,19,0)</f>
        <v>0.20833333333333334</v>
      </c>
      <c r="H16" s="50">
        <f>VLOOKUP("新豐3線",'1124 4度C'!$A:$T,19,0)</f>
        <v>8.3333333333333329E-2</v>
      </c>
      <c r="I16" s="50">
        <f>VLOOKUP("新豐1線",'1124 4度C'!$A:$T,19,0)</f>
        <v>0.20833333333333334</v>
      </c>
      <c r="J16" s="51">
        <f>VLOOKUP("新豐10線",'1124 4度C'!$A:$T,19,0)</f>
        <v>0.20833333333333334</v>
      </c>
      <c r="K16" s="36">
        <f>VLOOKUP("新豐8線",'1124 4度C'!$A:$T,19,0)</f>
        <v>8.3333333333333329E-2</v>
      </c>
      <c r="L16" s="37">
        <f>VLOOKUP("新豐9線",'1124 4度C'!$A:$T,19,0)</f>
        <v>8.3333333333333329E-2</v>
      </c>
      <c r="M16" s="38">
        <f>VLOOKUP("新豐4線",'1124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LOOKUP(2,1/(('1124 4度C'!$A:$A="新豐6線")*('1124 4度C'!$T:$T&lt;&gt;"")),'1124 4度C'!$T:$T)</f>
        <v>0.92986111111111114</v>
      </c>
      <c r="E17" s="50">
        <f>LOOKUP(2,1/(('1124 4度C'!$A:$A="新豐2線")*('1124 4度C'!$T:$T&lt;&gt;"")),'1124 4度C'!$T:$T)</f>
        <v>0.4638888888888888</v>
      </c>
      <c r="F17" s="50">
        <f>LOOKUP(2,1/(('1124 4度C'!$A:$A="新豐5線")*('1124 4度C'!$T:$T&lt;&gt;"")),'1124 4度C'!$T:$T)</f>
        <v>0.93333333333333335</v>
      </c>
      <c r="G17" s="50">
        <f>LOOKUP(2,1/(('1124 4度C'!$A:$A="新豐7線")*('1124 4度C'!$T:$T&lt;&gt;"")),'1124 4度C'!$T:$T)</f>
        <v>0.91319444444444442</v>
      </c>
      <c r="H17" s="50">
        <f>LOOKUP(2,1/(('1124 4度C'!$A:$A="新豐3線")*('1124 4度C'!$T:$T&lt;&gt;"")),'1124 4度C'!$T:$T)</f>
        <v>0.6513888888888888</v>
      </c>
      <c r="I17" s="50">
        <f>LOOKUP(2,1/(('1124 4度C'!$A:$A="新豐1線")*('1124 4度C'!$T:$T&lt;&gt;"")),'1124 4度C'!$T:$T)</f>
        <v>0.95277777777777772</v>
      </c>
      <c r="J17" s="51">
        <f>LOOKUP(2,1/(('1124 4度C'!$A:$A="新豐10線")*('1124 4度C'!$T:$T&lt;&gt;"")),'1124 4度C'!$T:$T)</f>
        <v>0.46180555555555552</v>
      </c>
      <c r="K17" s="49">
        <f>LOOKUP(2,1/(('1124 4度C'!$A:$A="新豐8線")*('1124 4度C'!$T:$T&lt;&gt;"")),'1124 4度C'!$T:$T)</f>
        <v>0.75277777777777755</v>
      </c>
      <c r="L17" s="50">
        <f>LOOKUP(2,1/(('1124 4度C'!$A:$A="新豐9線")*('1124 4度C'!$T:$T&lt;&gt;"")),'1124 4度C'!$T:$T)</f>
        <v>0.73888888888888871</v>
      </c>
      <c r="M17" s="51">
        <f>LOOKUP(2,1/(('1124 4度C'!$A:$A="新豐4線")*('1124 4度C'!$T:$T&lt;&gt;"")),'1124 4度C'!$T:$T)</f>
        <v>0.65625</v>
      </c>
    </row>
    <row r="18" spans="2:13" ht="17.25" customHeight="1">
      <c r="B18" s="452" t="s">
        <v>1979</v>
      </c>
      <c r="C18" s="453"/>
      <c r="D18" s="39">
        <f>SUMIFS('1124 4度C'!$I:$I,'1124 4度C'!$A:$A,"新豐6線",'1124 4度C'!$B:$B,"平均")</f>
        <v>14.5</v>
      </c>
      <c r="E18" s="40">
        <f>SUMIFS('1124 4度C'!$I:$I,'1124 4度C'!$A:$A,"新豐2線",'1124 4度C'!$B:$B,"平均")</f>
        <v>18.5</v>
      </c>
      <c r="F18" s="40">
        <f>SUMIFS('1124 4度C'!$I:$I,'1124 4度C'!$A:$A,"新豐5線",'1124 4度C'!$B:$B,"平均")</f>
        <v>17.714285714285715</v>
      </c>
      <c r="G18" s="40">
        <f>SUMIFS('1124 4度C'!$I:$I,'1124 4度C'!$A:$A,"新豐7線",'1124 4度C'!$B:$B,"平均")</f>
        <v>16.666666666666668</v>
      </c>
      <c r="H18" s="40">
        <f>SUMIFS('1124 4度C'!$I:$I,'1124 4度C'!$A:$A,"新豐3線",'1124 4度C'!$B:$B,"平均")</f>
        <v>10.111111111111111</v>
      </c>
      <c r="I18" s="40">
        <f>SUMIFS('1124 4度C'!$I:$I,'1124 4度C'!$A:$A,"新豐1線",'1124 4度C'!$B:$B,"平均")</f>
        <v>16.333333333333332</v>
      </c>
      <c r="J18" s="41">
        <f>SUMIFS('1124 4度C'!$I:$I,'1124 4度C'!$A:$A,"新豐10線",'1124 4度C'!$B:$B,"平均")</f>
        <v>9</v>
      </c>
      <c r="K18" s="39">
        <f>SUMIFS('1124 4度C'!$I:$I,'1124 4度C'!$A:$A,"新豐8線",'1124 4度C'!$B:$B,"平均")</f>
        <v>18</v>
      </c>
      <c r="L18" s="40">
        <f>SUMIFS('1124 4度C'!$I:$I,'1124 4度C'!$A:$A,"新豐9線",'1124 4度C'!$B:$B,"平均")</f>
        <v>17</v>
      </c>
      <c r="M18" s="41">
        <f>SUMIFS('1124 4度C'!$I:$I,'1124 4度C'!$A:$A,"新豐4線",'1124 4度C'!$B:$B,"平均")</f>
        <v>16.75</v>
      </c>
    </row>
    <row r="19" spans="2:13" ht="17.25" customHeight="1">
      <c r="B19" s="452" t="s">
        <v>1980</v>
      </c>
      <c r="C19" s="453"/>
      <c r="D19" s="42" t="s">
        <v>65</v>
      </c>
      <c r="E19" s="43" t="s">
        <v>66</v>
      </c>
      <c r="F19" s="43" t="s">
        <v>1981</v>
      </c>
      <c r="G19" s="43" t="s">
        <v>1981</v>
      </c>
      <c r="H19" s="43" t="s">
        <v>67</v>
      </c>
      <c r="I19" s="43" t="s">
        <v>65</v>
      </c>
      <c r="J19" s="44" t="s">
        <v>67</v>
      </c>
      <c r="K19" s="42" t="s">
        <v>1982</v>
      </c>
      <c r="L19" s="43" t="s">
        <v>1982</v>
      </c>
      <c r="M19" s="44" t="s">
        <v>1982</v>
      </c>
    </row>
    <row r="20" spans="2:13" ht="17.25" customHeight="1">
      <c r="B20" s="452" t="s">
        <v>1983</v>
      </c>
      <c r="C20" s="453"/>
      <c r="D20" s="42"/>
      <c r="E20" s="43"/>
      <c r="F20" s="43" t="s">
        <v>1984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1985</v>
      </c>
      <c r="C21" s="455"/>
      <c r="D21" s="45"/>
      <c r="E21" s="46" t="s">
        <v>1986</v>
      </c>
      <c r="F21" s="456" t="s">
        <v>1987</v>
      </c>
      <c r="G21" s="457"/>
      <c r="H21" s="46" t="s">
        <v>1988</v>
      </c>
      <c r="I21" s="46" t="s">
        <v>1989</v>
      </c>
      <c r="J21" s="47" t="s">
        <v>1988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99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topLeftCell="M1" zoomScale="80" zoomScaleNormal="80" workbookViewId="0">
      <pane ySplit="4" topLeftCell="A61" activePane="bottomLeft" state="frozen"/>
      <selection activeCell="F3" sqref="F3:G3"/>
      <selection pane="bottomLeft" activeCell="X79" sqref="X7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120</v>
      </c>
      <c r="B1" s="52"/>
      <c r="C1" s="53" t="s">
        <v>204</v>
      </c>
      <c r="D1" s="54">
        <f>SUM(F5:F79)</f>
        <v>197931</v>
      </c>
      <c r="E1" s="364" t="s">
        <v>1990</v>
      </c>
      <c r="F1" s="52">
        <f>SUM(G5:G79)</f>
        <v>6693341.379999999</v>
      </c>
      <c r="G1" s="52" t="s">
        <v>1991</v>
      </c>
      <c r="H1" s="55">
        <f>L9+L12+L58+L65+L20+L70+L39+L48+L30+L79</f>
        <v>154.57539682539681</v>
      </c>
      <c r="I1" s="556" t="s">
        <v>1992</v>
      </c>
      <c r="J1" s="556"/>
      <c r="K1" s="556"/>
      <c r="L1" s="556" t="s">
        <v>1993</v>
      </c>
      <c r="M1" s="556"/>
      <c r="N1" s="556"/>
      <c r="O1" s="556" t="s">
        <v>1994</v>
      </c>
      <c r="P1" s="556"/>
      <c r="Q1" s="556"/>
      <c r="R1" s="556"/>
      <c r="S1" s="556" t="s">
        <v>1995</v>
      </c>
      <c r="T1" s="556"/>
      <c r="U1" s="556"/>
      <c r="V1" s="556"/>
      <c r="W1" s="556"/>
      <c r="X1" s="556"/>
      <c r="Y1" s="556" t="s">
        <v>1996</v>
      </c>
      <c r="Z1" s="556"/>
      <c r="AA1" s="556" t="s">
        <v>1997</v>
      </c>
      <c r="AB1" s="557"/>
      <c r="AC1" s="557"/>
    </row>
    <row r="2" spans="1:29" ht="26.25" customHeight="1">
      <c r="A2" s="57">
        <v>45985</v>
      </c>
      <c r="B2" s="58" t="s">
        <v>302</v>
      </c>
      <c r="C2" s="53" t="s">
        <v>1998</v>
      </c>
      <c r="D2" s="59">
        <f>AVERAGE(N9,N12,N58,N65,N20,N70,N30,N39,N48,N79)</f>
        <v>147.74037902579187</v>
      </c>
      <c r="E2" s="60" t="s">
        <v>0</v>
      </c>
      <c r="F2" s="61">
        <f>F1/D1</f>
        <v>33.816538995912708</v>
      </c>
      <c r="G2" s="52" t="s">
        <v>1999</v>
      </c>
      <c r="H2" s="376">
        <f>COUNT(H5:H79)</f>
        <v>13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2000</v>
      </c>
      <c r="B3" s="510" t="s">
        <v>2001</v>
      </c>
      <c r="C3" s="510" t="s">
        <v>2002</v>
      </c>
      <c r="D3" s="510"/>
      <c r="E3" s="554" t="s">
        <v>2003</v>
      </c>
      <c r="F3" s="510" t="s">
        <v>2004</v>
      </c>
      <c r="G3" s="554" t="s">
        <v>2005</v>
      </c>
      <c r="H3" s="547" t="s">
        <v>2006</v>
      </c>
      <c r="I3" s="545" t="s">
        <v>2007</v>
      </c>
      <c r="J3" s="550" t="s">
        <v>2008</v>
      </c>
      <c r="K3" s="552" t="s">
        <v>78</v>
      </c>
      <c r="L3" s="545" t="s">
        <v>2007</v>
      </c>
      <c r="M3" s="550" t="s">
        <v>2008</v>
      </c>
      <c r="N3" s="552" t="s">
        <v>1973</v>
      </c>
      <c r="O3" s="545" t="s">
        <v>222</v>
      </c>
      <c r="P3" s="552" t="s">
        <v>1973</v>
      </c>
      <c r="Q3" s="551" t="s">
        <v>2009</v>
      </c>
      <c r="R3" s="523" t="s">
        <v>231</v>
      </c>
      <c r="S3" s="553" t="s">
        <v>1</v>
      </c>
      <c r="T3" s="553"/>
      <c r="U3" s="547" t="s">
        <v>2</v>
      </c>
      <c r="V3" s="547" t="s">
        <v>2010</v>
      </c>
      <c r="W3" s="510" t="s">
        <v>144</v>
      </c>
      <c r="X3" s="510"/>
      <c r="Y3" s="548" t="s">
        <v>2011</v>
      </c>
      <c r="Z3" s="549"/>
      <c r="AA3" s="550" t="s">
        <v>2008</v>
      </c>
      <c r="AB3" s="551" t="s">
        <v>2012</v>
      </c>
      <c r="AC3" s="523" t="s">
        <v>2013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75" t="s">
        <v>3</v>
      </c>
      <c r="T4" s="375" t="s">
        <v>4</v>
      </c>
      <c r="U4" s="547"/>
      <c r="V4" s="547"/>
      <c r="W4" s="364" t="s">
        <v>2014</v>
      </c>
      <c r="X4" s="364" t="s">
        <v>2015</v>
      </c>
      <c r="Y4" s="549"/>
      <c r="Z4" s="549"/>
      <c r="AA4" s="550"/>
      <c r="AB4" s="551"/>
      <c r="AC4" s="523"/>
    </row>
    <row r="5" spans="1:29">
      <c r="A5" s="544" t="s">
        <v>2016</v>
      </c>
      <c r="B5" s="62" t="s">
        <v>6</v>
      </c>
      <c r="C5" s="546" t="s">
        <v>9</v>
      </c>
      <c r="D5" s="546"/>
      <c r="E5" s="62">
        <v>50.67</v>
      </c>
      <c r="F5" s="375">
        <v>1738</v>
      </c>
      <c r="G5" s="364">
        <f t="shared" ref="G5:G8" si="0">E5*F5</f>
        <v>88064.46</v>
      </c>
      <c r="H5" s="90" t="s">
        <v>5</v>
      </c>
      <c r="I5" s="373">
        <v>17</v>
      </c>
      <c r="J5" s="63">
        <v>2000</v>
      </c>
      <c r="K5" s="64">
        <f t="shared" ref="K5:K68" si="1">J5/I5</f>
        <v>117.64705882352941</v>
      </c>
      <c r="L5" s="373">
        <v>17</v>
      </c>
      <c r="M5" s="65">
        <f t="shared" ref="M5:M8" si="2">F5/V5*60</f>
        <v>1931.1111111111122</v>
      </c>
      <c r="N5" s="64">
        <f t="shared" ref="N5:N68" si="3">M5/L5</f>
        <v>113.59477124183013</v>
      </c>
      <c r="O5" s="66">
        <f t="shared" ref="O5:O68" si="4">L5-I5</f>
        <v>0</v>
      </c>
      <c r="P5" s="67">
        <f t="shared" ref="P5:P68" si="5">N5-K5</f>
        <v>-4.0522875816992752</v>
      </c>
      <c r="Q5" s="365">
        <f t="shared" ref="Q5:Q68" si="6">N5/K5</f>
        <v>0.96555555555555617</v>
      </c>
      <c r="R5" s="511">
        <f>Q9</f>
        <v>0.95746769627970607</v>
      </c>
      <c r="S5" s="68">
        <v>0.70833333333333337</v>
      </c>
      <c r="T5" s="68">
        <v>0.74583333333333335</v>
      </c>
      <c r="U5" s="364"/>
      <c r="V5" s="374">
        <f t="shared" ref="V5:V8" si="7">(T5-S5)*24*60</f>
        <v>53.999999999999972</v>
      </c>
      <c r="W5" s="69"/>
      <c r="X5" s="70"/>
      <c r="Y5" s="510"/>
      <c r="Z5" s="510"/>
      <c r="AA5" s="66">
        <f t="shared" ref="AA5:AA68" si="8">M5-J5</f>
        <v>-68.888888888887777</v>
      </c>
      <c r="AB5" s="365">
        <f t="shared" ref="AB5:AB68" si="9">M5/J5</f>
        <v>0.96555555555555617</v>
      </c>
      <c r="AC5" s="511">
        <f>AB9</f>
        <v>0.95746769627970618</v>
      </c>
    </row>
    <row r="6" spans="1:29">
      <c r="A6" s="545" t="s">
        <v>148</v>
      </c>
      <c r="B6" s="62" t="s">
        <v>6</v>
      </c>
      <c r="C6" s="546" t="s">
        <v>8</v>
      </c>
      <c r="D6" s="546"/>
      <c r="E6" s="62">
        <v>50.49</v>
      </c>
      <c r="F6" s="375">
        <v>2380</v>
      </c>
      <c r="G6" s="364">
        <f t="shared" si="0"/>
        <v>120166.20000000001</v>
      </c>
      <c r="H6" s="90" t="s">
        <v>5</v>
      </c>
      <c r="I6" s="373">
        <v>15</v>
      </c>
      <c r="J6" s="63">
        <v>2000</v>
      </c>
      <c r="K6" s="64">
        <f t="shared" si="1"/>
        <v>133.33333333333334</v>
      </c>
      <c r="L6" s="373">
        <v>15</v>
      </c>
      <c r="M6" s="65">
        <f t="shared" si="2"/>
        <v>1903.9999999999986</v>
      </c>
      <c r="N6" s="64">
        <f t="shared" si="3"/>
        <v>126.93333333333324</v>
      </c>
      <c r="O6" s="66">
        <f t="shared" si="4"/>
        <v>0</v>
      </c>
      <c r="P6" s="67">
        <f t="shared" si="5"/>
        <v>-6.4000000000001052</v>
      </c>
      <c r="Q6" s="365">
        <f t="shared" si="6"/>
        <v>0.95199999999999918</v>
      </c>
      <c r="R6" s="511"/>
      <c r="S6" s="68">
        <v>0.75</v>
      </c>
      <c r="T6" s="68">
        <v>0.80208333333333337</v>
      </c>
      <c r="U6" s="364">
        <f t="shared" ref="U6:U8" si="10">IF(S6=TIME(17,0,0),"",(S6-T5)*24*60)</f>
        <v>5.9999999999999787</v>
      </c>
      <c r="V6" s="374">
        <f t="shared" si="7"/>
        <v>75.000000000000057</v>
      </c>
      <c r="W6" s="69"/>
      <c r="X6" s="69"/>
      <c r="Y6" s="510"/>
      <c r="Z6" s="510"/>
      <c r="AA6" s="66">
        <f t="shared" si="8"/>
        <v>-96.000000000001364</v>
      </c>
      <c r="AB6" s="365">
        <f t="shared" si="9"/>
        <v>0.95199999999999929</v>
      </c>
      <c r="AC6" s="511"/>
    </row>
    <row r="7" spans="1:29">
      <c r="A7" s="545" t="s">
        <v>2017</v>
      </c>
      <c r="B7" s="62" t="s">
        <v>6</v>
      </c>
      <c r="C7" s="539" t="s">
        <v>886</v>
      </c>
      <c r="D7" s="540"/>
      <c r="E7" s="62">
        <v>57.3</v>
      </c>
      <c r="F7" s="375">
        <v>1500</v>
      </c>
      <c r="G7" s="364">
        <f t="shared" si="0"/>
        <v>85950</v>
      </c>
      <c r="H7" s="90">
        <v>2</v>
      </c>
      <c r="I7" s="373">
        <v>13</v>
      </c>
      <c r="J7" s="63">
        <v>2000</v>
      </c>
      <c r="K7" s="64">
        <f t="shared" si="1"/>
        <v>153.84615384615384</v>
      </c>
      <c r="L7" s="373">
        <v>13</v>
      </c>
      <c r="M7" s="65">
        <f t="shared" si="2"/>
        <v>1914.8936170212769</v>
      </c>
      <c r="N7" s="64">
        <f t="shared" si="3"/>
        <v>147.29950900163669</v>
      </c>
      <c r="O7" s="66">
        <f t="shared" si="4"/>
        <v>0</v>
      </c>
      <c r="P7" s="67">
        <f t="shared" si="5"/>
        <v>-6.5466448445171466</v>
      </c>
      <c r="Q7" s="365">
        <f t="shared" si="6"/>
        <v>0.95744680851063857</v>
      </c>
      <c r="R7" s="511"/>
      <c r="S7" s="68">
        <v>0.80625000000000002</v>
      </c>
      <c r="T7" s="68">
        <v>0.83888888888888891</v>
      </c>
      <c r="U7" s="364">
        <f t="shared" si="10"/>
        <v>5.9999999999999787</v>
      </c>
      <c r="V7" s="374">
        <f t="shared" si="7"/>
        <v>46.999999999999993</v>
      </c>
      <c r="W7" s="69">
        <f>T7</f>
        <v>0.83888888888888891</v>
      </c>
      <c r="X7" s="69">
        <f>S8</f>
        <v>0.87708333333333333</v>
      </c>
      <c r="Y7" s="517"/>
      <c r="Z7" s="518"/>
      <c r="AA7" s="66">
        <f t="shared" si="8"/>
        <v>-85.106382978723104</v>
      </c>
      <c r="AB7" s="365">
        <f t="shared" si="9"/>
        <v>0.95744680851063846</v>
      </c>
      <c r="AC7" s="511"/>
    </row>
    <row r="8" spans="1:29">
      <c r="A8" s="545" t="s">
        <v>2018</v>
      </c>
      <c r="B8" s="62" t="s">
        <v>6</v>
      </c>
      <c r="C8" s="539" t="s">
        <v>886</v>
      </c>
      <c r="D8" s="540"/>
      <c r="E8" s="62">
        <v>57.3</v>
      </c>
      <c r="F8" s="375">
        <v>2419</v>
      </c>
      <c r="G8" s="364">
        <f t="shared" si="0"/>
        <v>138608.69999999998</v>
      </c>
      <c r="H8" s="90" t="s">
        <v>5</v>
      </c>
      <c r="I8" s="373">
        <v>13</v>
      </c>
      <c r="J8" s="63">
        <v>2000</v>
      </c>
      <c r="K8" s="64">
        <f t="shared" si="1"/>
        <v>153.84615384615384</v>
      </c>
      <c r="L8" s="373">
        <v>13</v>
      </c>
      <c r="M8" s="65">
        <f t="shared" si="2"/>
        <v>1909.7368421052618</v>
      </c>
      <c r="N8" s="64">
        <f t="shared" si="3"/>
        <v>146.90283400809705</v>
      </c>
      <c r="O8" s="66">
        <f t="shared" si="4"/>
        <v>0</v>
      </c>
      <c r="P8" s="67">
        <f t="shared" si="5"/>
        <v>-6.9433198380567944</v>
      </c>
      <c r="Q8" s="365">
        <f t="shared" si="6"/>
        <v>0.95486842105263081</v>
      </c>
      <c r="R8" s="511"/>
      <c r="S8" s="68">
        <v>0.87708333333333333</v>
      </c>
      <c r="T8" s="68">
        <v>0.92986111111111114</v>
      </c>
      <c r="U8" s="364">
        <f t="shared" si="10"/>
        <v>54.999999999999964</v>
      </c>
      <c r="V8" s="374">
        <f t="shared" si="7"/>
        <v>76.000000000000057</v>
      </c>
      <c r="W8" s="69"/>
      <c r="X8" s="69"/>
      <c r="Y8" s="517"/>
      <c r="Z8" s="518"/>
      <c r="AA8" s="66">
        <f t="shared" si="8"/>
        <v>-90.263157894738242</v>
      </c>
      <c r="AB8" s="365">
        <f t="shared" si="9"/>
        <v>0.95486842105263092</v>
      </c>
      <c r="AC8" s="511"/>
    </row>
    <row r="9" spans="1:29">
      <c r="A9" s="545" t="s">
        <v>148</v>
      </c>
      <c r="B9" s="62" t="s">
        <v>2019</v>
      </c>
      <c r="C9" s="513"/>
      <c r="D9" s="513"/>
      <c r="E9" s="366"/>
      <c r="F9" s="71"/>
      <c r="G9" s="64"/>
      <c r="H9" s="375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1914.9353925594123</v>
      </c>
      <c r="N9" s="64">
        <f t="shared" si="3"/>
        <v>132.06450983168361</v>
      </c>
      <c r="O9" s="66">
        <f t="shared" si="4"/>
        <v>0</v>
      </c>
      <c r="P9" s="67">
        <f t="shared" si="5"/>
        <v>-5.8665246510750251</v>
      </c>
      <c r="Q9" s="365">
        <f t="shared" si="6"/>
        <v>0.95746769627970607</v>
      </c>
      <c r="R9" s="511"/>
      <c r="S9" s="68"/>
      <c r="T9" s="68"/>
      <c r="U9" s="364"/>
      <c r="V9" s="374"/>
      <c r="W9" s="64"/>
      <c r="X9" s="64"/>
      <c r="Y9" s="510"/>
      <c r="Z9" s="510"/>
      <c r="AA9" s="66">
        <f t="shared" si="8"/>
        <v>-85.064607440587679</v>
      </c>
      <c r="AB9" s="365">
        <f t="shared" si="9"/>
        <v>0.95746769627970618</v>
      </c>
      <c r="AC9" s="511"/>
    </row>
    <row r="10" spans="1:29" ht="15.75" customHeight="1">
      <c r="A10" s="543" t="s">
        <v>2020</v>
      </c>
      <c r="B10" s="62" t="s">
        <v>10</v>
      </c>
      <c r="C10" s="539" t="s">
        <v>12</v>
      </c>
      <c r="D10" s="540"/>
      <c r="E10" s="62">
        <v>39.36</v>
      </c>
      <c r="F10" s="375">
        <v>1646</v>
      </c>
      <c r="G10" s="364">
        <f t="shared" ref="G10:G11" si="11">E10*F10</f>
        <v>64786.559999999998</v>
      </c>
      <c r="H10" s="90" t="s">
        <v>5</v>
      </c>
      <c r="I10" s="373">
        <v>20</v>
      </c>
      <c r="J10" s="63">
        <v>1500</v>
      </c>
      <c r="K10" s="64">
        <f t="shared" si="1"/>
        <v>75</v>
      </c>
      <c r="L10" s="373">
        <v>20</v>
      </c>
      <c r="M10" s="65">
        <f t="shared" ref="M10:M11" si="12">F10/V10*60</f>
        <v>1431.3043478260879</v>
      </c>
      <c r="N10" s="64">
        <f t="shared" si="3"/>
        <v>71.565217391304401</v>
      </c>
      <c r="O10" s="66">
        <f t="shared" si="4"/>
        <v>0</v>
      </c>
      <c r="P10" s="67">
        <f t="shared" si="5"/>
        <v>-3.434782608695599</v>
      </c>
      <c r="Q10" s="365">
        <f t="shared" si="6"/>
        <v>0.95420289855072538</v>
      </c>
      <c r="R10" s="511">
        <f>Q12</f>
        <v>0.95347131228906135</v>
      </c>
      <c r="S10" s="68">
        <v>0.20833333333333334</v>
      </c>
      <c r="T10" s="68">
        <v>0.25624999999999998</v>
      </c>
      <c r="U10" s="364"/>
      <c r="V10" s="374">
        <f t="shared" ref="V10:V11" si="13">(T10-S10)*24*60</f>
        <v>68.999999999999957</v>
      </c>
      <c r="W10" s="69"/>
      <c r="X10" s="69"/>
      <c r="Y10" s="510"/>
      <c r="Z10" s="510"/>
      <c r="AA10" s="66">
        <f t="shared" si="8"/>
        <v>-68.695652173912094</v>
      </c>
      <c r="AB10" s="365">
        <f t="shared" si="9"/>
        <v>0.95420289855072526</v>
      </c>
      <c r="AC10" s="511">
        <f>AB12</f>
        <v>0.95347131228906135</v>
      </c>
    </row>
    <row r="11" spans="1:29" ht="15.75" customHeight="1">
      <c r="A11" s="543" t="s">
        <v>2020</v>
      </c>
      <c r="B11" s="62" t="s">
        <v>10</v>
      </c>
      <c r="C11" s="539" t="s">
        <v>11</v>
      </c>
      <c r="D11" s="540"/>
      <c r="E11" s="62">
        <v>39.799999999999997</v>
      </c>
      <c r="F11" s="375">
        <v>6955</v>
      </c>
      <c r="G11" s="364">
        <f t="shared" si="11"/>
        <v>276809</v>
      </c>
      <c r="H11" s="90" t="s">
        <v>5</v>
      </c>
      <c r="I11" s="373">
        <v>17</v>
      </c>
      <c r="J11" s="63">
        <v>1500</v>
      </c>
      <c r="K11" s="64">
        <f t="shared" si="1"/>
        <v>88.235294117647058</v>
      </c>
      <c r="L11" s="373">
        <v>17</v>
      </c>
      <c r="M11" s="65">
        <f t="shared" si="12"/>
        <v>1429.1095890410961</v>
      </c>
      <c r="N11" s="64">
        <f t="shared" si="3"/>
        <v>84.06526994359389</v>
      </c>
      <c r="O11" s="66">
        <f t="shared" si="4"/>
        <v>0</v>
      </c>
      <c r="P11" s="67">
        <f t="shared" si="5"/>
        <v>-4.1700241740531681</v>
      </c>
      <c r="Q11" s="365">
        <f t="shared" si="6"/>
        <v>0.95273972602739743</v>
      </c>
      <c r="R11" s="511"/>
      <c r="S11" s="68">
        <v>0.26111111111111107</v>
      </c>
      <c r="T11" s="68">
        <v>0.4638888888888888</v>
      </c>
      <c r="U11" s="364">
        <f t="shared" ref="U11" si="14">IF(S11=TIME(17,0,0),"",(S11-T10)*24*60)</f>
        <v>6.9999999999999751</v>
      </c>
      <c r="V11" s="374">
        <f t="shared" si="13"/>
        <v>291.99999999999994</v>
      </c>
      <c r="W11" s="69"/>
      <c r="X11" s="69"/>
      <c r="Y11" s="510"/>
      <c r="Z11" s="510"/>
      <c r="AA11" s="66">
        <f t="shared" si="8"/>
        <v>-70.890410958903885</v>
      </c>
      <c r="AB11" s="365">
        <f t="shared" si="9"/>
        <v>0.95273972602739743</v>
      </c>
      <c r="AC11" s="511"/>
    </row>
    <row r="12" spans="1:29" ht="16.5" customHeight="1">
      <c r="A12" s="543" t="s">
        <v>2021</v>
      </c>
      <c r="B12" s="62" t="s">
        <v>2022</v>
      </c>
      <c r="C12" s="513"/>
      <c r="D12" s="513"/>
      <c r="E12" s="366"/>
      <c r="F12" s="63"/>
      <c r="G12" s="65"/>
      <c r="H12" s="375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1430.206968433592</v>
      </c>
      <c r="N12" s="64">
        <f t="shared" si="3"/>
        <v>77.308484780194163</v>
      </c>
      <c r="O12" s="66">
        <f t="shared" si="4"/>
        <v>0</v>
      </c>
      <c r="P12" s="67">
        <f t="shared" si="5"/>
        <v>-3.7725963008869172</v>
      </c>
      <c r="Q12" s="365">
        <f t="shared" si="6"/>
        <v>0.95347131228906135</v>
      </c>
      <c r="R12" s="511"/>
      <c r="S12" s="68"/>
      <c r="T12" s="68"/>
      <c r="U12" s="64"/>
      <c r="V12" s="374"/>
      <c r="W12" s="64"/>
      <c r="X12" s="64"/>
      <c r="Y12" s="510"/>
      <c r="Z12" s="510"/>
      <c r="AA12" s="66">
        <f t="shared" si="8"/>
        <v>-69.79303156640799</v>
      </c>
      <c r="AB12" s="365">
        <f t="shared" si="9"/>
        <v>0.95347131228906135</v>
      </c>
      <c r="AC12" s="511"/>
    </row>
    <row r="13" spans="1:29" ht="16.5" customHeight="1">
      <c r="A13" s="541" t="s">
        <v>2023</v>
      </c>
      <c r="B13" s="375" t="s">
        <v>13</v>
      </c>
      <c r="C13" s="533" t="s">
        <v>14</v>
      </c>
      <c r="D13" s="533"/>
      <c r="E13" s="62">
        <v>41</v>
      </c>
      <c r="F13" s="375">
        <v>2512</v>
      </c>
      <c r="G13" s="364">
        <f t="shared" ref="G13:G19" si="15">E13*F13</f>
        <v>102992</v>
      </c>
      <c r="H13" s="90" t="s">
        <v>5</v>
      </c>
      <c r="I13" s="373">
        <v>26</v>
      </c>
      <c r="J13" s="63">
        <v>1500</v>
      </c>
      <c r="K13" s="64">
        <f t="shared" si="1"/>
        <v>57.692307692307693</v>
      </c>
      <c r="L13" s="373">
        <v>26</v>
      </c>
      <c r="M13" s="65">
        <f t="shared" ref="M13:M19" si="16">F13/V13*60</f>
        <v>1435.4285714285711</v>
      </c>
      <c r="N13" s="64">
        <f t="shared" si="3"/>
        <v>55.208791208791197</v>
      </c>
      <c r="O13" s="66">
        <f t="shared" si="4"/>
        <v>0</v>
      </c>
      <c r="P13" s="67">
        <f t="shared" si="5"/>
        <v>-2.483516483516496</v>
      </c>
      <c r="Q13" s="365">
        <f t="shared" si="6"/>
        <v>0.95695238095238078</v>
      </c>
      <c r="R13" s="511">
        <f>Q20</f>
        <v>0.95751679318452487</v>
      </c>
      <c r="S13" s="68">
        <v>0.125</v>
      </c>
      <c r="T13" s="68">
        <v>0.19791666666666669</v>
      </c>
      <c r="U13" s="364"/>
      <c r="V13" s="374">
        <f t="shared" ref="V13:V19" si="17">(T13-S13)*24*60</f>
        <v>105.00000000000003</v>
      </c>
      <c r="W13" s="69">
        <f>T13</f>
        <v>0.19791666666666669</v>
      </c>
      <c r="X13" s="69">
        <f>S14</f>
        <v>0.21736111111111114</v>
      </c>
      <c r="Y13" s="510"/>
      <c r="Z13" s="510"/>
      <c r="AA13" s="66">
        <f t="shared" si="8"/>
        <v>-64.571428571428896</v>
      </c>
      <c r="AB13" s="365">
        <f t="shared" si="9"/>
        <v>0.95695238095238078</v>
      </c>
      <c r="AC13" s="511">
        <f>AB20</f>
        <v>0.95751679318452487</v>
      </c>
    </row>
    <row r="14" spans="1:29" ht="16.5" customHeight="1">
      <c r="A14" s="542" t="s">
        <v>2023</v>
      </c>
      <c r="B14" s="375" t="s">
        <v>10</v>
      </c>
      <c r="C14" s="533" t="s">
        <v>15</v>
      </c>
      <c r="D14" s="533"/>
      <c r="E14" s="62">
        <v>39.619999999999997</v>
      </c>
      <c r="F14" s="375">
        <v>4502</v>
      </c>
      <c r="G14" s="364">
        <f t="shared" si="15"/>
        <v>178369.24</v>
      </c>
      <c r="H14" s="90" t="s">
        <v>5</v>
      </c>
      <c r="I14" s="373">
        <v>19</v>
      </c>
      <c r="J14" s="63">
        <v>1500</v>
      </c>
      <c r="K14" s="64">
        <f t="shared" si="1"/>
        <v>78.94736842105263</v>
      </c>
      <c r="L14" s="373">
        <v>19</v>
      </c>
      <c r="M14" s="65">
        <f t="shared" si="16"/>
        <v>1429.2063492063489</v>
      </c>
      <c r="N14" s="64">
        <f t="shared" si="3"/>
        <v>75.221386800334159</v>
      </c>
      <c r="O14" s="66">
        <f t="shared" si="4"/>
        <v>0</v>
      </c>
      <c r="P14" s="67">
        <f t="shared" si="5"/>
        <v>-3.7259816207184713</v>
      </c>
      <c r="Q14" s="365">
        <f t="shared" si="6"/>
        <v>0.95280423280423265</v>
      </c>
      <c r="R14" s="511"/>
      <c r="S14" s="68">
        <v>0.21736111111111114</v>
      </c>
      <c r="T14" s="68">
        <v>0.34861111111111115</v>
      </c>
      <c r="U14" s="364">
        <f t="shared" ref="U14:U19" si="18">IF(S14=TIME(17,0,0),"",(S14-T13)*24*60)</f>
        <v>28.000000000000021</v>
      </c>
      <c r="V14" s="374">
        <f t="shared" si="17"/>
        <v>189.00000000000003</v>
      </c>
      <c r="W14" s="69"/>
      <c r="X14" s="69"/>
      <c r="Y14" s="510"/>
      <c r="Z14" s="510"/>
      <c r="AA14" s="66">
        <f t="shared" si="8"/>
        <v>-70.793650793651068</v>
      </c>
      <c r="AB14" s="365">
        <f t="shared" si="9"/>
        <v>0.95280423280423265</v>
      </c>
      <c r="AC14" s="511"/>
    </row>
    <row r="15" spans="1:29" ht="16.5" customHeight="1">
      <c r="A15" s="542" t="s">
        <v>2023</v>
      </c>
      <c r="B15" s="375" t="s">
        <v>77</v>
      </c>
      <c r="C15" s="533" t="s">
        <v>76</v>
      </c>
      <c r="D15" s="533"/>
      <c r="E15" s="62">
        <v>57.3</v>
      </c>
      <c r="F15" s="375">
        <v>1047</v>
      </c>
      <c r="G15" s="364">
        <f t="shared" si="15"/>
        <v>59993.1</v>
      </c>
      <c r="H15" s="90" t="s">
        <v>5</v>
      </c>
      <c r="I15" s="373">
        <v>16</v>
      </c>
      <c r="J15" s="63">
        <v>1500</v>
      </c>
      <c r="K15" s="64">
        <f t="shared" si="1"/>
        <v>93.75</v>
      </c>
      <c r="L15" s="373">
        <v>16</v>
      </c>
      <c r="M15" s="65">
        <f t="shared" si="16"/>
        <v>1427.7272727272727</v>
      </c>
      <c r="N15" s="64">
        <f t="shared" si="3"/>
        <v>89.232954545454547</v>
      </c>
      <c r="O15" s="66">
        <f t="shared" si="4"/>
        <v>0</v>
      </c>
      <c r="P15" s="67">
        <f t="shared" si="5"/>
        <v>-4.5170454545454533</v>
      </c>
      <c r="Q15" s="365">
        <f t="shared" si="6"/>
        <v>0.95181818181818179</v>
      </c>
      <c r="R15" s="511"/>
      <c r="S15" s="68">
        <v>0.35416666666666669</v>
      </c>
      <c r="T15" s="68">
        <v>0.38472222222222224</v>
      </c>
      <c r="U15" s="364">
        <f t="shared" si="18"/>
        <v>7.9999999999999716</v>
      </c>
      <c r="V15" s="374">
        <f t="shared" si="17"/>
        <v>44</v>
      </c>
      <c r="W15" s="69"/>
      <c r="X15" s="69"/>
      <c r="Y15" s="510"/>
      <c r="Z15" s="510"/>
      <c r="AA15" s="66">
        <f t="shared" si="8"/>
        <v>-72.272727272727252</v>
      </c>
      <c r="AB15" s="365">
        <f t="shared" si="9"/>
        <v>0.95181818181818179</v>
      </c>
      <c r="AC15" s="511"/>
    </row>
    <row r="16" spans="1:29" ht="16.5" customHeight="1">
      <c r="A16" s="542" t="s">
        <v>2023</v>
      </c>
      <c r="B16" s="375" t="s">
        <v>6</v>
      </c>
      <c r="C16" s="533" t="s">
        <v>890</v>
      </c>
      <c r="D16" s="533"/>
      <c r="E16" s="62">
        <v>50.98</v>
      </c>
      <c r="F16" s="375">
        <v>1200</v>
      </c>
      <c r="G16" s="364">
        <f t="shared" si="15"/>
        <v>61175.999999999993</v>
      </c>
      <c r="H16" s="90">
        <v>2</v>
      </c>
      <c r="I16" s="373">
        <v>16</v>
      </c>
      <c r="J16" s="63">
        <v>2000</v>
      </c>
      <c r="K16" s="64">
        <f t="shared" si="1"/>
        <v>125</v>
      </c>
      <c r="L16" s="373">
        <v>16</v>
      </c>
      <c r="M16" s="65">
        <f t="shared" si="16"/>
        <v>1945.9459459459445</v>
      </c>
      <c r="N16" s="64">
        <f t="shared" si="3"/>
        <v>121.62162162162153</v>
      </c>
      <c r="O16" s="66">
        <f t="shared" si="4"/>
        <v>0</v>
      </c>
      <c r="P16" s="67">
        <f t="shared" si="5"/>
        <v>-3.3783783783784713</v>
      </c>
      <c r="Q16" s="365">
        <f t="shared" si="6"/>
        <v>0.97297297297297225</v>
      </c>
      <c r="R16" s="511"/>
      <c r="S16" s="68">
        <v>0.70833333333333337</v>
      </c>
      <c r="T16" s="68">
        <v>0.73402777777777783</v>
      </c>
      <c r="U16" s="364" t="str">
        <f t="shared" si="18"/>
        <v/>
      </c>
      <c r="V16" s="374">
        <f t="shared" si="17"/>
        <v>37.000000000000028</v>
      </c>
      <c r="W16" s="69"/>
      <c r="X16" s="69"/>
      <c r="Y16" s="510"/>
      <c r="Z16" s="510"/>
      <c r="AA16" s="66">
        <f t="shared" si="8"/>
        <v>-54.054054054055541</v>
      </c>
      <c r="AB16" s="365">
        <f t="shared" si="9"/>
        <v>0.97297297297297225</v>
      </c>
      <c r="AC16" s="511"/>
    </row>
    <row r="17" spans="1:29" ht="16.5" customHeight="1">
      <c r="A17" s="542" t="s">
        <v>2023</v>
      </c>
      <c r="B17" s="375" t="s">
        <v>6</v>
      </c>
      <c r="C17" s="533" t="s">
        <v>20</v>
      </c>
      <c r="D17" s="533"/>
      <c r="E17" s="62">
        <v>50.92</v>
      </c>
      <c r="F17" s="375">
        <v>3411</v>
      </c>
      <c r="G17" s="364">
        <f t="shared" si="15"/>
        <v>173688.12</v>
      </c>
      <c r="H17" s="90" t="s">
        <v>5</v>
      </c>
      <c r="I17" s="373">
        <v>15</v>
      </c>
      <c r="J17" s="63">
        <v>2000</v>
      </c>
      <c r="K17" s="64">
        <f t="shared" si="1"/>
        <v>133.33333333333334</v>
      </c>
      <c r="L17" s="373">
        <v>15</v>
      </c>
      <c r="M17" s="65">
        <f t="shared" si="16"/>
        <v>1912.7102803738328</v>
      </c>
      <c r="N17" s="64">
        <f t="shared" si="3"/>
        <v>127.51401869158886</v>
      </c>
      <c r="O17" s="66">
        <f t="shared" si="4"/>
        <v>0</v>
      </c>
      <c r="P17" s="67">
        <f t="shared" si="5"/>
        <v>-5.8193146417444837</v>
      </c>
      <c r="Q17" s="365">
        <f t="shared" si="6"/>
        <v>0.95635514018691636</v>
      </c>
      <c r="R17" s="511"/>
      <c r="S17" s="68">
        <v>0.73819444444444449</v>
      </c>
      <c r="T17" s="68">
        <v>0.8125</v>
      </c>
      <c r="U17" s="364">
        <f t="shared" si="18"/>
        <v>5.9999999999999787</v>
      </c>
      <c r="V17" s="374">
        <f t="shared" si="17"/>
        <v>106.99999999999994</v>
      </c>
      <c r="W17" s="69"/>
      <c r="X17" s="69"/>
      <c r="Y17" s="510"/>
      <c r="Z17" s="510"/>
      <c r="AA17" s="66">
        <f t="shared" si="8"/>
        <v>-87.289719626167198</v>
      </c>
      <c r="AB17" s="365">
        <f t="shared" si="9"/>
        <v>0.95635514018691636</v>
      </c>
      <c r="AC17" s="511"/>
    </row>
    <row r="18" spans="1:29" ht="16.5" customHeight="1">
      <c r="A18" s="542" t="s">
        <v>2023</v>
      </c>
      <c r="B18" s="375" t="s">
        <v>6</v>
      </c>
      <c r="C18" s="534" t="s">
        <v>7</v>
      </c>
      <c r="D18" s="535"/>
      <c r="E18" s="62">
        <v>46.93</v>
      </c>
      <c r="F18" s="375">
        <v>1243</v>
      </c>
      <c r="G18" s="364">
        <f t="shared" si="15"/>
        <v>58333.99</v>
      </c>
      <c r="H18" s="90" t="s">
        <v>5</v>
      </c>
      <c r="I18" s="373">
        <v>16</v>
      </c>
      <c r="J18" s="63">
        <v>2000</v>
      </c>
      <c r="K18" s="64">
        <f t="shared" si="1"/>
        <v>125</v>
      </c>
      <c r="L18" s="373">
        <v>16</v>
      </c>
      <c r="M18" s="65">
        <f t="shared" si="16"/>
        <v>1912.3076923076912</v>
      </c>
      <c r="N18" s="64">
        <f t="shared" si="3"/>
        <v>119.5192307692307</v>
      </c>
      <c r="O18" s="66">
        <f t="shared" si="4"/>
        <v>0</v>
      </c>
      <c r="P18" s="67">
        <f t="shared" si="5"/>
        <v>-5.4807692307692975</v>
      </c>
      <c r="Q18" s="365">
        <f t="shared" si="6"/>
        <v>0.95615384615384558</v>
      </c>
      <c r="R18" s="511"/>
      <c r="S18" s="68">
        <v>0.81597222222222221</v>
      </c>
      <c r="T18" s="68">
        <v>0.84305555555555556</v>
      </c>
      <c r="U18" s="364">
        <f t="shared" si="18"/>
        <v>4.9999999999999822</v>
      </c>
      <c r="V18" s="374">
        <f t="shared" si="17"/>
        <v>39.000000000000021</v>
      </c>
      <c r="W18" s="69">
        <f>T18</f>
        <v>0.84305555555555556</v>
      </c>
      <c r="X18" s="69">
        <f>S19</f>
        <v>0.88402777777777775</v>
      </c>
      <c r="Y18" s="517"/>
      <c r="Z18" s="518"/>
      <c r="AA18" s="66">
        <f t="shared" si="8"/>
        <v>-87.692307692308759</v>
      </c>
      <c r="AB18" s="365">
        <f t="shared" si="9"/>
        <v>0.95615384615384558</v>
      </c>
      <c r="AC18" s="511"/>
    </row>
    <row r="19" spans="1:29" ht="16.5" customHeight="1">
      <c r="A19" s="542" t="s">
        <v>2023</v>
      </c>
      <c r="B19" s="375" t="s">
        <v>6</v>
      </c>
      <c r="C19" s="371" t="s">
        <v>890</v>
      </c>
      <c r="D19" s="372"/>
      <c r="E19" s="62">
        <v>50.98</v>
      </c>
      <c r="F19" s="375">
        <v>2255</v>
      </c>
      <c r="G19" s="364">
        <f t="shared" si="15"/>
        <v>114959.9</v>
      </c>
      <c r="H19" s="90" t="s">
        <v>5</v>
      </c>
      <c r="I19" s="373">
        <v>16</v>
      </c>
      <c r="J19" s="63">
        <v>2000</v>
      </c>
      <c r="K19" s="64">
        <f t="shared" si="1"/>
        <v>125</v>
      </c>
      <c r="L19" s="373">
        <v>16</v>
      </c>
      <c r="M19" s="65">
        <f t="shared" si="16"/>
        <v>1905.6338028168996</v>
      </c>
      <c r="N19" s="64">
        <f t="shared" si="3"/>
        <v>119.10211267605622</v>
      </c>
      <c r="O19" s="66">
        <f t="shared" si="4"/>
        <v>0</v>
      </c>
      <c r="P19" s="67">
        <f t="shared" si="5"/>
        <v>-5.8978873239437775</v>
      </c>
      <c r="Q19" s="365">
        <f t="shared" si="6"/>
        <v>0.95281690140844977</v>
      </c>
      <c r="R19" s="511"/>
      <c r="S19" s="68">
        <v>0.88402777777777775</v>
      </c>
      <c r="T19" s="68">
        <v>0.93333333333333335</v>
      </c>
      <c r="U19" s="364">
        <f t="shared" si="18"/>
        <v>58.99999999999995</v>
      </c>
      <c r="V19" s="374">
        <f t="shared" si="17"/>
        <v>71.000000000000071</v>
      </c>
      <c r="W19" s="69"/>
      <c r="X19" s="69"/>
      <c r="Y19" s="517"/>
      <c r="Z19" s="518"/>
      <c r="AA19" s="66">
        <f t="shared" si="8"/>
        <v>-94.366197183100439</v>
      </c>
      <c r="AB19" s="365">
        <f t="shared" si="9"/>
        <v>0.95281690140844977</v>
      </c>
      <c r="AC19" s="511"/>
    </row>
    <row r="20" spans="1:29" ht="16.5" customHeight="1">
      <c r="A20" s="542" t="s">
        <v>2023</v>
      </c>
      <c r="B20" s="62" t="s">
        <v>2019</v>
      </c>
      <c r="C20" s="513"/>
      <c r="D20" s="513"/>
      <c r="E20" s="366"/>
      <c r="F20" s="71"/>
      <c r="G20" s="64"/>
      <c r="H20" s="375"/>
      <c r="I20" s="72">
        <v>17.714285714285715</v>
      </c>
      <c r="J20" s="63">
        <v>1785.7142857142858</v>
      </c>
      <c r="K20" s="64">
        <f t="shared" si="1"/>
        <v>100.80645161290322</v>
      </c>
      <c r="L20" s="72">
        <v>17.714285714285715</v>
      </c>
      <c r="M20" s="65">
        <f>AVERAGE(M13:M19)</f>
        <v>1709.8514164009373</v>
      </c>
      <c r="N20" s="64">
        <f t="shared" si="3"/>
        <v>96.523870280698063</v>
      </c>
      <c r="O20" s="66">
        <f t="shared" si="4"/>
        <v>0</v>
      </c>
      <c r="P20" s="67">
        <f t="shared" si="5"/>
        <v>-4.2825813322051545</v>
      </c>
      <c r="Q20" s="365">
        <f t="shared" si="6"/>
        <v>0.95751679318452487</v>
      </c>
      <c r="R20" s="511"/>
      <c r="S20" s="68"/>
      <c r="T20" s="68"/>
      <c r="U20" s="364"/>
      <c r="V20" s="374"/>
      <c r="W20" s="64"/>
      <c r="X20" s="64"/>
      <c r="Y20" s="510"/>
      <c r="Z20" s="510"/>
      <c r="AA20" s="66">
        <f t="shared" si="8"/>
        <v>-75.862869313348483</v>
      </c>
      <c r="AB20" s="365">
        <f t="shared" si="9"/>
        <v>0.95751679318452487</v>
      </c>
      <c r="AC20" s="511"/>
    </row>
    <row r="21" spans="1:29" ht="15.75" customHeight="1">
      <c r="A21" s="537" t="s">
        <v>2024</v>
      </c>
      <c r="B21" s="62" t="s">
        <v>13</v>
      </c>
      <c r="C21" s="533" t="s">
        <v>21</v>
      </c>
      <c r="D21" s="533"/>
      <c r="E21" s="62">
        <v>43.14</v>
      </c>
      <c r="F21" s="375">
        <v>1370</v>
      </c>
      <c r="G21" s="364">
        <f t="shared" ref="G21:G29" si="19">E21*F21</f>
        <v>59101.8</v>
      </c>
      <c r="H21" s="90" t="s">
        <v>5</v>
      </c>
      <c r="I21" s="373">
        <v>17</v>
      </c>
      <c r="J21" s="63">
        <v>2000</v>
      </c>
      <c r="K21" s="64">
        <f t="shared" si="1"/>
        <v>117.64705882352941</v>
      </c>
      <c r="L21" s="373">
        <v>17</v>
      </c>
      <c r="M21" s="65">
        <f t="shared" ref="M21:M29" si="20">F21/V21*60</f>
        <v>1911.627906976744</v>
      </c>
      <c r="N21" s="64">
        <f t="shared" si="3"/>
        <v>112.44870041039671</v>
      </c>
      <c r="O21" s="66">
        <f t="shared" si="4"/>
        <v>0</v>
      </c>
      <c r="P21" s="67">
        <f t="shared" si="5"/>
        <v>-5.198358413132695</v>
      </c>
      <c r="Q21" s="365">
        <f t="shared" si="6"/>
        <v>0.95581395348837206</v>
      </c>
      <c r="R21" s="511">
        <f>Q30</f>
        <v>0.95981374824456811</v>
      </c>
      <c r="S21" s="68">
        <v>0.20833333333333334</v>
      </c>
      <c r="T21" s="68">
        <v>0.23819444444444446</v>
      </c>
      <c r="U21" s="364"/>
      <c r="V21" s="374">
        <f t="shared" ref="V21:V29" si="21">(T21-S21)*24*60</f>
        <v>43.000000000000007</v>
      </c>
      <c r="W21" s="73"/>
      <c r="X21" s="73"/>
      <c r="Y21" s="510"/>
      <c r="Z21" s="510"/>
      <c r="AA21" s="66">
        <f t="shared" si="8"/>
        <v>-88.372093023255957</v>
      </c>
      <c r="AB21" s="365">
        <f t="shared" si="9"/>
        <v>0.95581395348837206</v>
      </c>
      <c r="AC21" s="511">
        <f>AB30</f>
        <v>0.95981374824456811</v>
      </c>
    </row>
    <row r="22" spans="1:29" ht="15.75" customHeight="1">
      <c r="A22" s="538" t="s">
        <v>2025</v>
      </c>
      <c r="B22" s="62" t="s">
        <v>77</v>
      </c>
      <c r="C22" s="533" t="s">
        <v>980</v>
      </c>
      <c r="D22" s="533"/>
      <c r="E22" s="62">
        <v>49.9</v>
      </c>
      <c r="F22" s="375">
        <v>2045</v>
      </c>
      <c r="G22" s="364">
        <f t="shared" si="19"/>
        <v>102045.5</v>
      </c>
      <c r="H22" s="90" t="s">
        <v>5</v>
      </c>
      <c r="I22" s="373">
        <v>19</v>
      </c>
      <c r="J22" s="63">
        <v>2000</v>
      </c>
      <c r="K22" s="64">
        <f t="shared" si="1"/>
        <v>105.26315789473684</v>
      </c>
      <c r="L22" s="373">
        <v>19</v>
      </c>
      <c r="M22" s="65">
        <f t="shared" si="20"/>
        <v>1917.1874999999995</v>
      </c>
      <c r="N22" s="64">
        <f t="shared" si="3"/>
        <v>100.90460526315788</v>
      </c>
      <c r="O22" s="66">
        <f t="shared" si="4"/>
        <v>0</v>
      </c>
      <c r="P22" s="67">
        <f t="shared" si="5"/>
        <v>-4.3585526315789593</v>
      </c>
      <c r="Q22" s="365">
        <f t="shared" si="6"/>
        <v>0.95859374999999991</v>
      </c>
      <c r="R22" s="511"/>
      <c r="S22" s="68">
        <v>0.24375000000000002</v>
      </c>
      <c r="T22" s="68">
        <v>0.28819444444444448</v>
      </c>
      <c r="U22" s="364">
        <f t="shared" ref="U22:U29" si="22">IF(S22=TIME(17,0,0),"",(S22-T21)*24*60)</f>
        <v>8.0000000000000107</v>
      </c>
      <c r="V22" s="374">
        <f t="shared" si="21"/>
        <v>64.000000000000014</v>
      </c>
      <c r="W22" s="69"/>
      <c r="X22" s="364"/>
      <c r="Y22" s="510"/>
      <c r="Z22" s="510"/>
      <c r="AA22" s="66">
        <f t="shared" si="8"/>
        <v>-82.812500000000455</v>
      </c>
      <c r="AB22" s="365">
        <f t="shared" si="9"/>
        <v>0.9585937499999998</v>
      </c>
      <c r="AC22" s="511"/>
    </row>
    <row r="23" spans="1:29" ht="15.75" customHeight="1">
      <c r="A23" s="538" t="s">
        <v>2025</v>
      </c>
      <c r="B23" s="62" t="s">
        <v>6</v>
      </c>
      <c r="C23" s="533" t="s">
        <v>22</v>
      </c>
      <c r="D23" s="533"/>
      <c r="E23" s="62">
        <v>57.73</v>
      </c>
      <c r="F23" s="375">
        <v>2947</v>
      </c>
      <c r="G23" s="364">
        <f t="shared" si="19"/>
        <v>170130.31</v>
      </c>
      <c r="H23" s="90" t="s">
        <v>5</v>
      </c>
      <c r="I23" s="373">
        <v>14</v>
      </c>
      <c r="J23" s="63">
        <v>2000</v>
      </c>
      <c r="K23" s="64">
        <f t="shared" si="1"/>
        <v>142.85714285714286</v>
      </c>
      <c r="L23" s="373">
        <v>14</v>
      </c>
      <c r="M23" s="65">
        <f t="shared" si="20"/>
        <v>1921.9565217391303</v>
      </c>
      <c r="N23" s="64">
        <f t="shared" si="3"/>
        <v>137.28260869565216</v>
      </c>
      <c r="O23" s="66">
        <f t="shared" si="4"/>
        <v>0</v>
      </c>
      <c r="P23" s="67">
        <f t="shared" si="5"/>
        <v>-5.5745341614907034</v>
      </c>
      <c r="Q23" s="365">
        <f t="shared" si="6"/>
        <v>0.96097826086956506</v>
      </c>
      <c r="R23" s="511"/>
      <c r="S23" s="68">
        <v>0.29166666666666669</v>
      </c>
      <c r="T23" s="68">
        <v>0.35555555555555557</v>
      </c>
      <c r="U23" s="364">
        <f t="shared" si="22"/>
        <v>4.9999999999999822</v>
      </c>
      <c r="V23" s="374">
        <f t="shared" si="21"/>
        <v>92</v>
      </c>
      <c r="W23" s="69"/>
      <c r="X23" s="364"/>
      <c r="Y23" s="510"/>
      <c r="Z23" s="510"/>
      <c r="AA23" s="66">
        <f t="shared" si="8"/>
        <v>-78.043478260869733</v>
      </c>
      <c r="AB23" s="365">
        <f t="shared" si="9"/>
        <v>0.96097826086956517</v>
      </c>
      <c r="AC23" s="511"/>
    </row>
    <row r="24" spans="1:29" ht="15.75" customHeight="1">
      <c r="A24" s="538" t="s">
        <v>2025</v>
      </c>
      <c r="B24" s="62" t="s">
        <v>6</v>
      </c>
      <c r="C24" s="533" t="s">
        <v>23</v>
      </c>
      <c r="D24" s="533"/>
      <c r="E24" s="62">
        <v>53.68</v>
      </c>
      <c r="F24" s="375">
        <v>1849</v>
      </c>
      <c r="G24" s="364">
        <f t="shared" si="19"/>
        <v>99254.319999999992</v>
      </c>
      <c r="H24" s="90" t="s">
        <v>5</v>
      </c>
      <c r="I24" s="373">
        <v>16</v>
      </c>
      <c r="J24" s="63">
        <v>2000</v>
      </c>
      <c r="K24" s="64">
        <f t="shared" si="1"/>
        <v>125</v>
      </c>
      <c r="L24" s="373">
        <v>16</v>
      </c>
      <c r="M24" s="65">
        <f t="shared" si="20"/>
        <v>1912.758620689654</v>
      </c>
      <c r="N24" s="64">
        <f t="shared" si="3"/>
        <v>119.54741379310337</v>
      </c>
      <c r="O24" s="66">
        <f t="shared" si="4"/>
        <v>0</v>
      </c>
      <c r="P24" s="67">
        <f t="shared" si="5"/>
        <v>-5.4525862068966262</v>
      </c>
      <c r="Q24" s="365">
        <f t="shared" si="6"/>
        <v>0.95637931034482704</v>
      </c>
      <c r="R24" s="511"/>
      <c r="S24" s="68">
        <v>0.3611111111111111</v>
      </c>
      <c r="T24" s="68">
        <v>0.40138888888888891</v>
      </c>
      <c r="U24" s="364">
        <f t="shared" si="22"/>
        <v>7.9999999999999716</v>
      </c>
      <c r="V24" s="374">
        <f t="shared" si="21"/>
        <v>58.000000000000036</v>
      </c>
      <c r="W24" s="69"/>
      <c r="X24" s="364"/>
      <c r="Y24" s="510"/>
      <c r="Z24" s="510"/>
      <c r="AA24" s="66">
        <f t="shared" si="8"/>
        <v>-87.241379310346019</v>
      </c>
      <c r="AB24" s="365">
        <f t="shared" si="9"/>
        <v>0.95637931034482704</v>
      </c>
      <c r="AC24" s="511"/>
    </row>
    <row r="25" spans="1:29" ht="15.75" customHeight="1">
      <c r="A25" s="538" t="s">
        <v>2025</v>
      </c>
      <c r="B25" s="62" t="s">
        <v>6</v>
      </c>
      <c r="C25" s="533" t="s">
        <v>971</v>
      </c>
      <c r="D25" s="533"/>
      <c r="E25" s="62">
        <v>49.91</v>
      </c>
      <c r="F25" s="375">
        <v>2105</v>
      </c>
      <c r="G25" s="364">
        <f t="shared" si="19"/>
        <v>105060.54999999999</v>
      </c>
      <c r="H25" s="90" t="s">
        <v>5</v>
      </c>
      <c r="I25" s="373">
        <v>19</v>
      </c>
      <c r="J25" s="63">
        <v>2000</v>
      </c>
      <c r="K25" s="64">
        <f t="shared" si="1"/>
        <v>105.26315789473684</v>
      </c>
      <c r="L25" s="373">
        <v>19</v>
      </c>
      <c r="M25" s="65">
        <f t="shared" si="20"/>
        <v>1913.6363636363637</v>
      </c>
      <c r="N25" s="64">
        <f t="shared" si="3"/>
        <v>100.7177033492823</v>
      </c>
      <c r="O25" s="66">
        <f t="shared" si="4"/>
        <v>0</v>
      </c>
      <c r="P25" s="67">
        <f t="shared" si="5"/>
        <v>-4.5454545454545325</v>
      </c>
      <c r="Q25" s="365">
        <f t="shared" si="6"/>
        <v>0.9568181818181819</v>
      </c>
      <c r="R25" s="511"/>
      <c r="S25" s="68">
        <v>0.40486111111111112</v>
      </c>
      <c r="T25" s="68">
        <v>0.45069444444444445</v>
      </c>
      <c r="U25" s="364">
        <f t="shared" si="22"/>
        <v>4.9999999999999822</v>
      </c>
      <c r="V25" s="374">
        <f t="shared" si="21"/>
        <v>66</v>
      </c>
      <c r="W25" s="69"/>
      <c r="X25" s="364"/>
      <c r="Y25" s="510"/>
      <c r="Z25" s="510"/>
      <c r="AA25" s="66">
        <f t="shared" si="8"/>
        <v>-86.36363636363626</v>
      </c>
      <c r="AB25" s="365">
        <f t="shared" si="9"/>
        <v>0.9568181818181819</v>
      </c>
      <c r="AC25" s="511"/>
    </row>
    <row r="26" spans="1:29" ht="15.75" customHeight="1">
      <c r="A26" s="538" t="s">
        <v>2025</v>
      </c>
      <c r="B26" s="62" t="s">
        <v>6</v>
      </c>
      <c r="C26" s="533" t="s">
        <v>24</v>
      </c>
      <c r="D26" s="533"/>
      <c r="E26" s="62">
        <v>54.09</v>
      </c>
      <c r="F26" s="375">
        <v>2109</v>
      </c>
      <c r="G26" s="364">
        <f t="shared" si="19"/>
        <v>114075.81000000001</v>
      </c>
      <c r="H26" s="90" t="s">
        <v>5</v>
      </c>
      <c r="I26" s="373">
        <v>19</v>
      </c>
      <c r="J26" s="63">
        <v>2000</v>
      </c>
      <c r="K26" s="64">
        <f t="shared" si="1"/>
        <v>105.26315789473684</v>
      </c>
      <c r="L26" s="373">
        <v>19</v>
      </c>
      <c r="M26" s="65">
        <f t="shared" si="20"/>
        <v>1917.2727272727293</v>
      </c>
      <c r="N26" s="64">
        <f t="shared" si="3"/>
        <v>100.90909090909102</v>
      </c>
      <c r="O26" s="66">
        <f t="shared" si="4"/>
        <v>0</v>
      </c>
      <c r="P26" s="67">
        <f t="shared" si="5"/>
        <v>-4.3540669856458152</v>
      </c>
      <c r="Q26" s="365">
        <f t="shared" si="6"/>
        <v>0.95863636363636473</v>
      </c>
      <c r="R26" s="511"/>
      <c r="S26" s="68">
        <v>0.70833333333333337</v>
      </c>
      <c r="T26" s="68">
        <v>0.75416666666666665</v>
      </c>
      <c r="U26" s="364" t="str">
        <f t="shared" si="22"/>
        <v/>
      </c>
      <c r="V26" s="374">
        <f t="shared" si="21"/>
        <v>65.999999999999929</v>
      </c>
      <c r="W26" s="69"/>
      <c r="X26" s="73"/>
      <c r="Y26" s="510"/>
      <c r="Z26" s="510"/>
      <c r="AA26" s="66">
        <f t="shared" si="8"/>
        <v>-82.727272727270702</v>
      </c>
      <c r="AB26" s="365">
        <f t="shared" si="9"/>
        <v>0.95863636363636462</v>
      </c>
      <c r="AC26" s="511"/>
    </row>
    <row r="27" spans="1:29" ht="15.75" customHeight="1">
      <c r="A27" s="538" t="s">
        <v>2025</v>
      </c>
      <c r="B27" s="62" t="s">
        <v>6</v>
      </c>
      <c r="C27" s="533" t="s">
        <v>82</v>
      </c>
      <c r="D27" s="533"/>
      <c r="E27" s="62">
        <v>57.73</v>
      </c>
      <c r="F27" s="375">
        <v>1756</v>
      </c>
      <c r="G27" s="364">
        <f t="shared" si="19"/>
        <v>101373.87999999999</v>
      </c>
      <c r="H27" s="90" t="s">
        <v>5</v>
      </c>
      <c r="I27" s="373">
        <v>16</v>
      </c>
      <c r="J27" s="63">
        <v>1500</v>
      </c>
      <c r="K27" s="64">
        <f t="shared" si="1"/>
        <v>93.75</v>
      </c>
      <c r="L27" s="373">
        <v>16</v>
      </c>
      <c r="M27" s="65">
        <f t="shared" si="20"/>
        <v>1443.2876712328755</v>
      </c>
      <c r="N27" s="64">
        <f t="shared" si="3"/>
        <v>90.205479452054718</v>
      </c>
      <c r="O27" s="66">
        <f t="shared" si="4"/>
        <v>0</v>
      </c>
      <c r="P27" s="67">
        <f t="shared" si="5"/>
        <v>-3.5445205479452824</v>
      </c>
      <c r="Q27" s="365">
        <f t="shared" si="6"/>
        <v>0.96219178082191703</v>
      </c>
      <c r="R27" s="511"/>
      <c r="S27" s="68">
        <v>0.7583333333333333</v>
      </c>
      <c r="T27" s="68">
        <v>0.80902777777777779</v>
      </c>
      <c r="U27" s="364">
        <f t="shared" si="22"/>
        <v>5.9999999999999787</v>
      </c>
      <c r="V27" s="374">
        <f t="shared" si="21"/>
        <v>73.000000000000057</v>
      </c>
      <c r="W27" s="69"/>
      <c r="X27" s="73"/>
      <c r="Y27" s="517"/>
      <c r="Z27" s="518"/>
      <c r="AA27" s="66">
        <f t="shared" si="8"/>
        <v>-56.712328767124518</v>
      </c>
      <c r="AB27" s="365">
        <f t="shared" si="9"/>
        <v>0.96219178082191703</v>
      </c>
      <c r="AC27" s="511"/>
    </row>
    <row r="28" spans="1:29" ht="15.75" customHeight="1">
      <c r="A28" s="538" t="s">
        <v>2025</v>
      </c>
      <c r="B28" s="62" t="s">
        <v>6</v>
      </c>
      <c r="C28" s="534" t="s">
        <v>81</v>
      </c>
      <c r="D28" s="535"/>
      <c r="E28" s="62">
        <v>50.67</v>
      </c>
      <c r="F28" s="375">
        <v>1000</v>
      </c>
      <c r="G28" s="364">
        <f t="shared" si="19"/>
        <v>50670</v>
      </c>
      <c r="H28" s="90">
        <v>2</v>
      </c>
      <c r="I28" s="373">
        <v>15</v>
      </c>
      <c r="J28" s="63">
        <v>2000</v>
      </c>
      <c r="K28" s="64">
        <f t="shared" si="1"/>
        <v>133.33333333333334</v>
      </c>
      <c r="L28" s="373">
        <v>15</v>
      </c>
      <c r="M28" s="65">
        <f t="shared" si="20"/>
        <v>1935.483870967739</v>
      </c>
      <c r="N28" s="64">
        <f t="shared" si="3"/>
        <v>129.03225806451593</v>
      </c>
      <c r="O28" s="66">
        <f t="shared" si="4"/>
        <v>0</v>
      </c>
      <c r="P28" s="67">
        <f t="shared" si="5"/>
        <v>-4.3010752688174136</v>
      </c>
      <c r="Q28" s="365">
        <f t="shared" si="6"/>
        <v>0.96774193548386944</v>
      </c>
      <c r="R28" s="511"/>
      <c r="S28" s="68">
        <v>0.81388888888888888</v>
      </c>
      <c r="T28" s="68">
        <v>0.8354166666666667</v>
      </c>
      <c r="U28" s="364">
        <f t="shared" si="22"/>
        <v>6.9999999999999751</v>
      </c>
      <c r="V28" s="374">
        <f t="shared" si="21"/>
        <v>31.00000000000005</v>
      </c>
      <c r="W28" s="69">
        <f>T28</f>
        <v>0.8354166666666667</v>
      </c>
      <c r="X28" s="69">
        <f>S29</f>
        <v>0.87777777777777777</v>
      </c>
      <c r="Y28" s="517"/>
      <c r="Z28" s="518"/>
      <c r="AA28" s="66">
        <f t="shared" si="8"/>
        <v>-64.516129032261006</v>
      </c>
      <c r="AB28" s="365">
        <f t="shared" si="9"/>
        <v>0.96774193548386944</v>
      </c>
      <c r="AC28" s="511"/>
    </row>
    <row r="29" spans="1:29" ht="15.75" customHeight="1">
      <c r="A29" s="538" t="s">
        <v>2025</v>
      </c>
      <c r="B29" s="62" t="s">
        <v>6</v>
      </c>
      <c r="C29" s="534" t="s">
        <v>81</v>
      </c>
      <c r="D29" s="535"/>
      <c r="E29" s="62">
        <v>50.67</v>
      </c>
      <c r="F29" s="375">
        <v>1635</v>
      </c>
      <c r="G29" s="364">
        <f t="shared" si="19"/>
        <v>82845.45</v>
      </c>
      <c r="H29" s="90" t="s">
        <v>5</v>
      </c>
      <c r="I29" s="373">
        <v>15</v>
      </c>
      <c r="J29" s="63">
        <v>2000</v>
      </c>
      <c r="K29" s="64">
        <f t="shared" si="1"/>
        <v>133.33333333333334</v>
      </c>
      <c r="L29" s="373">
        <v>15</v>
      </c>
      <c r="M29" s="65">
        <f t="shared" si="20"/>
        <v>1923.5294117647065</v>
      </c>
      <c r="N29" s="64">
        <f t="shared" si="3"/>
        <v>128.2352941176471</v>
      </c>
      <c r="O29" s="66">
        <f t="shared" si="4"/>
        <v>0</v>
      </c>
      <c r="P29" s="67">
        <f t="shared" si="5"/>
        <v>-5.0980392156862422</v>
      </c>
      <c r="Q29" s="365">
        <f t="shared" si="6"/>
        <v>0.96176470588235319</v>
      </c>
      <c r="R29" s="511"/>
      <c r="S29" s="68">
        <v>0.87777777777777777</v>
      </c>
      <c r="T29" s="68">
        <v>0.91319444444444442</v>
      </c>
      <c r="U29" s="364">
        <f t="shared" si="22"/>
        <v>60.999999999999943</v>
      </c>
      <c r="V29" s="374">
        <f t="shared" si="21"/>
        <v>50.999999999999979</v>
      </c>
      <c r="W29" s="69"/>
      <c r="X29" s="69"/>
      <c r="Y29" s="517"/>
      <c r="Z29" s="518"/>
      <c r="AA29" s="66">
        <f t="shared" si="8"/>
        <v>-76.470588235293462</v>
      </c>
      <c r="AB29" s="365">
        <f t="shared" si="9"/>
        <v>0.9617647058823533</v>
      </c>
      <c r="AC29" s="511"/>
    </row>
    <row r="30" spans="1:29" ht="15.75" customHeight="1">
      <c r="A30" s="538" t="s">
        <v>2025</v>
      </c>
      <c r="B30" s="62" t="s">
        <v>2026</v>
      </c>
      <c r="C30" s="513"/>
      <c r="D30" s="513"/>
      <c r="E30" s="366"/>
      <c r="F30" s="375"/>
      <c r="G30" s="364"/>
      <c r="H30" s="375"/>
      <c r="I30" s="72">
        <v>16.666666666666668</v>
      </c>
      <c r="J30" s="63">
        <v>1944.4444444444443</v>
      </c>
      <c r="K30" s="64">
        <f t="shared" si="1"/>
        <v>116.66666666666666</v>
      </c>
      <c r="L30" s="72">
        <v>16.666666666666668</v>
      </c>
      <c r="M30" s="65">
        <f>AVERAGE(M21:M29)</f>
        <v>1866.304510475549</v>
      </c>
      <c r="N30" s="64">
        <f t="shared" si="3"/>
        <v>111.97827062853294</v>
      </c>
      <c r="O30" s="66">
        <f t="shared" si="4"/>
        <v>0</v>
      </c>
      <c r="P30" s="67">
        <f t="shared" si="5"/>
        <v>-4.6883960381337175</v>
      </c>
      <c r="Q30" s="365">
        <f t="shared" si="6"/>
        <v>0.95981374824456811</v>
      </c>
      <c r="R30" s="511"/>
      <c r="S30" s="68"/>
      <c r="T30" s="68"/>
      <c r="U30" s="64"/>
      <c r="V30" s="374"/>
      <c r="W30" s="64"/>
      <c r="X30" s="64"/>
      <c r="Y30" s="510"/>
      <c r="Z30" s="510"/>
      <c r="AA30" s="66">
        <f t="shared" si="8"/>
        <v>-78.139933968895321</v>
      </c>
      <c r="AB30" s="365">
        <f t="shared" si="9"/>
        <v>0.95981374824456811</v>
      </c>
      <c r="AC30" s="511"/>
    </row>
    <row r="31" spans="1:29" ht="15.75" customHeight="1">
      <c r="A31" s="536" t="s">
        <v>2027</v>
      </c>
      <c r="B31" s="62" t="s">
        <v>16</v>
      </c>
      <c r="C31" s="533" t="s">
        <v>30</v>
      </c>
      <c r="D31" s="533"/>
      <c r="E31" s="62">
        <v>31.29</v>
      </c>
      <c r="F31" s="375">
        <v>5500</v>
      </c>
      <c r="G31" s="364">
        <f t="shared" ref="G31:G38" si="23">E31*F31</f>
        <v>172095</v>
      </c>
      <c r="H31" s="90">
        <v>2</v>
      </c>
      <c r="I31" s="373">
        <v>18</v>
      </c>
      <c r="J31" s="63">
        <v>2400</v>
      </c>
      <c r="K31" s="64">
        <f t="shared" si="1"/>
        <v>133.33333333333334</v>
      </c>
      <c r="L31" s="373">
        <v>18</v>
      </c>
      <c r="M31" s="65">
        <f t="shared" ref="M31:M38" si="24">F31/V31*60</f>
        <v>2291.6666666666665</v>
      </c>
      <c r="N31" s="64">
        <f t="shared" si="3"/>
        <v>127.31481481481481</v>
      </c>
      <c r="O31" s="66">
        <f t="shared" si="4"/>
        <v>0</v>
      </c>
      <c r="P31" s="67">
        <f t="shared" si="5"/>
        <v>-6.0185185185185333</v>
      </c>
      <c r="Q31" s="365">
        <f t="shared" si="6"/>
        <v>0.95486111111111105</v>
      </c>
      <c r="R31" s="511">
        <f>Q39</f>
        <v>0.95720460983771549</v>
      </c>
      <c r="S31" s="68">
        <v>8.3333333333333329E-2</v>
      </c>
      <c r="T31" s="68">
        <v>0.18333333333333332</v>
      </c>
      <c r="U31" s="364"/>
      <c r="V31" s="374">
        <f t="shared" ref="V31:V38" si="25">(T31-S31)*24*60</f>
        <v>144</v>
      </c>
      <c r="W31" s="69">
        <f>T31</f>
        <v>0.18333333333333332</v>
      </c>
      <c r="X31" s="69">
        <f>S32</f>
        <v>0.20347222222222222</v>
      </c>
      <c r="Y31" s="510"/>
      <c r="Z31" s="510"/>
      <c r="AA31" s="66">
        <f t="shared" si="8"/>
        <v>-108.33333333333348</v>
      </c>
      <c r="AB31" s="365">
        <f t="shared" si="9"/>
        <v>0.95486111111111105</v>
      </c>
      <c r="AC31" s="511">
        <f>AB39</f>
        <v>0.9572046098377156</v>
      </c>
    </row>
    <row r="32" spans="1:29" ht="15.75" customHeight="1">
      <c r="A32" s="536" t="s">
        <v>2027</v>
      </c>
      <c r="B32" s="62" t="s">
        <v>16</v>
      </c>
      <c r="C32" s="533" t="s">
        <v>28</v>
      </c>
      <c r="D32" s="533"/>
      <c r="E32" s="62">
        <v>26.18</v>
      </c>
      <c r="F32" s="375">
        <v>3337</v>
      </c>
      <c r="G32" s="364">
        <f t="shared" si="23"/>
        <v>87362.66</v>
      </c>
      <c r="H32" s="90" t="s">
        <v>5</v>
      </c>
      <c r="I32" s="373">
        <v>19</v>
      </c>
      <c r="J32" s="63">
        <v>2400</v>
      </c>
      <c r="K32" s="64">
        <f t="shared" si="1"/>
        <v>126.31578947368421</v>
      </c>
      <c r="L32" s="373">
        <v>19</v>
      </c>
      <c r="M32" s="65">
        <f t="shared" si="24"/>
        <v>2301.379310344827</v>
      </c>
      <c r="N32" s="64">
        <f t="shared" si="3"/>
        <v>121.12522686025405</v>
      </c>
      <c r="O32" s="66">
        <f t="shared" si="4"/>
        <v>0</v>
      </c>
      <c r="P32" s="67">
        <f t="shared" si="5"/>
        <v>-5.1905626134301599</v>
      </c>
      <c r="Q32" s="365">
        <f t="shared" si="6"/>
        <v>0.95890804597701118</v>
      </c>
      <c r="R32" s="511"/>
      <c r="S32" s="68">
        <v>0.20347222222222222</v>
      </c>
      <c r="T32" s="68">
        <v>0.2638888888888889</v>
      </c>
      <c r="U32" s="364">
        <f t="shared" ref="U32:U38" si="26">(S32-T31)*24*60</f>
        <v>29.000000000000018</v>
      </c>
      <c r="V32" s="374">
        <f t="shared" si="25"/>
        <v>87.000000000000014</v>
      </c>
      <c r="W32" s="69"/>
      <c r="X32" s="69"/>
      <c r="Y32" s="510"/>
      <c r="Z32" s="510"/>
      <c r="AA32" s="66">
        <f t="shared" si="8"/>
        <v>-98.62068965517301</v>
      </c>
      <c r="AB32" s="365">
        <f t="shared" si="9"/>
        <v>0.95890804597701129</v>
      </c>
      <c r="AC32" s="511"/>
    </row>
    <row r="33" spans="1:29" ht="15.75" customHeight="1">
      <c r="A33" s="536" t="s">
        <v>2027</v>
      </c>
      <c r="B33" s="62" t="s">
        <v>16</v>
      </c>
      <c r="C33" s="533" t="s">
        <v>25</v>
      </c>
      <c r="D33" s="533"/>
      <c r="E33" s="62">
        <v>26.2</v>
      </c>
      <c r="F33" s="375">
        <v>3500</v>
      </c>
      <c r="G33" s="364">
        <f t="shared" si="23"/>
        <v>91700</v>
      </c>
      <c r="H33" s="90">
        <v>2</v>
      </c>
      <c r="I33" s="373">
        <v>20</v>
      </c>
      <c r="J33" s="63">
        <v>2400</v>
      </c>
      <c r="K33" s="64">
        <f t="shared" si="1"/>
        <v>120</v>
      </c>
      <c r="L33" s="373">
        <v>20</v>
      </c>
      <c r="M33" s="65">
        <f t="shared" si="24"/>
        <v>2307.6923076923076</v>
      </c>
      <c r="N33" s="64">
        <f t="shared" si="3"/>
        <v>115.38461538461539</v>
      </c>
      <c r="O33" s="66">
        <f t="shared" si="4"/>
        <v>0</v>
      </c>
      <c r="P33" s="67">
        <f t="shared" si="5"/>
        <v>-4.6153846153846132</v>
      </c>
      <c r="Q33" s="365">
        <f t="shared" si="6"/>
        <v>0.96153846153846156</v>
      </c>
      <c r="R33" s="511"/>
      <c r="S33" s="68">
        <v>0.26805555555555555</v>
      </c>
      <c r="T33" s="68">
        <v>0.33124999999999999</v>
      </c>
      <c r="U33" s="364">
        <f t="shared" si="26"/>
        <v>5.9999999999999787</v>
      </c>
      <c r="V33" s="374">
        <f t="shared" si="25"/>
        <v>91</v>
      </c>
      <c r="W33" s="69"/>
      <c r="X33" s="69"/>
      <c r="Y33" s="510"/>
      <c r="Z33" s="510"/>
      <c r="AA33" s="66">
        <f t="shared" si="8"/>
        <v>-92.307692307692378</v>
      </c>
      <c r="AB33" s="365">
        <f t="shared" si="9"/>
        <v>0.96153846153846156</v>
      </c>
      <c r="AC33" s="511"/>
    </row>
    <row r="34" spans="1:29" ht="15.75" customHeight="1">
      <c r="A34" s="536" t="s">
        <v>2027</v>
      </c>
      <c r="B34" s="62" t="s">
        <v>16</v>
      </c>
      <c r="C34" s="533" t="s">
        <v>83</v>
      </c>
      <c r="D34" s="533"/>
      <c r="E34" s="62">
        <v>25.99</v>
      </c>
      <c r="F34" s="375">
        <v>3400</v>
      </c>
      <c r="G34" s="364">
        <f t="shared" si="23"/>
        <v>88366</v>
      </c>
      <c r="H34" s="90">
        <v>2</v>
      </c>
      <c r="I34" s="373">
        <v>14</v>
      </c>
      <c r="J34" s="63">
        <v>2400</v>
      </c>
      <c r="K34" s="64">
        <f t="shared" si="1"/>
        <v>171.42857142857142</v>
      </c>
      <c r="L34" s="373">
        <v>14</v>
      </c>
      <c r="M34" s="65">
        <f t="shared" si="24"/>
        <v>2292.1348314606744</v>
      </c>
      <c r="N34" s="64">
        <f t="shared" si="3"/>
        <v>163.72391653290532</v>
      </c>
      <c r="O34" s="66">
        <f t="shared" si="4"/>
        <v>0</v>
      </c>
      <c r="P34" s="67">
        <f t="shared" si="5"/>
        <v>-7.7046548956660956</v>
      </c>
      <c r="Q34" s="365">
        <f t="shared" si="6"/>
        <v>0.95505617977528112</v>
      </c>
      <c r="R34" s="511"/>
      <c r="S34" s="68">
        <v>0.33611111111111108</v>
      </c>
      <c r="T34" s="68">
        <v>0.39791666666666664</v>
      </c>
      <c r="U34" s="364">
        <f t="shared" si="26"/>
        <v>6.9999999999999751</v>
      </c>
      <c r="V34" s="374">
        <f t="shared" si="25"/>
        <v>89</v>
      </c>
      <c r="W34" s="69"/>
      <c r="X34" s="69"/>
      <c r="Y34" s="510"/>
      <c r="Z34" s="510"/>
      <c r="AA34" s="66">
        <f t="shared" si="8"/>
        <v>-107.86516853932562</v>
      </c>
      <c r="AB34" s="365">
        <f t="shared" si="9"/>
        <v>0.95505617977528101</v>
      </c>
      <c r="AC34" s="511"/>
    </row>
    <row r="35" spans="1:29" ht="15.75" customHeight="1">
      <c r="A35" s="536" t="s">
        <v>2027</v>
      </c>
      <c r="B35" s="62" t="s">
        <v>16</v>
      </c>
      <c r="C35" s="533" t="s">
        <v>982</v>
      </c>
      <c r="D35" s="533"/>
      <c r="E35" s="62">
        <v>25.98</v>
      </c>
      <c r="F35" s="375">
        <v>6481</v>
      </c>
      <c r="G35" s="364">
        <f t="shared" si="23"/>
        <v>168376.38</v>
      </c>
      <c r="H35" s="90" t="s">
        <v>5</v>
      </c>
      <c r="I35" s="373">
        <v>21</v>
      </c>
      <c r="J35" s="63">
        <v>2400</v>
      </c>
      <c r="K35" s="64">
        <f t="shared" si="1"/>
        <v>114.28571428571429</v>
      </c>
      <c r="L35" s="373">
        <v>21</v>
      </c>
      <c r="M35" s="65">
        <f t="shared" si="24"/>
        <v>2287.4117647058833</v>
      </c>
      <c r="N35" s="64">
        <f t="shared" si="3"/>
        <v>108.92436974789921</v>
      </c>
      <c r="O35" s="66">
        <f t="shared" si="4"/>
        <v>0</v>
      </c>
      <c r="P35" s="67">
        <f t="shared" si="5"/>
        <v>-5.3613445378150857</v>
      </c>
      <c r="Q35" s="365">
        <f t="shared" si="6"/>
        <v>0.95308823529411801</v>
      </c>
      <c r="R35" s="511"/>
      <c r="S35" s="68">
        <v>0.40138888888888885</v>
      </c>
      <c r="T35" s="68">
        <v>0.51944444444444438</v>
      </c>
      <c r="U35" s="364">
        <f t="shared" si="26"/>
        <v>4.9999999999999822</v>
      </c>
      <c r="V35" s="374">
        <f t="shared" si="25"/>
        <v>169.99999999999994</v>
      </c>
      <c r="W35" s="69">
        <f>T35</f>
        <v>0.51944444444444438</v>
      </c>
      <c r="X35" s="69">
        <f>S36</f>
        <v>0.56041666666666656</v>
      </c>
      <c r="Y35" s="510"/>
      <c r="Z35" s="510"/>
      <c r="AA35" s="66">
        <f t="shared" si="8"/>
        <v>-112.58823529411666</v>
      </c>
      <c r="AB35" s="365">
        <f t="shared" si="9"/>
        <v>0.95308823529411801</v>
      </c>
      <c r="AC35" s="511"/>
    </row>
    <row r="36" spans="1:29" ht="15.75" customHeight="1">
      <c r="A36" s="536" t="s">
        <v>2027</v>
      </c>
      <c r="B36" s="62" t="s">
        <v>16</v>
      </c>
      <c r="C36" s="533" t="s">
        <v>30</v>
      </c>
      <c r="D36" s="533"/>
      <c r="E36" s="62">
        <v>31.29</v>
      </c>
      <c r="F36" s="375">
        <v>5100</v>
      </c>
      <c r="G36" s="364">
        <f t="shared" si="23"/>
        <v>159579</v>
      </c>
      <c r="H36" s="90" t="s">
        <v>5</v>
      </c>
      <c r="I36" s="373">
        <v>18</v>
      </c>
      <c r="J36" s="63">
        <v>2400</v>
      </c>
      <c r="K36" s="64">
        <f t="shared" si="1"/>
        <v>133.33333333333334</v>
      </c>
      <c r="L36" s="373">
        <v>18</v>
      </c>
      <c r="M36" s="65">
        <f t="shared" si="24"/>
        <v>2283.5820895522388</v>
      </c>
      <c r="N36" s="64">
        <f t="shared" si="3"/>
        <v>126.86567164179104</v>
      </c>
      <c r="O36" s="66">
        <f t="shared" si="4"/>
        <v>0</v>
      </c>
      <c r="P36" s="67">
        <f t="shared" si="5"/>
        <v>-6.467661691542304</v>
      </c>
      <c r="Q36" s="365">
        <f t="shared" si="6"/>
        <v>0.95149253731343275</v>
      </c>
      <c r="R36" s="511"/>
      <c r="S36" s="68">
        <v>0.56041666666666656</v>
      </c>
      <c r="T36" s="68">
        <v>0.65347222222222212</v>
      </c>
      <c r="U36" s="364">
        <f t="shared" si="26"/>
        <v>58.99999999999995</v>
      </c>
      <c r="V36" s="374">
        <f t="shared" si="25"/>
        <v>134</v>
      </c>
      <c r="W36" s="69"/>
      <c r="X36" s="69"/>
      <c r="Y36" s="510"/>
      <c r="Z36" s="510"/>
      <c r="AA36" s="66">
        <f t="shared" si="8"/>
        <v>-116.41791044776119</v>
      </c>
      <c r="AB36" s="365">
        <f t="shared" si="9"/>
        <v>0.95149253731343286</v>
      </c>
      <c r="AC36" s="511"/>
    </row>
    <row r="37" spans="1:29" ht="15.75" customHeight="1">
      <c r="A37" s="536" t="s">
        <v>2027</v>
      </c>
      <c r="B37" s="62" t="s">
        <v>16</v>
      </c>
      <c r="C37" s="533" t="s">
        <v>25</v>
      </c>
      <c r="D37" s="533"/>
      <c r="E37" s="62">
        <v>26.2</v>
      </c>
      <c r="F37" s="375">
        <v>2493</v>
      </c>
      <c r="G37" s="364">
        <f t="shared" si="23"/>
        <v>65316.6</v>
      </c>
      <c r="H37" s="90" t="s">
        <v>5</v>
      </c>
      <c r="I37" s="373">
        <v>20</v>
      </c>
      <c r="J37" s="63">
        <v>2400</v>
      </c>
      <c r="K37" s="64">
        <f t="shared" si="1"/>
        <v>120</v>
      </c>
      <c r="L37" s="373">
        <v>20</v>
      </c>
      <c r="M37" s="65">
        <f t="shared" si="24"/>
        <v>2301.2307692307718</v>
      </c>
      <c r="N37" s="64">
        <f t="shared" si="3"/>
        <v>115.06153846153859</v>
      </c>
      <c r="O37" s="66">
        <f t="shared" si="4"/>
        <v>0</v>
      </c>
      <c r="P37" s="67">
        <f t="shared" si="5"/>
        <v>-4.9384615384614108</v>
      </c>
      <c r="Q37" s="365">
        <f t="shared" si="6"/>
        <v>0.9588461538461549</v>
      </c>
      <c r="R37" s="511"/>
      <c r="S37" s="68">
        <v>0.65694444444444433</v>
      </c>
      <c r="T37" s="68">
        <v>0.70208333333333317</v>
      </c>
      <c r="U37" s="364">
        <f t="shared" si="26"/>
        <v>4.9999999999999822</v>
      </c>
      <c r="V37" s="374">
        <f t="shared" si="25"/>
        <v>64.999999999999929</v>
      </c>
      <c r="W37" s="69"/>
      <c r="X37" s="69"/>
      <c r="Y37" s="510"/>
      <c r="Z37" s="510"/>
      <c r="AA37" s="66">
        <f t="shared" si="8"/>
        <v>-98.769230769228216</v>
      </c>
      <c r="AB37" s="365">
        <f t="shared" si="9"/>
        <v>0.9588461538461549</v>
      </c>
      <c r="AC37" s="511"/>
    </row>
    <row r="38" spans="1:29" ht="15.75" customHeight="1">
      <c r="A38" s="536" t="s">
        <v>2027</v>
      </c>
      <c r="B38" s="62" t="s">
        <v>16</v>
      </c>
      <c r="C38" s="533" t="s">
        <v>83</v>
      </c>
      <c r="D38" s="533"/>
      <c r="E38" s="62">
        <v>25.99</v>
      </c>
      <c r="F38" s="375">
        <v>2506</v>
      </c>
      <c r="G38" s="364">
        <f t="shared" si="23"/>
        <v>65130.939999999995</v>
      </c>
      <c r="H38" s="90" t="s">
        <v>5</v>
      </c>
      <c r="I38" s="373">
        <v>14</v>
      </c>
      <c r="J38" s="63">
        <v>2400</v>
      </c>
      <c r="K38" s="64">
        <f t="shared" si="1"/>
        <v>171.42857142857142</v>
      </c>
      <c r="L38" s="373">
        <v>14</v>
      </c>
      <c r="M38" s="65">
        <f t="shared" si="24"/>
        <v>2313.2307692307718</v>
      </c>
      <c r="N38" s="64">
        <f t="shared" si="3"/>
        <v>165.23076923076943</v>
      </c>
      <c r="O38" s="66">
        <f t="shared" si="4"/>
        <v>0</v>
      </c>
      <c r="P38" s="67">
        <f t="shared" si="5"/>
        <v>-6.197802197801991</v>
      </c>
      <c r="Q38" s="365">
        <f t="shared" si="6"/>
        <v>0.96384615384615502</v>
      </c>
      <c r="R38" s="511"/>
      <c r="S38" s="68">
        <v>0.70763888888888871</v>
      </c>
      <c r="T38" s="68">
        <v>0.75277777777777755</v>
      </c>
      <c r="U38" s="364">
        <f t="shared" si="26"/>
        <v>7.9999999999999716</v>
      </c>
      <c r="V38" s="374">
        <f t="shared" si="25"/>
        <v>64.999999999999929</v>
      </c>
      <c r="W38" s="69"/>
      <c r="X38" s="69"/>
      <c r="Y38" s="510"/>
      <c r="Z38" s="510"/>
      <c r="AA38" s="66">
        <f t="shared" si="8"/>
        <v>-86.769230769228216</v>
      </c>
      <c r="AB38" s="365">
        <f t="shared" si="9"/>
        <v>0.96384615384615491</v>
      </c>
      <c r="AC38" s="511"/>
    </row>
    <row r="39" spans="1:29" ht="15.75" customHeight="1">
      <c r="A39" s="536" t="s">
        <v>2027</v>
      </c>
      <c r="B39" s="62" t="s">
        <v>2026</v>
      </c>
      <c r="C39" s="513"/>
      <c r="D39" s="513"/>
      <c r="E39" s="366"/>
      <c r="F39" s="375"/>
      <c r="G39" s="364"/>
      <c r="H39" s="375"/>
      <c r="I39" s="72">
        <v>18</v>
      </c>
      <c r="J39" s="63">
        <v>2400</v>
      </c>
      <c r="K39" s="64">
        <f t="shared" si="1"/>
        <v>133.33333333333334</v>
      </c>
      <c r="L39" s="72">
        <v>18</v>
      </c>
      <c r="M39" s="65">
        <f>AVERAGE(M31:M38)</f>
        <v>2297.2910636105175</v>
      </c>
      <c r="N39" s="64">
        <f t="shared" si="3"/>
        <v>127.62728131169541</v>
      </c>
      <c r="O39" s="66">
        <f t="shared" si="4"/>
        <v>0</v>
      </c>
      <c r="P39" s="67">
        <f t="shared" si="5"/>
        <v>-5.7060520216379302</v>
      </c>
      <c r="Q39" s="365">
        <f t="shared" si="6"/>
        <v>0.95720460983771549</v>
      </c>
      <c r="R39" s="511"/>
      <c r="S39" s="68"/>
      <c r="T39" s="68"/>
      <c r="U39" s="364"/>
      <c r="V39" s="374"/>
      <c r="W39" s="364"/>
      <c r="X39" s="364"/>
      <c r="Y39" s="510"/>
      <c r="Z39" s="510"/>
      <c r="AA39" s="66">
        <f t="shared" si="8"/>
        <v>-102.70893638948246</v>
      </c>
      <c r="AB39" s="365">
        <f t="shared" si="9"/>
        <v>0.9572046098377156</v>
      </c>
      <c r="AC39" s="511"/>
    </row>
    <row r="40" spans="1:29" ht="15.75" customHeight="1">
      <c r="A40" s="531" t="s">
        <v>2028</v>
      </c>
      <c r="B40" s="62" t="s">
        <v>16</v>
      </c>
      <c r="C40" s="512" t="s">
        <v>31</v>
      </c>
      <c r="D40" s="512"/>
      <c r="E40" s="62">
        <v>26.2</v>
      </c>
      <c r="F40" s="375">
        <v>4400</v>
      </c>
      <c r="G40" s="364">
        <f t="shared" ref="G40:G47" si="27">E40*F40</f>
        <v>115280</v>
      </c>
      <c r="H40" s="90">
        <v>2</v>
      </c>
      <c r="I40" s="373">
        <v>18</v>
      </c>
      <c r="J40" s="63">
        <v>2400</v>
      </c>
      <c r="K40" s="64">
        <f t="shared" si="1"/>
        <v>133.33333333333334</v>
      </c>
      <c r="L40" s="373">
        <v>18</v>
      </c>
      <c r="M40" s="65">
        <f t="shared" ref="M40:M47" si="28">F40/V40*60</f>
        <v>2295.652173913043</v>
      </c>
      <c r="N40" s="64">
        <f t="shared" si="3"/>
        <v>127.53623188405794</v>
      </c>
      <c r="O40" s="66">
        <f t="shared" si="4"/>
        <v>0</v>
      </c>
      <c r="P40" s="67">
        <f t="shared" si="5"/>
        <v>-5.7971014492754023</v>
      </c>
      <c r="Q40" s="365">
        <f t="shared" si="6"/>
        <v>0.95652173913043448</v>
      </c>
      <c r="R40" s="511">
        <f>Q48</f>
        <v>0.95840674496542577</v>
      </c>
      <c r="S40" s="68">
        <v>8.3333333333333329E-2</v>
      </c>
      <c r="T40" s="68">
        <v>0.16319444444444445</v>
      </c>
      <c r="U40" s="364"/>
      <c r="V40" s="374">
        <f t="shared" ref="V40:V47" si="29">(T40-S40)*24*60</f>
        <v>115.00000000000001</v>
      </c>
      <c r="W40" s="73">
        <f>T40</f>
        <v>0.16319444444444445</v>
      </c>
      <c r="X40" s="73">
        <f>S41</f>
        <v>0.18055555555555552</v>
      </c>
      <c r="Y40" s="510"/>
      <c r="Z40" s="510"/>
      <c r="AA40" s="66">
        <f t="shared" si="8"/>
        <v>-104.34782608695696</v>
      </c>
      <c r="AB40" s="365">
        <f t="shared" si="9"/>
        <v>0.95652173913043459</v>
      </c>
      <c r="AC40" s="511">
        <f>AB48</f>
        <v>0.95840674496542588</v>
      </c>
    </row>
    <row r="41" spans="1:29" ht="15.75" customHeight="1">
      <c r="A41" s="531" t="s">
        <v>2028</v>
      </c>
      <c r="B41" s="62" t="s">
        <v>16</v>
      </c>
      <c r="C41" s="512" t="s">
        <v>32</v>
      </c>
      <c r="D41" s="512"/>
      <c r="E41" s="62">
        <v>26.39</v>
      </c>
      <c r="F41" s="375">
        <v>4400</v>
      </c>
      <c r="G41" s="364">
        <f t="shared" si="27"/>
        <v>116116</v>
      </c>
      <c r="H41" s="90">
        <v>2</v>
      </c>
      <c r="I41" s="373">
        <v>19</v>
      </c>
      <c r="J41" s="63">
        <v>2400</v>
      </c>
      <c r="K41" s="64">
        <f t="shared" si="1"/>
        <v>126.31578947368421</v>
      </c>
      <c r="L41" s="373">
        <v>19</v>
      </c>
      <c r="M41" s="65">
        <f t="shared" si="28"/>
        <v>2295.652173913044</v>
      </c>
      <c r="N41" s="64">
        <f t="shared" si="3"/>
        <v>120.82379862700232</v>
      </c>
      <c r="O41" s="66">
        <f t="shared" si="4"/>
        <v>0</v>
      </c>
      <c r="P41" s="67">
        <f t="shared" si="5"/>
        <v>-5.4919908466818868</v>
      </c>
      <c r="Q41" s="365">
        <f t="shared" si="6"/>
        <v>0.95652173913043503</v>
      </c>
      <c r="R41" s="511"/>
      <c r="S41" s="68">
        <v>0.18055555555555552</v>
      </c>
      <c r="T41" s="68">
        <v>0.26041666666666663</v>
      </c>
      <c r="U41" s="364">
        <f t="shared" ref="U41:U47" si="30">(S41-T40)*24*60</f>
        <v>24.99999999999995</v>
      </c>
      <c r="V41" s="374">
        <f t="shared" si="29"/>
        <v>114.99999999999999</v>
      </c>
      <c r="W41" s="364"/>
      <c r="X41" s="364"/>
      <c r="Y41" s="510"/>
      <c r="Z41" s="510"/>
      <c r="AA41" s="66">
        <f t="shared" si="8"/>
        <v>-104.34782608695605</v>
      </c>
      <c r="AB41" s="365">
        <f t="shared" si="9"/>
        <v>0.95652173913043503</v>
      </c>
      <c r="AC41" s="511"/>
    </row>
    <row r="42" spans="1:29">
      <c r="A42" s="532" t="s">
        <v>2028</v>
      </c>
      <c r="B42" s="62" t="s">
        <v>16</v>
      </c>
      <c r="C42" s="512" t="s">
        <v>50</v>
      </c>
      <c r="D42" s="512"/>
      <c r="E42" s="62">
        <v>20.52</v>
      </c>
      <c r="F42" s="375">
        <v>5321</v>
      </c>
      <c r="G42" s="364">
        <f t="shared" si="27"/>
        <v>109186.92</v>
      </c>
      <c r="H42" s="90" t="s">
        <v>5</v>
      </c>
      <c r="I42" s="373">
        <v>18</v>
      </c>
      <c r="J42" s="63">
        <v>2400</v>
      </c>
      <c r="K42" s="64">
        <f t="shared" si="1"/>
        <v>133.33333333333334</v>
      </c>
      <c r="L42" s="373">
        <v>18</v>
      </c>
      <c r="M42" s="65">
        <f t="shared" si="28"/>
        <v>2296.8345323741009</v>
      </c>
      <c r="N42" s="64">
        <f t="shared" si="3"/>
        <v>127.60191846522783</v>
      </c>
      <c r="O42" s="66">
        <f t="shared" si="4"/>
        <v>0</v>
      </c>
      <c r="P42" s="67">
        <f t="shared" si="5"/>
        <v>-5.7314148681055173</v>
      </c>
      <c r="Q42" s="365">
        <f t="shared" si="6"/>
        <v>0.95701438848920861</v>
      </c>
      <c r="R42" s="511"/>
      <c r="S42" s="68">
        <v>0.26597222222222217</v>
      </c>
      <c r="T42" s="68">
        <v>0.36249999999999993</v>
      </c>
      <c r="U42" s="364">
        <f t="shared" si="30"/>
        <v>7.9999999999999716</v>
      </c>
      <c r="V42" s="374">
        <f t="shared" si="29"/>
        <v>139</v>
      </c>
      <c r="W42" s="364"/>
      <c r="X42" s="364"/>
      <c r="Y42" s="510"/>
      <c r="Z42" s="510"/>
      <c r="AA42" s="66">
        <f t="shared" si="8"/>
        <v>-103.16546762589905</v>
      </c>
      <c r="AB42" s="365">
        <f t="shared" si="9"/>
        <v>0.95701438848920872</v>
      </c>
      <c r="AC42" s="511"/>
    </row>
    <row r="43" spans="1:29">
      <c r="A43" s="532" t="s">
        <v>2028</v>
      </c>
      <c r="B43" s="62" t="s">
        <v>16</v>
      </c>
      <c r="C43" s="512" t="s">
        <v>18</v>
      </c>
      <c r="D43" s="512"/>
      <c r="E43" s="62">
        <v>22.35</v>
      </c>
      <c r="F43" s="375">
        <v>2081</v>
      </c>
      <c r="G43" s="364">
        <f t="shared" si="27"/>
        <v>46510.350000000006</v>
      </c>
      <c r="H43" s="90" t="s">
        <v>5</v>
      </c>
      <c r="I43" s="373">
        <v>16</v>
      </c>
      <c r="J43" s="63">
        <v>2400</v>
      </c>
      <c r="K43" s="64">
        <f t="shared" si="1"/>
        <v>150</v>
      </c>
      <c r="L43" s="373">
        <v>16</v>
      </c>
      <c r="M43" s="65">
        <f t="shared" si="28"/>
        <v>2312.2222222222235</v>
      </c>
      <c r="N43" s="64">
        <f t="shared" si="3"/>
        <v>144.51388888888897</v>
      </c>
      <c r="O43" s="66">
        <f t="shared" si="4"/>
        <v>0</v>
      </c>
      <c r="P43" s="67">
        <f t="shared" si="5"/>
        <v>-5.486111111111029</v>
      </c>
      <c r="Q43" s="365">
        <f t="shared" si="6"/>
        <v>0.96342592592592646</v>
      </c>
      <c r="R43" s="511"/>
      <c r="S43" s="68">
        <v>0.36597222222222214</v>
      </c>
      <c r="T43" s="68">
        <v>0.40347222222222212</v>
      </c>
      <c r="U43" s="364">
        <f t="shared" si="30"/>
        <v>4.9999999999999822</v>
      </c>
      <c r="V43" s="374">
        <f t="shared" si="29"/>
        <v>53.999999999999972</v>
      </c>
      <c r="W43" s="69"/>
      <c r="X43" s="69"/>
      <c r="Y43" s="510"/>
      <c r="Z43" s="510"/>
      <c r="AA43" s="66">
        <f t="shared" si="8"/>
        <v>-87.777777777776464</v>
      </c>
      <c r="AB43" s="365">
        <f t="shared" si="9"/>
        <v>0.96342592592592646</v>
      </c>
      <c r="AC43" s="511"/>
    </row>
    <row r="44" spans="1:29">
      <c r="A44" s="532" t="s">
        <v>2028</v>
      </c>
      <c r="B44" s="62" t="s">
        <v>16</v>
      </c>
      <c r="C44" s="512" t="s">
        <v>33</v>
      </c>
      <c r="D44" s="512"/>
      <c r="E44" s="62">
        <v>24.43</v>
      </c>
      <c r="F44" s="375">
        <v>5200</v>
      </c>
      <c r="G44" s="364">
        <f t="shared" si="27"/>
        <v>127036</v>
      </c>
      <c r="H44" s="90">
        <v>2</v>
      </c>
      <c r="I44" s="373">
        <v>14</v>
      </c>
      <c r="J44" s="63">
        <v>2400</v>
      </c>
      <c r="K44" s="64">
        <f t="shared" si="1"/>
        <v>171.42857142857142</v>
      </c>
      <c r="L44" s="373">
        <v>14</v>
      </c>
      <c r="M44" s="65">
        <f t="shared" si="28"/>
        <v>2294.1176470588234</v>
      </c>
      <c r="N44" s="64">
        <f t="shared" si="3"/>
        <v>163.8655462184874</v>
      </c>
      <c r="O44" s="66">
        <f t="shared" si="4"/>
        <v>0</v>
      </c>
      <c r="P44" s="67">
        <f t="shared" si="5"/>
        <v>-7.563025210084021</v>
      </c>
      <c r="Q44" s="365">
        <f t="shared" si="6"/>
        <v>0.95588235294117652</v>
      </c>
      <c r="R44" s="511"/>
      <c r="S44" s="68">
        <v>0.40833333333333321</v>
      </c>
      <c r="T44" s="68">
        <v>0.50277777777777766</v>
      </c>
      <c r="U44" s="364">
        <f t="shared" si="30"/>
        <v>6.9999999999999751</v>
      </c>
      <c r="V44" s="374">
        <f t="shared" si="29"/>
        <v>136</v>
      </c>
      <c r="W44" s="69">
        <f>T44</f>
        <v>0.50277777777777766</v>
      </c>
      <c r="X44" s="69">
        <f>S45</f>
        <v>0.54444444444444429</v>
      </c>
      <c r="Y44" s="510"/>
      <c r="Z44" s="510"/>
      <c r="AA44" s="66">
        <f t="shared" si="8"/>
        <v>-105.88235294117658</v>
      </c>
      <c r="AB44" s="365">
        <f t="shared" si="9"/>
        <v>0.95588235294117641</v>
      </c>
      <c r="AC44" s="511"/>
    </row>
    <row r="45" spans="1:29">
      <c r="A45" s="532" t="s">
        <v>2028</v>
      </c>
      <c r="B45" s="62" t="s">
        <v>16</v>
      </c>
      <c r="C45" s="512" t="s">
        <v>31</v>
      </c>
      <c r="D45" s="512"/>
      <c r="E45" s="62">
        <v>26.2</v>
      </c>
      <c r="F45" s="375">
        <v>3267</v>
      </c>
      <c r="G45" s="364">
        <f t="shared" si="27"/>
        <v>85595.4</v>
      </c>
      <c r="H45" s="90" t="s">
        <v>5</v>
      </c>
      <c r="I45" s="373">
        <v>18</v>
      </c>
      <c r="J45" s="63">
        <v>2400</v>
      </c>
      <c r="K45" s="64">
        <f t="shared" si="1"/>
        <v>133.33333333333334</v>
      </c>
      <c r="L45" s="373">
        <v>18</v>
      </c>
      <c r="M45" s="65">
        <f t="shared" si="28"/>
        <v>2306.1176470588234</v>
      </c>
      <c r="N45" s="64">
        <f t="shared" si="3"/>
        <v>128.11764705882354</v>
      </c>
      <c r="O45" s="66">
        <f t="shared" si="4"/>
        <v>0</v>
      </c>
      <c r="P45" s="67">
        <f t="shared" si="5"/>
        <v>-5.2156862745098067</v>
      </c>
      <c r="Q45" s="365">
        <f t="shared" si="6"/>
        <v>0.96088235294117641</v>
      </c>
      <c r="R45" s="511"/>
      <c r="S45" s="68">
        <v>0.54444444444444429</v>
      </c>
      <c r="T45" s="68">
        <v>0.60347222222222208</v>
      </c>
      <c r="U45" s="364">
        <f t="shared" si="30"/>
        <v>59.999999999999943</v>
      </c>
      <c r="V45" s="374">
        <f t="shared" si="29"/>
        <v>85.000000000000014</v>
      </c>
      <c r="W45" s="69"/>
      <c r="X45" s="69"/>
      <c r="Y45" s="510"/>
      <c r="Z45" s="510"/>
      <c r="AA45" s="66">
        <f t="shared" si="8"/>
        <v>-93.882352941176578</v>
      </c>
      <c r="AB45" s="365">
        <f t="shared" si="9"/>
        <v>0.96088235294117641</v>
      </c>
      <c r="AC45" s="511"/>
    </row>
    <row r="46" spans="1:29">
      <c r="A46" s="532" t="s">
        <v>2028</v>
      </c>
      <c r="B46" s="62" t="s">
        <v>16</v>
      </c>
      <c r="C46" s="512" t="s">
        <v>32</v>
      </c>
      <c r="D46" s="512"/>
      <c r="E46" s="62">
        <v>26.39</v>
      </c>
      <c r="F46" s="375">
        <v>3075</v>
      </c>
      <c r="G46" s="364">
        <f t="shared" si="27"/>
        <v>81149.25</v>
      </c>
      <c r="H46" s="90" t="s">
        <v>5</v>
      </c>
      <c r="I46" s="373">
        <v>19</v>
      </c>
      <c r="J46" s="63">
        <v>2400</v>
      </c>
      <c r="K46" s="64">
        <f t="shared" si="1"/>
        <v>126.31578947368421</v>
      </c>
      <c r="L46" s="373">
        <v>19</v>
      </c>
      <c r="M46" s="65">
        <f t="shared" si="28"/>
        <v>2306.2499999999991</v>
      </c>
      <c r="N46" s="64">
        <f t="shared" si="3"/>
        <v>121.38157894736837</v>
      </c>
      <c r="O46" s="66">
        <f t="shared" si="4"/>
        <v>0</v>
      </c>
      <c r="P46" s="67">
        <f t="shared" si="5"/>
        <v>-4.9342105263158373</v>
      </c>
      <c r="Q46" s="365">
        <f t="shared" si="6"/>
        <v>0.96093749999999967</v>
      </c>
      <c r="R46" s="511"/>
      <c r="S46" s="68">
        <v>0.60694444444444429</v>
      </c>
      <c r="T46" s="68">
        <v>0.66249999999999987</v>
      </c>
      <c r="U46" s="364">
        <f t="shared" si="30"/>
        <v>4.9999999999999822</v>
      </c>
      <c r="V46" s="374">
        <f t="shared" si="29"/>
        <v>80.000000000000028</v>
      </c>
      <c r="W46" s="69"/>
      <c r="X46" s="69"/>
      <c r="Y46" s="517"/>
      <c r="Z46" s="518"/>
      <c r="AA46" s="66">
        <f t="shared" si="8"/>
        <v>-93.750000000000909</v>
      </c>
      <c r="AB46" s="365">
        <f t="shared" si="9"/>
        <v>0.96093749999999967</v>
      </c>
      <c r="AC46" s="511"/>
    </row>
    <row r="47" spans="1:29">
      <c r="A47" s="532" t="s">
        <v>2028</v>
      </c>
      <c r="B47" s="62" t="s">
        <v>16</v>
      </c>
      <c r="C47" s="512" t="s">
        <v>33</v>
      </c>
      <c r="D47" s="512"/>
      <c r="E47" s="62">
        <v>24.43</v>
      </c>
      <c r="F47" s="375">
        <v>3939</v>
      </c>
      <c r="G47" s="364">
        <f t="shared" si="27"/>
        <v>96229.77</v>
      </c>
      <c r="H47" s="90" t="s">
        <v>5</v>
      </c>
      <c r="I47" s="373">
        <v>14</v>
      </c>
      <c r="J47" s="63">
        <v>2400</v>
      </c>
      <c r="K47" s="64">
        <f t="shared" si="1"/>
        <v>171.42857142857142</v>
      </c>
      <c r="L47" s="373">
        <v>14</v>
      </c>
      <c r="M47" s="65">
        <f t="shared" si="28"/>
        <v>2294.5631067961172</v>
      </c>
      <c r="N47" s="64">
        <f t="shared" si="3"/>
        <v>163.89736477115122</v>
      </c>
      <c r="O47" s="66">
        <f t="shared" si="4"/>
        <v>0</v>
      </c>
      <c r="P47" s="67">
        <f t="shared" si="5"/>
        <v>-7.5312066574201992</v>
      </c>
      <c r="Q47" s="365">
        <f t="shared" si="6"/>
        <v>0.95606796116504889</v>
      </c>
      <c r="R47" s="511"/>
      <c r="S47" s="68">
        <v>0.66736111111111096</v>
      </c>
      <c r="T47" s="68">
        <v>0.73888888888888871</v>
      </c>
      <c r="U47" s="364">
        <f t="shared" si="30"/>
        <v>6.9999999999999751</v>
      </c>
      <c r="V47" s="374">
        <f t="shared" si="29"/>
        <v>102.99999999999996</v>
      </c>
      <c r="W47" s="69"/>
      <c r="X47" s="69"/>
      <c r="Y47" s="517"/>
      <c r="Z47" s="518"/>
      <c r="AA47" s="66">
        <f t="shared" si="8"/>
        <v>-105.43689320388285</v>
      </c>
      <c r="AB47" s="365">
        <f t="shared" si="9"/>
        <v>0.95606796116504877</v>
      </c>
      <c r="AC47" s="511"/>
    </row>
    <row r="48" spans="1:29">
      <c r="A48" s="532" t="s">
        <v>2028</v>
      </c>
      <c r="B48" s="71" t="s">
        <v>2026</v>
      </c>
      <c r="C48" s="513"/>
      <c r="D48" s="513"/>
      <c r="E48" s="366"/>
      <c r="F48" s="71"/>
      <c r="G48" s="64"/>
      <c r="H48" s="375"/>
      <c r="I48" s="72">
        <v>17</v>
      </c>
      <c r="J48" s="63">
        <v>2400</v>
      </c>
      <c r="K48" s="64">
        <f t="shared" si="1"/>
        <v>141.1764705882353</v>
      </c>
      <c r="L48" s="72">
        <v>17</v>
      </c>
      <c r="M48" s="65">
        <f>AVERAGE(M40:M47)</f>
        <v>2300.1761879170222</v>
      </c>
      <c r="N48" s="64">
        <f t="shared" si="3"/>
        <v>135.30448164217776</v>
      </c>
      <c r="O48" s="66">
        <f t="shared" si="4"/>
        <v>0</v>
      </c>
      <c r="P48" s="67">
        <f t="shared" si="5"/>
        <v>-5.8719889460575416</v>
      </c>
      <c r="Q48" s="365">
        <f t="shared" si="6"/>
        <v>0.95840674496542577</v>
      </c>
      <c r="R48" s="511"/>
      <c r="S48" s="68"/>
      <c r="T48" s="68"/>
      <c r="U48" s="64"/>
      <c r="V48" s="374"/>
      <c r="W48" s="64"/>
      <c r="X48" s="64"/>
      <c r="Y48" s="510"/>
      <c r="Z48" s="510"/>
      <c r="AA48" s="66">
        <f t="shared" si="8"/>
        <v>-99.823812082977838</v>
      </c>
      <c r="AB48" s="365">
        <f t="shared" si="9"/>
        <v>0.95840674496542588</v>
      </c>
      <c r="AC48" s="511"/>
    </row>
    <row r="49" spans="1:29" ht="15.75" customHeight="1">
      <c r="A49" s="525" t="s">
        <v>2029</v>
      </c>
      <c r="B49" s="62" t="s">
        <v>35</v>
      </c>
      <c r="C49" s="521" t="s">
        <v>36</v>
      </c>
      <c r="D49" s="522"/>
      <c r="E49" s="62">
        <v>21.13</v>
      </c>
      <c r="F49" s="375">
        <v>3400</v>
      </c>
      <c r="G49" s="364">
        <f t="shared" ref="G49:G57" si="31">E49*F49</f>
        <v>71842</v>
      </c>
      <c r="H49" s="90">
        <v>2</v>
      </c>
      <c r="I49" s="373">
        <v>10</v>
      </c>
      <c r="J49" s="63">
        <v>3000</v>
      </c>
      <c r="K49" s="64">
        <f t="shared" si="1"/>
        <v>300</v>
      </c>
      <c r="L49" s="373">
        <v>10</v>
      </c>
      <c r="M49" s="65">
        <f t="shared" ref="M49:M57" si="32">F49/V49*60</f>
        <v>2873.2394366197177</v>
      </c>
      <c r="N49" s="65">
        <f t="shared" si="3"/>
        <v>287.32394366197178</v>
      </c>
      <c r="O49" s="66">
        <f t="shared" si="4"/>
        <v>0</v>
      </c>
      <c r="P49" s="67">
        <f t="shared" si="5"/>
        <v>-12.676056338028218</v>
      </c>
      <c r="Q49" s="365">
        <f t="shared" si="6"/>
        <v>0.95774647887323927</v>
      </c>
      <c r="R49" s="528">
        <f>Q58</f>
        <v>0.95540679803760908</v>
      </c>
      <c r="S49" s="68">
        <v>8.3333333333333329E-2</v>
      </c>
      <c r="T49" s="68">
        <v>0.13263888888888889</v>
      </c>
      <c r="U49" s="68"/>
      <c r="V49" s="90">
        <v>71.000000000000014</v>
      </c>
      <c r="W49" s="391">
        <v>0.13263888888888889</v>
      </c>
      <c r="X49" s="391">
        <v>0.14999999999999997</v>
      </c>
      <c r="Y49" s="517"/>
      <c r="Z49" s="518"/>
      <c r="AA49" s="66">
        <f t="shared" si="8"/>
        <v>-126.76056338028229</v>
      </c>
      <c r="AB49" s="365">
        <f t="shared" si="9"/>
        <v>0.95774647887323927</v>
      </c>
      <c r="AC49" s="528">
        <f>AB58</f>
        <v>0.9554067980376092</v>
      </c>
    </row>
    <row r="50" spans="1:29" ht="15.75" customHeight="1">
      <c r="A50" s="526" t="s">
        <v>2029</v>
      </c>
      <c r="B50" s="62" t="s">
        <v>35</v>
      </c>
      <c r="C50" s="521" t="s">
        <v>37</v>
      </c>
      <c r="D50" s="522"/>
      <c r="E50" s="62">
        <v>27.17</v>
      </c>
      <c r="F50" s="375">
        <v>4300</v>
      </c>
      <c r="G50" s="364">
        <f t="shared" si="31"/>
        <v>116831.00000000001</v>
      </c>
      <c r="H50" s="90">
        <v>2</v>
      </c>
      <c r="I50" s="373">
        <v>10</v>
      </c>
      <c r="J50" s="63">
        <v>3000</v>
      </c>
      <c r="K50" s="64">
        <f t="shared" si="1"/>
        <v>300</v>
      </c>
      <c r="L50" s="373">
        <v>10</v>
      </c>
      <c r="M50" s="65">
        <f t="shared" si="32"/>
        <v>2866.6666666666665</v>
      </c>
      <c r="N50" s="65">
        <f t="shared" si="3"/>
        <v>286.66666666666663</v>
      </c>
      <c r="O50" s="66">
        <f t="shared" si="4"/>
        <v>0</v>
      </c>
      <c r="P50" s="67">
        <f t="shared" si="5"/>
        <v>-13.333333333333371</v>
      </c>
      <c r="Q50" s="365">
        <f t="shared" si="6"/>
        <v>0.95555555555555538</v>
      </c>
      <c r="R50" s="529"/>
      <c r="S50" s="68">
        <v>0.14999999999999997</v>
      </c>
      <c r="T50" s="68">
        <v>0.21249999999999997</v>
      </c>
      <c r="U50" s="375">
        <v>24.99999999999995</v>
      </c>
      <c r="V50" s="90">
        <v>90</v>
      </c>
      <c r="W50" s="391"/>
      <c r="X50" s="391"/>
      <c r="Y50" s="517"/>
      <c r="Z50" s="518"/>
      <c r="AA50" s="66">
        <f t="shared" si="8"/>
        <v>-133.33333333333348</v>
      </c>
      <c r="AB50" s="365">
        <f t="shared" si="9"/>
        <v>0.95555555555555549</v>
      </c>
      <c r="AC50" s="529"/>
    </row>
    <row r="51" spans="1:29" ht="15.75" customHeight="1">
      <c r="A51" s="526" t="s">
        <v>2029</v>
      </c>
      <c r="B51" s="62" t="s">
        <v>35</v>
      </c>
      <c r="C51" s="521" t="s">
        <v>38</v>
      </c>
      <c r="D51" s="522"/>
      <c r="E51" s="62">
        <v>35.119999999999997</v>
      </c>
      <c r="F51" s="375">
        <v>5091</v>
      </c>
      <c r="G51" s="364">
        <f t="shared" si="31"/>
        <v>178795.91999999998</v>
      </c>
      <c r="H51" s="90" t="s">
        <v>5</v>
      </c>
      <c r="I51" s="373">
        <v>10</v>
      </c>
      <c r="J51" s="63">
        <v>3000</v>
      </c>
      <c r="K51" s="64">
        <f t="shared" si="1"/>
        <v>300</v>
      </c>
      <c r="L51" s="373">
        <v>10</v>
      </c>
      <c r="M51" s="65">
        <f t="shared" si="32"/>
        <v>2854.7663551401874</v>
      </c>
      <c r="N51" s="65">
        <f t="shared" si="3"/>
        <v>285.47663551401877</v>
      </c>
      <c r="O51" s="66">
        <f t="shared" si="4"/>
        <v>0</v>
      </c>
      <c r="P51" s="67">
        <f t="shared" si="5"/>
        <v>-14.523364485981233</v>
      </c>
      <c r="Q51" s="365">
        <f t="shared" si="6"/>
        <v>0.95158878504672917</v>
      </c>
      <c r="R51" s="529"/>
      <c r="S51" s="68">
        <v>0.21666666666666665</v>
      </c>
      <c r="T51" s="68">
        <v>0.29097222222222219</v>
      </c>
      <c r="U51" s="375">
        <v>6.0000000000000187</v>
      </c>
      <c r="V51" s="90">
        <v>106.99999999999999</v>
      </c>
      <c r="W51" s="391"/>
      <c r="X51" s="391"/>
      <c r="Y51" s="517"/>
      <c r="Z51" s="518"/>
      <c r="AA51" s="66">
        <f t="shared" si="8"/>
        <v>-145.23364485981256</v>
      </c>
      <c r="AB51" s="365">
        <f t="shared" si="9"/>
        <v>0.95158878504672917</v>
      </c>
      <c r="AC51" s="529"/>
    </row>
    <row r="52" spans="1:29" ht="15.75" customHeight="1">
      <c r="A52" s="526" t="s">
        <v>2029</v>
      </c>
      <c r="B52" s="62" t="s">
        <v>35</v>
      </c>
      <c r="C52" s="521" t="s">
        <v>39</v>
      </c>
      <c r="D52" s="522"/>
      <c r="E52" s="62">
        <v>35.869999999999997</v>
      </c>
      <c r="F52" s="375">
        <v>3235</v>
      </c>
      <c r="G52" s="364">
        <f t="shared" si="31"/>
        <v>116039.45</v>
      </c>
      <c r="H52" s="90" t="s">
        <v>5</v>
      </c>
      <c r="I52" s="373">
        <v>9</v>
      </c>
      <c r="J52" s="63">
        <v>3000</v>
      </c>
      <c r="K52" s="64">
        <f t="shared" si="1"/>
        <v>333.33333333333331</v>
      </c>
      <c r="L52" s="373">
        <v>9</v>
      </c>
      <c r="M52" s="65">
        <f t="shared" si="32"/>
        <v>2854.411764705882</v>
      </c>
      <c r="N52" s="65">
        <f t="shared" si="3"/>
        <v>317.15686274509801</v>
      </c>
      <c r="O52" s="66">
        <f t="shared" si="4"/>
        <v>0</v>
      </c>
      <c r="P52" s="67">
        <f t="shared" si="5"/>
        <v>-16.176470588235304</v>
      </c>
      <c r="Q52" s="365">
        <f t="shared" si="6"/>
        <v>0.95147058823529407</v>
      </c>
      <c r="R52" s="529"/>
      <c r="S52" s="68">
        <v>0.29513888888888884</v>
      </c>
      <c r="T52" s="68">
        <v>0.34236111111111106</v>
      </c>
      <c r="U52" s="375">
        <v>5.9999999999999787</v>
      </c>
      <c r="V52" s="90">
        <v>68</v>
      </c>
      <c r="W52" s="391"/>
      <c r="X52" s="391"/>
      <c r="Y52" s="517"/>
      <c r="Z52" s="518"/>
      <c r="AA52" s="66">
        <f t="shared" si="8"/>
        <v>-145.58823529411802</v>
      </c>
      <c r="AB52" s="365">
        <f t="shared" si="9"/>
        <v>0.95147058823529396</v>
      </c>
      <c r="AC52" s="529"/>
    </row>
    <row r="53" spans="1:29" ht="15.75" customHeight="1">
      <c r="A53" s="526" t="s">
        <v>2029</v>
      </c>
      <c r="B53" s="62" t="s">
        <v>35</v>
      </c>
      <c r="C53" s="521" t="s">
        <v>40</v>
      </c>
      <c r="D53" s="522"/>
      <c r="E53" s="62">
        <v>36.14</v>
      </c>
      <c r="F53" s="375">
        <v>1534</v>
      </c>
      <c r="G53" s="364">
        <f t="shared" si="31"/>
        <v>55438.76</v>
      </c>
      <c r="H53" s="90" t="s">
        <v>5</v>
      </c>
      <c r="I53" s="373">
        <v>9</v>
      </c>
      <c r="J53" s="63">
        <v>3000</v>
      </c>
      <c r="K53" s="64">
        <f t="shared" si="1"/>
        <v>333.33333333333331</v>
      </c>
      <c r="L53" s="373">
        <v>9</v>
      </c>
      <c r="M53" s="65">
        <f t="shared" si="32"/>
        <v>2876.2500000000032</v>
      </c>
      <c r="N53" s="65">
        <f t="shared" si="3"/>
        <v>319.58333333333371</v>
      </c>
      <c r="O53" s="66">
        <f t="shared" si="4"/>
        <v>0</v>
      </c>
      <c r="P53" s="67">
        <f t="shared" si="5"/>
        <v>-13.749999999999602</v>
      </c>
      <c r="Q53" s="365">
        <f t="shared" si="6"/>
        <v>0.95875000000000121</v>
      </c>
      <c r="R53" s="529"/>
      <c r="S53" s="68">
        <v>0.34652777777777771</v>
      </c>
      <c r="T53" s="68">
        <v>0.36874999999999991</v>
      </c>
      <c r="U53" s="375">
        <v>5.9999999999999787</v>
      </c>
      <c r="V53" s="90">
        <v>31.999999999999964</v>
      </c>
      <c r="W53" s="391"/>
      <c r="X53" s="391"/>
      <c r="Y53" s="517"/>
      <c r="Z53" s="518"/>
      <c r="AA53" s="66">
        <f t="shared" si="8"/>
        <v>-123.74999999999682</v>
      </c>
      <c r="AB53" s="365">
        <f t="shared" si="9"/>
        <v>0.9587500000000011</v>
      </c>
      <c r="AC53" s="529"/>
    </row>
    <row r="54" spans="1:29" ht="15.75" customHeight="1">
      <c r="A54" s="526" t="s">
        <v>2029</v>
      </c>
      <c r="B54" s="62" t="s">
        <v>35</v>
      </c>
      <c r="C54" s="521" t="s">
        <v>74</v>
      </c>
      <c r="D54" s="522"/>
      <c r="E54" s="62">
        <v>34.36</v>
      </c>
      <c r="F54" s="375">
        <v>2770</v>
      </c>
      <c r="G54" s="364">
        <f t="shared" si="31"/>
        <v>95177.2</v>
      </c>
      <c r="H54" s="90" t="s">
        <v>5</v>
      </c>
      <c r="I54" s="373">
        <v>10</v>
      </c>
      <c r="J54" s="63">
        <v>3000</v>
      </c>
      <c r="K54" s="64">
        <f t="shared" si="1"/>
        <v>300</v>
      </c>
      <c r="L54" s="373">
        <v>10</v>
      </c>
      <c r="M54" s="65">
        <f t="shared" si="32"/>
        <v>2865.5172413793089</v>
      </c>
      <c r="N54" s="65">
        <f t="shared" si="3"/>
        <v>286.55172413793088</v>
      </c>
      <c r="O54" s="66">
        <f t="shared" si="4"/>
        <v>0</v>
      </c>
      <c r="P54" s="67">
        <f t="shared" si="5"/>
        <v>-13.448275862069124</v>
      </c>
      <c r="Q54" s="365">
        <f t="shared" si="6"/>
        <v>0.95517241379310291</v>
      </c>
      <c r="R54" s="529"/>
      <c r="S54" s="68">
        <v>0.37430555555555545</v>
      </c>
      <c r="T54" s="68">
        <v>0.41458333333333325</v>
      </c>
      <c r="U54" s="375">
        <v>7.9999999999999716</v>
      </c>
      <c r="V54" s="90">
        <v>58.000000000000036</v>
      </c>
      <c r="W54" s="391"/>
      <c r="X54" s="391"/>
      <c r="Y54" s="517"/>
      <c r="Z54" s="518"/>
      <c r="AA54" s="66">
        <f t="shared" si="8"/>
        <v>-134.48275862069113</v>
      </c>
      <c r="AB54" s="365">
        <f t="shared" si="9"/>
        <v>0.95517241379310291</v>
      </c>
      <c r="AC54" s="529"/>
    </row>
    <row r="55" spans="1:29" ht="15.75" customHeight="1">
      <c r="A55" s="526" t="s">
        <v>2029</v>
      </c>
      <c r="B55" s="62" t="s">
        <v>35</v>
      </c>
      <c r="C55" s="521" t="s">
        <v>84</v>
      </c>
      <c r="D55" s="522"/>
      <c r="E55" s="62">
        <v>31</v>
      </c>
      <c r="F55" s="375">
        <v>4748</v>
      </c>
      <c r="G55" s="364">
        <f t="shared" si="31"/>
        <v>147188</v>
      </c>
      <c r="H55" s="90" t="s">
        <v>5</v>
      </c>
      <c r="I55" s="373">
        <v>13</v>
      </c>
      <c r="J55" s="63">
        <v>2000</v>
      </c>
      <c r="K55" s="64">
        <f t="shared" si="1"/>
        <v>153.84615384615384</v>
      </c>
      <c r="L55" s="373">
        <v>13</v>
      </c>
      <c r="M55" s="65">
        <f t="shared" si="32"/>
        <v>1911.9463087248319</v>
      </c>
      <c r="N55" s="65">
        <f t="shared" si="3"/>
        <v>147.07279297883321</v>
      </c>
      <c r="O55" s="66">
        <f t="shared" si="4"/>
        <v>0</v>
      </c>
      <c r="P55" s="67">
        <f t="shared" si="5"/>
        <v>-6.7733608673206334</v>
      </c>
      <c r="Q55" s="365">
        <f t="shared" si="6"/>
        <v>0.95597315436241592</v>
      </c>
      <c r="R55" s="529"/>
      <c r="S55" s="68">
        <v>0.41944444444444434</v>
      </c>
      <c r="T55" s="68">
        <v>0.52291666666666659</v>
      </c>
      <c r="U55" s="375">
        <v>6.9999999999999751</v>
      </c>
      <c r="V55" s="90">
        <v>149.00000000000003</v>
      </c>
      <c r="W55" s="391">
        <v>0.52291666666666659</v>
      </c>
      <c r="X55" s="391">
        <v>0.56249999999999989</v>
      </c>
      <c r="Y55" s="517"/>
      <c r="Z55" s="518"/>
      <c r="AA55" s="66">
        <f t="shared" si="8"/>
        <v>-88.053691275168148</v>
      </c>
      <c r="AB55" s="365">
        <f t="shared" si="9"/>
        <v>0.95597315436241592</v>
      </c>
      <c r="AC55" s="529"/>
    </row>
    <row r="56" spans="1:29" ht="15.75" customHeight="1">
      <c r="A56" s="526" t="s">
        <v>2029</v>
      </c>
      <c r="B56" s="62" t="s">
        <v>35</v>
      </c>
      <c r="C56" s="521" t="s">
        <v>37</v>
      </c>
      <c r="D56" s="522"/>
      <c r="E56" s="62">
        <v>27.17</v>
      </c>
      <c r="F56" s="375">
        <v>3342</v>
      </c>
      <c r="G56" s="364">
        <f t="shared" si="31"/>
        <v>90802.14</v>
      </c>
      <c r="H56" s="90" t="s">
        <v>5</v>
      </c>
      <c r="I56" s="373">
        <v>10</v>
      </c>
      <c r="J56" s="63">
        <v>3000</v>
      </c>
      <c r="K56" s="64">
        <f t="shared" si="1"/>
        <v>300</v>
      </c>
      <c r="L56" s="373">
        <v>10</v>
      </c>
      <c r="M56" s="65">
        <f t="shared" si="32"/>
        <v>2864.5714285714257</v>
      </c>
      <c r="N56" s="65">
        <f t="shared" si="3"/>
        <v>286.45714285714257</v>
      </c>
      <c r="O56" s="66">
        <f t="shared" si="4"/>
        <v>0</v>
      </c>
      <c r="P56" s="67">
        <f t="shared" si="5"/>
        <v>-13.542857142857429</v>
      </c>
      <c r="Q56" s="365">
        <f t="shared" si="6"/>
        <v>0.95485714285714185</v>
      </c>
      <c r="R56" s="529"/>
      <c r="S56" s="68">
        <v>0.56249999999999989</v>
      </c>
      <c r="T56" s="68">
        <v>0.61111111111111105</v>
      </c>
      <c r="U56" s="375">
        <v>56.999999999999957</v>
      </c>
      <c r="V56" s="90">
        <v>70.000000000000071</v>
      </c>
      <c r="W56" s="391"/>
      <c r="X56" s="391"/>
      <c r="Y56" s="517"/>
      <c r="Z56" s="518"/>
      <c r="AA56" s="66">
        <f t="shared" si="8"/>
        <v>-135.42857142857429</v>
      </c>
      <c r="AB56" s="365">
        <f t="shared" si="9"/>
        <v>0.95485714285714185</v>
      </c>
      <c r="AC56" s="529"/>
    </row>
    <row r="57" spans="1:29" ht="15.75" customHeight="1">
      <c r="A57" s="526" t="s">
        <v>2029</v>
      </c>
      <c r="B57" s="62" t="s">
        <v>35</v>
      </c>
      <c r="C57" s="521" t="s">
        <v>36</v>
      </c>
      <c r="D57" s="522"/>
      <c r="E57" s="62">
        <v>21.13</v>
      </c>
      <c r="F57" s="375">
        <v>2538</v>
      </c>
      <c r="G57" s="364">
        <f t="shared" si="31"/>
        <v>53627.939999999995</v>
      </c>
      <c r="H57" s="90" t="s">
        <v>5</v>
      </c>
      <c r="I57" s="373">
        <v>10</v>
      </c>
      <c r="J57" s="63">
        <v>3000</v>
      </c>
      <c r="K57" s="64">
        <f t="shared" si="1"/>
        <v>300</v>
      </c>
      <c r="L57" s="373">
        <v>10</v>
      </c>
      <c r="M57" s="65">
        <f t="shared" si="32"/>
        <v>2873.2075471698126</v>
      </c>
      <c r="N57" s="65">
        <f t="shared" si="3"/>
        <v>287.32075471698124</v>
      </c>
      <c r="O57" s="66">
        <f t="shared" si="4"/>
        <v>0</v>
      </c>
      <c r="P57" s="67">
        <f t="shared" si="5"/>
        <v>-12.679245283018759</v>
      </c>
      <c r="Q57" s="365">
        <f t="shared" si="6"/>
        <v>0.95773584905660414</v>
      </c>
      <c r="R57" s="529"/>
      <c r="S57" s="68">
        <v>0.61458333333333326</v>
      </c>
      <c r="T57" s="68">
        <v>0.6513888888888888</v>
      </c>
      <c r="U57" s="375">
        <v>4.9999999999999822</v>
      </c>
      <c r="V57" s="90">
        <v>52.999999999999972</v>
      </c>
      <c r="W57" s="391"/>
      <c r="X57" s="391"/>
      <c r="Y57" s="517"/>
      <c r="Z57" s="518"/>
      <c r="AA57" s="66">
        <f t="shared" si="8"/>
        <v>-126.79245283018736</v>
      </c>
      <c r="AB57" s="365">
        <f t="shared" si="9"/>
        <v>0.95773584905660425</v>
      </c>
      <c r="AC57" s="529"/>
    </row>
    <row r="58" spans="1:29" ht="15.75" customHeight="1">
      <c r="A58" s="527" t="s">
        <v>2029</v>
      </c>
      <c r="B58" s="62" t="s">
        <v>2026</v>
      </c>
      <c r="C58" s="508"/>
      <c r="D58" s="509"/>
      <c r="E58" s="363"/>
      <c r="F58" s="375"/>
      <c r="G58" s="364"/>
      <c r="H58" s="375"/>
      <c r="I58" s="72">
        <v>10.111111111111111</v>
      </c>
      <c r="J58" s="63">
        <v>2888.8888888888887</v>
      </c>
      <c r="K58" s="64">
        <f t="shared" si="1"/>
        <v>285.71428571428572</v>
      </c>
      <c r="L58" s="72">
        <v>10.111111111111111</v>
      </c>
      <c r="M58" s="65">
        <f>AVERAGE(M49:M57)</f>
        <v>2760.0640832197596</v>
      </c>
      <c r="N58" s="64">
        <f t="shared" si="3"/>
        <v>272.97337086788832</v>
      </c>
      <c r="O58" s="66">
        <f t="shared" si="4"/>
        <v>0</v>
      </c>
      <c r="P58" s="67">
        <f t="shared" si="5"/>
        <v>-12.740914846397402</v>
      </c>
      <c r="Q58" s="365">
        <f t="shared" si="6"/>
        <v>0.95540679803760908</v>
      </c>
      <c r="R58" s="530"/>
      <c r="S58" s="68"/>
      <c r="T58" s="68"/>
      <c r="U58" s="364"/>
      <c r="V58" s="374"/>
      <c r="W58" s="69"/>
      <c r="X58" s="69"/>
      <c r="Y58" s="517"/>
      <c r="Z58" s="518"/>
      <c r="AA58" s="66">
        <f t="shared" si="8"/>
        <v>-128.82480566912909</v>
      </c>
      <c r="AB58" s="365">
        <f t="shared" si="9"/>
        <v>0.9554067980376092</v>
      </c>
      <c r="AC58" s="530"/>
    </row>
    <row r="59" spans="1:29" ht="15.75" customHeight="1">
      <c r="A59" s="523" t="s">
        <v>2030</v>
      </c>
      <c r="B59" s="62" t="s">
        <v>10</v>
      </c>
      <c r="C59" s="512" t="s">
        <v>41</v>
      </c>
      <c r="D59" s="512"/>
      <c r="E59" s="62">
        <v>46</v>
      </c>
      <c r="F59" s="74">
        <v>2554</v>
      </c>
      <c r="G59" s="364">
        <f t="shared" ref="G59:G64" si="33">E59*F59</f>
        <v>117484</v>
      </c>
      <c r="H59" s="90" t="s">
        <v>5</v>
      </c>
      <c r="I59" s="373">
        <v>17</v>
      </c>
      <c r="J59" s="63">
        <v>2000</v>
      </c>
      <c r="K59" s="64">
        <f t="shared" si="1"/>
        <v>117.64705882352941</v>
      </c>
      <c r="L59" s="373">
        <v>17</v>
      </c>
      <c r="M59" s="65">
        <f t="shared" ref="M59:M64" si="34">F59/V59*60</f>
        <v>1915.5</v>
      </c>
      <c r="N59" s="65">
        <f t="shared" si="3"/>
        <v>112.67647058823529</v>
      </c>
      <c r="O59" s="66">
        <f t="shared" si="4"/>
        <v>0</v>
      </c>
      <c r="P59" s="67">
        <f t="shared" si="5"/>
        <v>-4.970588235294116</v>
      </c>
      <c r="Q59" s="365">
        <f t="shared" si="6"/>
        <v>0.95774999999999999</v>
      </c>
      <c r="R59" s="511">
        <f>Q65</f>
        <v>0.95647907627564144</v>
      </c>
      <c r="S59" s="68">
        <v>0.20833333333333334</v>
      </c>
      <c r="T59" s="68">
        <v>0.2638888888888889</v>
      </c>
      <c r="U59" s="73"/>
      <c r="V59" s="374">
        <f t="shared" ref="V59:V64" si="35">(T59-S59)*24*60</f>
        <v>80</v>
      </c>
      <c r="W59" s="73"/>
      <c r="X59" s="73"/>
      <c r="Y59" s="510"/>
      <c r="Z59" s="510"/>
      <c r="AA59" s="66">
        <f t="shared" si="8"/>
        <v>-84.5</v>
      </c>
      <c r="AB59" s="365">
        <f t="shared" si="9"/>
        <v>0.95774999999999999</v>
      </c>
      <c r="AC59" s="511">
        <f>AB65</f>
        <v>0.95647907627564133</v>
      </c>
    </row>
    <row r="60" spans="1:29" ht="15.75" customHeight="1">
      <c r="A60" s="523" t="s">
        <v>2030</v>
      </c>
      <c r="B60" s="62" t="s">
        <v>10</v>
      </c>
      <c r="C60" s="512" t="s">
        <v>42</v>
      </c>
      <c r="D60" s="512"/>
      <c r="E60" s="62">
        <v>46</v>
      </c>
      <c r="F60" s="74">
        <v>2679</v>
      </c>
      <c r="G60" s="364">
        <f t="shared" si="33"/>
        <v>123234</v>
      </c>
      <c r="H60" s="90" t="s">
        <v>5</v>
      </c>
      <c r="I60" s="373">
        <v>17</v>
      </c>
      <c r="J60" s="63">
        <v>2000</v>
      </c>
      <c r="K60" s="64">
        <f t="shared" si="1"/>
        <v>117.64705882352941</v>
      </c>
      <c r="L60" s="373">
        <v>17</v>
      </c>
      <c r="M60" s="65">
        <f t="shared" si="34"/>
        <v>1913.571428571428</v>
      </c>
      <c r="N60" s="65">
        <f t="shared" si="3"/>
        <v>112.56302521008399</v>
      </c>
      <c r="O60" s="66">
        <f t="shared" si="4"/>
        <v>0</v>
      </c>
      <c r="P60" s="67">
        <f t="shared" si="5"/>
        <v>-5.0840336134454134</v>
      </c>
      <c r="Q60" s="365">
        <f t="shared" si="6"/>
        <v>0.95678571428571402</v>
      </c>
      <c r="R60" s="511"/>
      <c r="S60" s="68">
        <v>0.26944444444444443</v>
      </c>
      <c r="T60" s="68">
        <v>0.32777777777777778</v>
      </c>
      <c r="U60" s="364">
        <f t="shared" ref="U60:U64" si="36">IF(S60=TIME(17,0,0),"",(S60-T59)*24*60)</f>
        <v>7.9999999999999716</v>
      </c>
      <c r="V60" s="374">
        <f t="shared" si="35"/>
        <v>84.000000000000028</v>
      </c>
      <c r="W60" s="69"/>
      <c r="X60" s="69"/>
      <c r="Y60" s="510"/>
      <c r="Z60" s="510"/>
      <c r="AA60" s="66">
        <f t="shared" si="8"/>
        <v>-86.428571428572013</v>
      </c>
      <c r="AB60" s="365">
        <f t="shared" si="9"/>
        <v>0.95678571428571402</v>
      </c>
      <c r="AC60" s="511"/>
    </row>
    <row r="61" spans="1:29" ht="15.75" customHeight="1">
      <c r="A61" s="523" t="s">
        <v>2030</v>
      </c>
      <c r="B61" s="62" t="s">
        <v>6</v>
      </c>
      <c r="C61" s="521" t="s">
        <v>43</v>
      </c>
      <c r="D61" s="522"/>
      <c r="E61" s="62">
        <v>55.56</v>
      </c>
      <c r="F61" s="74">
        <v>2339</v>
      </c>
      <c r="G61" s="364">
        <f t="shared" si="33"/>
        <v>129954.84000000001</v>
      </c>
      <c r="H61" s="90" t="s">
        <v>5</v>
      </c>
      <c r="I61" s="373">
        <v>17</v>
      </c>
      <c r="J61" s="63">
        <v>2000</v>
      </c>
      <c r="K61" s="64">
        <f t="shared" si="1"/>
        <v>117.64705882352941</v>
      </c>
      <c r="L61" s="373">
        <v>17</v>
      </c>
      <c r="M61" s="65">
        <f t="shared" si="34"/>
        <v>1922.4657534246562</v>
      </c>
      <c r="N61" s="65">
        <f t="shared" si="3"/>
        <v>113.08622078968565</v>
      </c>
      <c r="O61" s="66">
        <f t="shared" si="4"/>
        <v>0</v>
      </c>
      <c r="P61" s="67">
        <f t="shared" si="5"/>
        <v>-4.5608380338437513</v>
      </c>
      <c r="Q61" s="365">
        <f t="shared" si="6"/>
        <v>0.96123287671232815</v>
      </c>
      <c r="R61" s="511"/>
      <c r="S61" s="68">
        <v>0.70833333333333337</v>
      </c>
      <c r="T61" s="68">
        <v>0.75902777777777786</v>
      </c>
      <c r="U61" s="364" t="str">
        <f t="shared" si="36"/>
        <v/>
      </c>
      <c r="V61" s="374">
        <f t="shared" si="35"/>
        <v>73.000000000000057</v>
      </c>
      <c r="W61" s="69"/>
      <c r="X61" s="69"/>
      <c r="Y61" s="367"/>
      <c r="Z61" s="368"/>
      <c r="AA61" s="66">
        <f t="shared" si="8"/>
        <v>-77.534246575343786</v>
      </c>
      <c r="AB61" s="365">
        <f t="shared" si="9"/>
        <v>0.96123287671232815</v>
      </c>
      <c r="AC61" s="511"/>
    </row>
    <row r="62" spans="1:29" ht="15.75" customHeight="1">
      <c r="A62" s="523" t="s">
        <v>2030</v>
      </c>
      <c r="B62" s="62" t="s">
        <v>6</v>
      </c>
      <c r="C62" s="369" t="s">
        <v>44</v>
      </c>
      <c r="D62" s="370"/>
      <c r="E62" s="62">
        <v>55.32</v>
      </c>
      <c r="F62" s="74">
        <v>1841</v>
      </c>
      <c r="G62" s="364">
        <f t="shared" si="33"/>
        <v>101844.12</v>
      </c>
      <c r="H62" s="90" t="s">
        <v>5</v>
      </c>
      <c r="I62" s="373">
        <v>15</v>
      </c>
      <c r="J62" s="63">
        <v>2000</v>
      </c>
      <c r="K62" s="64">
        <f t="shared" si="1"/>
        <v>133.33333333333334</v>
      </c>
      <c r="L62" s="373">
        <v>15</v>
      </c>
      <c r="M62" s="65">
        <f t="shared" si="34"/>
        <v>1904.4827586206911</v>
      </c>
      <c r="N62" s="65">
        <f t="shared" si="3"/>
        <v>126.9655172413794</v>
      </c>
      <c r="O62" s="66">
        <f t="shared" si="4"/>
        <v>0</v>
      </c>
      <c r="P62" s="67">
        <f t="shared" si="5"/>
        <v>-6.3678160919539408</v>
      </c>
      <c r="Q62" s="365">
        <f t="shared" si="6"/>
        <v>0.95224137931034547</v>
      </c>
      <c r="R62" s="511"/>
      <c r="S62" s="68">
        <v>0.76319444444444451</v>
      </c>
      <c r="T62" s="68">
        <v>0.80347222222222225</v>
      </c>
      <c r="U62" s="364">
        <f t="shared" si="36"/>
        <v>5.9999999999999787</v>
      </c>
      <c r="V62" s="374">
        <f t="shared" si="35"/>
        <v>57.999999999999957</v>
      </c>
      <c r="W62" s="69"/>
      <c r="X62" s="69"/>
      <c r="Y62" s="367"/>
      <c r="Z62" s="368"/>
      <c r="AA62" s="66">
        <f t="shared" si="8"/>
        <v>-95.517241379308871</v>
      </c>
      <c r="AB62" s="365">
        <f t="shared" si="9"/>
        <v>0.95224137931034558</v>
      </c>
      <c r="AC62" s="511"/>
    </row>
    <row r="63" spans="1:29" ht="15.75" customHeight="1">
      <c r="A63" s="523" t="s">
        <v>2030</v>
      </c>
      <c r="B63" s="62" t="s">
        <v>6</v>
      </c>
      <c r="C63" s="369" t="s">
        <v>1462</v>
      </c>
      <c r="D63" s="370"/>
      <c r="E63" s="62">
        <v>53.68</v>
      </c>
      <c r="F63" s="74">
        <v>1100</v>
      </c>
      <c r="G63" s="364">
        <f t="shared" si="33"/>
        <v>59048</v>
      </c>
      <c r="H63" s="90">
        <v>2</v>
      </c>
      <c r="I63" s="373">
        <v>16</v>
      </c>
      <c r="J63" s="63">
        <v>1500</v>
      </c>
      <c r="K63" s="64">
        <f t="shared" si="1"/>
        <v>93.75</v>
      </c>
      <c r="L63" s="373">
        <v>16</v>
      </c>
      <c r="M63" s="65">
        <f t="shared" si="34"/>
        <v>1434.7826086956522</v>
      </c>
      <c r="N63" s="65">
        <f t="shared" si="3"/>
        <v>89.673913043478265</v>
      </c>
      <c r="O63" s="66">
        <f t="shared" si="4"/>
        <v>0</v>
      </c>
      <c r="P63" s="67">
        <f t="shared" si="5"/>
        <v>-4.0760869565217348</v>
      </c>
      <c r="Q63" s="365">
        <f t="shared" si="6"/>
        <v>0.95652173913043481</v>
      </c>
      <c r="R63" s="511"/>
      <c r="S63" s="68">
        <v>0.80694444444444446</v>
      </c>
      <c r="T63" s="68">
        <v>0.83888888888888891</v>
      </c>
      <c r="U63" s="364">
        <f t="shared" si="36"/>
        <v>4.9999999999999822</v>
      </c>
      <c r="V63" s="374">
        <f t="shared" si="35"/>
        <v>46</v>
      </c>
      <c r="W63" s="69">
        <f>T63</f>
        <v>0.83888888888888891</v>
      </c>
      <c r="X63" s="69">
        <f>S64</f>
        <v>0.87847222222222221</v>
      </c>
      <c r="Y63" s="367"/>
      <c r="Z63" s="368"/>
      <c r="AA63" s="66">
        <f t="shared" si="8"/>
        <v>-65.217391304347757</v>
      </c>
      <c r="AB63" s="365">
        <f t="shared" si="9"/>
        <v>0.95652173913043481</v>
      </c>
      <c r="AC63" s="511"/>
    </row>
    <row r="64" spans="1:29" ht="15.75" customHeight="1">
      <c r="A64" s="523" t="s">
        <v>2030</v>
      </c>
      <c r="B64" s="62" t="s">
        <v>6</v>
      </c>
      <c r="C64" s="521" t="s">
        <v>1462</v>
      </c>
      <c r="D64" s="522"/>
      <c r="E64" s="62">
        <v>53.68</v>
      </c>
      <c r="F64" s="74">
        <v>2551</v>
      </c>
      <c r="G64" s="364">
        <f t="shared" si="33"/>
        <v>136937.68</v>
      </c>
      <c r="H64" s="90" t="s">
        <v>5</v>
      </c>
      <c r="I64" s="373">
        <v>16</v>
      </c>
      <c r="J64" s="63">
        <v>1500</v>
      </c>
      <c r="K64" s="64">
        <f t="shared" si="1"/>
        <v>93.75</v>
      </c>
      <c r="L64" s="373">
        <v>16</v>
      </c>
      <c r="M64" s="65">
        <f t="shared" si="34"/>
        <v>1430.4672897196269</v>
      </c>
      <c r="N64" s="65">
        <f t="shared" si="3"/>
        <v>89.404205607476683</v>
      </c>
      <c r="O64" s="66">
        <f t="shared" si="4"/>
        <v>0</v>
      </c>
      <c r="P64" s="67">
        <f t="shared" si="5"/>
        <v>-4.3457943925233167</v>
      </c>
      <c r="Q64" s="365">
        <f t="shared" si="6"/>
        <v>0.95364485981308467</v>
      </c>
      <c r="R64" s="511"/>
      <c r="S64" s="68">
        <v>0.87847222222222221</v>
      </c>
      <c r="T64" s="68">
        <v>0.95277777777777772</v>
      </c>
      <c r="U64" s="364">
        <f t="shared" si="36"/>
        <v>56.999999999999957</v>
      </c>
      <c r="V64" s="374">
        <f t="shared" si="35"/>
        <v>106.99999999999994</v>
      </c>
      <c r="W64" s="69"/>
      <c r="X64" s="69"/>
      <c r="Y64" s="517"/>
      <c r="Z64" s="518"/>
      <c r="AA64" s="66">
        <f t="shared" si="8"/>
        <v>-69.532710280373067</v>
      </c>
      <c r="AB64" s="365">
        <f t="shared" si="9"/>
        <v>0.95364485981308467</v>
      </c>
      <c r="AC64" s="511"/>
    </row>
    <row r="65" spans="1:29">
      <c r="A65" s="524" t="s">
        <v>2030</v>
      </c>
      <c r="B65" s="62" t="s">
        <v>2026</v>
      </c>
      <c r="C65" s="513"/>
      <c r="D65" s="513"/>
      <c r="E65" s="366"/>
      <c r="F65" s="71"/>
      <c r="G65" s="64"/>
      <c r="H65" s="375"/>
      <c r="I65" s="72">
        <v>16.333333333333332</v>
      </c>
      <c r="J65" s="63">
        <v>1833.3333333333333</v>
      </c>
      <c r="K65" s="64">
        <f t="shared" si="1"/>
        <v>112.24489795918367</v>
      </c>
      <c r="L65" s="72">
        <v>16.333333333333332</v>
      </c>
      <c r="M65" s="65">
        <f>AVERAGE(M59:M64)</f>
        <v>1753.5449731720091</v>
      </c>
      <c r="N65" s="64">
        <f t="shared" si="3"/>
        <v>107.35989631665363</v>
      </c>
      <c r="O65" s="66">
        <f t="shared" si="4"/>
        <v>0</v>
      </c>
      <c r="P65" s="67">
        <f t="shared" si="5"/>
        <v>-4.8850016425300424</v>
      </c>
      <c r="Q65" s="365">
        <f t="shared" si="6"/>
        <v>0.95647907627564144</v>
      </c>
      <c r="R65" s="511"/>
      <c r="S65" s="75"/>
      <c r="T65" s="68"/>
      <c r="U65" s="64"/>
      <c r="V65" s="374"/>
      <c r="W65" s="64"/>
      <c r="X65" s="64"/>
      <c r="Y65" s="510"/>
      <c r="Z65" s="510"/>
      <c r="AA65" s="66">
        <f t="shared" si="8"/>
        <v>-79.788360161324135</v>
      </c>
      <c r="AB65" s="365">
        <f t="shared" si="9"/>
        <v>0.95647907627564133</v>
      </c>
      <c r="AC65" s="511"/>
    </row>
    <row r="66" spans="1:29" ht="15.75" customHeight="1">
      <c r="A66" s="519" t="s">
        <v>2031</v>
      </c>
      <c r="B66" s="375" t="s">
        <v>10</v>
      </c>
      <c r="C66" s="512" t="s">
        <v>46</v>
      </c>
      <c r="D66" s="512"/>
      <c r="E66" s="62">
        <v>26.97</v>
      </c>
      <c r="F66" s="74">
        <v>3289</v>
      </c>
      <c r="G66" s="364">
        <f t="shared" ref="G66:G69" si="37">E66*F66</f>
        <v>88704.33</v>
      </c>
      <c r="H66" s="90" t="s">
        <v>5</v>
      </c>
      <c r="I66" s="373">
        <v>8</v>
      </c>
      <c r="J66" s="63">
        <v>1500</v>
      </c>
      <c r="K66" s="64">
        <f t="shared" si="1"/>
        <v>187.5</v>
      </c>
      <c r="L66" s="373">
        <v>8</v>
      </c>
      <c r="M66" s="65">
        <f t="shared" ref="M66:M69" si="38">F66/V66*60</f>
        <v>1429.9999999999995</v>
      </c>
      <c r="N66" s="64">
        <f t="shared" si="3"/>
        <v>178.74999999999994</v>
      </c>
      <c r="O66" s="66">
        <f t="shared" si="4"/>
        <v>0</v>
      </c>
      <c r="P66" s="67">
        <f t="shared" si="5"/>
        <v>-8.7500000000000568</v>
      </c>
      <c r="Q66" s="365">
        <f t="shared" si="6"/>
        <v>0.95333333333333303</v>
      </c>
      <c r="R66" s="511">
        <f>Q70</f>
        <v>0.9571975274127914</v>
      </c>
      <c r="S66" s="68">
        <v>0.20833333333333334</v>
      </c>
      <c r="T66" s="68">
        <v>0.3041666666666667</v>
      </c>
      <c r="U66" s="364"/>
      <c r="V66" s="374">
        <f t="shared" ref="V66:V69" si="39">(T66-S66)*24*60</f>
        <v>138.00000000000006</v>
      </c>
      <c r="W66" s="73"/>
      <c r="X66" s="73"/>
      <c r="Y66" s="510"/>
      <c r="Z66" s="510"/>
      <c r="AA66" s="66">
        <f t="shared" si="8"/>
        <v>-70.000000000000455</v>
      </c>
      <c r="AB66" s="365">
        <f t="shared" si="9"/>
        <v>0.95333333333333303</v>
      </c>
      <c r="AC66" s="511">
        <f>AB70</f>
        <v>0.95719752741279152</v>
      </c>
    </row>
    <row r="67" spans="1:29" ht="15.75" customHeight="1">
      <c r="A67" s="519" t="s">
        <v>2031</v>
      </c>
      <c r="B67" s="375" t="s">
        <v>35</v>
      </c>
      <c r="C67" s="512" t="s">
        <v>45</v>
      </c>
      <c r="D67" s="512"/>
      <c r="E67" s="62">
        <v>26.78</v>
      </c>
      <c r="F67" s="74">
        <v>3020</v>
      </c>
      <c r="G67" s="364">
        <f t="shared" si="37"/>
        <v>80875.600000000006</v>
      </c>
      <c r="H67" s="90" t="s">
        <v>5</v>
      </c>
      <c r="I67" s="373">
        <v>10</v>
      </c>
      <c r="J67" s="63">
        <v>3000</v>
      </c>
      <c r="K67" s="64">
        <f t="shared" si="1"/>
        <v>300</v>
      </c>
      <c r="L67" s="373">
        <v>10</v>
      </c>
      <c r="M67" s="65">
        <f t="shared" si="38"/>
        <v>2876.1904761904752</v>
      </c>
      <c r="N67" s="64">
        <f t="shared" si="3"/>
        <v>287.61904761904754</v>
      </c>
      <c r="O67" s="66">
        <f t="shared" si="4"/>
        <v>0</v>
      </c>
      <c r="P67" s="67">
        <f t="shared" si="5"/>
        <v>-12.380952380952465</v>
      </c>
      <c r="Q67" s="365">
        <f t="shared" si="6"/>
        <v>0.95873015873015843</v>
      </c>
      <c r="R67" s="511"/>
      <c r="S67" s="68">
        <v>0.30833333333333335</v>
      </c>
      <c r="T67" s="68">
        <v>0.35208333333333336</v>
      </c>
      <c r="U67" s="364">
        <f t="shared" ref="U67:U69" si="40">(S67-T66)*24*60</f>
        <v>5.9999999999999787</v>
      </c>
      <c r="V67" s="374">
        <f t="shared" si="39"/>
        <v>63.000000000000014</v>
      </c>
      <c r="W67" s="364"/>
      <c r="X67" s="364"/>
      <c r="Y67" s="510"/>
      <c r="Z67" s="510"/>
      <c r="AA67" s="66">
        <f t="shared" si="8"/>
        <v>-123.80952380952476</v>
      </c>
      <c r="AB67" s="365">
        <f t="shared" si="9"/>
        <v>0.95873015873015843</v>
      </c>
      <c r="AC67" s="511"/>
    </row>
    <row r="68" spans="1:29" ht="15.75" customHeight="1">
      <c r="A68" s="519" t="s">
        <v>2031</v>
      </c>
      <c r="B68" s="375" t="s">
        <v>35</v>
      </c>
      <c r="C68" s="512" t="s">
        <v>75</v>
      </c>
      <c r="D68" s="512"/>
      <c r="E68" s="62">
        <v>37.880000000000003</v>
      </c>
      <c r="F68" s="74">
        <v>3485</v>
      </c>
      <c r="G68" s="364">
        <f t="shared" si="37"/>
        <v>132011.80000000002</v>
      </c>
      <c r="H68" s="90" t="s">
        <v>5</v>
      </c>
      <c r="I68" s="373">
        <v>10</v>
      </c>
      <c r="J68" s="63">
        <v>3000</v>
      </c>
      <c r="K68" s="64">
        <f t="shared" si="1"/>
        <v>300</v>
      </c>
      <c r="L68" s="373">
        <v>10</v>
      </c>
      <c r="M68" s="65">
        <f t="shared" si="38"/>
        <v>2864.3835616438359</v>
      </c>
      <c r="N68" s="64">
        <f t="shared" si="3"/>
        <v>286.43835616438361</v>
      </c>
      <c r="O68" s="66">
        <f t="shared" si="4"/>
        <v>0</v>
      </c>
      <c r="P68" s="67">
        <f t="shared" si="5"/>
        <v>-13.561643835616394</v>
      </c>
      <c r="Q68" s="365">
        <f t="shared" si="6"/>
        <v>0.95479452054794534</v>
      </c>
      <c r="R68" s="511"/>
      <c r="S68" s="68">
        <v>0.35694444444444445</v>
      </c>
      <c r="T68" s="68">
        <v>0.40763888888888888</v>
      </c>
      <c r="U68" s="364">
        <f t="shared" si="40"/>
        <v>6.9999999999999751</v>
      </c>
      <c r="V68" s="374">
        <f t="shared" si="39"/>
        <v>72.999999999999986</v>
      </c>
      <c r="W68" s="364"/>
      <c r="X68" s="364"/>
      <c r="Y68" s="510"/>
      <c r="Z68" s="510"/>
      <c r="AA68" s="66">
        <f t="shared" si="8"/>
        <v>-135.61643835616405</v>
      </c>
      <c r="AB68" s="365">
        <f t="shared" si="9"/>
        <v>0.95479452054794534</v>
      </c>
      <c r="AC68" s="511"/>
    </row>
    <row r="69" spans="1:29" ht="15.75" customHeight="1">
      <c r="A69" s="519" t="s">
        <v>2031</v>
      </c>
      <c r="B69" s="375" t="s">
        <v>35</v>
      </c>
      <c r="C69" s="512" t="s">
        <v>85</v>
      </c>
      <c r="D69" s="512"/>
      <c r="E69" s="62">
        <v>40.51</v>
      </c>
      <c r="F69" s="74">
        <v>3360</v>
      </c>
      <c r="G69" s="364">
        <f t="shared" si="37"/>
        <v>136113.60000000001</v>
      </c>
      <c r="H69" s="90" t="s">
        <v>5</v>
      </c>
      <c r="I69" s="373">
        <v>8</v>
      </c>
      <c r="J69" s="63">
        <v>3000</v>
      </c>
      <c r="K69" s="64">
        <f t="shared" ref="K69:K79" si="41">J69/I69</f>
        <v>375</v>
      </c>
      <c r="L69" s="373">
        <v>8</v>
      </c>
      <c r="M69" s="65">
        <f t="shared" si="38"/>
        <v>2880.0000000000005</v>
      </c>
      <c r="N69" s="64">
        <f t="shared" ref="N69:N79" si="42">M69/L69</f>
        <v>360.00000000000006</v>
      </c>
      <c r="O69" s="66">
        <f t="shared" ref="O69:O79" si="43">L69-I69</f>
        <v>0</v>
      </c>
      <c r="P69" s="67">
        <f t="shared" ref="P69:P79" si="44">N69-K69</f>
        <v>-14.999999999999943</v>
      </c>
      <c r="Q69" s="365">
        <f t="shared" ref="Q69:Q79" si="45">N69/K69</f>
        <v>0.96000000000000019</v>
      </c>
      <c r="R69" s="511"/>
      <c r="S69" s="68">
        <v>0.41319444444444442</v>
      </c>
      <c r="T69" s="68">
        <v>0.46180555555555552</v>
      </c>
      <c r="U69" s="364">
        <f t="shared" si="40"/>
        <v>7.9999999999999716</v>
      </c>
      <c r="V69" s="374">
        <f t="shared" si="39"/>
        <v>69.999999999999986</v>
      </c>
      <c r="W69" s="364"/>
      <c r="X69" s="364"/>
      <c r="Y69" s="510"/>
      <c r="Z69" s="510"/>
      <c r="AA69" s="66">
        <f t="shared" ref="AA69:AA79" si="46">M69-J69</f>
        <v>-119.99999999999955</v>
      </c>
      <c r="AB69" s="365">
        <f t="shared" ref="AB69:AB79" si="47">M69/J69</f>
        <v>0.96000000000000019</v>
      </c>
      <c r="AC69" s="511"/>
    </row>
    <row r="70" spans="1:29">
      <c r="A70" s="520" t="s">
        <v>2031</v>
      </c>
      <c r="B70" s="62" t="s">
        <v>2026</v>
      </c>
      <c r="C70" s="513"/>
      <c r="D70" s="513"/>
      <c r="E70" s="366"/>
      <c r="F70" s="71"/>
      <c r="G70" s="64"/>
      <c r="H70" s="375"/>
      <c r="I70" s="72">
        <v>9</v>
      </c>
      <c r="J70" s="63">
        <v>2625</v>
      </c>
      <c r="K70" s="64">
        <f t="shared" si="41"/>
        <v>291.66666666666669</v>
      </c>
      <c r="L70" s="72">
        <v>9</v>
      </c>
      <c r="M70" s="65">
        <f>AVERAGE(M66:M69)</f>
        <v>2512.6435094585777</v>
      </c>
      <c r="N70" s="64">
        <f t="shared" si="42"/>
        <v>279.18261216206417</v>
      </c>
      <c r="O70" s="66">
        <f t="shared" si="43"/>
        <v>0</v>
      </c>
      <c r="P70" s="67">
        <f t="shared" si="44"/>
        <v>-12.484054504602511</v>
      </c>
      <c r="Q70" s="365">
        <f t="shared" si="45"/>
        <v>0.9571975274127914</v>
      </c>
      <c r="R70" s="511"/>
      <c r="S70" s="68"/>
      <c r="T70" s="68"/>
      <c r="U70" s="64"/>
      <c r="V70" s="374"/>
      <c r="W70" s="64"/>
      <c r="X70" s="64"/>
      <c r="Y70" s="510"/>
      <c r="Z70" s="510"/>
      <c r="AA70" s="66">
        <f t="shared" si="46"/>
        <v>-112.35649054142232</v>
      </c>
      <c r="AB70" s="365">
        <f t="shared" si="47"/>
        <v>0.95719752741279152</v>
      </c>
      <c r="AC70" s="511"/>
    </row>
    <row r="71" spans="1:29" ht="15.75" customHeight="1">
      <c r="A71" s="514" t="s">
        <v>2032</v>
      </c>
      <c r="B71" s="375" t="s">
        <v>16</v>
      </c>
      <c r="C71" s="512" t="s">
        <v>48</v>
      </c>
      <c r="D71" s="512"/>
      <c r="E71" s="62">
        <v>20.2</v>
      </c>
      <c r="F71" s="375">
        <v>2720</v>
      </c>
      <c r="G71" s="364">
        <f t="shared" ref="G71:G78" si="48">E71*F71</f>
        <v>54944</v>
      </c>
      <c r="H71" s="90" t="s">
        <v>5</v>
      </c>
      <c r="I71" s="373">
        <v>19</v>
      </c>
      <c r="J71" s="63">
        <v>2400</v>
      </c>
      <c r="K71" s="64">
        <f t="shared" si="41"/>
        <v>126.31578947368421</v>
      </c>
      <c r="L71" s="373">
        <v>19</v>
      </c>
      <c r="M71" s="65">
        <f t="shared" ref="M71:M78" si="49">F71/V71*60</f>
        <v>2298.5915492957743</v>
      </c>
      <c r="N71" s="64">
        <f t="shared" si="42"/>
        <v>120.97850259451444</v>
      </c>
      <c r="O71" s="66">
        <f t="shared" si="43"/>
        <v>0</v>
      </c>
      <c r="P71" s="67">
        <f t="shared" si="44"/>
        <v>-5.337286879169767</v>
      </c>
      <c r="Q71" s="365">
        <f t="shared" si="45"/>
        <v>0.95774647887323938</v>
      </c>
      <c r="R71" s="511">
        <f>Q79</f>
        <v>0.95671123262855728</v>
      </c>
      <c r="S71" s="68">
        <v>8.3333333333333329E-2</v>
      </c>
      <c r="T71" s="68">
        <v>0.13263888888888889</v>
      </c>
      <c r="U71" s="73"/>
      <c r="V71" s="374">
        <f t="shared" ref="V71:V78" si="50">(T71-S71)*24*60</f>
        <v>71.000000000000014</v>
      </c>
      <c r="W71" s="69">
        <f>T71</f>
        <v>0.13263888888888889</v>
      </c>
      <c r="X71" s="69">
        <f>S72</f>
        <v>0.15277777777777779</v>
      </c>
      <c r="Y71" s="510"/>
      <c r="Z71" s="510"/>
      <c r="AA71" s="66">
        <f t="shared" si="46"/>
        <v>-101.40845070422574</v>
      </c>
      <c r="AB71" s="365">
        <f t="shared" si="47"/>
        <v>0.95774647887323927</v>
      </c>
      <c r="AC71" s="511">
        <f>AB79</f>
        <v>0.95671123262855717</v>
      </c>
    </row>
    <row r="72" spans="1:29" ht="15.75" customHeight="1">
      <c r="A72" s="515" t="s">
        <v>2032</v>
      </c>
      <c r="B72" s="375" t="s">
        <v>16</v>
      </c>
      <c r="C72" s="512" t="s">
        <v>51</v>
      </c>
      <c r="D72" s="512"/>
      <c r="E72" s="62">
        <v>24.25</v>
      </c>
      <c r="F72" s="375">
        <v>2357</v>
      </c>
      <c r="G72" s="364">
        <f t="shared" si="48"/>
        <v>57157.25</v>
      </c>
      <c r="H72" s="90" t="s">
        <v>5</v>
      </c>
      <c r="I72" s="373">
        <v>17</v>
      </c>
      <c r="J72" s="63">
        <v>2400</v>
      </c>
      <c r="K72" s="64">
        <f t="shared" si="41"/>
        <v>141.1764705882353</v>
      </c>
      <c r="L72" s="373">
        <v>17</v>
      </c>
      <c r="M72" s="65">
        <f t="shared" si="49"/>
        <v>2318.3606557377052</v>
      </c>
      <c r="N72" s="64">
        <f t="shared" si="42"/>
        <v>136.374156219865</v>
      </c>
      <c r="O72" s="66">
        <f t="shared" si="43"/>
        <v>0</v>
      </c>
      <c r="P72" s="67">
        <f t="shared" si="44"/>
        <v>-4.802314368370304</v>
      </c>
      <c r="Q72" s="365">
        <f t="shared" si="45"/>
        <v>0.96598360655737703</v>
      </c>
      <c r="R72" s="511"/>
      <c r="S72" s="68">
        <v>0.15277777777777779</v>
      </c>
      <c r="T72" s="68">
        <v>0.19513888888888889</v>
      </c>
      <c r="U72" s="364">
        <f t="shared" ref="U72:U78" si="51">(S72-T71)*24*60</f>
        <v>29.000000000000018</v>
      </c>
      <c r="V72" s="374">
        <f t="shared" si="50"/>
        <v>60.999999999999986</v>
      </c>
      <c r="W72" s="69"/>
      <c r="X72" s="69"/>
      <c r="Y72" s="510"/>
      <c r="Z72" s="510"/>
      <c r="AA72" s="66">
        <f t="shared" si="46"/>
        <v>-81.639344262294799</v>
      </c>
      <c r="AB72" s="365">
        <f t="shared" si="47"/>
        <v>0.96598360655737714</v>
      </c>
      <c r="AC72" s="511"/>
    </row>
    <row r="73" spans="1:29" ht="15.75" customHeight="1">
      <c r="A73" s="515" t="s">
        <v>2032</v>
      </c>
      <c r="B73" s="375" t="s">
        <v>16</v>
      </c>
      <c r="C73" s="512" t="s">
        <v>17</v>
      </c>
      <c r="D73" s="512"/>
      <c r="E73" s="62">
        <v>24.45</v>
      </c>
      <c r="F73" s="375">
        <v>2789</v>
      </c>
      <c r="G73" s="364">
        <f t="shared" si="48"/>
        <v>68191.05</v>
      </c>
      <c r="H73" s="90" t="s">
        <v>5</v>
      </c>
      <c r="I73" s="373">
        <v>20</v>
      </c>
      <c r="J73" s="63">
        <v>2400</v>
      </c>
      <c r="K73" s="64">
        <f t="shared" si="41"/>
        <v>120</v>
      </c>
      <c r="L73" s="373">
        <v>20</v>
      </c>
      <c r="M73" s="65">
        <f t="shared" si="49"/>
        <v>2292.3287671232883</v>
      </c>
      <c r="N73" s="64">
        <f t="shared" si="42"/>
        <v>114.61643835616442</v>
      </c>
      <c r="O73" s="66">
        <f t="shared" si="43"/>
        <v>0</v>
      </c>
      <c r="P73" s="67">
        <f t="shared" si="44"/>
        <v>-5.3835616438355771</v>
      </c>
      <c r="Q73" s="365">
        <f t="shared" si="45"/>
        <v>0.95513698630137023</v>
      </c>
      <c r="R73" s="511"/>
      <c r="S73" s="68">
        <v>0.19930555555555557</v>
      </c>
      <c r="T73" s="68">
        <v>0.25</v>
      </c>
      <c r="U73" s="364">
        <f t="shared" si="51"/>
        <v>6.0000000000000187</v>
      </c>
      <c r="V73" s="374">
        <f t="shared" si="50"/>
        <v>72.999999999999986</v>
      </c>
      <c r="W73" s="69"/>
      <c r="X73" s="69"/>
      <c r="Y73" s="510"/>
      <c r="Z73" s="510"/>
      <c r="AA73" s="66">
        <f t="shared" si="46"/>
        <v>-107.67123287671166</v>
      </c>
      <c r="AB73" s="365">
        <f t="shared" si="47"/>
        <v>0.95513698630137012</v>
      </c>
      <c r="AC73" s="511"/>
    </row>
    <row r="74" spans="1:29" ht="15.75" customHeight="1">
      <c r="A74" s="515" t="s">
        <v>2032</v>
      </c>
      <c r="B74" s="375" t="s">
        <v>16</v>
      </c>
      <c r="C74" s="512" t="s">
        <v>34</v>
      </c>
      <c r="D74" s="512"/>
      <c r="E74" s="62">
        <v>24.25</v>
      </c>
      <c r="F74" s="375">
        <v>3356</v>
      </c>
      <c r="G74" s="364">
        <f t="shared" si="48"/>
        <v>81383</v>
      </c>
      <c r="H74" s="90" t="s">
        <v>5</v>
      </c>
      <c r="I74" s="373">
        <v>13</v>
      </c>
      <c r="J74" s="63">
        <v>2400</v>
      </c>
      <c r="K74" s="64">
        <f t="shared" si="41"/>
        <v>184.61538461538461</v>
      </c>
      <c r="L74" s="373">
        <v>13</v>
      </c>
      <c r="M74" s="65">
        <f t="shared" si="49"/>
        <v>2288.181818181818</v>
      </c>
      <c r="N74" s="64">
        <f t="shared" si="42"/>
        <v>176.013986013986</v>
      </c>
      <c r="O74" s="66">
        <f t="shared" si="43"/>
        <v>0</v>
      </c>
      <c r="P74" s="67">
        <f t="shared" si="44"/>
        <v>-8.6013986013986141</v>
      </c>
      <c r="Q74" s="365">
        <f t="shared" si="45"/>
        <v>0.95340909090909087</v>
      </c>
      <c r="R74" s="511"/>
      <c r="S74" s="68">
        <v>0.25416666666666665</v>
      </c>
      <c r="T74" s="68">
        <v>0.31527777777777777</v>
      </c>
      <c r="U74" s="364">
        <f t="shared" si="51"/>
        <v>5.9999999999999787</v>
      </c>
      <c r="V74" s="374">
        <f t="shared" si="50"/>
        <v>88</v>
      </c>
      <c r="W74" s="69"/>
      <c r="X74" s="69"/>
      <c r="Y74" s="510"/>
      <c r="Z74" s="510"/>
      <c r="AA74" s="66">
        <f t="shared" si="46"/>
        <v>-111.81818181818198</v>
      </c>
      <c r="AB74" s="365">
        <f t="shared" si="47"/>
        <v>0.95340909090909087</v>
      </c>
      <c r="AC74" s="511"/>
    </row>
    <row r="75" spans="1:29" ht="15.75" customHeight="1">
      <c r="A75" s="515" t="s">
        <v>2032</v>
      </c>
      <c r="B75" s="375" t="s">
        <v>16</v>
      </c>
      <c r="C75" s="512" t="s">
        <v>26</v>
      </c>
      <c r="D75" s="512"/>
      <c r="E75" s="62">
        <v>20.52</v>
      </c>
      <c r="F75" s="375">
        <v>3800</v>
      </c>
      <c r="G75" s="364">
        <f t="shared" si="48"/>
        <v>77976</v>
      </c>
      <c r="H75" s="90" t="s">
        <v>5</v>
      </c>
      <c r="I75" s="373">
        <v>18</v>
      </c>
      <c r="J75" s="63">
        <v>2400</v>
      </c>
      <c r="K75" s="64">
        <f t="shared" si="41"/>
        <v>133.33333333333334</v>
      </c>
      <c r="L75" s="373">
        <v>18</v>
      </c>
      <c r="M75" s="65">
        <f t="shared" si="49"/>
        <v>2303.0303030303039</v>
      </c>
      <c r="N75" s="64">
        <f t="shared" si="42"/>
        <v>127.946127946128</v>
      </c>
      <c r="O75" s="66">
        <f t="shared" si="43"/>
        <v>0</v>
      </c>
      <c r="P75" s="67">
        <f t="shared" si="44"/>
        <v>-5.3872053872053414</v>
      </c>
      <c r="Q75" s="365">
        <f t="shared" si="45"/>
        <v>0.95959595959595989</v>
      </c>
      <c r="R75" s="511"/>
      <c r="S75" s="68">
        <v>0.31874999999999998</v>
      </c>
      <c r="T75" s="68">
        <v>0.38749999999999996</v>
      </c>
      <c r="U75" s="364">
        <f t="shared" si="51"/>
        <v>4.9999999999999822</v>
      </c>
      <c r="V75" s="374">
        <f t="shared" si="50"/>
        <v>98.999999999999972</v>
      </c>
      <c r="W75" s="69"/>
      <c r="X75" s="69"/>
      <c r="Y75" s="510"/>
      <c r="Z75" s="510"/>
      <c r="AA75" s="66">
        <f t="shared" si="46"/>
        <v>-96.969696969696088</v>
      </c>
      <c r="AB75" s="365">
        <f t="shared" si="47"/>
        <v>0.95959595959596</v>
      </c>
      <c r="AC75" s="511"/>
    </row>
    <row r="76" spans="1:29" ht="15.75" customHeight="1">
      <c r="A76" s="515" t="s">
        <v>2032</v>
      </c>
      <c r="B76" s="375" t="s">
        <v>16</v>
      </c>
      <c r="C76" s="512" t="s">
        <v>49</v>
      </c>
      <c r="D76" s="512"/>
      <c r="E76" s="62">
        <v>19.02</v>
      </c>
      <c r="F76" s="375">
        <v>5800</v>
      </c>
      <c r="G76" s="364">
        <f t="shared" si="48"/>
        <v>110316</v>
      </c>
      <c r="H76" s="90">
        <v>2</v>
      </c>
      <c r="I76" s="373">
        <v>15</v>
      </c>
      <c r="J76" s="63">
        <v>2400</v>
      </c>
      <c r="K76" s="64">
        <f t="shared" si="41"/>
        <v>160</v>
      </c>
      <c r="L76" s="373">
        <v>15</v>
      </c>
      <c r="M76" s="65">
        <f t="shared" si="49"/>
        <v>2289.4736842105258</v>
      </c>
      <c r="N76" s="64">
        <f t="shared" si="42"/>
        <v>152.63157894736838</v>
      </c>
      <c r="O76" s="66">
        <f t="shared" si="43"/>
        <v>0</v>
      </c>
      <c r="P76" s="67">
        <f t="shared" si="44"/>
        <v>-7.3684210526316178</v>
      </c>
      <c r="Q76" s="365">
        <f t="shared" si="45"/>
        <v>0.95394736842105243</v>
      </c>
      <c r="R76" s="511"/>
      <c r="S76" s="68">
        <v>0.39097222222222217</v>
      </c>
      <c r="T76" s="68">
        <v>0.49652777777777773</v>
      </c>
      <c r="U76" s="364">
        <f t="shared" si="51"/>
        <v>4.9999999999999822</v>
      </c>
      <c r="V76" s="374">
        <f t="shared" si="50"/>
        <v>152.00000000000003</v>
      </c>
      <c r="W76" s="69"/>
      <c r="X76" s="69"/>
      <c r="Y76" s="510"/>
      <c r="Z76" s="510"/>
      <c r="AA76" s="66">
        <f t="shared" si="46"/>
        <v>-110.52631578947421</v>
      </c>
      <c r="AB76" s="365">
        <f t="shared" si="47"/>
        <v>0.95394736842105243</v>
      </c>
      <c r="AC76" s="511"/>
    </row>
    <row r="77" spans="1:29" ht="15.75" customHeight="1">
      <c r="A77" s="515" t="s">
        <v>2032</v>
      </c>
      <c r="B77" s="375" t="s">
        <v>16</v>
      </c>
      <c r="C77" s="512" t="s">
        <v>27</v>
      </c>
      <c r="D77" s="512"/>
      <c r="E77" s="62">
        <v>25.98</v>
      </c>
      <c r="F77" s="375">
        <v>1141</v>
      </c>
      <c r="G77" s="364">
        <f t="shared" si="48"/>
        <v>29643.18</v>
      </c>
      <c r="H77" s="90" t="s">
        <v>5</v>
      </c>
      <c r="I77" s="373">
        <v>17</v>
      </c>
      <c r="J77" s="63">
        <v>2400</v>
      </c>
      <c r="K77" s="64">
        <f t="shared" si="41"/>
        <v>141.1764705882353</v>
      </c>
      <c r="L77" s="373">
        <v>17</v>
      </c>
      <c r="M77" s="65">
        <f t="shared" si="49"/>
        <v>2281.9999999999959</v>
      </c>
      <c r="N77" s="64">
        <f t="shared" si="42"/>
        <v>134.23529411764682</v>
      </c>
      <c r="O77" s="66">
        <f t="shared" si="43"/>
        <v>0</v>
      </c>
      <c r="P77" s="67">
        <f t="shared" si="44"/>
        <v>-6.9411764705884877</v>
      </c>
      <c r="Q77" s="365">
        <f t="shared" si="45"/>
        <v>0.95083333333333153</v>
      </c>
      <c r="R77" s="511"/>
      <c r="S77" s="68">
        <v>0.50138888888888888</v>
      </c>
      <c r="T77" s="68">
        <v>0.52222222222222225</v>
      </c>
      <c r="U77" s="364">
        <f t="shared" si="51"/>
        <v>7.0000000000000551</v>
      </c>
      <c r="V77" s="374">
        <f t="shared" si="50"/>
        <v>30.000000000000053</v>
      </c>
      <c r="W77" s="69">
        <f>T77</f>
        <v>0.52222222222222225</v>
      </c>
      <c r="X77" s="69">
        <f>S78</f>
        <v>0.5625</v>
      </c>
      <c r="Y77" s="517"/>
      <c r="Z77" s="518"/>
      <c r="AA77" s="66">
        <f t="shared" si="46"/>
        <v>-118.00000000000409</v>
      </c>
      <c r="AB77" s="365">
        <f t="shared" si="47"/>
        <v>0.95083333333333164</v>
      </c>
      <c r="AC77" s="511"/>
    </row>
    <row r="78" spans="1:29" ht="15.75" customHeight="1">
      <c r="A78" s="515" t="s">
        <v>2032</v>
      </c>
      <c r="B78" s="375" t="s">
        <v>16</v>
      </c>
      <c r="C78" s="512" t="s">
        <v>49</v>
      </c>
      <c r="D78" s="512"/>
      <c r="E78" s="62">
        <v>19.02</v>
      </c>
      <c r="F78" s="375">
        <v>5168</v>
      </c>
      <c r="G78" s="364">
        <f t="shared" si="48"/>
        <v>98295.360000000001</v>
      </c>
      <c r="H78" s="90" t="s">
        <v>5</v>
      </c>
      <c r="I78" s="373">
        <v>15</v>
      </c>
      <c r="J78" s="63">
        <v>2400</v>
      </c>
      <c r="K78" s="64">
        <f t="shared" si="41"/>
        <v>160</v>
      </c>
      <c r="L78" s="373">
        <v>15</v>
      </c>
      <c r="M78" s="65">
        <f t="shared" si="49"/>
        <v>2296.8888888888887</v>
      </c>
      <c r="N78" s="64">
        <f t="shared" si="42"/>
        <v>153.12592592592591</v>
      </c>
      <c r="O78" s="66">
        <f t="shared" si="43"/>
        <v>0</v>
      </c>
      <c r="P78" s="67">
        <f t="shared" si="44"/>
        <v>-6.8740740740740875</v>
      </c>
      <c r="Q78" s="365">
        <f t="shared" si="45"/>
        <v>0.95703703703703691</v>
      </c>
      <c r="R78" s="511"/>
      <c r="S78" s="68">
        <v>0.5625</v>
      </c>
      <c r="T78" s="68">
        <v>0.65625</v>
      </c>
      <c r="U78" s="364">
        <f t="shared" si="51"/>
        <v>57.999999999999957</v>
      </c>
      <c r="V78" s="374">
        <f t="shared" si="50"/>
        <v>135</v>
      </c>
      <c r="W78" s="69"/>
      <c r="X78" s="69"/>
      <c r="Y78" s="517"/>
      <c r="Z78" s="518"/>
      <c r="AA78" s="66">
        <f t="shared" si="46"/>
        <v>-103.11111111111131</v>
      </c>
      <c r="AB78" s="365">
        <f t="shared" si="47"/>
        <v>0.95703703703703691</v>
      </c>
      <c r="AC78" s="511"/>
    </row>
    <row r="79" spans="1:29" ht="16.5" customHeight="1">
      <c r="A79" s="516" t="s">
        <v>2032</v>
      </c>
      <c r="B79" s="62" t="s">
        <v>2026</v>
      </c>
      <c r="C79" s="508"/>
      <c r="D79" s="509"/>
      <c r="E79" s="366"/>
      <c r="F79" s="71"/>
      <c r="G79" s="64"/>
      <c r="H79" s="375"/>
      <c r="I79" s="72">
        <v>16.75</v>
      </c>
      <c r="J79" s="63">
        <v>2400</v>
      </c>
      <c r="K79" s="64">
        <f t="shared" si="41"/>
        <v>143.28358208955223</v>
      </c>
      <c r="L79" s="72">
        <v>16.75</v>
      </c>
      <c r="M79" s="65">
        <f>AVERAGE(M71:M78)</f>
        <v>2296.1069583085373</v>
      </c>
      <c r="N79" s="64">
        <f t="shared" si="42"/>
        <v>137.08101243633058</v>
      </c>
      <c r="O79" s="66">
        <f t="shared" si="43"/>
        <v>0</v>
      </c>
      <c r="P79" s="67">
        <f t="shared" si="44"/>
        <v>-6.2025696532216443</v>
      </c>
      <c r="Q79" s="365">
        <f t="shared" si="45"/>
        <v>0.95671123262855728</v>
      </c>
      <c r="R79" s="511"/>
      <c r="S79" s="68"/>
      <c r="T79" s="68"/>
      <c r="U79" s="64"/>
      <c r="V79" s="374"/>
      <c r="W79" s="64"/>
      <c r="X79" s="64"/>
      <c r="Y79" s="510"/>
      <c r="Z79" s="510"/>
      <c r="AA79" s="66">
        <f t="shared" si="46"/>
        <v>-103.89304169146271</v>
      </c>
      <c r="AB79" s="365">
        <f t="shared" si="47"/>
        <v>0.95671123262855717</v>
      </c>
      <c r="AC79" s="511"/>
    </row>
    <row r="80" spans="1:29">
      <c r="D80" s="76"/>
      <c r="E80" s="76"/>
    </row>
  </sheetData>
  <mergeCells count="205">
    <mergeCell ref="AC71:AC79"/>
    <mergeCell ref="C72:D72"/>
    <mergeCell ref="Y72:Z72"/>
    <mergeCell ref="C73:D73"/>
    <mergeCell ref="Y73:Z73"/>
    <mergeCell ref="C74:D74"/>
    <mergeCell ref="Y74:Z74"/>
    <mergeCell ref="C75:D75"/>
    <mergeCell ref="Y75:Z75"/>
    <mergeCell ref="C76:D76"/>
    <mergeCell ref="A71:A79"/>
    <mergeCell ref="C71:D71"/>
    <mergeCell ref="R71:R79"/>
    <mergeCell ref="Y71:Z71"/>
    <mergeCell ref="Y76:Z76"/>
    <mergeCell ref="C77:D77"/>
    <mergeCell ref="Y77:Z77"/>
    <mergeCell ref="A66:A70"/>
    <mergeCell ref="C66:D66"/>
    <mergeCell ref="R66:R70"/>
    <mergeCell ref="Y66:Z66"/>
    <mergeCell ref="C78:D78"/>
    <mergeCell ref="Y78:Z78"/>
    <mergeCell ref="C79:D79"/>
    <mergeCell ref="Y79:Z79"/>
    <mergeCell ref="AC66:AC70"/>
    <mergeCell ref="C67:D67"/>
    <mergeCell ref="Y67:Z67"/>
    <mergeCell ref="C68:D68"/>
    <mergeCell ref="Y68:Z68"/>
    <mergeCell ref="C69:D69"/>
    <mergeCell ref="AC59:AC65"/>
    <mergeCell ref="C60:D60"/>
    <mergeCell ref="Y60:Z60"/>
    <mergeCell ref="C61:D61"/>
    <mergeCell ref="C64:D64"/>
    <mergeCell ref="Y64:Z64"/>
    <mergeCell ref="C65:D65"/>
    <mergeCell ref="Y65:Z65"/>
    <mergeCell ref="Y69:Z69"/>
    <mergeCell ref="C70:D70"/>
    <mergeCell ref="Y70:Z70"/>
    <mergeCell ref="A59:A65"/>
    <mergeCell ref="C59:D59"/>
    <mergeCell ref="R59:R65"/>
    <mergeCell ref="Y59:Z59"/>
    <mergeCell ref="C55:D55"/>
    <mergeCell ref="Y55:Z55"/>
    <mergeCell ref="C56:D56"/>
    <mergeCell ref="Y56:Z56"/>
    <mergeCell ref="C57:D57"/>
    <mergeCell ref="Y57:Z57"/>
    <mergeCell ref="A49:A58"/>
    <mergeCell ref="C49:D49"/>
    <mergeCell ref="R49:R58"/>
    <mergeCell ref="Y49:Z49"/>
    <mergeCell ref="Y54:Z54"/>
    <mergeCell ref="AC49:AC58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58:D58"/>
    <mergeCell ref="Y58:Z58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C47:D47"/>
    <mergeCell ref="Y47:Z47"/>
    <mergeCell ref="C48:D48"/>
    <mergeCell ref="Y48:Z48"/>
    <mergeCell ref="A31:A39"/>
    <mergeCell ref="C31:D31"/>
    <mergeCell ref="R31:R39"/>
    <mergeCell ref="Y31:Z31"/>
    <mergeCell ref="C38:D38"/>
    <mergeCell ref="Y38:Z38"/>
    <mergeCell ref="C39:D39"/>
    <mergeCell ref="Y39:Z39"/>
    <mergeCell ref="A40:A48"/>
    <mergeCell ref="C40:D40"/>
    <mergeCell ref="R40:R48"/>
    <mergeCell ref="Y40:Z40"/>
    <mergeCell ref="Y45:Z45"/>
    <mergeCell ref="C46:D46"/>
    <mergeCell ref="AC31:AC39"/>
    <mergeCell ref="C32:D32"/>
    <mergeCell ref="Y32:Z32"/>
    <mergeCell ref="C33:D33"/>
    <mergeCell ref="Y33:Z33"/>
    <mergeCell ref="C34:D34"/>
    <mergeCell ref="C28:D28"/>
    <mergeCell ref="Y28:Z28"/>
    <mergeCell ref="C29:D29"/>
    <mergeCell ref="Y29:Z29"/>
    <mergeCell ref="C30:D30"/>
    <mergeCell ref="Y30:Z30"/>
    <mergeCell ref="AC21:AC30"/>
    <mergeCell ref="Y34:Z34"/>
    <mergeCell ref="C35:D35"/>
    <mergeCell ref="Y35:Z35"/>
    <mergeCell ref="C36:D36"/>
    <mergeCell ref="Y36:Z36"/>
    <mergeCell ref="C37:D37"/>
    <mergeCell ref="Y37:Z37"/>
    <mergeCell ref="Y24:Z24"/>
    <mergeCell ref="C25:D25"/>
    <mergeCell ref="Y25:Z25"/>
    <mergeCell ref="C26:D26"/>
    <mergeCell ref="Y26:Z26"/>
    <mergeCell ref="C27:D27"/>
    <mergeCell ref="Y27:Z27"/>
    <mergeCell ref="A21:A30"/>
    <mergeCell ref="C21:D21"/>
    <mergeCell ref="R21:R30"/>
    <mergeCell ref="Y21:Z21"/>
    <mergeCell ref="C22:D22"/>
    <mergeCell ref="Y22:Z22"/>
    <mergeCell ref="C23:D23"/>
    <mergeCell ref="Y23:Z23"/>
    <mergeCell ref="C24:D24"/>
    <mergeCell ref="AC10:AC12"/>
    <mergeCell ref="C11:D11"/>
    <mergeCell ref="Y11:Z11"/>
    <mergeCell ref="C12:D12"/>
    <mergeCell ref="Y12:Z12"/>
    <mergeCell ref="A13:A20"/>
    <mergeCell ref="C13:D13"/>
    <mergeCell ref="R13:R20"/>
    <mergeCell ref="Y13:Z13"/>
    <mergeCell ref="AC13:AC20"/>
    <mergeCell ref="C17:D17"/>
    <mergeCell ref="Y17:Z17"/>
    <mergeCell ref="C18:D18"/>
    <mergeCell ref="Y18:Z18"/>
    <mergeCell ref="Y19:Z19"/>
    <mergeCell ref="C20:D20"/>
    <mergeCell ref="Y20:Z20"/>
    <mergeCell ref="C14:D14"/>
    <mergeCell ref="Y14:Z14"/>
    <mergeCell ref="C15:D15"/>
    <mergeCell ref="Y15:Z15"/>
    <mergeCell ref="C16:D16"/>
    <mergeCell ref="Y16:Z16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9:O76 O79 O5:O10 O12:O14 O58:O66 O20:O54">
    <cfRule type="cellIs" dxfId="1990" priority="73" operator="greaterThan">
      <formula>0</formula>
    </cfRule>
  </conditionalFormatting>
  <conditionalFormatting sqref="P5:P8 P69 AA69 P71:P76 P31:P38 P66 P10 P12:P14 P21:P29 P59:P64 P40:P54 AA5:AA66 AA71:AA79">
    <cfRule type="cellIs" dxfId="1989" priority="77" operator="lessThan">
      <formula>0</formula>
    </cfRule>
  </conditionalFormatting>
  <conditionalFormatting sqref="AB69 Q69:Q76 Q79 Q5:Q10 Q12:Q14 Q58:Q66 Q20:Q54 AB5:AB66 AB71:AB79">
    <cfRule type="cellIs" dxfId="1988" priority="74" operator="greaterThan">
      <formula>1</formula>
    </cfRule>
    <cfRule type="cellIs" dxfId="1987" priority="75" operator="lessThan">
      <formula>0.8</formula>
    </cfRule>
  </conditionalFormatting>
  <conditionalFormatting sqref="AC13:AC14 R13:R14 AC69 R69:R76 R20:R26 AC20:AC26 R79 AC5:AC10 R5:R10 R30:R54 AC30:AC54 AC58:AC66 R58:R66">
    <cfRule type="cellIs" dxfId="1986" priority="79" operator="lessThan">
      <formula>0.8</formula>
    </cfRule>
  </conditionalFormatting>
  <conditionalFormatting sqref="AC49">
    <cfRule type="cellIs" dxfId="1985" priority="81" operator="lessThan">
      <formula>0.8</formula>
    </cfRule>
  </conditionalFormatting>
  <conditionalFormatting sqref="AC21:AC26">
    <cfRule type="cellIs" dxfId="1984" priority="78" operator="lessThan">
      <formula>0.8</formula>
    </cfRule>
  </conditionalFormatting>
  <conditionalFormatting sqref="AC31">
    <cfRule type="cellIs" dxfId="1983" priority="80" operator="lessThan">
      <formula>0.8</formula>
    </cfRule>
  </conditionalFormatting>
  <conditionalFormatting sqref="AC40:AC47">
    <cfRule type="cellIs" dxfId="1982" priority="76" operator="lessThan">
      <formula>0.8</formula>
    </cfRule>
  </conditionalFormatting>
  <conditionalFormatting sqref="AA70">
    <cfRule type="cellIs" dxfId="1981" priority="72" operator="lessThan">
      <formula>0</formula>
    </cfRule>
  </conditionalFormatting>
  <conditionalFormatting sqref="AB70">
    <cfRule type="cellIs" dxfId="1980" priority="70" operator="greaterThan">
      <formula>1</formula>
    </cfRule>
    <cfRule type="cellIs" dxfId="1979" priority="71" operator="lessThan">
      <formula>0.8</formula>
    </cfRule>
  </conditionalFormatting>
  <conditionalFormatting sqref="O15:O16">
    <cfRule type="cellIs" dxfId="1978" priority="65" operator="greaterThan">
      <formula>0</formula>
    </cfRule>
  </conditionalFormatting>
  <conditionalFormatting sqref="P15:P16">
    <cfRule type="cellIs" dxfId="1977" priority="68" operator="lessThan">
      <formula>0</formula>
    </cfRule>
  </conditionalFormatting>
  <conditionalFormatting sqref="Q15:Q16">
    <cfRule type="cellIs" dxfId="1976" priority="66" operator="greaterThan">
      <formula>1</formula>
    </cfRule>
    <cfRule type="cellIs" dxfId="1975" priority="67" operator="lessThan">
      <formula>0.8</formula>
    </cfRule>
  </conditionalFormatting>
  <conditionalFormatting sqref="R15:R16 AC15:AC16">
    <cfRule type="cellIs" dxfId="1974" priority="69" operator="lessThan">
      <formula>0.8</formula>
    </cfRule>
  </conditionalFormatting>
  <conditionalFormatting sqref="O11">
    <cfRule type="cellIs" dxfId="1973" priority="61" operator="greaterThan">
      <formula>0</formula>
    </cfRule>
  </conditionalFormatting>
  <conditionalFormatting sqref="P11">
    <cfRule type="cellIs" dxfId="1972" priority="64" operator="lessThan">
      <formula>0</formula>
    </cfRule>
  </conditionalFormatting>
  <conditionalFormatting sqref="Q11">
    <cfRule type="cellIs" dxfId="1971" priority="62" operator="greaterThan">
      <formula>1</formula>
    </cfRule>
    <cfRule type="cellIs" dxfId="1970" priority="63" operator="lessThan">
      <formula>0.8</formula>
    </cfRule>
  </conditionalFormatting>
  <conditionalFormatting sqref="AC28 R28">
    <cfRule type="cellIs" dxfId="1969" priority="60" operator="lessThan">
      <formula>0.8</formula>
    </cfRule>
  </conditionalFormatting>
  <conditionalFormatting sqref="O68">
    <cfRule type="cellIs" dxfId="1968" priority="55" operator="greaterThan">
      <formula>0</formula>
    </cfRule>
  </conditionalFormatting>
  <conditionalFormatting sqref="P68 AA68">
    <cfRule type="cellIs" dxfId="1967" priority="58" operator="lessThan">
      <formula>0</formula>
    </cfRule>
  </conditionalFormatting>
  <conditionalFormatting sqref="Q68 AB68">
    <cfRule type="cellIs" dxfId="1966" priority="56" operator="greaterThan">
      <formula>1</formula>
    </cfRule>
    <cfRule type="cellIs" dxfId="1965" priority="57" operator="lessThan">
      <formula>0.8</formula>
    </cfRule>
  </conditionalFormatting>
  <conditionalFormatting sqref="R68 AC68">
    <cfRule type="cellIs" dxfId="1964" priority="59" operator="lessThan">
      <formula>0.8</formula>
    </cfRule>
  </conditionalFormatting>
  <conditionalFormatting sqref="O77">
    <cfRule type="cellIs" dxfId="1963" priority="50" operator="greaterThan">
      <formula>0</formula>
    </cfRule>
  </conditionalFormatting>
  <conditionalFormatting sqref="P77">
    <cfRule type="cellIs" dxfId="1962" priority="53" operator="lessThan">
      <formula>0</formula>
    </cfRule>
  </conditionalFormatting>
  <conditionalFormatting sqref="Q77">
    <cfRule type="cellIs" dxfId="1961" priority="51" operator="greaterThan">
      <formula>1</formula>
    </cfRule>
    <cfRule type="cellIs" dxfId="1960" priority="52" operator="lessThan">
      <formula>0.8</formula>
    </cfRule>
  </conditionalFormatting>
  <conditionalFormatting sqref="R77">
    <cfRule type="cellIs" dxfId="1959" priority="54" operator="lessThan">
      <formula>0.8</formula>
    </cfRule>
  </conditionalFormatting>
  <conditionalFormatting sqref="O17:O18">
    <cfRule type="cellIs" dxfId="1958" priority="45" operator="greaterThan">
      <formula>0</formula>
    </cfRule>
  </conditionalFormatting>
  <conditionalFormatting sqref="P17:P18">
    <cfRule type="cellIs" dxfId="1957" priority="48" operator="lessThan">
      <formula>0</formula>
    </cfRule>
  </conditionalFormatting>
  <conditionalFormatting sqref="Q17:Q18">
    <cfRule type="cellIs" dxfId="1956" priority="46" operator="greaterThan">
      <formula>1</formula>
    </cfRule>
    <cfRule type="cellIs" dxfId="1955" priority="47" operator="lessThan">
      <formula>0.8</formula>
    </cfRule>
  </conditionalFormatting>
  <conditionalFormatting sqref="R17:R18 AC17:AC18">
    <cfRule type="cellIs" dxfId="1954" priority="49" operator="lessThan">
      <formula>0.8</formula>
    </cfRule>
  </conditionalFormatting>
  <conditionalFormatting sqref="O55">
    <cfRule type="cellIs" dxfId="1953" priority="39" operator="greaterThan">
      <formula>0</formula>
    </cfRule>
  </conditionalFormatting>
  <conditionalFormatting sqref="P55">
    <cfRule type="cellIs" dxfId="1952" priority="43" operator="lessThan">
      <formula>0</formula>
    </cfRule>
  </conditionalFormatting>
  <conditionalFormatting sqref="Q55">
    <cfRule type="cellIs" dxfId="1951" priority="40" operator="greaterThan">
      <formula>1</formula>
    </cfRule>
    <cfRule type="cellIs" dxfId="1950" priority="41" operator="lessThan">
      <formula>0.8</formula>
    </cfRule>
  </conditionalFormatting>
  <conditionalFormatting sqref="R55 AC55">
    <cfRule type="cellIs" dxfId="1949" priority="44" operator="lessThan">
      <formula>0.8</formula>
    </cfRule>
  </conditionalFormatting>
  <conditionalFormatting sqref="AC55">
    <cfRule type="cellIs" dxfId="1948" priority="42" operator="lessThan">
      <formula>0.8</formula>
    </cfRule>
  </conditionalFormatting>
  <conditionalFormatting sqref="O56">
    <cfRule type="cellIs" dxfId="1947" priority="33" operator="greaterThan">
      <formula>0</formula>
    </cfRule>
  </conditionalFormatting>
  <conditionalFormatting sqref="P56">
    <cfRule type="cellIs" dxfId="1946" priority="37" operator="lessThan">
      <formula>0</formula>
    </cfRule>
  </conditionalFormatting>
  <conditionalFormatting sqref="Q56">
    <cfRule type="cellIs" dxfId="1945" priority="34" operator="greaterThan">
      <formula>1</formula>
    </cfRule>
    <cfRule type="cellIs" dxfId="1944" priority="35" operator="lessThan">
      <formula>0.8</formula>
    </cfRule>
  </conditionalFormatting>
  <conditionalFormatting sqref="R56 AC56">
    <cfRule type="cellIs" dxfId="1943" priority="38" operator="lessThan">
      <formula>0.8</formula>
    </cfRule>
  </conditionalFormatting>
  <conditionalFormatting sqref="AC56">
    <cfRule type="cellIs" dxfId="1942" priority="36" operator="lessThan">
      <formula>0.8</formula>
    </cfRule>
  </conditionalFormatting>
  <conditionalFormatting sqref="AC29 R29">
    <cfRule type="cellIs" dxfId="1941" priority="32" operator="lessThan">
      <formula>0.8</formula>
    </cfRule>
  </conditionalFormatting>
  <conditionalFormatting sqref="R27 AC27">
    <cfRule type="cellIs" dxfId="1940" priority="31" operator="lessThan">
      <formula>0.8</formula>
    </cfRule>
  </conditionalFormatting>
  <conditionalFormatting sqref="AC27">
    <cfRule type="cellIs" dxfId="1939" priority="30" operator="lessThan">
      <formula>0.8</formula>
    </cfRule>
  </conditionalFormatting>
  <conditionalFormatting sqref="O57">
    <cfRule type="cellIs" dxfId="1938" priority="24" operator="greaterThan">
      <formula>0</formula>
    </cfRule>
  </conditionalFormatting>
  <conditionalFormatting sqref="P57">
    <cfRule type="cellIs" dxfId="1937" priority="28" operator="lessThan">
      <formula>0</formula>
    </cfRule>
  </conditionalFormatting>
  <conditionalFormatting sqref="Q57">
    <cfRule type="cellIs" dxfId="1936" priority="25" operator="greaterThan">
      <formula>1</formula>
    </cfRule>
    <cfRule type="cellIs" dxfId="1935" priority="26" operator="lessThan">
      <formula>0.8</formula>
    </cfRule>
  </conditionalFormatting>
  <conditionalFormatting sqref="R57 AC57">
    <cfRule type="cellIs" dxfId="1934" priority="29" operator="lessThan">
      <formula>0.8</formula>
    </cfRule>
  </conditionalFormatting>
  <conditionalFormatting sqref="AC57">
    <cfRule type="cellIs" dxfId="1933" priority="27" operator="lessThan">
      <formula>0.8</formula>
    </cfRule>
  </conditionalFormatting>
  <conditionalFormatting sqref="O67">
    <cfRule type="cellIs" dxfId="1932" priority="19" operator="greaterThan">
      <formula>0</formula>
    </cfRule>
  </conditionalFormatting>
  <conditionalFormatting sqref="P67 AA67">
    <cfRule type="cellIs" dxfId="1931" priority="22" operator="lessThan">
      <formula>0</formula>
    </cfRule>
  </conditionalFormatting>
  <conditionalFormatting sqref="Q67 AB67">
    <cfRule type="cellIs" dxfId="1930" priority="20" operator="greaterThan">
      <formula>1</formula>
    </cfRule>
    <cfRule type="cellIs" dxfId="1929" priority="21" operator="lessThan">
      <formula>0.8</formula>
    </cfRule>
  </conditionalFormatting>
  <conditionalFormatting sqref="R67 AC67">
    <cfRule type="cellIs" dxfId="1928" priority="23" operator="lessThan">
      <formula>0.8</formula>
    </cfRule>
  </conditionalFormatting>
  <conditionalFormatting sqref="O19">
    <cfRule type="cellIs" dxfId="1927" priority="14" operator="greaterThan">
      <formula>0</formula>
    </cfRule>
  </conditionalFormatting>
  <conditionalFormatting sqref="P19">
    <cfRule type="cellIs" dxfId="1926" priority="17" operator="lessThan">
      <formula>0</formula>
    </cfRule>
  </conditionalFormatting>
  <conditionalFormatting sqref="Q19">
    <cfRule type="cellIs" dxfId="1925" priority="15" operator="greaterThan">
      <formula>1</formula>
    </cfRule>
    <cfRule type="cellIs" dxfId="1924" priority="16" operator="lessThan">
      <formula>0.8</formula>
    </cfRule>
  </conditionalFormatting>
  <conditionalFormatting sqref="AC19 R19">
    <cfRule type="cellIs" dxfId="1923" priority="18" operator="lessThan">
      <formula>0.8</formula>
    </cfRule>
  </conditionalFormatting>
  <conditionalFormatting sqref="P9">
    <cfRule type="cellIs" dxfId="1922" priority="13" operator="lessThan">
      <formula>0</formula>
    </cfRule>
  </conditionalFormatting>
  <conditionalFormatting sqref="P20">
    <cfRule type="cellIs" dxfId="1921" priority="12" operator="lessThan">
      <formula>0</formula>
    </cfRule>
  </conditionalFormatting>
  <conditionalFormatting sqref="P30">
    <cfRule type="cellIs" dxfId="1920" priority="11" operator="lessThan">
      <formula>0</formula>
    </cfRule>
  </conditionalFormatting>
  <conditionalFormatting sqref="P39">
    <cfRule type="cellIs" dxfId="1919" priority="10" operator="lessThan">
      <formula>0</formula>
    </cfRule>
  </conditionalFormatting>
  <conditionalFormatting sqref="P58">
    <cfRule type="cellIs" dxfId="1918" priority="9" operator="lessThan">
      <formula>0</formula>
    </cfRule>
  </conditionalFormatting>
  <conditionalFormatting sqref="P65">
    <cfRule type="cellIs" dxfId="1917" priority="8" operator="lessThan">
      <formula>0</formula>
    </cfRule>
  </conditionalFormatting>
  <conditionalFormatting sqref="P70">
    <cfRule type="cellIs" dxfId="1916" priority="7" operator="lessThan">
      <formula>0</formula>
    </cfRule>
  </conditionalFormatting>
  <conditionalFormatting sqref="P79">
    <cfRule type="cellIs" dxfId="1915" priority="6" operator="lessThan">
      <formula>0</formula>
    </cfRule>
  </conditionalFormatting>
  <conditionalFormatting sqref="O78">
    <cfRule type="cellIs" dxfId="1914" priority="1" operator="greaterThan">
      <formula>0</formula>
    </cfRule>
  </conditionalFormatting>
  <conditionalFormatting sqref="P78">
    <cfRule type="cellIs" dxfId="1913" priority="4" operator="lessThan">
      <formula>0</formula>
    </cfRule>
  </conditionalFormatting>
  <conditionalFormatting sqref="Q78">
    <cfRule type="cellIs" dxfId="1912" priority="2" operator="greaterThan">
      <formula>1</formula>
    </cfRule>
    <cfRule type="cellIs" dxfId="1911" priority="3" operator="lessThan">
      <formula>0.8</formula>
    </cfRule>
  </conditionalFormatting>
  <conditionalFormatting sqref="R78">
    <cfRule type="cellIs" dxfId="1910" priority="5" operator="lessThan">
      <formula>0.8</formula>
    </cfRule>
  </conditionalFormatting>
  <dataValidations count="1">
    <dataValidation type="list" allowBlank="1" showInputMessage="1" showErrorMessage="1" sqref="Z9 Y5:Z8 Y9:Y69 Z11:Z66 Y70:Z7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164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1864</v>
      </c>
      <c r="C3" s="497" t="str">
        <f>TEXT('1123 4度C'!A2,"yyyy.mm.ddaaaa")</f>
        <v>2025.11.23星期日</v>
      </c>
      <c r="D3" s="498"/>
      <c r="E3" s="4" t="s">
        <v>1865</v>
      </c>
      <c r="F3" s="499">
        <f>'1123 4度C'!D1</f>
        <v>200934</v>
      </c>
      <c r="G3" s="500"/>
      <c r="H3" s="4" t="s">
        <v>1866</v>
      </c>
      <c r="I3" s="501">
        <f>'1123 4度C'!F1</f>
        <v>6810647.3899999987</v>
      </c>
      <c r="J3" s="502"/>
      <c r="K3" s="5"/>
      <c r="L3" s="6"/>
      <c r="M3" s="7"/>
      <c r="N3" s="7"/>
    </row>
    <row r="4" spans="2:17" ht="28.5" customHeight="1">
      <c r="B4" s="503" t="s">
        <v>1867</v>
      </c>
      <c r="C4" s="485" t="s">
        <v>1868</v>
      </c>
      <c r="D4" s="486"/>
      <c r="E4" s="506" t="s">
        <v>1869</v>
      </c>
      <c r="F4" s="507"/>
      <c r="G4" s="506" t="s">
        <v>171</v>
      </c>
      <c r="H4" s="507"/>
      <c r="I4" s="506" t="s">
        <v>1870</v>
      </c>
      <c r="J4" s="507"/>
      <c r="L4" s="7"/>
      <c r="M4" s="7"/>
      <c r="N4" s="7"/>
    </row>
    <row r="5" spans="2:17" ht="28.5" customHeight="1">
      <c r="B5" s="504"/>
      <c r="C5" s="485" t="s">
        <v>1871</v>
      </c>
      <c r="D5" s="486"/>
      <c r="E5" s="485" t="s">
        <v>1872</v>
      </c>
      <c r="F5" s="486"/>
      <c r="G5" s="487" t="s">
        <v>1873</v>
      </c>
      <c r="H5" s="488"/>
      <c r="I5" s="489" t="s">
        <v>176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153.98019060921027</v>
      </c>
      <c r="F6" s="492">
        <f>AVERAGE(D27:O27,D13:J13)</f>
        <v>160.87301202622081</v>
      </c>
      <c r="G6" s="493">
        <f>AVERAGE(D13:J13)</f>
        <v>160.87301202622081</v>
      </c>
      <c r="H6" s="494"/>
      <c r="I6" s="493">
        <f>AVERAGE(K13:M13)</f>
        <v>137.89694063618558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147.47016427975126</v>
      </c>
      <c r="F7" s="478">
        <f>AVERAGE(D28:O28,D14:J14)</f>
        <v>154.13858089834289</v>
      </c>
      <c r="G7" s="479">
        <f>AVERAGE(D14:J14)</f>
        <v>154.13858089834289</v>
      </c>
      <c r="H7" s="480"/>
      <c r="I7" s="479">
        <f>AVERAGE(K14:M14)</f>
        <v>131.91052550303752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0.95738714975776984</v>
      </c>
      <c r="F8" s="482">
        <f>AVERAGE(D15:J15,D29:O29)</f>
        <v>0.957740634824923</v>
      </c>
      <c r="G8" s="483">
        <f>AVERAGE(D15:J15)</f>
        <v>0.957740634824923</v>
      </c>
      <c r="H8" s="484"/>
      <c r="I8" s="483">
        <f>AVERAGE(K15:M15)</f>
        <v>0.95656235126774602</v>
      </c>
      <c r="J8" s="484"/>
      <c r="K8" s="8" t="s">
        <v>1874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1875</v>
      </c>
      <c r="C10" s="459"/>
      <c r="D10" s="460" t="s">
        <v>1876</v>
      </c>
      <c r="E10" s="461"/>
      <c r="F10" s="461"/>
      <c r="G10" s="461"/>
      <c r="H10" s="461"/>
      <c r="I10" s="461"/>
      <c r="J10" s="462"/>
      <c r="K10" s="463" t="s">
        <v>180</v>
      </c>
      <c r="L10" s="464"/>
      <c r="M10" s="465"/>
      <c r="P10" s="11"/>
      <c r="Q10" s="11"/>
    </row>
    <row r="11" spans="2:17" ht="17.25" customHeight="1">
      <c r="B11" s="466" t="s">
        <v>1877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129</v>
      </c>
      <c r="C13" s="18" t="s">
        <v>1878</v>
      </c>
      <c r="D13" s="19">
        <f>SUMIFS('1123 4度C'!$K:$K,'1123 4度C'!$A:$A,"新豐6線",'1123 4度C'!$B:$B,"平均")</f>
        <v>137.93103448275863</v>
      </c>
      <c r="E13" s="20">
        <f>SUMIFS('1123 4度C'!$K:$K,'1123 4度C'!$A:$A,"新豐2線",'1123 4度C'!$B:$B,"平均")</f>
        <v>81.081081081081081</v>
      </c>
      <c r="F13" s="21">
        <f>SUMIFS('1123 4度C'!$K:$K,'1123 4度C'!$A:$A,"新豐5線",'1123 4度C'!$B:$B,"平均")</f>
        <v>100.80645161290322</v>
      </c>
      <c r="G13" s="21">
        <f>SUMIFS('1123 4度C'!$K:$K,'1123 4度C'!$A:$A,"新豐7線",'1123 4度C'!$B:$B,"平均")</f>
        <v>116.66666666666666</v>
      </c>
      <c r="H13" s="21">
        <f>SUMIFS('1123 4度C'!$K:$K,'1123 4度C'!$A:$A,"新豐3線",'1123 4度C'!$B:$B,"平均")</f>
        <v>285.71428571428572</v>
      </c>
      <c r="I13" s="21">
        <f>SUMIFS('1123 4度C'!$K:$K,'1123 4度C'!$A:$A,"新豐1線",'1123 4度C'!$B:$B,"平均")</f>
        <v>112.24489795918367</v>
      </c>
      <c r="J13" s="22">
        <f>SUMIFS('1123 4度C'!$K:$K,'1123 4度C'!$A:$A,"新豐10線",'1123 4度C'!$B:$B,"平均")</f>
        <v>291.66666666666669</v>
      </c>
      <c r="K13" s="23">
        <f>SUMIFS('1123 4度C'!$K:$K,'1123 4度C'!$A:$A,"新豐8線",'1123 4度C'!$B:$B,"平均")</f>
        <v>129.23076923076923</v>
      </c>
      <c r="L13" s="24">
        <f>SUMIFS('1123 4度C'!$K:$K,'1123 4度C'!$A:$A,"新豐9線",'1123 4度C'!$B:$B,"平均")</f>
        <v>141.1764705882353</v>
      </c>
      <c r="M13" s="22">
        <f>SUMIFS('1123 4度C'!$K:$K,'1123 4度C'!$A:$A,"新豐4線",'1123 4度C'!$B:$B,"平均")</f>
        <v>143.28358208955223</v>
      </c>
    </row>
    <row r="14" spans="2:17" ht="39.6" customHeight="1">
      <c r="B14" s="471"/>
      <c r="C14" s="25" t="s">
        <v>1879</v>
      </c>
      <c r="D14" s="26">
        <f>SUMIFS('1123 4度C'!$N:$N,'1123 4度C'!$A:$A,"新豐6線",'1123 4度C'!$B:$B,"平均")</f>
        <v>132.0296991050198</v>
      </c>
      <c r="E14" s="27">
        <f>SUMIFS('1123 4度C'!$N:$N,'1123 4度C'!$A:$A,"新豐2線",'1123 4度C'!$B:$B,"平均")</f>
        <v>77.192887827242814</v>
      </c>
      <c r="F14" s="27">
        <f>SUMIFS('1123 4度C'!$N:$N,'1123 4度C'!$A:$A,"新豐5線",'1123 4度C'!$B:$B,"平均")</f>
        <v>96.847418607234459</v>
      </c>
      <c r="G14" s="27">
        <f>SUMIFS('1123 4度C'!$N:$N,'1123 4度C'!$A:$A,"新豐7線",'1123 4度C'!$B:$B,"平均")</f>
        <v>112.08088831800268</v>
      </c>
      <c r="H14" s="27">
        <f>SUMIFS('1123 4度C'!$N:$N,'1123 4度C'!$A:$A,"新豐3線",'1123 4度C'!$B:$B,"平均")</f>
        <v>273.77744244334463</v>
      </c>
      <c r="I14" s="27">
        <f>SUMIFS('1123 4度C'!$N:$N,'1123 4度C'!$A:$A,"新豐1線",'1123 4度C'!$B:$B,"平均")</f>
        <v>107.34064975819129</v>
      </c>
      <c r="J14" s="28">
        <f>SUMIFS('1123 4度C'!$N:$N,'1123 4度C'!$A:$A,"新豐10線",'1123 4度C'!$B:$B,"平均")</f>
        <v>279.70108022936444</v>
      </c>
      <c r="K14" s="29">
        <f>SUMIFS('1123 4度C'!$N:$N,'1123 4度C'!$A:$A,"新豐8線",'1123 4度C'!$B:$B,"平均")</f>
        <v>123.5220687016089</v>
      </c>
      <c r="L14" s="30">
        <f>SUMIFS('1123 4度C'!$N:$N,'1123 4度C'!$A:$A,"新豐9線",'1123 4度C'!$B:$B,"平均")</f>
        <v>135.03358986025404</v>
      </c>
      <c r="M14" s="28">
        <f>SUMIFS('1123 4度C'!$N:$N,'1123 4度C'!$A:$A,"新豐4線",'1123 4度C'!$B:$B,"平均")</f>
        <v>137.17591794724953</v>
      </c>
    </row>
    <row r="15" spans="2:17" ht="40.15" customHeight="1">
      <c r="B15" s="472"/>
      <c r="C15" s="31" t="s">
        <v>1880</v>
      </c>
      <c r="D15" s="32">
        <f t="shared" ref="D15:M15" si="0">D14/D13</f>
        <v>0.95721531851139352</v>
      </c>
      <c r="E15" s="33">
        <f t="shared" si="0"/>
        <v>0.95204561653599473</v>
      </c>
      <c r="F15" s="33">
        <f t="shared" si="0"/>
        <v>0.96072639258376591</v>
      </c>
      <c r="G15" s="33">
        <f t="shared" si="0"/>
        <v>0.96069332844002309</v>
      </c>
      <c r="H15" s="33">
        <f t="shared" si="0"/>
        <v>0.9582210485517062</v>
      </c>
      <c r="I15" s="33">
        <f t="shared" si="0"/>
        <v>0.95630760693661332</v>
      </c>
      <c r="J15" s="34">
        <f t="shared" si="0"/>
        <v>0.95897513221496367</v>
      </c>
      <c r="K15" s="32">
        <f t="shared" si="0"/>
        <v>0.95582553161959272</v>
      </c>
      <c r="L15" s="33">
        <f t="shared" si="0"/>
        <v>0.9564879281767994</v>
      </c>
      <c r="M15" s="34">
        <f t="shared" si="0"/>
        <v>0.95737359400684574</v>
      </c>
    </row>
    <row r="16" spans="2:17" ht="17.25" customHeight="1">
      <c r="B16" s="473" t="s">
        <v>1881</v>
      </c>
      <c r="C16" s="35" t="s">
        <v>1882</v>
      </c>
      <c r="D16" s="49">
        <f>VLOOKUP("新豐6線",'1123 4度C'!$A:$T,19,0)</f>
        <v>0.70833333333333337</v>
      </c>
      <c r="E16" s="50">
        <f>VLOOKUP("新豐2線",'1123 4度C'!$A:$T,19,0)</f>
        <v>0.20833333333333334</v>
      </c>
      <c r="F16" s="50">
        <f>VLOOKUP("新豐5線",'1123 4度C'!$A:$T,19,0)</f>
        <v>0.125</v>
      </c>
      <c r="G16" s="50">
        <f>VLOOKUP("新豐7線",'1123 4度C'!$A:$T,19,0)</f>
        <v>0.20833333333333334</v>
      </c>
      <c r="H16" s="50">
        <f>VLOOKUP("新豐3線",'1123 4度C'!$A:$T,19,0)</f>
        <v>8.3333333333333329E-2</v>
      </c>
      <c r="I16" s="50">
        <f>VLOOKUP("新豐1線",'1123 4度C'!$A:$T,19,0)</f>
        <v>0.20833333333333334</v>
      </c>
      <c r="J16" s="51">
        <f>VLOOKUP("新豐10線",'1123 4度C'!$A:$T,19,0)</f>
        <v>0.20833333333333334</v>
      </c>
      <c r="K16" s="36">
        <f>VLOOKUP("新豐8線",'1123 4度C'!$A:$T,19,0)</f>
        <v>8.3333333333333329E-2</v>
      </c>
      <c r="L16" s="37">
        <f>VLOOKUP("新豐9線",'1123 4度C'!$A:$T,19,0)</f>
        <v>8.3333333333333329E-2</v>
      </c>
      <c r="M16" s="38">
        <f>VLOOKUP("新豐4線",'1123 4度C'!$A:$T,19,0)</f>
        <v>8.3333333333333329E-2</v>
      </c>
    </row>
    <row r="17" spans="2:13" ht="17.25" customHeight="1">
      <c r="B17" s="474"/>
      <c r="C17" s="35" t="s">
        <v>1883</v>
      </c>
      <c r="D17" s="36">
        <f>LOOKUP(2,1/(('1123 4度C'!$A:$A="新豐6線")*('1123 4度C'!$T:$T&lt;&gt;"")),'1123 4度C'!$T:$T)</f>
        <v>0.93611111111111112</v>
      </c>
      <c r="E17" s="50">
        <f>LOOKUP(2,1/(('1123 4度C'!$A:$A="新豐2線")*('1123 4度C'!$T:$T&lt;&gt;"")),'1123 4度C'!$T:$T)</f>
        <v>0.47291666666666665</v>
      </c>
      <c r="F17" s="50">
        <f>LOOKUP(2,1/(('1123 4度C'!$A:$A="新豐5線")*('1123 4度C'!$T:$T&lt;&gt;"")),'1123 4度C'!$T:$T)</f>
        <v>0.94305555555555554</v>
      </c>
      <c r="G17" s="50">
        <f>LOOKUP(2,1/(('1123 4度C'!$A:$A="新豐7線")*('1123 4度C'!$T:$T&lt;&gt;"")),'1123 4度C'!$T:$T)</f>
        <v>0.91388888888888897</v>
      </c>
      <c r="H17" s="50">
        <f>LOOKUP(2,1/(('1123 4度C'!$A:$A="新豐3線")*('1123 4度C'!$T:$T&lt;&gt;"")),'1123 4度C'!$T:$T)</f>
        <v>0.65277777777777768</v>
      </c>
      <c r="I17" s="50">
        <f>LOOKUP(2,1/(('1123 4度C'!$A:$A="新豐1線")*('1123 4度C'!$T:$T&lt;&gt;"")),'1123 4度C'!$T:$T)</f>
        <v>0.95763888888888882</v>
      </c>
      <c r="J17" s="51">
        <f>LOOKUP(2,1/(('1123 4度C'!$A:$A="新豐10線")*('1123 4度C'!$T:$T&lt;&gt;"")),'1123 4度C'!$T:$T)</f>
        <v>0.45833333333333331</v>
      </c>
      <c r="K17" s="49">
        <f>LOOKUP(2,1/(('1123 4度C'!$A:$A="新豐8線")*('1123 4度C'!$T:$T&lt;&gt;"")),'1123 4度C'!$T:$T)</f>
        <v>0.73888888888888882</v>
      </c>
      <c r="L17" s="50">
        <f>LOOKUP(2,1/(('1123 4度C'!$A:$A="新豐9線")*('1123 4度C'!$T:$T&lt;&gt;"")),'1123 4度C'!$T:$T)</f>
        <v>0.75069444444444433</v>
      </c>
      <c r="M17" s="51">
        <f>LOOKUP(2,1/(('1123 4度C'!$A:$A="新豐4線")*('1123 4度C'!$T:$T&lt;&gt;"")),'1123 4度C'!$T:$T)</f>
        <v>0.68055555555555536</v>
      </c>
    </row>
    <row r="18" spans="2:13" ht="17.25" customHeight="1">
      <c r="B18" s="452" t="s">
        <v>1884</v>
      </c>
      <c r="C18" s="453"/>
      <c r="D18" s="39">
        <f>SUMIFS('1123 4度C'!$I:$I,'1123 4度C'!$A:$A,"新豐6線",'1123 4度C'!$B:$B,"平均")</f>
        <v>14.5</v>
      </c>
      <c r="E18" s="40">
        <f>SUMIFS('1123 4度C'!$I:$I,'1123 4度C'!$A:$A,"新豐2線",'1123 4度C'!$B:$B,"平均")</f>
        <v>18.5</v>
      </c>
      <c r="F18" s="40">
        <f>SUMIFS('1123 4度C'!$I:$I,'1123 4度C'!$A:$A,"新豐5線",'1123 4度C'!$B:$B,"平均")</f>
        <v>17.714285714285715</v>
      </c>
      <c r="G18" s="40">
        <f>SUMIFS('1123 4度C'!$I:$I,'1123 4度C'!$A:$A,"新豐7線",'1123 4度C'!$B:$B,"平均")</f>
        <v>16.666666666666668</v>
      </c>
      <c r="H18" s="40">
        <f>SUMIFS('1123 4度C'!$I:$I,'1123 4度C'!$A:$A,"新豐3線",'1123 4度C'!$B:$B,"平均")</f>
        <v>10.111111111111111</v>
      </c>
      <c r="I18" s="40">
        <f>SUMIFS('1123 4度C'!$I:$I,'1123 4度C'!$A:$A,"新豐1線",'1123 4度C'!$B:$B,"平均")</f>
        <v>16.333333333333332</v>
      </c>
      <c r="J18" s="41">
        <f>SUMIFS('1123 4度C'!$I:$I,'1123 4度C'!$A:$A,"新豐10線",'1123 4度C'!$B:$B,"平均")</f>
        <v>9</v>
      </c>
      <c r="K18" s="39">
        <f>SUMIFS('1123 4度C'!$I:$I,'1123 4度C'!$A:$A,"新豐8線",'1123 4度C'!$B:$B,"平均")</f>
        <v>18.571428571428573</v>
      </c>
      <c r="L18" s="40">
        <f>SUMIFS('1123 4度C'!$I:$I,'1123 4度C'!$A:$A,"新豐9線",'1123 4度C'!$B:$B,"平均")</f>
        <v>17</v>
      </c>
      <c r="M18" s="41">
        <f>SUMIFS('1123 4度C'!$I:$I,'1123 4度C'!$A:$A,"新豐4線",'1123 4度C'!$B:$B,"平均")</f>
        <v>16.75</v>
      </c>
    </row>
    <row r="19" spans="2:13" ht="17.25" customHeight="1">
      <c r="B19" s="452" t="s">
        <v>1885</v>
      </c>
      <c r="C19" s="453"/>
      <c r="D19" s="42" t="s">
        <v>65</v>
      </c>
      <c r="E19" s="43" t="s">
        <v>66</v>
      </c>
      <c r="F19" s="43" t="s">
        <v>191</v>
      </c>
      <c r="G19" s="43" t="s">
        <v>1886</v>
      </c>
      <c r="H19" s="43" t="s">
        <v>67</v>
      </c>
      <c r="I19" s="43" t="s">
        <v>65</v>
      </c>
      <c r="J19" s="44" t="s">
        <v>67</v>
      </c>
      <c r="K19" s="42" t="s">
        <v>1887</v>
      </c>
      <c r="L19" s="43" t="s">
        <v>1888</v>
      </c>
      <c r="M19" s="44" t="s">
        <v>1889</v>
      </c>
    </row>
    <row r="20" spans="2:13" ht="17.25" customHeight="1">
      <c r="B20" s="452" t="s">
        <v>1890</v>
      </c>
      <c r="C20" s="453"/>
      <c r="D20" s="42"/>
      <c r="E20" s="43"/>
      <c r="F20" s="43" t="s">
        <v>1891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1892</v>
      </c>
      <c r="C21" s="455"/>
      <c r="D21" s="45"/>
      <c r="E21" s="46" t="s">
        <v>1893</v>
      </c>
      <c r="F21" s="456" t="s">
        <v>1894</v>
      </c>
      <c r="G21" s="457"/>
      <c r="H21" s="46" t="s">
        <v>1895</v>
      </c>
      <c r="I21" s="46" t="s">
        <v>1896</v>
      </c>
      <c r="J21" s="47" t="s">
        <v>200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9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9"/>
  <sheetViews>
    <sheetView topLeftCell="C1" zoomScale="80" zoomScaleNormal="80" workbookViewId="0">
      <pane ySplit="4" topLeftCell="A20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1897</v>
      </c>
      <c r="B1" s="52"/>
      <c r="C1" s="53" t="s">
        <v>1898</v>
      </c>
      <c r="D1" s="54">
        <f>SUM(F5:F78)</f>
        <v>200934</v>
      </c>
      <c r="E1" s="350" t="s">
        <v>1899</v>
      </c>
      <c r="F1" s="52">
        <f>SUM(G5:G78)</f>
        <v>6810647.3899999987</v>
      </c>
      <c r="G1" s="52" t="s">
        <v>1900</v>
      </c>
      <c r="H1" s="55">
        <f>L9+L12+L57+L64+L20+L69+L38+L47+L30+L78</f>
        <v>155.14682539682539</v>
      </c>
      <c r="I1" s="556" t="s">
        <v>1901</v>
      </c>
      <c r="J1" s="556"/>
      <c r="K1" s="556"/>
      <c r="L1" s="556" t="s">
        <v>1902</v>
      </c>
      <c r="M1" s="556"/>
      <c r="N1" s="556"/>
      <c r="O1" s="556" t="s">
        <v>1903</v>
      </c>
      <c r="P1" s="556"/>
      <c r="Q1" s="556"/>
      <c r="R1" s="556"/>
      <c r="S1" s="556" t="s">
        <v>1904</v>
      </c>
      <c r="T1" s="556"/>
      <c r="U1" s="556"/>
      <c r="V1" s="556"/>
      <c r="W1" s="556"/>
      <c r="X1" s="556"/>
      <c r="Y1" s="556" t="s">
        <v>1905</v>
      </c>
      <c r="Z1" s="556"/>
      <c r="AA1" s="556" t="s">
        <v>1906</v>
      </c>
      <c r="AB1" s="557"/>
      <c r="AC1" s="557"/>
    </row>
    <row r="2" spans="1:29" ht="26.25" customHeight="1">
      <c r="A2" s="57">
        <v>45984</v>
      </c>
      <c r="B2" s="58" t="s">
        <v>213</v>
      </c>
      <c r="C2" s="53" t="s">
        <v>1907</v>
      </c>
      <c r="D2" s="59">
        <f>AVERAGE(N9,N12,N57,N64,N20,N69,N30,N38,N47,N78)</f>
        <v>147.47016427975126</v>
      </c>
      <c r="E2" s="60" t="s">
        <v>0</v>
      </c>
      <c r="F2" s="61">
        <f>F1/D1</f>
        <v>33.894947544965007</v>
      </c>
      <c r="G2" s="52" t="s">
        <v>1908</v>
      </c>
      <c r="H2" s="362">
        <f>COUNT(H5:H78)</f>
        <v>12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1909</v>
      </c>
      <c r="B3" s="510" t="s">
        <v>1910</v>
      </c>
      <c r="C3" s="510" t="s">
        <v>1911</v>
      </c>
      <c r="D3" s="510"/>
      <c r="E3" s="554" t="s">
        <v>1912</v>
      </c>
      <c r="F3" s="510" t="s">
        <v>1913</v>
      </c>
      <c r="G3" s="554" t="s">
        <v>1914</v>
      </c>
      <c r="H3" s="547" t="s">
        <v>1915</v>
      </c>
      <c r="I3" s="545" t="s">
        <v>1916</v>
      </c>
      <c r="J3" s="550" t="s">
        <v>1917</v>
      </c>
      <c r="K3" s="552" t="s">
        <v>1918</v>
      </c>
      <c r="L3" s="545" t="s">
        <v>1916</v>
      </c>
      <c r="M3" s="550" t="s">
        <v>1919</v>
      </c>
      <c r="N3" s="552" t="s">
        <v>1918</v>
      </c>
      <c r="O3" s="545" t="s">
        <v>1916</v>
      </c>
      <c r="P3" s="552" t="s">
        <v>1918</v>
      </c>
      <c r="Q3" s="551" t="s">
        <v>141</v>
      </c>
      <c r="R3" s="523" t="s">
        <v>1920</v>
      </c>
      <c r="S3" s="510" t="s">
        <v>1</v>
      </c>
      <c r="T3" s="510"/>
      <c r="U3" s="547" t="s">
        <v>2</v>
      </c>
      <c r="V3" s="547" t="s">
        <v>1921</v>
      </c>
      <c r="W3" s="510" t="s">
        <v>1922</v>
      </c>
      <c r="X3" s="510"/>
      <c r="Y3" s="548" t="s">
        <v>1923</v>
      </c>
      <c r="Z3" s="549"/>
      <c r="AA3" s="550" t="s">
        <v>1919</v>
      </c>
      <c r="AB3" s="551" t="s">
        <v>1924</v>
      </c>
      <c r="AC3" s="523" t="s">
        <v>1920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50" t="s">
        <v>3</v>
      </c>
      <c r="T4" s="350" t="s">
        <v>4</v>
      </c>
      <c r="U4" s="547"/>
      <c r="V4" s="547"/>
      <c r="W4" s="350" t="s">
        <v>1925</v>
      </c>
      <c r="X4" s="350" t="s">
        <v>1926</v>
      </c>
      <c r="Y4" s="549"/>
      <c r="Z4" s="549"/>
      <c r="AA4" s="550"/>
      <c r="AB4" s="551"/>
      <c r="AC4" s="523"/>
    </row>
    <row r="5" spans="1:29">
      <c r="A5" s="544" t="s">
        <v>1927</v>
      </c>
      <c r="B5" s="62" t="s">
        <v>6</v>
      </c>
      <c r="C5" s="546" t="s">
        <v>9</v>
      </c>
      <c r="D5" s="546"/>
      <c r="E5" s="62">
        <v>50.67</v>
      </c>
      <c r="F5" s="361">
        <v>1861</v>
      </c>
      <c r="G5" s="350">
        <f t="shared" ref="G5:G8" si="0">E5*F5</f>
        <v>94296.87000000001</v>
      </c>
      <c r="H5" s="90" t="s">
        <v>5</v>
      </c>
      <c r="I5" s="359">
        <v>17</v>
      </c>
      <c r="J5" s="63">
        <v>2000</v>
      </c>
      <c r="K5" s="64">
        <f t="shared" ref="K5:K68" si="1">J5/I5</f>
        <v>117.64705882352941</v>
      </c>
      <c r="L5" s="359">
        <v>17</v>
      </c>
      <c r="M5" s="65">
        <f t="shared" ref="M5:M8" si="2">F5/V5*60</f>
        <v>1925.1724137931051</v>
      </c>
      <c r="N5" s="64">
        <f t="shared" ref="N5:N68" si="3">M5/L5</f>
        <v>113.24543610547677</v>
      </c>
      <c r="O5" s="66">
        <f t="shared" ref="O5:O68" si="4">L5-I5</f>
        <v>0</v>
      </c>
      <c r="P5" s="67">
        <f t="shared" ref="P5:P68" si="5">N5-K5</f>
        <v>-4.4016227180526357</v>
      </c>
      <c r="Q5" s="351">
        <f t="shared" ref="Q5:Q68" si="6">N5/K5</f>
        <v>0.96258620689655261</v>
      </c>
      <c r="R5" s="511">
        <f>Q9</f>
        <v>0.95721531851139352</v>
      </c>
      <c r="S5" s="68">
        <v>0.70833333333333337</v>
      </c>
      <c r="T5" s="68">
        <v>0.74861111111111112</v>
      </c>
      <c r="U5" s="350"/>
      <c r="V5" s="360">
        <f t="shared" ref="V5:V8" si="7">(T5-S5)*24*60</f>
        <v>57.999999999999957</v>
      </c>
      <c r="W5" s="69"/>
      <c r="X5" s="70"/>
      <c r="Y5" s="510"/>
      <c r="Z5" s="510"/>
      <c r="AA5" s="66">
        <f t="shared" ref="AA5:AA68" si="8">M5-J5</f>
        <v>-74.827586206894921</v>
      </c>
      <c r="AB5" s="351">
        <f t="shared" ref="AB5:AB68" si="9">M5/J5</f>
        <v>0.9625862068965525</v>
      </c>
      <c r="AC5" s="511">
        <f>AB9</f>
        <v>0.95721531851139363</v>
      </c>
    </row>
    <row r="6" spans="1:29">
      <c r="A6" s="545" t="s">
        <v>1928</v>
      </c>
      <c r="B6" s="62" t="s">
        <v>6</v>
      </c>
      <c r="C6" s="546" t="s">
        <v>8</v>
      </c>
      <c r="D6" s="546"/>
      <c r="E6" s="62">
        <v>50.49</v>
      </c>
      <c r="F6" s="361">
        <v>2347</v>
      </c>
      <c r="G6" s="350">
        <f t="shared" si="0"/>
        <v>118500.03</v>
      </c>
      <c r="H6" s="90" t="s">
        <v>5</v>
      </c>
      <c r="I6" s="359">
        <v>15</v>
      </c>
      <c r="J6" s="63">
        <v>2000</v>
      </c>
      <c r="K6" s="64">
        <f t="shared" si="1"/>
        <v>133.33333333333334</v>
      </c>
      <c r="L6" s="359">
        <v>15</v>
      </c>
      <c r="M6" s="65">
        <f t="shared" si="2"/>
        <v>1902.9729729729715</v>
      </c>
      <c r="N6" s="64">
        <f t="shared" si="3"/>
        <v>126.86486486486477</v>
      </c>
      <c r="O6" s="66">
        <f t="shared" si="4"/>
        <v>0</v>
      </c>
      <c r="P6" s="67">
        <f t="shared" si="5"/>
        <v>-6.468468468468572</v>
      </c>
      <c r="Q6" s="351">
        <f t="shared" si="6"/>
        <v>0.95148648648648571</v>
      </c>
      <c r="R6" s="511"/>
      <c r="S6" s="68">
        <v>0.75277777777777777</v>
      </c>
      <c r="T6" s="68">
        <v>0.8041666666666667</v>
      </c>
      <c r="U6" s="350">
        <f t="shared" ref="U6:U8" si="10">IF(S6=TIME(17,0,0),"",(S6-T5)*24*60)</f>
        <v>5.9999999999999787</v>
      </c>
      <c r="V6" s="360">
        <f t="shared" si="7"/>
        <v>74.000000000000057</v>
      </c>
      <c r="W6" s="69"/>
      <c r="X6" s="69"/>
      <c r="Y6" s="510"/>
      <c r="Z6" s="510"/>
      <c r="AA6" s="66">
        <f t="shared" si="8"/>
        <v>-97.027027027028453</v>
      </c>
      <c r="AB6" s="351">
        <f t="shared" si="9"/>
        <v>0.95148648648648582</v>
      </c>
      <c r="AC6" s="511"/>
    </row>
    <row r="7" spans="1:29">
      <c r="A7" s="545" t="s">
        <v>1927</v>
      </c>
      <c r="B7" s="62" t="s">
        <v>6</v>
      </c>
      <c r="C7" s="539" t="s">
        <v>886</v>
      </c>
      <c r="D7" s="540"/>
      <c r="E7" s="62">
        <v>57.3</v>
      </c>
      <c r="F7" s="361">
        <v>1500</v>
      </c>
      <c r="G7" s="350">
        <f t="shared" si="0"/>
        <v>85950</v>
      </c>
      <c r="H7" s="90">
        <v>2</v>
      </c>
      <c r="I7" s="359">
        <v>13</v>
      </c>
      <c r="J7" s="63">
        <v>2000</v>
      </c>
      <c r="K7" s="64">
        <f t="shared" si="1"/>
        <v>153.84615384615384</v>
      </c>
      <c r="L7" s="359">
        <v>13</v>
      </c>
      <c r="M7" s="65">
        <f t="shared" si="2"/>
        <v>1914.8936170212769</v>
      </c>
      <c r="N7" s="64">
        <f t="shared" si="3"/>
        <v>147.29950900163669</v>
      </c>
      <c r="O7" s="66">
        <f t="shared" si="4"/>
        <v>0</v>
      </c>
      <c r="P7" s="67">
        <f t="shared" si="5"/>
        <v>-6.5466448445171466</v>
      </c>
      <c r="Q7" s="351">
        <f t="shared" si="6"/>
        <v>0.95744680851063857</v>
      </c>
      <c r="R7" s="511"/>
      <c r="S7" s="68">
        <v>0.80833333333333335</v>
      </c>
      <c r="T7" s="68">
        <v>0.84097222222222223</v>
      </c>
      <c r="U7" s="350">
        <f t="shared" si="10"/>
        <v>5.9999999999999787</v>
      </c>
      <c r="V7" s="360">
        <f t="shared" si="7"/>
        <v>46.999999999999993</v>
      </c>
      <c r="W7" s="69">
        <f>T7</f>
        <v>0.84097222222222223</v>
      </c>
      <c r="X7" s="69">
        <f>S8</f>
        <v>0.88124999999999998</v>
      </c>
      <c r="Y7" s="517"/>
      <c r="Z7" s="518"/>
      <c r="AA7" s="66">
        <f t="shared" si="8"/>
        <v>-85.106382978723104</v>
      </c>
      <c r="AB7" s="351">
        <f t="shared" si="9"/>
        <v>0.95744680851063846</v>
      </c>
      <c r="AC7" s="511"/>
    </row>
    <row r="8" spans="1:29">
      <c r="A8" s="545" t="s">
        <v>1928</v>
      </c>
      <c r="B8" s="62" t="s">
        <v>6</v>
      </c>
      <c r="C8" s="539" t="s">
        <v>886</v>
      </c>
      <c r="D8" s="540"/>
      <c r="E8" s="62">
        <v>57.3</v>
      </c>
      <c r="F8" s="361">
        <v>2521</v>
      </c>
      <c r="G8" s="350">
        <f t="shared" si="0"/>
        <v>144453.29999999999</v>
      </c>
      <c r="H8" s="90" t="s">
        <v>5</v>
      </c>
      <c r="I8" s="359">
        <v>13</v>
      </c>
      <c r="J8" s="63">
        <v>2000</v>
      </c>
      <c r="K8" s="64">
        <f t="shared" si="1"/>
        <v>153.84615384615384</v>
      </c>
      <c r="L8" s="359">
        <v>13</v>
      </c>
      <c r="M8" s="65">
        <f t="shared" si="2"/>
        <v>1914.6835443037965</v>
      </c>
      <c r="N8" s="64">
        <f t="shared" si="3"/>
        <v>147.28334956183051</v>
      </c>
      <c r="O8" s="66">
        <f t="shared" si="4"/>
        <v>0</v>
      </c>
      <c r="P8" s="67">
        <f t="shared" si="5"/>
        <v>-6.5628042843233345</v>
      </c>
      <c r="Q8" s="351">
        <f t="shared" si="6"/>
        <v>0.95734177215189831</v>
      </c>
      <c r="R8" s="511"/>
      <c r="S8" s="68">
        <v>0.88124999999999998</v>
      </c>
      <c r="T8" s="68">
        <v>0.93611111111111112</v>
      </c>
      <c r="U8" s="350">
        <f t="shared" si="10"/>
        <v>57.999999999999957</v>
      </c>
      <c r="V8" s="360">
        <f t="shared" si="7"/>
        <v>79.000000000000043</v>
      </c>
      <c r="W8" s="73"/>
      <c r="X8" s="73"/>
      <c r="Y8" s="517"/>
      <c r="Z8" s="518"/>
      <c r="AA8" s="66">
        <f t="shared" si="8"/>
        <v>-85.316455696203548</v>
      </c>
      <c r="AB8" s="351">
        <f t="shared" si="9"/>
        <v>0.9573417721518982</v>
      </c>
      <c r="AC8" s="511"/>
    </row>
    <row r="9" spans="1:29">
      <c r="A9" s="545" t="s">
        <v>1928</v>
      </c>
      <c r="B9" s="62" t="s">
        <v>1929</v>
      </c>
      <c r="C9" s="513"/>
      <c r="D9" s="513"/>
      <c r="E9" s="352"/>
      <c r="F9" s="71"/>
      <c r="G9" s="64"/>
      <c r="H9" s="361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1914.4306370227873</v>
      </c>
      <c r="N9" s="64">
        <f t="shared" si="3"/>
        <v>132.0296991050198</v>
      </c>
      <c r="O9" s="66">
        <f t="shared" si="4"/>
        <v>0</v>
      </c>
      <c r="P9" s="67">
        <f t="shared" si="5"/>
        <v>-5.9013353777388318</v>
      </c>
      <c r="Q9" s="351">
        <f t="shared" si="6"/>
        <v>0.95721531851139352</v>
      </c>
      <c r="R9" s="511"/>
      <c r="S9" s="68"/>
      <c r="T9" s="68"/>
      <c r="U9" s="350"/>
      <c r="V9" s="360"/>
      <c r="W9" s="64"/>
      <c r="X9" s="64"/>
      <c r="Y9" s="510"/>
      <c r="Z9" s="510"/>
      <c r="AA9" s="66">
        <f t="shared" si="8"/>
        <v>-85.569362977212677</v>
      </c>
      <c r="AB9" s="351">
        <f t="shared" si="9"/>
        <v>0.95721531851139363</v>
      </c>
      <c r="AC9" s="511"/>
    </row>
    <row r="10" spans="1:29" ht="15.75" customHeight="1">
      <c r="A10" s="543" t="s">
        <v>1930</v>
      </c>
      <c r="B10" s="62" t="s">
        <v>10</v>
      </c>
      <c r="C10" s="539" t="s">
        <v>12</v>
      </c>
      <c r="D10" s="540"/>
      <c r="E10" s="62">
        <v>39.36</v>
      </c>
      <c r="F10" s="361">
        <v>1641</v>
      </c>
      <c r="G10" s="350">
        <f t="shared" ref="G10:G11" si="11">E10*F10</f>
        <v>64589.760000000002</v>
      </c>
      <c r="H10" s="90" t="s">
        <v>5</v>
      </c>
      <c r="I10" s="359">
        <v>20</v>
      </c>
      <c r="J10" s="63">
        <v>1500</v>
      </c>
      <c r="K10" s="64">
        <f t="shared" si="1"/>
        <v>75</v>
      </c>
      <c r="L10" s="359">
        <v>20</v>
      </c>
      <c r="M10" s="65">
        <f t="shared" ref="M10:M11" si="12">F10/V10*60</f>
        <v>1426.9565217391314</v>
      </c>
      <c r="N10" s="64">
        <f t="shared" si="3"/>
        <v>71.347826086956573</v>
      </c>
      <c r="O10" s="66">
        <f t="shared" si="4"/>
        <v>0</v>
      </c>
      <c r="P10" s="67">
        <f t="shared" si="5"/>
        <v>-3.652173913043427</v>
      </c>
      <c r="Q10" s="351">
        <f t="shared" si="6"/>
        <v>0.95130434782608764</v>
      </c>
      <c r="R10" s="511">
        <f>Q12</f>
        <v>0.95204561653599473</v>
      </c>
      <c r="S10" s="68">
        <v>0.20833333333333334</v>
      </c>
      <c r="T10" s="68">
        <v>0.25624999999999998</v>
      </c>
      <c r="U10" s="350"/>
      <c r="V10" s="360">
        <f t="shared" ref="V10:V11" si="13">(T10-S10)*24*60</f>
        <v>68.999999999999957</v>
      </c>
      <c r="W10" s="69"/>
      <c r="X10" s="69"/>
      <c r="Y10" s="510"/>
      <c r="Z10" s="510"/>
      <c r="AA10" s="66">
        <f t="shared" si="8"/>
        <v>-73.043478260868596</v>
      </c>
      <c r="AB10" s="351">
        <f t="shared" si="9"/>
        <v>0.95130434782608764</v>
      </c>
      <c r="AC10" s="511">
        <f>AB12</f>
        <v>0.95204561653599462</v>
      </c>
    </row>
    <row r="11" spans="1:29" ht="15.75" customHeight="1">
      <c r="A11" s="543" t="s">
        <v>1930</v>
      </c>
      <c r="B11" s="62" t="s">
        <v>10</v>
      </c>
      <c r="C11" s="539" t="s">
        <v>11</v>
      </c>
      <c r="D11" s="540"/>
      <c r="E11" s="62">
        <v>39.799999999999997</v>
      </c>
      <c r="F11" s="361">
        <v>7265</v>
      </c>
      <c r="G11" s="350">
        <f t="shared" si="11"/>
        <v>289147</v>
      </c>
      <c r="H11" s="90" t="s">
        <v>5</v>
      </c>
      <c r="I11" s="359">
        <v>17</v>
      </c>
      <c r="J11" s="63">
        <v>1500</v>
      </c>
      <c r="K11" s="64">
        <f t="shared" si="1"/>
        <v>88.235294117647058</v>
      </c>
      <c r="L11" s="359">
        <v>17</v>
      </c>
      <c r="M11" s="65">
        <f t="shared" si="12"/>
        <v>1429.1803278688524</v>
      </c>
      <c r="N11" s="64">
        <f t="shared" si="3"/>
        <v>84.069431051108964</v>
      </c>
      <c r="O11" s="66">
        <f t="shared" si="4"/>
        <v>0</v>
      </c>
      <c r="P11" s="67">
        <f t="shared" si="5"/>
        <v>-4.165863066538094</v>
      </c>
      <c r="Q11" s="351">
        <f t="shared" si="6"/>
        <v>0.9527868852459016</v>
      </c>
      <c r="R11" s="511"/>
      <c r="S11" s="68">
        <v>0.26111111111111107</v>
      </c>
      <c r="T11" s="68">
        <v>0.47291666666666665</v>
      </c>
      <c r="U11" s="350">
        <f t="shared" ref="U11" si="14">IF(S11=TIME(17,0,0),"",(S11-T10)*24*60)</f>
        <v>6.9999999999999751</v>
      </c>
      <c r="V11" s="360">
        <f t="shared" si="13"/>
        <v>305.00000000000006</v>
      </c>
      <c r="W11" s="69"/>
      <c r="X11" s="69"/>
      <c r="Y11" s="510"/>
      <c r="Z11" s="510"/>
      <c r="AA11" s="66">
        <f t="shared" si="8"/>
        <v>-70.819672131147627</v>
      </c>
      <c r="AB11" s="351">
        <f t="shared" si="9"/>
        <v>0.9527868852459016</v>
      </c>
      <c r="AC11" s="511"/>
    </row>
    <row r="12" spans="1:29" ht="16.5" customHeight="1">
      <c r="A12" s="543" t="s">
        <v>1930</v>
      </c>
      <c r="B12" s="62" t="s">
        <v>1929</v>
      </c>
      <c r="C12" s="513"/>
      <c r="D12" s="513"/>
      <c r="E12" s="352"/>
      <c r="F12" s="63"/>
      <c r="G12" s="65"/>
      <c r="H12" s="361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1428.068424803992</v>
      </c>
      <c r="N12" s="64">
        <f t="shared" si="3"/>
        <v>77.192887827242814</v>
      </c>
      <c r="O12" s="66">
        <f t="shared" si="4"/>
        <v>0</v>
      </c>
      <c r="P12" s="67">
        <f t="shared" si="5"/>
        <v>-3.8881932538382671</v>
      </c>
      <c r="Q12" s="351">
        <f t="shared" si="6"/>
        <v>0.95204561653599473</v>
      </c>
      <c r="R12" s="511"/>
      <c r="S12" s="68"/>
      <c r="T12" s="68"/>
      <c r="U12" s="64"/>
      <c r="V12" s="360"/>
      <c r="W12" s="64"/>
      <c r="X12" s="64"/>
      <c r="Y12" s="510"/>
      <c r="Z12" s="510"/>
      <c r="AA12" s="66">
        <f t="shared" si="8"/>
        <v>-71.931575196007998</v>
      </c>
      <c r="AB12" s="351">
        <f t="shared" si="9"/>
        <v>0.95204561653599462</v>
      </c>
      <c r="AC12" s="511"/>
    </row>
    <row r="13" spans="1:29" ht="16.5" customHeight="1">
      <c r="A13" s="541" t="s">
        <v>1931</v>
      </c>
      <c r="B13" s="361" t="s">
        <v>13</v>
      </c>
      <c r="C13" s="533" t="s">
        <v>14</v>
      </c>
      <c r="D13" s="533"/>
      <c r="E13" s="62">
        <v>41</v>
      </c>
      <c r="F13" s="361">
        <v>2502</v>
      </c>
      <c r="G13" s="350">
        <f t="shared" ref="G13:G19" si="15">E13*F13</f>
        <v>102582</v>
      </c>
      <c r="H13" s="90" t="s">
        <v>5</v>
      </c>
      <c r="I13" s="359">
        <v>26</v>
      </c>
      <c r="J13" s="63">
        <v>1500</v>
      </c>
      <c r="K13" s="64">
        <f t="shared" si="1"/>
        <v>57.692307692307693</v>
      </c>
      <c r="L13" s="359">
        <v>26</v>
      </c>
      <c r="M13" s="65">
        <f t="shared" ref="M13:M19" si="16">F13/V13*60</f>
        <v>1429.7142857142853</v>
      </c>
      <c r="N13" s="64">
        <f t="shared" si="3"/>
        <v>54.989010989010971</v>
      </c>
      <c r="O13" s="66">
        <f t="shared" si="4"/>
        <v>0</v>
      </c>
      <c r="P13" s="67">
        <f t="shared" si="5"/>
        <v>-2.7032967032967221</v>
      </c>
      <c r="Q13" s="351">
        <f t="shared" si="6"/>
        <v>0.95314285714285685</v>
      </c>
      <c r="R13" s="511">
        <f>Q20</f>
        <v>0.96072639258376591</v>
      </c>
      <c r="S13" s="68">
        <v>0.125</v>
      </c>
      <c r="T13" s="68">
        <v>0.19791666666666669</v>
      </c>
      <c r="U13" s="350"/>
      <c r="V13" s="360">
        <f t="shared" ref="V13:V19" si="17">(T13-S13)*24*60</f>
        <v>105.00000000000003</v>
      </c>
      <c r="W13" s="69">
        <f>T13</f>
        <v>0.19791666666666669</v>
      </c>
      <c r="X13" s="69">
        <f>S14</f>
        <v>0.21736111111111112</v>
      </c>
      <c r="Y13" s="510"/>
      <c r="Z13" s="510"/>
      <c r="AA13" s="66">
        <f t="shared" si="8"/>
        <v>-70.285714285714675</v>
      </c>
      <c r="AB13" s="351">
        <f t="shared" si="9"/>
        <v>0.95314285714285685</v>
      </c>
      <c r="AC13" s="511">
        <f>AB20</f>
        <v>0.96072639258376591</v>
      </c>
    </row>
    <row r="14" spans="1:29" ht="16.5" customHeight="1">
      <c r="A14" s="542" t="s">
        <v>1932</v>
      </c>
      <c r="B14" s="361" t="s">
        <v>10</v>
      </c>
      <c r="C14" s="533" t="s">
        <v>15</v>
      </c>
      <c r="D14" s="533"/>
      <c r="E14" s="62">
        <v>39.619999999999997</v>
      </c>
      <c r="F14" s="361">
        <v>4594</v>
      </c>
      <c r="G14" s="350">
        <f t="shared" si="15"/>
        <v>182014.28</v>
      </c>
      <c r="H14" s="90" t="s">
        <v>5</v>
      </c>
      <c r="I14" s="359">
        <v>19</v>
      </c>
      <c r="J14" s="63">
        <v>1500</v>
      </c>
      <c r="K14" s="64">
        <f t="shared" si="1"/>
        <v>78.94736842105263</v>
      </c>
      <c r="L14" s="359">
        <v>19</v>
      </c>
      <c r="M14" s="65">
        <f t="shared" si="16"/>
        <v>1428.1865284974097</v>
      </c>
      <c r="N14" s="64">
        <f t="shared" si="3"/>
        <v>75.167712026179458</v>
      </c>
      <c r="O14" s="66">
        <f t="shared" si="4"/>
        <v>0</v>
      </c>
      <c r="P14" s="67">
        <f t="shared" si="5"/>
        <v>-3.7796563948731716</v>
      </c>
      <c r="Q14" s="351">
        <f t="shared" si="6"/>
        <v>0.95212435233160653</v>
      </c>
      <c r="R14" s="511"/>
      <c r="S14" s="68">
        <v>0.21736111111111112</v>
      </c>
      <c r="T14" s="68">
        <v>0.35138888888888886</v>
      </c>
      <c r="U14" s="350">
        <f t="shared" ref="U14:U19" si="18">IF(S14=TIME(17,0,0),"",(S14-T13)*24*60)</f>
        <v>27.999999999999979</v>
      </c>
      <c r="V14" s="360">
        <f t="shared" si="17"/>
        <v>192.99999999999994</v>
      </c>
      <c r="W14" s="69"/>
      <c r="X14" s="69"/>
      <c r="Y14" s="510"/>
      <c r="Z14" s="510"/>
      <c r="AA14" s="66">
        <f t="shared" si="8"/>
        <v>-71.813471502590346</v>
      </c>
      <c r="AB14" s="351">
        <f t="shared" si="9"/>
        <v>0.95212435233160642</v>
      </c>
      <c r="AC14" s="511"/>
    </row>
    <row r="15" spans="1:29" ht="16.5" customHeight="1">
      <c r="A15" s="542" t="s">
        <v>1931</v>
      </c>
      <c r="B15" s="361" t="s">
        <v>77</v>
      </c>
      <c r="C15" s="533" t="s">
        <v>76</v>
      </c>
      <c r="D15" s="533"/>
      <c r="E15" s="62">
        <v>57.3</v>
      </c>
      <c r="F15" s="361">
        <v>1032</v>
      </c>
      <c r="G15" s="350">
        <f t="shared" si="15"/>
        <v>59133.599999999999</v>
      </c>
      <c r="H15" s="90" t="s">
        <v>5</v>
      </c>
      <c r="I15" s="359">
        <v>16</v>
      </c>
      <c r="J15" s="63">
        <v>1500</v>
      </c>
      <c r="K15" s="64">
        <f t="shared" si="1"/>
        <v>93.75</v>
      </c>
      <c r="L15" s="359">
        <v>16</v>
      </c>
      <c r="M15" s="65">
        <f t="shared" si="16"/>
        <v>1439.9999999999998</v>
      </c>
      <c r="N15" s="64">
        <f t="shared" si="3"/>
        <v>89.999999999999986</v>
      </c>
      <c r="O15" s="66">
        <f t="shared" si="4"/>
        <v>0</v>
      </c>
      <c r="P15" s="67">
        <f t="shared" si="5"/>
        <v>-3.7500000000000142</v>
      </c>
      <c r="Q15" s="351">
        <f t="shared" si="6"/>
        <v>0.95999999999999985</v>
      </c>
      <c r="R15" s="511"/>
      <c r="S15" s="68">
        <v>0.35624999999999996</v>
      </c>
      <c r="T15" s="68">
        <v>0.38611111111111107</v>
      </c>
      <c r="U15" s="350">
        <f t="shared" si="18"/>
        <v>6.9999999999999751</v>
      </c>
      <c r="V15" s="360">
        <f t="shared" si="17"/>
        <v>43.000000000000007</v>
      </c>
      <c r="W15" s="69"/>
      <c r="X15" s="69"/>
      <c r="Y15" s="510"/>
      <c r="Z15" s="510"/>
      <c r="AA15" s="66">
        <f t="shared" si="8"/>
        <v>-60.000000000000227</v>
      </c>
      <c r="AB15" s="351">
        <f t="shared" si="9"/>
        <v>0.95999999999999985</v>
      </c>
      <c r="AC15" s="511"/>
    </row>
    <row r="16" spans="1:29" ht="16.5" customHeight="1">
      <c r="A16" s="542" t="s">
        <v>1931</v>
      </c>
      <c r="B16" s="361" t="s">
        <v>6</v>
      </c>
      <c r="C16" s="533" t="s">
        <v>890</v>
      </c>
      <c r="D16" s="533"/>
      <c r="E16" s="62">
        <v>50.98</v>
      </c>
      <c r="F16" s="361">
        <v>1200</v>
      </c>
      <c r="G16" s="350">
        <f t="shared" si="15"/>
        <v>61175.999999999993</v>
      </c>
      <c r="H16" s="90">
        <v>2</v>
      </c>
      <c r="I16" s="359">
        <v>16</v>
      </c>
      <c r="J16" s="63">
        <v>2000</v>
      </c>
      <c r="K16" s="64">
        <f t="shared" si="1"/>
        <v>125</v>
      </c>
      <c r="L16" s="359">
        <v>16</v>
      </c>
      <c r="M16" s="65">
        <f t="shared" si="16"/>
        <v>1945.9459459459445</v>
      </c>
      <c r="N16" s="64">
        <f t="shared" si="3"/>
        <v>121.62162162162153</v>
      </c>
      <c r="O16" s="66">
        <f t="shared" si="4"/>
        <v>0</v>
      </c>
      <c r="P16" s="67">
        <f t="shared" si="5"/>
        <v>-3.3783783783784713</v>
      </c>
      <c r="Q16" s="351">
        <f t="shared" si="6"/>
        <v>0.97297297297297225</v>
      </c>
      <c r="R16" s="511"/>
      <c r="S16" s="68">
        <v>0.70833333333333337</v>
      </c>
      <c r="T16" s="68">
        <v>0.73402777777777783</v>
      </c>
      <c r="U16" s="350" t="str">
        <f t="shared" si="18"/>
        <v/>
      </c>
      <c r="V16" s="360">
        <f t="shared" si="17"/>
        <v>37.000000000000028</v>
      </c>
      <c r="W16" s="69"/>
      <c r="X16" s="69"/>
      <c r="Y16" s="510"/>
      <c r="Z16" s="510"/>
      <c r="AA16" s="66">
        <f t="shared" si="8"/>
        <v>-54.054054054055541</v>
      </c>
      <c r="AB16" s="351">
        <f t="shared" si="9"/>
        <v>0.97297297297297225</v>
      </c>
      <c r="AC16" s="511"/>
    </row>
    <row r="17" spans="1:29" ht="16.5" customHeight="1">
      <c r="A17" s="542" t="s">
        <v>1932</v>
      </c>
      <c r="B17" s="361" t="s">
        <v>6</v>
      </c>
      <c r="C17" s="533" t="s">
        <v>20</v>
      </c>
      <c r="D17" s="533"/>
      <c r="E17" s="62">
        <v>50.92</v>
      </c>
      <c r="F17" s="361">
        <v>3535</v>
      </c>
      <c r="G17" s="350">
        <f t="shared" si="15"/>
        <v>180002.2</v>
      </c>
      <c r="H17" s="90" t="s">
        <v>5</v>
      </c>
      <c r="I17" s="359">
        <v>15</v>
      </c>
      <c r="J17" s="63">
        <v>2000</v>
      </c>
      <c r="K17" s="64">
        <f t="shared" si="1"/>
        <v>133.33333333333334</v>
      </c>
      <c r="L17" s="359">
        <v>15</v>
      </c>
      <c r="M17" s="65">
        <f t="shared" si="16"/>
        <v>1910.810810810812</v>
      </c>
      <c r="N17" s="64">
        <f t="shared" si="3"/>
        <v>127.38738738738746</v>
      </c>
      <c r="O17" s="66">
        <f t="shared" si="4"/>
        <v>0</v>
      </c>
      <c r="P17" s="67">
        <f t="shared" si="5"/>
        <v>-5.9459459459458799</v>
      </c>
      <c r="Q17" s="351">
        <f t="shared" si="6"/>
        <v>0.95540540540540586</v>
      </c>
      <c r="R17" s="511"/>
      <c r="S17" s="68">
        <v>0.73819444444444449</v>
      </c>
      <c r="T17" s="68">
        <v>0.81527777777777777</v>
      </c>
      <c r="U17" s="350">
        <f t="shared" si="18"/>
        <v>5.9999999999999787</v>
      </c>
      <c r="V17" s="360">
        <f t="shared" si="17"/>
        <v>110.99999999999993</v>
      </c>
      <c r="W17" s="69"/>
      <c r="X17" s="69"/>
      <c r="Y17" s="510"/>
      <c r="Z17" s="510"/>
      <c r="AA17" s="66">
        <f t="shared" si="8"/>
        <v>-89.189189189188028</v>
      </c>
      <c r="AB17" s="351">
        <f t="shared" si="9"/>
        <v>0.95540540540540597</v>
      </c>
      <c r="AC17" s="511"/>
    </row>
    <row r="18" spans="1:29" ht="16.5" customHeight="1">
      <c r="A18" s="542" t="s">
        <v>1931</v>
      </c>
      <c r="B18" s="361" t="s">
        <v>6</v>
      </c>
      <c r="C18" s="534" t="s">
        <v>7</v>
      </c>
      <c r="D18" s="535"/>
      <c r="E18" s="62">
        <v>46.93</v>
      </c>
      <c r="F18" s="361">
        <v>1317</v>
      </c>
      <c r="G18" s="350">
        <f t="shared" si="15"/>
        <v>61806.81</v>
      </c>
      <c r="H18" s="90" t="s">
        <v>5</v>
      </c>
      <c r="I18" s="359">
        <v>16</v>
      </c>
      <c r="J18" s="63">
        <v>2000</v>
      </c>
      <c r="K18" s="64">
        <f t="shared" si="1"/>
        <v>125</v>
      </c>
      <c r="L18" s="359">
        <v>16</v>
      </c>
      <c r="M18" s="65">
        <f t="shared" si="16"/>
        <v>1927.317073170731</v>
      </c>
      <c r="N18" s="64">
        <f t="shared" si="3"/>
        <v>120.45731707317069</v>
      </c>
      <c r="O18" s="66">
        <f t="shared" si="4"/>
        <v>0</v>
      </c>
      <c r="P18" s="67">
        <f t="shared" si="5"/>
        <v>-4.5426829268293147</v>
      </c>
      <c r="Q18" s="351">
        <f t="shared" si="6"/>
        <v>0.96365853658536549</v>
      </c>
      <c r="R18" s="511"/>
      <c r="S18" s="68">
        <v>0.8208333333333333</v>
      </c>
      <c r="T18" s="68">
        <v>0.84930555555555554</v>
      </c>
      <c r="U18" s="350">
        <f t="shared" si="18"/>
        <v>7.9999999999999716</v>
      </c>
      <c r="V18" s="360">
        <f t="shared" si="17"/>
        <v>41.000000000000014</v>
      </c>
      <c r="W18" s="69">
        <f>T18</f>
        <v>0.84930555555555554</v>
      </c>
      <c r="X18" s="69">
        <f>S19</f>
        <v>0.89027777777777772</v>
      </c>
      <c r="Y18" s="517"/>
      <c r="Z18" s="518"/>
      <c r="AA18" s="66">
        <f t="shared" si="8"/>
        <v>-72.682926829269036</v>
      </c>
      <c r="AB18" s="351">
        <f t="shared" si="9"/>
        <v>0.96365853658536549</v>
      </c>
      <c r="AC18" s="511"/>
    </row>
    <row r="19" spans="1:29" ht="16.5" customHeight="1">
      <c r="A19" s="542" t="s">
        <v>1931</v>
      </c>
      <c r="B19" s="361" t="s">
        <v>6</v>
      </c>
      <c r="C19" s="357" t="s">
        <v>890</v>
      </c>
      <c r="D19" s="358"/>
      <c r="E19" s="62">
        <v>50.98</v>
      </c>
      <c r="F19" s="361">
        <v>2441</v>
      </c>
      <c r="G19" s="350">
        <f t="shared" si="15"/>
        <v>124442.18</v>
      </c>
      <c r="H19" s="90" t="s">
        <v>5</v>
      </c>
      <c r="I19" s="359">
        <v>16</v>
      </c>
      <c r="J19" s="63">
        <v>2000</v>
      </c>
      <c r="K19" s="64">
        <f t="shared" si="1"/>
        <v>125</v>
      </c>
      <c r="L19" s="359">
        <v>16</v>
      </c>
      <c r="M19" s="65">
        <f t="shared" si="16"/>
        <v>1927.1052631578932</v>
      </c>
      <c r="N19" s="64">
        <f t="shared" si="3"/>
        <v>120.44407894736833</v>
      </c>
      <c r="O19" s="66">
        <f t="shared" si="4"/>
        <v>0</v>
      </c>
      <c r="P19" s="67">
        <f t="shared" si="5"/>
        <v>-4.5559210526316747</v>
      </c>
      <c r="Q19" s="351">
        <f t="shared" si="6"/>
        <v>0.96355263157894655</v>
      </c>
      <c r="R19" s="511"/>
      <c r="S19" s="68">
        <v>0.89027777777777772</v>
      </c>
      <c r="T19" s="68">
        <v>0.94305555555555554</v>
      </c>
      <c r="U19" s="350">
        <f t="shared" si="18"/>
        <v>58.99999999999995</v>
      </c>
      <c r="V19" s="360">
        <f t="shared" si="17"/>
        <v>76.000000000000057</v>
      </c>
      <c r="W19" s="69"/>
      <c r="X19" s="69"/>
      <c r="Y19" s="517"/>
      <c r="Z19" s="518"/>
      <c r="AA19" s="66">
        <f t="shared" si="8"/>
        <v>-72.894736842106795</v>
      </c>
      <c r="AB19" s="351">
        <f t="shared" si="9"/>
        <v>0.96355263157894655</v>
      </c>
      <c r="AC19" s="511"/>
    </row>
    <row r="20" spans="1:29" ht="16.5" customHeight="1">
      <c r="A20" s="542" t="s">
        <v>1932</v>
      </c>
      <c r="B20" s="62" t="s">
        <v>1929</v>
      </c>
      <c r="C20" s="513"/>
      <c r="D20" s="513"/>
      <c r="E20" s="352"/>
      <c r="F20" s="71"/>
      <c r="G20" s="64"/>
      <c r="H20" s="361"/>
      <c r="I20" s="72">
        <v>17.714285714285715</v>
      </c>
      <c r="J20" s="63">
        <v>1785.7142857142858</v>
      </c>
      <c r="K20" s="64">
        <f t="shared" si="1"/>
        <v>100.80645161290322</v>
      </c>
      <c r="L20" s="72">
        <v>17.714285714285715</v>
      </c>
      <c r="M20" s="65">
        <f>AVERAGE(M13:M19)</f>
        <v>1715.582843899582</v>
      </c>
      <c r="N20" s="64">
        <f t="shared" si="3"/>
        <v>96.847418607234459</v>
      </c>
      <c r="O20" s="66">
        <f t="shared" si="4"/>
        <v>0</v>
      </c>
      <c r="P20" s="67">
        <f t="shared" si="5"/>
        <v>-3.9590330056687577</v>
      </c>
      <c r="Q20" s="351">
        <f t="shared" si="6"/>
        <v>0.96072639258376591</v>
      </c>
      <c r="R20" s="511"/>
      <c r="S20" s="68"/>
      <c r="T20" s="68"/>
      <c r="U20" s="350"/>
      <c r="V20" s="360"/>
      <c r="W20" s="64"/>
      <c r="X20" s="64"/>
      <c r="Y20" s="510"/>
      <c r="Z20" s="510"/>
      <c r="AA20" s="66">
        <f t="shared" si="8"/>
        <v>-70.131441814703749</v>
      </c>
      <c r="AB20" s="351">
        <f t="shared" si="9"/>
        <v>0.96072639258376591</v>
      </c>
      <c r="AC20" s="511"/>
    </row>
    <row r="21" spans="1:29" ht="15.75" customHeight="1">
      <c r="A21" s="537" t="s">
        <v>1933</v>
      </c>
      <c r="B21" s="62" t="s">
        <v>13</v>
      </c>
      <c r="C21" s="533" t="s">
        <v>21</v>
      </c>
      <c r="D21" s="533"/>
      <c r="E21" s="62">
        <v>43.14</v>
      </c>
      <c r="F21" s="361">
        <v>1379</v>
      </c>
      <c r="G21" s="350">
        <f t="shared" ref="G21:G29" si="19">E21*F21</f>
        <v>59490.06</v>
      </c>
      <c r="H21" s="90" t="s">
        <v>5</v>
      </c>
      <c r="I21" s="359">
        <v>17</v>
      </c>
      <c r="J21" s="63">
        <v>2000</v>
      </c>
      <c r="K21" s="64">
        <f t="shared" si="1"/>
        <v>117.64705882352941</v>
      </c>
      <c r="L21" s="359">
        <v>17</v>
      </c>
      <c r="M21" s="65">
        <f t="shared" ref="M21:M29" si="20">F21/V21*60</f>
        <v>1924.1860465116274</v>
      </c>
      <c r="N21" s="64">
        <f t="shared" si="3"/>
        <v>113.18741450068397</v>
      </c>
      <c r="O21" s="66">
        <f t="shared" si="4"/>
        <v>0</v>
      </c>
      <c r="P21" s="67">
        <f t="shared" si="5"/>
        <v>-4.4596443228454348</v>
      </c>
      <c r="Q21" s="351">
        <f t="shared" si="6"/>
        <v>0.96209302325581381</v>
      </c>
      <c r="R21" s="511">
        <f>Q30</f>
        <v>0.96069332844002309</v>
      </c>
      <c r="S21" s="68">
        <v>0.20833333333333334</v>
      </c>
      <c r="T21" s="68">
        <v>0.23819444444444446</v>
      </c>
      <c r="U21" s="350"/>
      <c r="V21" s="360">
        <f t="shared" ref="V21:V29" si="21">(T21-S21)*24*60</f>
        <v>43.000000000000007</v>
      </c>
      <c r="W21" s="73"/>
      <c r="X21" s="73"/>
      <c r="Y21" s="510"/>
      <c r="Z21" s="510"/>
      <c r="AA21" s="66">
        <f t="shared" si="8"/>
        <v>-75.81395348837259</v>
      </c>
      <c r="AB21" s="351">
        <f t="shared" si="9"/>
        <v>0.9620930232558137</v>
      </c>
      <c r="AC21" s="511">
        <f>AB30</f>
        <v>0.96069332844002309</v>
      </c>
    </row>
    <row r="22" spans="1:29" ht="15.75" customHeight="1">
      <c r="A22" s="538" t="s">
        <v>1934</v>
      </c>
      <c r="B22" s="62" t="s">
        <v>77</v>
      </c>
      <c r="C22" s="533" t="s">
        <v>980</v>
      </c>
      <c r="D22" s="533"/>
      <c r="E22" s="62">
        <v>49.9</v>
      </c>
      <c r="F22" s="361">
        <v>2615</v>
      </c>
      <c r="G22" s="350">
        <f t="shared" si="19"/>
        <v>130488.5</v>
      </c>
      <c r="H22" s="90" t="s">
        <v>5</v>
      </c>
      <c r="I22" s="359">
        <v>19</v>
      </c>
      <c r="J22" s="63">
        <v>2000</v>
      </c>
      <c r="K22" s="64">
        <f t="shared" si="1"/>
        <v>105.26315789473684</v>
      </c>
      <c r="L22" s="359">
        <v>19</v>
      </c>
      <c r="M22" s="65">
        <f t="shared" si="20"/>
        <v>1913.4146341463418</v>
      </c>
      <c r="N22" s="64">
        <f t="shared" si="3"/>
        <v>100.70603337612324</v>
      </c>
      <c r="O22" s="66">
        <f t="shared" si="4"/>
        <v>0</v>
      </c>
      <c r="P22" s="67">
        <f t="shared" si="5"/>
        <v>-4.5571245186135911</v>
      </c>
      <c r="Q22" s="351">
        <f t="shared" si="6"/>
        <v>0.95670731707317092</v>
      </c>
      <c r="R22" s="511"/>
      <c r="S22" s="68">
        <v>0.24166666666666667</v>
      </c>
      <c r="T22" s="68">
        <v>0.2986111111111111</v>
      </c>
      <c r="U22" s="350">
        <f t="shared" ref="U22:U29" si="22">IF(S22=TIME(17,0,0),"",(S22-T21)*24*60)</f>
        <v>4.9999999999999822</v>
      </c>
      <c r="V22" s="360">
        <f t="shared" si="21"/>
        <v>81.999999999999986</v>
      </c>
      <c r="W22" s="69"/>
      <c r="X22" s="350"/>
      <c r="Y22" s="510"/>
      <c r="Z22" s="510"/>
      <c r="AA22" s="66">
        <f t="shared" si="8"/>
        <v>-86.585365853658232</v>
      </c>
      <c r="AB22" s="351">
        <f t="shared" si="9"/>
        <v>0.95670731707317092</v>
      </c>
      <c r="AC22" s="511"/>
    </row>
    <row r="23" spans="1:29" ht="15.75" customHeight="1">
      <c r="A23" s="538" t="s">
        <v>1933</v>
      </c>
      <c r="B23" s="62" t="s">
        <v>6</v>
      </c>
      <c r="C23" s="533" t="s">
        <v>22</v>
      </c>
      <c r="D23" s="533"/>
      <c r="E23" s="62">
        <v>57.73</v>
      </c>
      <c r="F23" s="361">
        <v>2908</v>
      </c>
      <c r="G23" s="350">
        <f t="shared" si="19"/>
        <v>167878.84</v>
      </c>
      <c r="H23" s="90" t="s">
        <v>5</v>
      </c>
      <c r="I23" s="359">
        <v>14</v>
      </c>
      <c r="J23" s="63">
        <v>2000</v>
      </c>
      <c r="K23" s="64">
        <f t="shared" si="1"/>
        <v>142.85714285714286</v>
      </c>
      <c r="L23" s="359">
        <v>14</v>
      </c>
      <c r="M23" s="65">
        <f t="shared" si="20"/>
        <v>1917.3626373626373</v>
      </c>
      <c r="N23" s="64">
        <f t="shared" si="3"/>
        <v>136.95447409733123</v>
      </c>
      <c r="O23" s="66">
        <f t="shared" si="4"/>
        <v>0</v>
      </c>
      <c r="P23" s="67">
        <f t="shared" si="5"/>
        <v>-5.9026687598116325</v>
      </c>
      <c r="Q23" s="351">
        <f t="shared" si="6"/>
        <v>0.95868131868131856</v>
      </c>
      <c r="R23" s="511"/>
      <c r="S23" s="68">
        <v>0.30416666666666664</v>
      </c>
      <c r="T23" s="68">
        <v>0.36736111111111108</v>
      </c>
      <c r="U23" s="350">
        <f t="shared" si="22"/>
        <v>7.9999999999999716</v>
      </c>
      <c r="V23" s="360">
        <f t="shared" si="21"/>
        <v>91</v>
      </c>
      <c r="W23" s="69"/>
      <c r="X23" s="350"/>
      <c r="Y23" s="510"/>
      <c r="Z23" s="510"/>
      <c r="AA23" s="66">
        <f t="shared" si="8"/>
        <v>-82.637362637362685</v>
      </c>
      <c r="AB23" s="351">
        <f t="shared" si="9"/>
        <v>0.95868131868131867</v>
      </c>
      <c r="AC23" s="511"/>
    </row>
    <row r="24" spans="1:29" ht="15.75" customHeight="1">
      <c r="A24" s="538" t="s">
        <v>1933</v>
      </c>
      <c r="B24" s="62" t="s">
        <v>6</v>
      </c>
      <c r="C24" s="533" t="s">
        <v>23</v>
      </c>
      <c r="D24" s="533"/>
      <c r="E24" s="62">
        <v>53.68</v>
      </c>
      <c r="F24" s="361">
        <v>1852</v>
      </c>
      <c r="G24" s="350">
        <f t="shared" si="19"/>
        <v>99415.360000000001</v>
      </c>
      <c r="H24" s="90" t="s">
        <v>5</v>
      </c>
      <c r="I24" s="359">
        <v>16</v>
      </c>
      <c r="J24" s="63">
        <v>2000</v>
      </c>
      <c r="K24" s="64">
        <f t="shared" si="1"/>
        <v>125</v>
      </c>
      <c r="L24" s="359">
        <v>16</v>
      </c>
      <c r="M24" s="65">
        <f t="shared" si="20"/>
        <v>1915.8620689655161</v>
      </c>
      <c r="N24" s="64">
        <f t="shared" si="3"/>
        <v>119.74137931034475</v>
      </c>
      <c r="O24" s="66">
        <f t="shared" si="4"/>
        <v>0</v>
      </c>
      <c r="P24" s="67">
        <f t="shared" si="5"/>
        <v>-5.2586206896552454</v>
      </c>
      <c r="Q24" s="351">
        <f t="shared" si="6"/>
        <v>0.95793103448275807</v>
      </c>
      <c r="R24" s="511"/>
      <c r="S24" s="68">
        <v>0.37222222222222218</v>
      </c>
      <c r="T24" s="68">
        <v>0.41249999999999998</v>
      </c>
      <c r="U24" s="350">
        <f t="shared" si="22"/>
        <v>6.9999999999999751</v>
      </c>
      <c r="V24" s="360">
        <f t="shared" si="21"/>
        <v>58.000000000000036</v>
      </c>
      <c r="W24" s="69"/>
      <c r="X24" s="350"/>
      <c r="Y24" s="510"/>
      <c r="Z24" s="510"/>
      <c r="AA24" s="66">
        <f t="shared" si="8"/>
        <v>-84.137931034483927</v>
      </c>
      <c r="AB24" s="351">
        <f t="shared" si="9"/>
        <v>0.95793103448275807</v>
      </c>
      <c r="AC24" s="511"/>
    </row>
    <row r="25" spans="1:29" ht="15.75" customHeight="1">
      <c r="A25" s="538" t="s">
        <v>1933</v>
      </c>
      <c r="B25" s="62" t="s">
        <v>6</v>
      </c>
      <c r="C25" s="533" t="s">
        <v>971</v>
      </c>
      <c r="D25" s="533"/>
      <c r="E25" s="62">
        <v>49.91</v>
      </c>
      <c r="F25" s="361">
        <v>2269</v>
      </c>
      <c r="G25" s="350">
        <f t="shared" si="19"/>
        <v>113245.79</v>
      </c>
      <c r="H25" s="90" t="s">
        <v>5</v>
      </c>
      <c r="I25" s="359">
        <v>19</v>
      </c>
      <c r="J25" s="63">
        <v>2000</v>
      </c>
      <c r="K25" s="64">
        <f t="shared" si="1"/>
        <v>105.26315789473684</v>
      </c>
      <c r="L25" s="359">
        <v>19</v>
      </c>
      <c r="M25" s="65">
        <f t="shared" si="20"/>
        <v>1917.4647887323949</v>
      </c>
      <c r="N25" s="64">
        <f t="shared" si="3"/>
        <v>100.91919940696816</v>
      </c>
      <c r="O25" s="66">
        <f t="shared" si="4"/>
        <v>0</v>
      </c>
      <c r="P25" s="67">
        <f t="shared" si="5"/>
        <v>-4.3439584877686741</v>
      </c>
      <c r="Q25" s="351">
        <f t="shared" si="6"/>
        <v>0.95873239436619762</v>
      </c>
      <c r="R25" s="511"/>
      <c r="S25" s="68">
        <v>0.41805555555555551</v>
      </c>
      <c r="T25" s="68">
        <v>0.46736111111111106</v>
      </c>
      <c r="U25" s="350">
        <f t="shared" si="22"/>
        <v>7.9999999999999716</v>
      </c>
      <c r="V25" s="360">
        <f t="shared" si="21"/>
        <v>70.999999999999986</v>
      </c>
      <c r="W25" s="69"/>
      <c r="X25" s="350"/>
      <c r="Y25" s="510"/>
      <c r="Z25" s="510"/>
      <c r="AA25" s="66">
        <f t="shared" si="8"/>
        <v>-82.535211267605064</v>
      </c>
      <c r="AB25" s="351">
        <f t="shared" si="9"/>
        <v>0.9587323943661975</v>
      </c>
      <c r="AC25" s="511"/>
    </row>
    <row r="26" spans="1:29" ht="15.75" customHeight="1">
      <c r="A26" s="538" t="s">
        <v>1933</v>
      </c>
      <c r="B26" s="62" t="s">
        <v>6</v>
      </c>
      <c r="C26" s="533" t="s">
        <v>24</v>
      </c>
      <c r="D26" s="533"/>
      <c r="E26" s="62">
        <v>54.09</v>
      </c>
      <c r="F26" s="361">
        <v>2216</v>
      </c>
      <c r="G26" s="350">
        <f t="shared" si="19"/>
        <v>119863.44</v>
      </c>
      <c r="H26" s="90" t="s">
        <v>5</v>
      </c>
      <c r="I26" s="359">
        <v>19</v>
      </c>
      <c r="J26" s="63">
        <v>2000</v>
      </c>
      <c r="K26" s="64">
        <f t="shared" si="1"/>
        <v>105.26315789473684</v>
      </c>
      <c r="L26" s="359">
        <v>19</v>
      </c>
      <c r="M26" s="65">
        <f t="shared" si="20"/>
        <v>1926.9565217391282</v>
      </c>
      <c r="N26" s="64">
        <f t="shared" si="3"/>
        <v>101.41876430205939</v>
      </c>
      <c r="O26" s="66">
        <f t="shared" si="4"/>
        <v>0</v>
      </c>
      <c r="P26" s="67">
        <f t="shared" si="5"/>
        <v>-3.8443935926774486</v>
      </c>
      <c r="Q26" s="351">
        <f t="shared" si="6"/>
        <v>0.96347826086956423</v>
      </c>
      <c r="R26" s="511"/>
      <c r="S26" s="68">
        <v>0.70833333333333337</v>
      </c>
      <c r="T26" s="68">
        <v>0.75625000000000009</v>
      </c>
      <c r="U26" s="350" t="str">
        <f t="shared" si="22"/>
        <v/>
      </c>
      <c r="V26" s="360">
        <f t="shared" si="21"/>
        <v>69.000000000000071</v>
      </c>
      <c r="W26" s="69"/>
      <c r="X26" s="73"/>
      <c r="Y26" s="510"/>
      <c r="Z26" s="510"/>
      <c r="AA26" s="66">
        <f t="shared" si="8"/>
        <v>-73.04347826087178</v>
      </c>
      <c r="AB26" s="351">
        <f t="shared" si="9"/>
        <v>0.96347826086956412</v>
      </c>
      <c r="AC26" s="511"/>
    </row>
    <row r="27" spans="1:29" ht="15.75" customHeight="1">
      <c r="A27" s="538" t="s">
        <v>1933</v>
      </c>
      <c r="B27" s="62" t="s">
        <v>6</v>
      </c>
      <c r="C27" s="533" t="s">
        <v>82</v>
      </c>
      <c r="D27" s="533"/>
      <c r="E27" s="62">
        <v>57.73</v>
      </c>
      <c r="F27" s="361">
        <v>1939</v>
      </c>
      <c r="G27" s="350">
        <f t="shared" si="19"/>
        <v>111938.47</v>
      </c>
      <c r="H27" s="90" t="s">
        <v>5</v>
      </c>
      <c r="I27" s="359">
        <v>16</v>
      </c>
      <c r="J27" s="63">
        <v>1500</v>
      </c>
      <c r="K27" s="64">
        <f t="shared" si="1"/>
        <v>93.75</v>
      </c>
      <c r="L27" s="359">
        <v>16</v>
      </c>
      <c r="M27" s="65">
        <f t="shared" si="20"/>
        <v>1436.2962962962956</v>
      </c>
      <c r="N27" s="64">
        <f t="shared" si="3"/>
        <v>89.768518518518476</v>
      </c>
      <c r="O27" s="66">
        <f t="shared" si="4"/>
        <v>0</v>
      </c>
      <c r="P27" s="67">
        <f t="shared" si="5"/>
        <v>-3.9814814814815236</v>
      </c>
      <c r="Q27" s="351">
        <f t="shared" si="6"/>
        <v>0.95753086419753042</v>
      </c>
      <c r="R27" s="511"/>
      <c r="S27" s="68">
        <v>0.7597222222222223</v>
      </c>
      <c r="T27" s="68">
        <v>0.81597222222222232</v>
      </c>
      <c r="U27" s="350">
        <f t="shared" si="22"/>
        <v>4.9999999999999822</v>
      </c>
      <c r="V27" s="360">
        <f t="shared" si="21"/>
        <v>81.000000000000028</v>
      </c>
      <c r="W27" s="69"/>
      <c r="X27" s="73"/>
      <c r="Y27" s="517"/>
      <c r="Z27" s="518"/>
      <c r="AA27" s="66">
        <f t="shared" si="8"/>
        <v>-63.703703703704377</v>
      </c>
      <c r="AB27" s="351">
        <f t="shared" si="9"/>
        <v>0.95753086419753042</v>
      </c>
      <c r="AC27" s="511"/>
    </row>
    <row r="28" spans="1:29" ht="15.75" customHeight="1">
      <c r="A28" s="538" t="s">
        <v>1933</v>
      </c>
      <c r="B28" s="62" t="s">
        <v>6</v>
      </c>
      <c r="C28" s="534" t="s">
        <v>81</v>
      </c>
      <c r="D28" s="535"/>
      <c r="E28" s="62">
        <v>50.67</v>
      </c>
      <c r="F28" s="361">
        <v>1000</v>
      </c>
      <c r="G28" s="350">
        <f t="shared" si="19"/>
        <v>50670</v>
      </c>
      <c r="H28" s="90">
        <v>2</v>
      </c>
      <c r="I28" s="359">
        <v>15</v>
      </c>
      <c r="J28" s="63">
        <v>2000</v>
      </c>
      <c r="K28" s="64">
        <f t="shared" si="1"/>
        <v>133.33333333333334</v>
      </c>
      <c r="L28" s="359">
        <v>15</v>
      </c>
      <c r="M28" s="65">
        <f t="shared" si="20"/>
        <v>1935.483870967739</v>
      </c>
      <c r="N28" s="64">
        <f t="shared" si="3"/>
        <v>129.03225806451593</v>
      </c>
      <c r="O28" s="66">
        <f t="shared" si="4"/>
        <v>0</v>
      </c>
      <c r="P28" s="67">
        <f t="shared" si="5"/>
        <v>-4.3010752688174136</v>
      </c>
      <c r="Q28" s="351">
        <f t="shared" si="6"/>
        <v>0.96774193548386944</v>
      </c>
      <c r="R28" s="511"/>
      <c r="S28" s="68">
        <v>0.81944444444444453</v>
      </c>
      <c r="T28" s="68">
        <v>0.84097222222222234</v>
      </c>
      <c r="U28" s="350">
        <f t="shared" si="22"/>
        <v>4.9999999999999822</v>
      </c>
      <c r="V28" s="360">
        <f t="shared" si="21"/>
        <v>31.00000000000005</v>
      </c>
      <c r="W28" s="69">
        <f>T28</f>
        <v>0.84097222222222234</v>
      </c>
      <c r="X28" s="69">
        <f>S29</f>
        <v>0.88125000000000009</v>
      </c>
      <c r="Y28" s="517"/>
      <c r="Z28" s="518"/>
      <c r="AA28" s="66">
        <f t="shared" si="8"/>
        <v>-64.516129032261006</v>
      </c>
      <c r="AB28" s="351">
        <f t="shared" si="9"/>
        <v>0.96774193548386944</v>
      </c>
      <c r="AC28" s="511"/>
    </row>
    <row r="29" spans="1:29" ht="15.75" customHeight="1">
      <c r="A29" s="538" t="s">
        <v>1933</v>
      </c>
      <c r="B29" s="62" t="s">
        <v>6</v>
      </c>
      <c r="C29" s="534" t="s">
        <v>81</v>
      </c>
      <c r="D29" s="535"/>
      <c r="E29" s="62">
        <v>50.67</v>
      </c>
      <c r="F29" s="361">
        <v>1508</v>
      </c>
      <c r="G29" s="350">
        <f t="shared" si="19"/>
        <v>76410.36</v>
      </c>
      <c r="H29" s="90" t="s">
        <v>5</v>
      </c>
      <c r="I29" s="359">
        <v>15</v>
      </c>
      <c r="J29" s="63">
        <v>2000</v>
      </c>
      <c r="K29" s="64">
        <f t="shared" si="1"/>
        <v>133.33333333333334</v>
      </c>
      <c r="L29" s="359">
        <v>15</v>
      </c>
      <c r="M29" s="65">
        <f t="shared" si="20"/>
        <v>1925.1063829787238</v>
      </c>
      <c r="N29" s="64">
        <f t="shared" si="3"/>
        <v>128.34042553191492</v>
      </c>
      <c r="O29" s="66">
        <f t="shared" si="4"/>
        <v>0</v>
      </c>
      <c r="P29" s="67">
        <f t="shared" si="5"/>
        <v>-4.9929078014184256</v>
      </c>
      <c r="Q29" s="351">
        <f t="shared" si="6"/>
        <v>0.9625531914893618</v>
      </c>
      <c r="R29" s="511"/>
      <c r="S29" s="68">
        <v>0.88125000000000009</v>
      </c>
      <c r="T29" s="68">
        <v>0.91388888888888897</v>
      </c>
      <c r="U29" s="350">
        <f t="shared" si="22"/>
        <v>57.999999999999957</v>
      </c>
      <c r="V29" s="360">
        <f t="shared" si="21"/>
        <v>46.999999999999993</v>
      </c>
      <c r="W29" s="69"/>
      <c r="X29" s="69"/>
      <c r="Y29" s="517"/>
      <c r="Z29" s="518"/>
      <c r="AA29" s="66">
        <f t="shared" si="8"/>
        <v>-74.893617021276214</v>
      </c>
      <c r="AB29" s="351">
        <f t="shared" si="9"/>
        <v>0.96255319148936191</v>
      </c>
      <c r="AC29" s="511"/>
    </row>
    <row r="30" spans="1:29" ht="15.75" customHeight="1">
      <c r="A30" s="538" t="s">
        <v>1933</v>
      </c>
      <c r="B30" s="62" t="s">
        <v>1929</v>
      </c>
      <c r="C30" s="513"/>
      <c r="D30" s="513"/>
      <c r="E30" s="352"/>
      <c r="F30" s="361"/>
      <c r="G30" s="350"/>
      <c r="H30" s="361"/>
      <c r="I30" s="72">
        <v>16.666666666666668</v>
      </c>
      <c r="J30" s="63">
        <v>1944.4444444444443</v>
      </c>
      <c r="K30" s="64">
        <f t="shared" si="1"/>
        <v>116.66666666666666</v>
      </c>
      <c r="L30" s="72">
        <v>16.666666666666668</v>
      </c>
      <c r="M30" s="65">
        <f>AVERAGE(M21:M29)</f>
        <v>1868.0148053000448</v>
      </c>
      <c r="N30" s="64">
        <f t="shared" si="3"/>
        <v>112.08088831800268</v>
      </c>
      <c r="O30" s="66">
        <f t="shared" si="4"/>
        <v>0</v>
      </c>
      <c r="P30" s="67">
        <f t="shared" si="5"/>
        <v>-4.5857783486639789</v>
      </c>
      <c r="Q30" s="351">
        <f t="shared" si="6"/>
        <v>0.96069332844002309</v>
      </c>
      <c r="R30" s="511"/>
      <c r="S30" s="68"/>
      <c r="T30" s="68"/>
      <c r="U30" s="64"/>
      <c r="V30" s="360"/>
      <c r="W30" s="64"/>
      <c r="X30" s="64"/>
      <c r="Y30" s="510"/>
      <c r="Z30" s="510"/>
      <c r="AA30" s="66">
        <f t="shared" si="8"/>
        <v>-76.429639144399516</v>
      </c>
      <c r="AB30" s="351">
        <f t="shared" si="9"/>
        <v>0.96069332844002309</v>
      </c>
      <c r="AC30" s="511"/>
    </row>
    <row r="31" spans="1:29" ht="15.75" customHeight="1">
      <c r="A31" s="536" t="s">
        <v>1935</v>
      </c>
      <c r="B31" s="62" t="s">
        <v>16</v>
      </c>
      <c r="C31" s="533" t="s">
        <v>30</v>
      </c>
      <c r="D31" s="533"/>
      <c r="E31" s="62">
        <v>31.29</v>
      </c>
      <c r="F31" s="361">
        <v>4500</v>
      </c>
      <c r="G31" s="350">
        <f t="shared" ref="G31:G37" si="23">E31*F31</f>
        <v>140805</v>
      </c>
      <c r="H31" s="90">
        <v>2</v>
      </c>
      <c r="I31" s="359">
        <v>18</v>
      </c>
      <c r="J31" s="63">
        <v>2400</v>
      </c>
      <c r="K31" s="64">
        <f t="shared" si="1"/>
        <v>133.33333333333334</v>
      </c>
      <c r="L31" s="359">
        <v>18</v>
      </c>
      <c r="M31" s="65">
        <f t="shared" ref="M31:M37" si="24">F31/V31*60</f>
        <v>2288.1355932203392</v>
      </c>
      <c r="N31" s="64">
        <f t="shared" si="3"/>
        <v>127.11864406779662</v>
      </c>
      <c r="O31" s="66">
        <f t="shared" si="4"/>
        <v>0</v>
      </c>
      <c r="P31" s="67">
        <f t="shared" si="5"/>
        <v>-6.2146892655367196</v>
      </c>
      <c r="Q31" s="351">
        <f t="shared" si="6"/>
        <v>0.95338983050847459</v>
      </c>
      <c r="R31" s="511">
        <f>Q38</f>
        <v>0.95582553161959272</v>
      </c>
      <c r="S31" s="68">
        <v>8.3333333333333329E-2</v>
      </c>
      <c r="T31" s="68">
        <v>0.16527777777777777</v>
      </c>
      <c r="U31" s="350"/>
      <c r="V31" s="360">
        <f t="shared" ref="V31:V37" si="25">(T31-S31)*24*60</f>
        <v>118</v>
      </c>
      <c r="W31" s="69">
        <f>T31</f>
        <v>0.16527777777777777</v>
      </c>
      <c r="X31" s="69">
        <f>S32</f>
        <v>0.18611111111111112</v>
      </c>
      <c r="Y31" s="510"/>
      <c r="Z31" s="510"/>
      <c r="AA31" s="66">
        <f t="shared" si="8"/>
        <v>-111.86440677966084</v>
      </c>
      <c r="AB31" s="351">
        <f t="shared" si="9"/>
        <v>0.9533898305084747</v>
      </c>
      <c r="AC31" s="511">
        <f>AB38</f>
        <v>0.95582553161959272</v>
      </c>
    </row>
    <row r="32" spans="1:29" ht="15.75" customHeight="1">
      <c r="A32" s="536" t="s">
        <v>1935</v>
      </c>
      <c r="B32" s="62" t="s">
        <v>16</v>
      </c>
      <c r="C32" s="533" t="s">
        <v>28</v>
      </c>
      <c r="D32" s="533"/>
      <c r="E32" s="62">
        <v>26.18</v>
      </c>
      <c r="F32" s="361">
        <v>3401</v>
      </c>
      <c r="G32" s="350">
        <f t="shared" si="23"/>
        <v>89038.18</v>
      </c>
      <c r="H32" s="90" t="s">
        <v>5</v>
      </c>
      <c r="I32" s="359">
        <v>19</v>
      </c>
      <c r="J32" s="63">
        <v>2400</v>
      </c>
      <c r="K32" s="64">
        <f t="shared" si="1"/>
        <v>126.31578947368421</v>
      </c>
      <c r="L32" s="359">
        <v>19</v>
      </c>
      <c r="M32" s="65">
        <f t="shared" si="24"/>
        <v>2292.8089887640449</v>
      </c>
      <c r="N32" s="64">
        <f t="shared" si="3"/>
        <v>120.67415730337079</v>
      </c>
      <c r="O32" s="66">
        <f t="shared" si="4"/>
        <v>0</v>
      </c>
      <c r="P32" s="67">
        <f t="shared" si="5"/>
        <v>-5.6416321703134145</v>
      </c>
      <c r="Q32" s="351">
        <f t="shared" si="6"/>
        <v>0.95533707865168549</v>
      </c>
      <c r="R32" s="511"/>
      <c r="S32" s="68">
        <v>0.18611111111111112</v>
      </c>
      <c r="T32" s="68">
        <v>0.24791666666666667</v>
      </c>
      <c r="U32" s="350">
        <f t="shared" ref="U32:U37" si="26">(S32-T31)*24*60</f>
        <v>30.000000000000014</v>
      </c>
      <c r="V32" s="360">
        <f t="shared" si="25"/>
        <v>89</v>
      </c>
      <c r="W32" s="69"/>
      <c r="X32" s="69"/>
      <c r="Y32" s="510"/>
      <c r="Z32" s="510"/>
      <c r="AA32" s="66">
        <f t="shared" si="8"/>
        <v>-107.1910112359551</v>
      </c>
      <c r="AB32" s="351">
        <f t="shared" si="9"/>
        <v>0.95533707865168538</v>
      </c>
      <c r="AC32" s="511"/>
    </row>
    <row r="33" spans="1:29" ht="15.75" customHeight="1">
      <c r="A33" s="536" t="s">
        <v>1936</v>
      </c>
      <c r="B33" s="62" t="s">
        <v>16</v>
      </c>
      <c r="C33" s="533" t="s">
        <v>25</v>
      </c>
      <c r="D33" s="533"/>
      <c r="E33" s="62">
        <v>26.2</v>
      </c>
      <c r="F33" s="361">
        <v>3600</v>
      </c>
      <c r="G33" s="350">
        <f t="shared" si="23"/>
        <v>94320</v>
      </c>
      <c r="H33" s="90">
        <v>2</v>
      </c>
      <c r="I33" s="359">
        <v>20</v>
      </c>
      <c r="J33" s="63">
        <v>2400</v>
      </c>
      <c r="K33" s="64">
        <f t="shared" si="1"/>
        <v>120</v>
      </c>
      <c r="L33" s="359">
        <v>20</v>
      </c>
      <c r="M33" s="65">
        <f t="shared" si="24"/>
        <v>2297.872340425532</v>
      </c>
      <c r="N33" s="64">
        <f t="shared" si="3"/>
        <v>114.8936170212766</v>
      </c>
      <c r="O33" s="66">
        <f t="shared" si="4"/>
        <v>0</v>
      </c>
      <c r="P33" s="67">
        <f t="shared" si="5"/>
        <v>-5.1063829787234027</v>
      </c>
      <c r="Q33" s="351">
        <f t="shared" si="6"/>
        <v>0.95744680851063835</v>
      </c>
      <c r="R33" s="511"/>
      <c r="S33" s="68">
        <v>0.25138888888888888</v>
      </c>
      <c r="T33" s="68">
        <v>0.31666666666666665</v>
      </c>
      <c r="U33" s="350">
        <f t="shared" si="26"/>
        <v>4.9999999999999822</v>
      </c>
      <c r="V33" s="360">
        <f t="shared" si="25"/>
        <v>93.999999999999986</v>
      </c>
      <c r="W33" s="69"/>
      <c r="X33" s="69"/>
      <c r="Y33" s="510"/>
      <c r="Z33" s="510"/>
      <c r="AA33" s="66">
        <f t="shared" si="8"/>
        <v>-102.127659574468</v>
      </c>
      <c r="AB33" s="351">
        <f t="shared" si="9"/>
        <v>0.95744680851063835</v>
      </c>
      <c r="AC33" s="511"/>
    </row>
    <row r="34" spans="1:29" ht="15.75" customHeight="1">
      <c r="A34" s="536" t="s">
        <v>1935</v>
      </c>
      <c r="B34" s="62" t="s">
        <v>16</v>
      </c>
      <c r="C34" s="533" t="s">
        <v>83</v>
      </c>
      <c r="D34" s="533"/>
      <c r="E34" s="62">
        <v>25.99</v>
      </c>
      <c r="F34" s="361">
        <v>6045</v>
      </c>
      <c r="G34" s="350">
        <f t="shared" si="23"/>
        <v>157109.54999999999</v>
      </c>
      <c r="H34" s="90" t="s">
        <v>5</v>
      </c>
      <c r="I34" s="359">
        <v>14</v>
      </c>
      <c r="J34" s="63">
        <v>2400</v>
      </c>
      <c r="K34" s="64">
        <f t="shared" si="1"/>
        <v>171.42857142857142</v>
      </c>
      <c r="L34" s="359">
        <v>14</v>
      </c>
      <c r="M34" s="65">
        <f t="shared" si="24"/>
        <v>2281.132075471698</v>
      </c>
      <c r="N34" s="64">
        <f t="shared" si="3"/>
        <v>162.93800539083557</v>
      </c>
      <c r="O34" s="66">
        <f t="shared" si="4"/>
        <v>0</v>
      </c>
      <c r="P34" s="67">
        <f t="shared" si="5"/>
        <v>-8.4905660377358458</v>
      </c>
      <c r="Q34" s="351">
        <f t="shared" si="6"/>
        <v>0.95047169811320753</v>
      </c>
      <c r="R34" s="511"/>
      <c r="S34" s="68">
        <v>0.32222222222222219</v>
      </c>
      <c r="T34" s="68">
        <v>0.43263888888888885</v>
      </c>
      <c r="U34" s="350">
        <f t="shared" si="26"/>
        <v>7.9999999999999716</v>
      </c>
      <c r="V34" s="360">
        <f t="shared" si="25"/>
        <v>159</v>
      </c>
      <c r="W34" s="69"/>
      <c r="X34" s="69"/>
      <c r="Y34" s="510"/>
      <c r="Z34" s="510"/>
      <c r="AA34" s="66">
        <f t="shared" si="8"/>
        <v>-118.86792452830196</v>
      </c>
      <c r="AB34" s="351">
        <f t="shared" si="9"/>
        <v>0.95047169811320753</v>
      </c>
      <c r="AC34" s="511"/>
    </row>
    <row r="35" spans="1:29" ht="15.75" customHeight="1">
      <c r="A35" s="536" t="s">
        <v>1935</v>
      </c>
      <c r="B35" s="62" t="s">
        <v>16</v>
      </c>
      <c r="C35" s="533" t="s">
        <v>982</v>
      </c>
      <c r="D35" s="533"/>
      <c r="E35" s="62">
        <v>25.98</v>
      </c>
      <c r="F35" s="361">
        <v>5448</v>
      </c>
      <c r="G35" s="350">
        <f t="shared" si="23"/>
        <v>141539.04</v>
      </c>
      <c r="H35" s="90" t="s">
        <v>5</v>
      </c>
      <c r="I35" s="359">
        <v>21</v>
      </c>
      <c r="J35" s="63">
        <v>2400</v>
      </c>
      <c r="K35" s="64">
        <f t="shared" si="1"/>
        <v>114.28571428571429</v>
      </c>
      <c r="L35" s="359">
        <v>21</v>
      </c>
      <c r="M35" s="65">
        <f t="shared" si="24"/>
        <v>2285.8741258741252</v>
      </c>
      <c r="N35" s="64">
        <f t="shared" si="3"/>
        <v>108.85114885114882</v>
      </c>
      <c r="O35" s="66">
        <f t="shared" si="4"/>
        <v>0</v>
      </c>
      <c r="P35" s="67">
        <f t="shared" si="5"/>
        <v>-5.4345654345654708</v>
      </c>
      <c r="Q35" s="351">
        <f t="shared" si="6"/>
        <v>0.95244755244755208</v>
      </c>
      <c r="R35" s="511"/>
      <c r="S35" s="68">
        <v>0.4368055555555555</v>
      </c>
      <c r="T35" s="68">
        <v>0.53611111111111109</v>
      </c>
      <c r="U35" s="350">
        <f t="shared" si="26"/>
        <v>5.9999999999999787</v>
      </c>
      <c r="V35" s="360">
        <f t="shared" si="25"/>
        <v>143.00000000000006</v>
      </c>
      <c r="W35" s="69">
        <f>T35</f>
        <v>0.53611111111111109</v>
      </c>
      <c r="X35" s="69">
        <f>S36</f>
        <v>0.57708333333333328</v>
      </c>
      <c r="Y35" s="510"/>
      <c r="Z35" s="510"/>
      <c r="AA35" s="66">
        <f t="shared" si="8"/>
        <v>-114.12587412587482</v>
      </c>
      <c r="AB35" s="351">
        <f t="shared" si="9"/>
        <v>0.95244755244755219</v>
      </c>
      <c r="AC35" s="511"/>
    </row>
    <row r="36" spans="1:29" ht="15.75" customHeight="1">
      <c r="A36" s="536" t="s">
        <v>1935</v>
      </c>
      <c r="B36" s="62" t="s">
        <v>16</v>
      </c>
      <c r="C36" s="533" t="s">
        <v>30</v>
      </c>
      <c r="D36" s="533"/>
      <c r="E36" s="62">
        <v>31.29</v>
      </c>
      <c r="F36" s="361">
        <v>6152</v>
      </c>
      <c r="G36" s="350">
        <f t="shared" si="23"/>
        <v>192496.08</v>
      </c>
      <c r="H36" s="90" t="s">
        <v>5</v>
      </c>
      <c r="I36" s="359">
        <v>18</v>
      </c>
      <c r="J36" s="63">
        <v>2400</v>
      </c>
      <c r="K36" s="64">
        <f t="shared" si="1"/>
        <v>133.33333333333334</v>
      </c>
      <c r="L36" s="359">
        <v>18</v>
      </c>
      <c r="M36" s="65">
        <f t="shared" si="24"/>
        <v>2292.6708074534154</v>
      </c>
      <c r="N36" s="64">
        <f t="shared" si="3"/>
        <v>127.37060041407864</v>
      </c>
      <c r="O36" s="66">
        <f t="shared" si="4"/>
        <v>0</v>
      </c>
      <c r="P36" s="67">
        <f t="shared" si="5"/>
        <v>-5.9627329192547052</v>
      </c>
      <c r="Q36" s="351">
        <f t="shared" si="6"/>
        <v>0.95527950310558973</v>
      </c>
      <c r="R36" s="511"/>
      <c r="S36" s="68">
        <v>0.57708333333333328</v>
      </c>
      <c r="T36" s="68">
        <v>0.68888888888888888</v>
      </c>
      <c r="U36" s="350">
        <f t="shared" si="26"/>
        <v>58.99999999999995</v>
      </c>
      <c r="V36" s="360">
        <f t="shared" si="25"/>
        <v>161.00000000000006</v>
      </c>
      <c r="W36" s="69"/>
      <c r="X36" s="69"/>
      <c r="Y36" s="510"/>
      <c r="Z36" s="510"/>
      <c r="AA36" s="66">
        <f t="shared" si="8"/>
        <v>-107.32919254658464</v>
      </c>
      <c r="AB36" s="351">
        <f t="shared" si="9"/>
        <v>0.95527950310558973</v>
      </c>
      <c r="AC36" s="511"/>
    </row>
    <row r="37" spans="1:29" ht="15.75" customHeight="1">
      <c r="A37" s="536" t="s">
        <v>1935</v>
      </c>
      <c r="B37" s="62" t="s">
        <v>16</v>
      </c>
      <c r="C37" s="533" t="s">
        <v>25</v>
      </c>
      <c r="D37" s="533"/>
      <c r="E37" s="62">
        <v>26.2</v>
      </c>
      <c r="F37" s="361">
        <v>2474</v>
      </c>
      <c r="G37" s="350">
        <f t="shared" si="23"/>
        <v>64818.799999999996</v>
      </c>
      <c r="H37" s="90" t="s">
        <v>5</v>
      </c>
      <c r="I37" s="359">
        <v>20</v>
      </c>
      <c r="J37" s="63">
        <v>2400</v>
      </c>
      <c r="K37" s="64">
        <f t="shared" si="1"/>
        <v>120</v>
      </c>
      <c r="L37" s="359">
        <v>20</v>
      </c>
      <c r="M37" s="65">
        <f t="shared" si="24"/>
        <v>2319.3750000000027</v>
      </c>
      <c r="N37" s="64">
        <f t="shared" si="3"/>
        <v>115.96875000000014</v>
      </c>
      <c r="O37" s="66">
        <f t="shared" si="4"/>
        <v>0</v>
      </c>
      <c r="P37" s="67">
        <f t="shared" si="5"/>
        <v>-4.0312499999998579</v>
      </c>
      <c r="Q37" s="351">
        <f t="shared" si="6"/>
        <v>0.96640625000000113</v>
      </c>
      <c r="R37" s="511"/>
      <c r="S37" s="68">
        <v>0.69444444444444442</v>
      </c>
      <c r="T37" s="68">
        <v>0.73888888888888882</v>
      </c>
      <c r="U37" s="350">
        <f t="shared" si="26"/>
        <v>7.9999999999999716</v>
      </c>
      <c r="V37" s="360">
        <f t="shared" si="25"/>
        <v>63.999999999999929</v>
      </c>
      <c r="W37" s="69"/>
      <c r="X37" s="69"/>
      <c r="Y37" s="510"/>
      <c r="Z37" s="510"/>
      <c r="AA37" s="66">
        <f t="shared" si="8"/>
        <v>-80.624999999997272</v>
      </c>
      <c r="AB37" s="351">
        <f t="shared" si="9"/>
        <v>0.96640625000000113</v>
      </c>
      <c r="AC37" s="511"/>
    </row>
    <row r="38" spans="1:29" ht="15.75" customHeight="1">
      <c r="A38" s="536" t="s">
        <v>1937</v>
      </c>
      <c r="B38" s="62" t="s">
        <v>1938</v>
      </c>
      <c r="C38" s="513"/>
      <c r="D38" s="513"/>
      <c r="E38" s="352"/>
      <c r="F38" s="361"/>
      <c r="G38" s="350"/>
      <c r="H38" s="361"/>
      <c r="I38" s="72">
        <v>18.571428571428573</v>
      </c>
      <c r="J38" s="63">
        <v>2400</v>
      </c>
      <c r="K38" s="64">
        <f t="shared" si="1"/>
        <v>129.23076923076923</v>
      </c>
      <c r="L38" s="72">
        <v>18.571428571428573</v>
      </c>
      <c r="M38" s="65">
        <f>AVERAGE(M31:M37)</f>
        <v>2293.9812758870225</v>
      </c>
      <c r="N38" s="64">
        <f t="shared" si="3"/>
        <v>123.5220687016089</v>
      </c>
      <c r="O38" s="66">
        <f t="shared" si="4"/>
        <v>0</v>
      </c>
      <c r="P38" s="67">
        <f t="shared" si="5"/>
        <v>-5.7087005291603248</v>
      </c>
      <c r="Q38" s="351">
        <f t="shared" si="6"/>
        <v>0.95582553161959272</v>
      </c>
      <c r="R38" s="511"/>
      <c r="S38" s="68"/>
      <c r="T38" s="68"/>
      <c r="U38" s="350"/>
      <c r="V38" s="360"/>
      <c r="W38" s="350"/>
      <c r="X38" s="350"/>
      <c r="Y38" s="510"/>
      <c r="Z38" s="510"/>
      <c r="AA38" s="66">
        <f t="shared" si="8"/>
        <v>-106.01872411297745</v>
      </c>
      <c r="AB38" s="351">
        <f t="shared" si="9"/>
        <v>0.95582553161959272</v>
      </c>
      <c r="AC38" s="511"/>
    </row>
    <row r="39" spans="1:29" ht="15.75" customHeight="1">
      <c r="A39" s="531" t="s">
        <v>1939</v>
      </c>
      <c r="B39" s="62" t="s">
        <v>16</v>
      </c>
      <c r="C39" s="512" t="s">
        <v>31</v>
      </c>
      <c r="D39" s="512"/>
      <c r="E39" s="62">
        <v>26.2</v>
      </c>
      <c r="F39" s="361">
        <v>4000</v>
      </c>
      <c r="G39" s="350">
        <f t="shared" ref="G39:G46" si="27">E39*F39</f>
        <v>104800</v>
      </c>
      <c r="H39" s="90">
        <v>2</v>
      </c>
      <c r="I39" s="359">
        <v>18</v>
      </c>
      <c r="J39" s="63">
        <v>2400</v>
      </c>
      <c r="K39" s="64">
        <f t="shared" si="1"/>
        <v>133.33333333333334</v>
      </c>
      <c r="L39" s="359">
        <v>18</v>
      </c>
      <c r="M39" s="65">
        <f t="shared" ref="M39:M46" si="28">F39/V39*60</f>
        <v>2285.7142857142858</v>
      </c>
      <c r="N39" s="64">
        <f t="shared" si="3"/>
        <v>126.98412698412699</v>
      </c>
      <c r="O39" s="66">
        <f t="shared" si="4"/>
        <v>0</v>
      </c>
      <c r="P39" s="67">
        <f t="shared" si="5"/>
        <v>-6.3492063492063551</v>
      </c>
      <c r="Q39" s="351">
        <f t="shared" si="6"/>
        <v>0.95238095238095233</v>
      </c>
      <c r="R39" s="511">
        <f>Q47</f>
        <v>0.9564879281767994</v>
      </c>
      <c r="S39" s="68">
        <v>8.3333333333333329E-2</v>
      </c>
      <c r="T39" s="68">
        <v>0.15625</v>
      </c>
      <c r="U39" s="350"/>
      <c r="V39" s="360">
        <f t="shared" ref="V39:V46" si="29">(T39-S39)*24*60</f>
        <v>105</v>
      </c>
      <c r="W39" s="73">
        <f>T39</f>
        <v>0.15625</v>
      </c>
      <c r="X39" s="73">
        <f>S40</f>
        <v>0.17499999999999999</v>
      </c>
      <c r="Y39" s="510"/>
      <c r="Z39" s="510"/>
      <c r="AA39" s="66">
        <f t="shared" si="8"/>
        <v>-114.28571428571422</v>
      </c>
      <c r="AB39" s="351">
        <f t="shared" si="9"/>
        <v>0.95238095238095244</v>
      </c>
      <c r="AC39" s="511">
        <f>AB47</f>
        <v>0.9564879281767994</v>
      </c>
    </row>
    <row r="40" spans="1:29" ht="15.75" customHeight="1">
      <c r="A40" s="531" t="s">
        <v>1940</v>
      </c>
      <c r="B40" s="62" t="s">
        <v>16</v>
      </c>
      <c r="C40" s="512" t="s">
        <v>32</v>
      </c>
      <c r="D40" s="512"/>
      <c r="E40" s="62">
        <v>26.39</v>
      </c>
      <c r="F40" s="361">
        <v>4500</v>
      </c>
      <c r="G40" s="350">
        <f t="shared" si="27"/>
        <v>118755</v>
      </c>
      <c r="H40" s="90">
        <v>2</v>
      </c>
      <c r="I40" s="359">
        <v>19</v>
      </c>
      <c r="J40" s="63">
        <v>2400</v>
      </c>
      <c r="K40" s="64">
        <f t="shared" si="1"/>
        <v>126.31578947368421</v>
      </c>
      <c r="L40" s="359">
        <v>19</v>
      </c>
      <c r="M40" s="65">
        <f t="shared" si="28"/>
        <v>2288.1355932203396</v>
      </c>
      <c r="N40" s="64">
        <f t="shared" si="3"/>
        <v>120.42818911685998</v>
      </c>
      <c r="O40" s="66">
        <f t="shared" si="4"/>
        <v>0</v>
      </c>
      <c r="P40" s="67">
        <f t="shared" si="5"/>
        <v>-5.8876003568242226</v>
      </c>
      <c r="Q40" s="351">
        <f t="shared" si="6"/>
        <v>0.95338983050847492</v>
      </c>
      <c r="R40" s="511"/>
      <c r="S40" s="68">
        <v>0.17499999999999999</v>
      </c>
      <c r="T40" s="68">
        <v>0.25694444444444442</v>
      </c>
      <c r="U40" s="350">
        <f t="shared" ref="U40:U46" si="30">(S40-T39)*24*60</f>
        <v>26.999999999999986</v>
      </c>
      <c r="V40" s="360">
        <f t="shared" si="29"/>
        <v>117.99999999999999</v>
      </c>
      <c r="W40" s="350"/>
      <c r="X40" s="350"/>
      <c r="Y40" s="510"/>
      <c r="Z40" s="510"/>
      <c r="AA40" s="66">
        <f t="shared" si="8"/>
        <v>-111.86440677966038</v>
      </c>
      <c r="AB40" s="351">
        <f t="shared" si="9"/>
        <v>0.95338983050847481</v>
      </c>
      <c r="AC40" s="511"/>
    </row>
    <row r="41" spans="1:29">
      <c r="A41" s="532" t="s">
        <v>1940</v>
      </c>
      <c r="B41" s="62" t="s">
        <v>16</v>
      </c>
      <c r="C41" s="512" t="s">
        <v>50</v>
      </c>
      <c r="D41" s="512"/>
      <c r="E41" s="62">
        <v>20.52</v>
      </c>
      <c r="F41" s="361">
        <v>5465</v>
      </c>
      <c r="G41" s="350">
        <f t="shared" si="27"/>
        <v>112141.8</v>
      </c>
      <c r="H41" s="90" t="s">
        <v>5</v>
      </c>
      <c r="I41" s="359">
        <v>18</v>
      </c>
      <c r="J41" s="63">
        <v>2400</v>
      </c>
      <c r="K41" s="64">
        <f t="shared" si="1"/>
        <v>133.33333333333334</v>
      </c>
      <c r="L41" s="359">
        <v>18</v>
      </c>
      <c r="M41" s="65">
        <f t="shared" si="28"/>
        <v>2293.0069930069935</v>
      </c>
      <c r="N41" s="64">
        <f t="shared" si="3"/>
        <v>127.38927738927742</v>
      </c>
      <c r="O41" s="66">
        <f t="shared" si="4"/>
        <v>0</v>
      </c>
      <c r="P41" s="67">
        <f t="shared" si="5"/>
        <v>-5.9440559440559184</v>
      </c>
      <c r="Q41" s="351">
        <f t="shared" si="6"/>
        <v>0.95541958041958064</v>
      </c>
      <c r="R41" s="511"/>
      <c r="S41" s="68">
        <v>0.26041666666666663</v>
      </c>
      <c r="T41" s="68">
        <v>0.35972222222222217</v>
      </c>
      <c r="U41" s="350">
        <f t="shared" si="30"/>
        <v>4.9999999999999822</v>
      </c>
      <c r="V41" s="360">
        <f t="shared" si="29"/>
        <v>142.99999999999997</v>
      </c>
      <c r="W41" s="350"/>
      <c r="X41" s="350"/>
      <c r="Y41" s="510"/>
      <c r="Z41" s="510"/>
      <c r="AA41" s="66">
        <f t="shared" si="8"/>
        <v>-106.99300699300647</v>
      </c>
      <c r="AB41" s="351">
        <f t="shared" si="9"/>
        <v>0.95541958041958064</v>
      </c>
      <c r="AC41" s="511"/>
    </row>
    <row r="42" spans="1:29">
      <c r="A42" s="532" t="s">
        <v>1939</v>
      </c>
      <c r="B42" s="62" t="s">
        <v>16</v>
      </c>
      <c r="C42" s="512" t="s">
        <v>18</v>
      </c>
      <c r="D42" s="512"/>
      <c r="E42" s="62">
        <v>22.35</v>
      </c>
      <c r="F42" s="361">
        <v>2235</v>
      </c>
      <c r="G42" s="350">
        <f t="shared" si="27"/>
        <v>49952.25</v>
      </c>
      <c r="H42" s="90" t="s">
        <v>5</v>
      </c>
      <c r="I42" s="359">
        <v>16</v>
      </c>
      <c r="J42" s="63">
        <v>2400</v>
      </c>
      <c r="K42" s="64">
        <f t="shared" si="1"/>
        <v>150</v>
      </c>
      <c r="L42" s="359">
        <v>16</v>
      </c>
      <c r="M42" s="65">
        <f t="shared" si="28"/>
        <v>2312.06896551724</v>
      </c>
      <c r="N42" s="64">
        <f t="shared" si="3"/>
        <v>144.5043103448275</v>
      </c>
      <c r="O42" s="66">
        <f t="shared" si="4"/>
        <v>0</v>
      </c>
      <c r="P42" s="67">
        <f t="shared" si="5"/>
        <v>-5.4956896551724981</v>
      </c>
      <c r="Q42" s="351">
        <f t="shared" si="6"/>
        <v>0.96336206896551668</v>
      </c>
      <c r="R42" s="511"/>
      <c r="S42" s="68">
        <v>0.36458333333333326</v>
      </c>
      <c r="T42" s="68">
        <v>0.40486111111111106</v>
      </c>
      <c r="U42" s="350">
        <f t="shared" si="30"/>
        <v>6.9999999999999751</v>
      </c>
      <c r="V42" s="360">
        <f t="shared" si="29"/>
        <v>58.000000000000036</v>
      </c>
      <c r="W42" s="69"/>
      <c r="X42" s="69"/>
      <c r="Y42" s="510"/>
      <c r="Z42" s="510"/>
      <c r="AA42" s="66">
        <f t="shared" si="8"/>
        <v>-87.931034482759969</v>
      </c>
      <c r="AB42" s="351">
        <f t="shared" si="9"/>
        <v>0.96336206896551668</v>
      </c>
      <c r="AC42" s="511"/>
    </row>
    <row r="43" spans="1:29">
      <c r="A43" s="532" t="s">
        <v>1940</v>
      </c>
      <c r="B43" s="62" t="s">
        <v>16</v>
      </c>
      <c r="C43" s="512" t="s">
        <v>33</v>
      </c>
      <c r="D43" s="512"/>
      <c r="E43" s="62">
        <v>24.43</v>
      </c>
      <c r="F43" s="361">
        <v>5500</v>
      </c>
      <c r="G43" s="350">
        <f t="shared" si="27"/>
        <v>134365</v>
      </c>
      <c r="H43" s="90">
        <v>2</v>
      </c>
      <c r="I43" s="359">
        <v>14</v>
      </c>
      <c r="J43" s="63">
        <v>2400</v>
      </c>
      <c r="K43" s="64">
        <f t="shared" si="1"/>
        <v>171.42857142857142</v>
      </c>
      <c r="L43" s="359">
        <v>14</v>
      </c>
      <c r="M43" s="65">
        <f t="shared" si="28"/>
        <v>2291.6666666666656</v>
      </c>
      <c r="N43" s="64">
        <f t="shared" si="3"/>
        <v>163.69047619047612</v>
      </c>
      <c r="O43" s="66">
        <f t="shared" si="4"/>
        <v>0</v>
      </c>
      <c r="P43" s="67">
        <f t="shared" si="5"/>
        <v>-7.7380952380952976</v>
      </c>
      <c r="Q43" s="351">
        <f t="shared" si="6"/>
        <v>0.95486111111111072</v>
      </c>
      <c r="R43" s="511"/>
      <c r="S43" s="68">
        <v>0.40902777777777771</v>
      </c>
      <c r="T43" s="68">
        <v>0.50902777777777775</v>
      </c>
      <c r="U43" s="350">
        <f t="shared" si="30"/>
        <v>5.9999999999999787</v>
      </c>
      <c r="V43" s="360">
        <f t="shared" si="29"/>
        <v>144.00000000000006</v>
      </c>
      <c r="W43" s="69">
        <f>T43</f>
        <v>0.50902777777777775</v>
      </c>
      <c r="X43" s="69">
        <f>S44</f>
        <v>0.55069444444444438</v>
      </c>
      <c r="Y43" s="510"/>
      <c r="Z43" s="510"/>
      <c r="AA43" s="66">
        <f t="shared" si="8"/>
        <v>-108.33333333333439</v>
      </c>
      <c r="AB43" s="351">
        <f t="shared" si="9"/>
        <v>0.95486111111111072</v>
      </c>
      <c r="AC43" s="511"/>
    </row>
    <row r="44" spans="1:29">
      <c r="A44" s="532" t="s">
        <v>1939</v>
      </c>
      <c r="B44" s="62" t="s">
        <v>16</v>
      </c>
      <c r="C44" s="512" t="s">
        <v>31</v>
      </c>
      <c r="D44" s="512"/>
      <c r="E44" s="62">
        <v>26.2</v>
      </c>
      <c r="F44" s="361">
        <v>3795</v>
      </c>
      <c r="G44" s="350">
        <f t="shared" si="27"/>
        <v>99429</v>
      </c>
      <c r="H44" s="90" t="s">
        <v>5</v>
      </c>
      <c r="I44" s="359">
        <v>18</v>
      </c>
      <c r="J44" s="63">
        <v>2400</v>
      </c>
      <c r="K44" s="64">
        <f t="shared" si="1"/>
        <v>133.33333333333334</v>
      </c>
      <c r="L44" s="359">
        <v>18</v>
      </c>
      <c r="M44" s="65">
        <f t="shared" si="28"/>
        <v>2300.0000000000005</v>
      </c>
      <c r="N44" s="64">
        <f t="shared" si="3"/>
        <v>127.7777777777778</v>
      </c>
      <c r="O44" s="66">
        <f t="shared" si="4"/>
        <v>0</v>
      </c>
      <c r="P44" s="67">
        <f t="shared" si="5"/>
        <v>-5.5555555555555429</v>
      </c>
      <c r="Q44" s="351">
        <f t="shared" si="6"/>
        <v>0.95833333333333348</v>
      </c>
      <c r="R44" s="511"/>
      <c r="S44" s="68">
        <v>0.55069444444444438</v>
      </c>
      <c r="T44" s="68">
        <v>0.61944444444444435</v>
      </c>
      <c r="U44" s="350">
        <f t="shared" si="30"/>
        <v>59.999999999999943</v>
      </c>
      <c r="V44" s="360">
        <f t="shared" si="29"/>
        <v>98.999999999999972</v>
      </c>
      <c r="W44" s="69"/>
      <c r="X44" s="69"/>
      <c r="Y44" s="510"/>
      <c r="Z44" s="510"/>
      <c r="AA44" s="66">
        <f t="shared" si="8"/>
        <v>-99.999999999999545</v>
      </c>
      <c r="AB44" s="351">
        <f t="shared" si="9"/>
        <v>0.95833333333333348</v>
      </c>
      <c r="AC44" s="511"/>
    </row>
    <row r="45" spans="1:29">
      <c r="A45" s="532" t="s">
        <v>1939</v>
      </c>
      <c r="B45" s="62" t="s">
        <v>16</v>
      </c>
      <c r="C45" s="512" t="s">
        <v>32</v>
      </c>
      <c r="D45" s="512"/>
      <c r="E45" s="62">
        <v>26.39</v>
      </c>
      <c r="F45" s="361">
        <v>3029</v>
      </c>
      <c r="G45" s="350">
        <f t="shared" si="27"/>
        <v>79935.31</v>
      </c>
      <c r="H45" s="90" t="s">
        <v>5</v>
      </c>
      <c r="I45" s="359">
        <v>19</v>
      </c>
      <c r="J45" s="63">
        <v>2400</v>
      </c>
      <c r="K45" s="64">
        <f t="shared" si="1"/>
        <v>126.31578947368421</v>
      </c>
      <c r="L45" s="359">
        <v>19</v>
      </c>
      <c r="M45" s="65">
        <f t="shared" si="28"/>
        <v>2300.5063291139231</v>
      </c>
      <c r="N45" s="64">
        <f t="shared" si="3"/>
        <v>121.07928047968016</v>
      </c>
      <c r="O45" s="66">
        <f t="shared" si="4"/>
        <v>0</v>
      </c>
      <c r="P45" s="67">
        <f t="shared" si="5"/>
        <v>-5.2365089940040406</v>
      </c>
      <c r="Q45" s="351">
        <f t="shared" si="6"/>
        <v>0.95854430379746802</v>
      </c>
      <c r="R45" s="511"/>
      <c r="S45" s="68">
        <v>0.62430555555555545</v>
      </c>
      <c r="T45" s="68">
        <v>0.67916666666666659</v>
      </c>
      <c r="U45" s="350">
        <f t="shared" si="30"/>
        <v>6.9999999999999751</v>
      </c>
      <c r="V45" s="360">
        <f t="shared" si="29"/>
        <v>79.000000000000043</v>
      </c>
      <c r="W45" s="69"/>
      <c r="X45" s="69"/>
      <c r="Y45" s="517"/>
      <c r="Z45" s="518"/>
      <c r="AA45" s="66">
        <f t="shared" si="8"/>
        <v>-99.49367088607687</v>
      </c>
      <c r="AB45" s="351">
        <f t="shared" si="9"/>
        <v>0.95854430379746802</v>
      </c>
      <c r="AC45" s="511"/>
    </row>
    <row r="46" spans="1:29">
      <c r="A46" s="532" t="s">
        <v>1939</v>
      </c>
      <c r="B46" s="62" t="s">
        <v>16</v>
      </c>
      <c r="C46" s="512" t="s">
        <v>33</v>
      </c>
      <c r="D46" s="512"/>
      <c r="E46" s="62">
        <v>24.43</v>
      </c>
      <c r="F46" s="361">
        <v>3746</v>
      </c>
      <c r="G46" s="350">
        <f t="shared" si="27"/>
        <v>91514.78</v>
      </c>
      <c r="H46" s="90" t="s">
        <v>5</v>
      </c>
      <c r="I46" s="359">
        <v>14</v>
      </c>
      <c r="J46" s="63">
        <v>2400</v>
      </c>
      <c r="K46" s="64">
        <f t="shared" si="1"/>
        <v>171.42857142857142</v>
      </c>
      <c r="L46" s="359">
        <v>14</v>
      </c>
      <c r="M46" s="65">
        <f t="shared" si="28"/>
        <v>2293.4693877551026</v>
      </c>
      <c r="N46" s="64">
        <f t="shared" si="3"/>
        <v>163.81924198250732</v>
      </c>
      <c r="O46" s="66">
        <f t="shared" si="4"/>
        <v>0</v>
      </c>
      <c r="P46" s="67">
        <f t="shared" si="5"/>
        <v>-7.6093294460640948</v>
      </c>
      <c r="Q46" s="351">
        <f t="shared" si="6"/>
        <v>0.95561224489795948</v>
      </c>
      <c r="R46" s="511"/>
      <c r="S46" s="68">
        <v>0.6826388888888888</v>
      </c>
      <c r="T46" s="68">
        <v>0.75069444444444433</v>
      </c>
      <c r="U46" s="350">
        <f t="shared" si="30"/>
        <v>4.9999999999999822</v>
      </c>
      <c r="V46" s="360">
        <f t="shared" si="29"/>
        <v>97.999999999999972</v>
      </c>
      <c r="W46" s="69"/>
      <c r="X46" s="69"/>
      <c r="Y46" s="517"/>
      <c r="Z46" s="518"/>
      <c r="AA46" s="66">
        <f t="shared" si="8"/>
        <v>-106.53061224489738</v>
      </c>
      <c r="AB46" s="351">
        <f t="shared" si="9"/>
        <v>0.95561224489795937</v>
      </c>
      <c r="AC46" s="511"/>
    </row>
    <row r="47" spans="1:29">
      <c r="A47" s="532" t="s">
        <v>1939</v>
      </c>
      <c r="B47" s="71" t="s">
        <v>1929</v>
      </c>
      <c r="C47" s="513"/>
      <c r="D47" s="513"/>
      <c r="E47" s="352"/>
      <c r="F47" s="71"/>
      <c r="G47" s="64"/>
      <c r="H47" s="361"/>
      <c r="I47" s="72">
        <v>17</v>
      </c>
      <c r="J47" s="63">
        <v>2400</v>
      </c>
      <c r="K47" s="64">
        <f t="shared" si="1"/>
        <v>141.1764705882353</v>
      </c>
      <c r="L47" s="72">
        <v>17</v>
      </c>
      <c r="M47" s="65">
        <f>AVERAGE(M39:M46)</f>
        <v>2295.5710276243185</v>
      </c>
      <c r="N47" s="64">
        <f t="shared" si="3"/>
        <v>135.03358986025404</v>
      </c>
      <c r="O47" s="66">
        <f t="shared" si="4"/>
        <v>0</v>
      </c>
      <c r="P47" s="67">
        <f t="shared" si="5"/>
        <v>-6.1428807279812645</v>
      </c>
      <c r="Q47" s="351">
        <f t="shared" si="6"/>
        <v>0.9564879281767994</v>
      </c>
      <c r="R47" s="511"/>
      <c r="S47" s="68"/>
      <c r="T47" s="68"/>
      <c r="U47" s="64"/>
      <c r="V47" s="360"/>
      <c r="W47" s="64"/>
      <c r="X47" s="64"/>
      <c r="Y47" s="510"/>
      <c r="Z47" s="510"/>
      <c r="AA47" s="66">
        <f t="shared" si="8"/>
        <v>-104.4289723756815</v>
      </c>
      <c r="AB47" s="351">
        <f t="shared" si="9"/>
        <v>0.9564879281767994</v>
      </c>
      <c r="AC47" s="511"/>
    </row>
    <row r="48" spans="1:29" ht="15.75" customHeight="1">
      <c r="A48" s="525" t="s">
        <v>1941</v>
      </c>
      <c r="B48" s="62" t="s">
        <v>35</v>
      </c>
      <c r="C48" s="521" t="s">
        <v>36</v>
      </c>
      <c r="D48" s="522"/>
      <c r="E48" s="62">
        <v>21.13</v>
      </c>
      <c r="F48" s="361">
        <v>3800</v>
      </c>
      <c r="G48" s="350">
        <f t="shared" ref="G48:G56" si="31">E48*F48</f>
        <v>80294</v>
      </c>
      <c r="H48" s="90">
        <v>2</v>
      </c>
      <c r="I48" s="359">
        <v>10</v>
      </c>
      <c r="J48" s="63">
        <v>3000</v>
      </c>
      <c r="K48" s="64">
        <f t="shared" si="1"/>
        <v>300</v>
      </c>
      <c r="L48" s="359">
        <v>10</v>
      </c>
      <c r="M48" s="65">
        <f t="shared" ref="M48:M56" si="32">F48/V48*60</f>
        <v>2886.075949367088</v>
      </c>
      <c r="N48" s="65">
        <f t="shared" si="3"/>
        <v>288.60759493670878</v>
      </c>
      <c r="O48" s="66">
        <f t="shared" si="4"/>
        <v>0</v>
      </c>
      <c r="P48" s="67">
        <f t="shared" si="5"/>
        <v>-11.392405063291221</v>
      </c>
      <c r="Q48" s="351">
        <f t="shared" si="6"/>
        <v>0.96202531645569589</v>
      </c>
      <c r="R48" s="528">
        <f>Q57</f>
        <v>0.9582210485517062</v>
      </c>
      <c r="S48" s="68">
        <v>8.3333333333333329E-2</v>
      </c>
      <c r="T48" s="68">
        <v>0.13819444444444445</v>
      </c>
      <c r="U48" s="73"/>
      <c r="V48" s="360">
        <f t="shared" ref="V48:V56" si="33">(T48-S48)*24*60</f>
        <v>79.000000000000014</v>
      </c>
      <c r="W48" s="69">
        <f>T48</f>
        <v>0.13819444444444445</v>
      </c>
      <c r="X48" s="69">
        <f>S49</f>
        <v>0.15763888888888891</v>
      </c>
      <c r="Y48" s="517"/>
      <c r="Z48" s="518"/>
      <c r="AA48" s="66">
        <f t="shared" si="8"/>
        <v>-113.92405063291199</v>
      </c>
      <c r="AB48" s="351">
        <f t="shared" si="9"/>
        <v>0.962025316455696</v>
      </c>
      <c r="AC48" s="528">
        <f>AB57</f>
        <v>0.9582210485517062</v>
      </c>
    </row>
    <row r="49" spans="1:29" ht="15.75" customHeight="1">
      <c r="A49" s="526" t="s">
        <v>1942</v>
      </c>
      <c r="B49" s="62" t="s">
        <v>35</v>
      </c>
      <c r="C49" s="521" t="s">
        <v>37</v>
      </c>
      <c r="D49" s="522"/>
      <c r="E49" s="62">
        <v>27.17</v>
      </c>
      <c r="F49" s="361">
        <v>3500</v>
      </c>
      <c r="G49" s="350">
        <f t="shared" si="31"/>
        <v>95095</v>
      </c>
      <c r="H49" s="90">
        <v>2</v>
      </c>
      <c r="I49" s="359">
        <v>10</v>
      </c>
      <c r="J49" s="63">
        <v>3000</v>
      </c>
      <c r="K49" s="64">
        <f t="shared" si="1"/>
        <v>300</v>
      </c>
      <c r="L49" s="359">
        <v>10</v>
      </c>
      <c r="M49" s="65">
        <f t="shared" si="32"/>
        <v>2876.7123287671238</v>
      </c>
      <c r="N49" s="65">
        <f t="shared" si="3"/>
        <v>287.67123287671239</v>
      </c>
      <c r="O49" s="66">
        <f t="shared" si="4"/>
        <v>0</v>
      </c>
      <c r="P49" s="67">
        <f t="shared" si="5"/>
        <v>-12.328767123287605</v>
      </c>
      <c r="Q49" s="351">
        <f t="shared" si="6"/>
        <v>0.95890410958904126</v>
      </c>
      <c r="R49" s="529"/>
      <c r="S49" s="68">
        <v>0.15763888888888891</v>
      </c>
      <c r="T49" s="68">
        <v>0.20833333333333334</v>
      </c>
      <c r="U49" s="350">
        <f t="shared" ref="U49:U56" si="34">(S49-T48)*24*60</f>
        <v>28.000000000000021</v>
      </c>
      <c r="V49" s="360">
        <f t="shared" si="33"/>
        <v>72.999999999999986</v>
      </c>
      <c r="W49" s="69"/>
      <c r="X49" s="69"/>
      <c r="Y49" s="517"/>
      <c r="Z49" s="518"/>
      <c r="AA49" s="66">
        <f t="shared" si="8"/>
        <v>-123.28767123287616</v>
      </c>
      <c r="AB49" s="351">
        <f t="shared" si="9"/>
        <v>0.95890410958904126</v>
      </c>
      <c r="AC49" s="529"/>
    </row>
    <row r="50" spans="1:29" ht="15.75" customHeight="1">
      <c r="A50" s="526" t="s">
        <v>1943</v>
      </c>
      <c r="B50" s="62" t="s">
        <v>35</v>
      </c>
      <c r="C50" s="521" t="s">
        <v>38</v>
      </c>
      <c r="D50" s="522"/>
      <c r="E50" s="62">
        <v>35.119999999999997</v>
      </c>
      <c r="F50" s="361">
        <v>4865</v>
      </c>
      <c r="G50" s="350">
        <f t="shared" si="31"/>
        <v>170858.8</v>
      </c>
      <c r="H50" s="90" t="s">
        <v>5</v>
      </c>
      <c r="I50" s="359">
        <v>10</v>
      </c>
      <c r="J50" s="63">
        <v>3000</v>
      </c>
      <c r="K50" s="64">
        <f t="shared" si="1"/>
        <v>300</v>
      </c>
      <c r="L50" s="359">
        <v>10</v>
      </c>
      <c r="M50" s="65">
        <f t="shared" si="32"/>
        <v>2861.7647058823527</v>
      </c>
      <c r="N50" s="65">
        <f t="shared" si="3"/>
        <v>286.17647058823525</v>
      </c>
      <c r="O50" s="66">
        <f t="shared" si="4"/>
        <v>0</v>
      </c>
      <c r="P50" s="67">
        <f t="shared" si="5"/>
        <v>-13.823529411764753</v>
      </c>
      <c r="Q50" s="351">
        <f t="shared" si="6"/>
        <v>0.95392156862745081</v>
      </c>
      <c r="R50" s="529"/>
      <c r="S50" s="68">
        <v>0.21180555555555555</v>
      </c>
      <c r="T50" s="68">
        <v>0.28263888888888888</v>
      </c>
      <c r="U50" s="350">
        <f t="shared" si="34"/>
        <v>4.9999999999999822</v>
      </c>
      <c r="V50" s="360">
        <f t="shared" si="33"/>
        <v>102</v>
      </c>
      <c r="W50" s="69"/>
      <c r="X50" s="69"/>
      <c r="Y50" s="517"/>
      <c r="Z50" s="518"/>
      <c r="AA50" s="66">
        <f t="shared" si="8"/>
        <v>-138.2352941176473</v>
      </c>
      <c r="AB50" s="351">
        <f t="shared" si="9"/>
        <v>0.95392156862745092</v>
      </c>
      <c r="AC50" s="529"/>
    </row>
    <row r="51" spans="1:29" ht="15.75" customHeight="1">
      <c r="A51" s="526" t="s">
        <v>1943</v>
      </c>
      <c r="B51" s="62" t="s">
        <v>35</v>
      </c>
      <c r="C51" s="521" t="s">
        <v>39</v>
      </c>
      <c r="D51" s="522"/>
      <c r="E51" s="62">
        <v>35.869999999999997</v>
      </c>
      <c r="F51" s="361">
        <v>3142</v>
      </c>
      <c r="G51" s="350">
        <f t="shared" si="31"/>
        <v>112703.54</v>
      </c>
      <c r="H51" s="90" t="s">
        <v>5</v>
      </c>
      <c r="I51" s="359">
        <v>9</v>
      </c>
      <c r="J51" s="63">
        <v>3000</v>
      </c>
      <c r="K51" s="64">
        <f t="shared" si="1"/>
        <v>333.33333333333331</v>
      </c>
      <c r="L51" s="359">
        <v>9</v>
      </c>
      <c r="M51" s="65">
        <f t="shared" si="32"/>
        <v>2856.3636363636365</v>
      </c>
      <c r="N51" s="65">
        <f t="shared" si="3"/>
        <v>317.37373737373741</v>
      </c>
      <c r="O51" s="66">
        <f t="shared" si="4"/>
        <v>0</v>
      </c>
      <c r="P51" s="67">
        <f t="shared" si="5"/>
        <v>-15.959595959595902</v>
      </c>
      <c r="Q51" s="351">
        <f t="shared" si="6"/>
        <v>0.95212121212121226</v>
      </c>
      <c r="R51" s="529"/>
      <c r="S51" s="68">
        <v>0.28749999999999998</v>
      </c>
      <c r="T51" s="68">
        <v>0.33333333333333331</v>
      </c>
      <c r="U51" s="350">
        <f t="shared" si="34"/>
        <v>6.9999999999999751</v>
      </c>
      <c r="V51" s="360">
        <f t="shared" si="33"/>
        <v>66</v>
      </c>
      <c r="W51" s="69"/>
      <c r="X51" s="69"/>
      <c r="Y51" s="517"/>
      <c r="Z51" s="518"/>
      <c r="AA51" s="66">
        <f t="shared" si="8"/>
        <v>-143.63636363636351</v>
      </c>
      <c r="AB51" s="351">
        <f t="shared" si="9"/>
        <v>0.95212121212121215</v>
      </c>
      <c r="AC51" s="529"/>
    </row>
    <row r="52" spans="1:29" ht="15.75" customHeight="1">
      <c r="A52" s="526" t="s">
        <v>1943</v>
      </c>
      <c r="B52" s="62" t="s">
        <v>35</v>
      </c>
      <c r="C52" s="521" t="s">
        <v>40</v>
      </c>
      <c r="D52" s="522"/>
      <c r="E52" s="62">
        <v>36.14</v>
      </c>
      <c r="F52" s="361">
        <v>1401</v>
      </c>
      <c r="G52" s="350">
        <f t="shared" si="31"/>
        <v>50632.14</v>
      </c>
      <c r="H52" s="90" t="s">
        <v>5</v>
      </c>
      <c r="I52" s="359">
        <v>9</v>
      </c>
      <c r="J52" s="63">
        <v>3000</v>
      </c>
      <c r="K52" s="64">
        <f t="shared" si="1"/>
        <v>333.33333333333331</v>
      </c>
      <c r="L52" s="359">
        <v>9</v>
      </c>
      <c r="M52" s="65">
        <f t="shared" si="32"/>
        <v>2898.6206896551744</v>
      </c>
      <c r="N52" s="65">
        <f t="shared" si="3"/>
        <v>322.06896551724162</v>
      </c>
      <c r="O52" s="66">
        <f t="shared" si="4"/>
        <v>0</v>
      </c>
      <c r="P52" s="67">
        <f t="shared" si="5"/>
        <v>-11.264367816091692</v>
      </c>
      <c r="Q52" s="351">
        <f t="shared" si="6"/>
        <v>0.96620689655172487</v>
      </c>
      <c r="R52" s="529"/>
      <c r="S52" s="68">
        <v>0.33888888888888885</v>
      </c>
      <c r="T52" s="68">
        <v>0.35902777777777772</v>
      </c>
      <c r="U52" s="350">
        <f t="shared" si="34"/>
        <v>7.9999999999999716</v>
      </c>
      <c r="V52" s="360">
        <f t="shared" si="33"/>
        <v>28.999999999999979</v>
      </c>
      <c r="W52" s="69"/>
      <c r="X52" s="69"/>
      <c r="Y52" s="517"/>
      <c r="Z52" s="518"/>
      <c r="AA52" s="66">
        <f t="shared" si="8"/>
        <v>-101.37931034482563</v>
      </c>
      <c r="AB52" s="351">
        <f t="shared" si="9"/>
        <v>0.96620689655172476</v>
      </c>
      <c r="AC52" s="529"/>
    </row>
    <row r="53" spans="1:29" ht="15.75" customHeight="1">
      <c r="A53" s="526" t="s">
        <v>251</v>
      </c>
      <c r="B53" s="62" t="s">
        <v>35</v>
      </c>
      <c r="C53" s="521" t="s">
        <v>74</v>
      </c>
      <c r="D53" s="522"/>
      <c r="E53" s="62">
        <v>34.36</v>
      </c>
      <c r="F53" s="361">
        <v>2814</v>
      </c>
      <c r="G53" s="350">
        <f t="shared" si="31"/>
        <v>96689.04</v>
      </c>
      <c r="H53" s="90" t="s">
        <v>5</v>
      </c>
      <c r="I53" s="359">
        <v>10</v>
      </c>
      <c r="J53" s="63">
        <v>3000</v>
      </c>
      <c r="K53" s="64">
        <f t="shared" si="1"/>
        <v>300</v>
      </c>
      <c r="L53" s="359">
        <v>10</v>
      </c>
      <c r="M53" s="65">
        <f t="shared" si="32"/>
        <v>2861.6949152542361</v>
      </c>
      <c r="N53" s="65">
        <f t="shared" si="3"/>
        <v>286.16949152542361</v>
      </c>
      <c r="O53" s="66">
        <f t="shared" si="4"/>
        <v>0</v>
      </c>
      <c r="P53" s="67">
        <f t="shared" si="5"/>
        <v>-13.830508474576391</v>
      </c>
      <c r="Q53" s="351">
        <f t="shared" si="6"/>
        <v>0.95389830508474538</v>
      </c>
      <c r="R53" s="529"/>
      <c r="S53" s="68">
        <v>0.36249999999999993</v>
      </c>
      <c r="T53" s="68">
        <v>0.40347222222222218</v>
      </c>
      <c r="U53" s="350">
        <f t="shared" si="34"/>
        <v>4.9999999999999822</v>
      </c>
      <c r="V53" s="360">
        <f t="shared" si="33"/>
        <v>59.000000000000028</v>
      </c>
      <c r="W53" s="69"/>
      <c r="X53" s="69"/>
      <c r="Y53" s="517"/>
      <c r="Z53" s="518"/>
      <c r="AA53" s="66">
        <f t="shared" si="8"/>
        <v>-138.30508474576391</v>
      </c>
      <c r="AB53" s="351">
        <f t="shared" si="9"/>
        <v>0.95389830508474538</v>
      </c>
      <c r="AC53" s="529"/>
    </row>
    <row r="54" spans="1:29" ht="15.75" customHeight="1">
      <c r="A54" s="526" t="s">
        <v>1943</v>
      </c>
      <c r="B54" s="62" t="s">
        <v>35</v>
      </c>
      <c r="C54" s="521" t="s">
        <v>84</v>
      </c>
      <c r="D54" s="522"/>
      <c r="E54" s="62">
        <v>31</v>
      </c>
      <c r="F54" s="361">
        <v>4772</v>
      </c>
      <c r="G54" s="350">
        <f t="shared" si="31"/>
        <v>147932</v>
      </c>
      <c r="H54" s="90" t="s">
        <v>5</v>
      </c>
      <c r="I54" s="359">
        <v>13</v>
      </c>
      <c r="J54" s="63">
        <v>2000</v>
      </c>
      <c r="K54" s="64">
        <f t="shared" si="1"/>
        <v>153.84615384615384</v>
      </c>
      <c r="L54" s="359">
        <v>13</v>
      </c>
      <c r="M54" s="65">
        <f t="shared" si="32"/>
        <v>1908.7999999999997</v>
      </c>
      <c r="N54" s="65">
        <f t="shared" si="3"/>
        <v>146.83076923076922</v>
      </c>
      <c r="O54" s="66">
        <f t="shared" si="4"/>
        <v>0</v>
      </c>
      <c r="P54" s="67">
        <f t="shared" si="5"/>
        <v>-7.0153846153846189</v>
      </c>
      <c r="Q54" s="351">
        <f t="shared" si="6"/>
        <v>0.95440000000000003</v>
      </c>
      <c r="R54" s="529"/>
      <c r="S54" s="68">
        <v>0.40763888888888883</v>
      </c>
      <c r="T54" s="68">
        <v>0.51180555555555551</v>
      </c>
      <c r="U54" s="350">
        <f t="shared" si="34"/>
        <v>5.9999999999999787</v>
      </c>
      <c r="V54" s="360">
        <f t="shared" si="33"/>
        <v>150.00000000000003</v>
      </c>
      <c r="W54" s="69">
        <f>T54</f>
        <v>0.51180555555555551</v>
      </c>
      <c r="X54" s="69">
        <f>S55</f>
        <v>0.55347222222222214</v>
      </c>
      <c r="Y54" s="517"/>
      <c r="Z54" s="518"/>
      <c r="AA54" s="66">
        <f t="shared" si="8"/>
        <v>-91.200000000000273</v>
      </c>
      <c r="AB54" s="351">
        <f t="shared" si="9"/>
        <v>0.95439999999999992</v>
      </c>
      <c r="AC54" s="529"/>
    </row>
    <row r="55" spans="1:29" ht="15.75" customHeight="1">
      <c r="A55" s="526" t="s">
        <v>1942</v>
      </c>
      <c r="B55" s="62" t="s">
        <v>35</v>
      </c>
      <c r="C55" s="521" t="s">
        <v>37</v>
      </c>
      <c r="D55" s="522"/>
      <c r="E55" s="62">
        <v>27.17</v>
      </c>
      <c r="F55" s="361">
        <v>4251</v>
      </c>
      <c r="G55" s="350">
        <f t="shared" si="31"/>
        <v>115499.67000000001</v>
      </c>
      <c r="H55" s="90" t="s">
        <v>5</v>
      </c>
      <c r="I55" s="359">
        <v>10</v>
      </c>
      <c r="J55" s="63">
        <v>3000</v>
      </c>
      <c r="K55" s="64">
        <f t="shared" si="1"/>
        <v>300</v>
      </c>
      <c r="L55" s="359">
        <v>10</v>
      </c>
      <c r="M55" s="65">
        <f t="shared" si="32"/>
        <v>2865.8426966292136</v>
      </c>
      <c r="N55" s="65">
        <f t="shared" si="3"/>
        <v>286.58426966292137</v>
      </c>
      <c r="O55" s="66">
        <f t="shared" si="4"/>
        <v>0</v>
      </c>
      <c r="P55" s="67">
        <f t="shared" si="5"/>
        <v>-13.415730337078628</v>
      </c>
      <c r="Q55" s="351">
        <f t="shared" si="6"/>
        <v>0.95528089887640455</v>
      </c>
      <c r="R55" s="529"/>
      <c r="S55" s="68">
        <v>0.55347222222222214</v>
      </c>
      <c r="T55" s="68">
        <v>0.6152777777777777</v>
      </c>
      <c r="U55" s="350">
        <f t="shared" si="34"/>
        <v>59.999999999999943</v>
      </c>
      <c r="V55" s="360">
        <f t="shared" si="33"/>
        <v>89</v>
      </c>
      <c r="W55" s="69"/>
      <c r="X55" s="69"/>
      <c r="Y55" s="517"/>
      <c r="Z55" s="518"/>
      <c r="AA55" s="66">
        <f t="shared" si="8"/>
        <v>-134.15730337078639</v>
      </c>
      <c r="AB55" s="351">
        <f t="shared" si="9"/>
        <v>0.95528089887640455</v>
      </c>
      <c r="AC55" s="529"/>
    </row>
    <row r="56" spans="1:29" ht="15.75" customHeight="1">
      <c r="A56" s="526" t="s">
        <v>1944</v>
      </c>
      <c r="B56" s="62" t="s">
        <v>35</v>
      </c>
      <c r="C56" s="521" t="s">
        <v>36</v>
      </c>
      <c r="D56" s="522"/>
      <c r="E56" s="62">
        <v>21.13</v>
      </c>
      <c r="F56" s="361">
        <v>2270</v>
      </c>
      <c r="G56" s="350">
        <f t="shared" si="31"/>
        <v>47965.1</v>
      </c>
      <c r="H56" s="90" t="s">
        <v>5</v>
      </c>
      <c r="I56" s="359">
        <v>10</v>
      </c>
      <c r="J56" s="63">
        <v>3000</v>
      </c>
      <c r="K56" s="64">
        <f t="shared" si="1"/>
        <v>300</v>
      </c>
      <c r="L56" s="359">
        <v>10</v>
      </c>
      <c r="M56" s="65">
        <f t="shared" si="32"/>
        <v>2897.8723404255325</v>
      </c>
      <c r="N56" s="65">
        <f t="shared" si="3"/>
        <v>289.78723404255322</v>
      </c>
      <c r="O56" s="66">
        <f t="shared" si="4"/>
        <v>0</v>
      </c>
      <c r="P56" s="67">
        <f t="shared" si="5"/>
        <v>-10.212765957446777</v>
      </c>
      <c r="Q56" s="351">
        <f t="shared" si="6"/>
        <v>0.9659574468085107</v>
      </c>
      <c r="R56" s="529"/>
      <c r="S56" s="68">
        <v>0.6201388888888888</v>
      </c>
      <c r="T56" s="68">
        <v>0.65277777777777768</v>
      </c>
      <c r="U56" s="350">
        <f t="shared" si="34"/>
        <v>6.9999999999999751</v>
      </c>
      <c r="V56" s="360">
        <f t="shared" si="33"/>
        <v>46.999999999999993</v>
      </c>
      <c r="W56" s="69"/>
      <c r="X56" s="69"/>
      <c r="Y56" s="517"/>
      <c r="Z56" s="518"/>
      <c r="AA56" s="66">
        <f t="shared" si="8"/>
        <v>-102.12765957446754</v>
      </c>
      <c r="AB56" s="351">
        <f t="shared" si="9"/>
        <v>0.96595744680851081</v>
      </c>
      <c r="AC56" s="529"/>
    </row>
    <row r="57" spans="1:29" ht="15.75" customHeight="1">
      <c r="A57" s="527" t="s">
        <v>1943</v>
      </c>
      <c r="B57" s="62" t="s">
        <v>1945</v>
      </c>
      <c r="C57" s="508"/>
      <c r="D57" s="509"/>
      <c r="E57" s="349"/>
      <c r="F57" s="361"/>
      <c r="G57" s="350"/>
      <c r="H57" s="361"/>
      <c r="I57" s="72">
        <v>10.111111111111111</v>
      </c>
      <c r="J57" s="63">
        <v>2888.8888888888887</v>
      </c>
      <c r="K57" s="64">
        <f t="shared" si="1"/>
        <v>285.71428571428572</v>
      </c>
      <c r="L57" s="72">
        <v>10.111111111111111</v>
      </c>
      <c r="M57" s="65">
        <f>AVERAGE(M48:M56)</f>
        <v>2768.1941402604843</v>
      </c>
      <c r="N57" s="64">
        <f t="shared" si="3"/>
        <v>273.77744244334463</v>
      </c>
      <c r="O57" s="66">
        <f t="shared" si="4"/>
        <v>0</v>
      </c>
      <c r="P57" s="67">
        <f t="shared" si="5"/>
        <v>-11.936843270941097</v>
      </c>
      <c r="Q57" s="351">
        <f t="shared" si="6"/>
        <v>0.9582210485517062</v>
      </c>
      <c r="R57" s="530"/>
      <c r="S57" s="68"/>
      <c r="T57" s="68"/>
      <c r="U57" s="350"/>
      <c r="V57" s="360"/>
      <c r="W57" s="69"/>
      <c r="X57" s="69"/>
      <c r="Y57" s="517"/>
      <c r="Z57" s="518"/>
      <c r="AA57" s="66">
        <f t="shared" si="8"/>
        <v>-120.69474862840434</v>
      </c>
      <c r="AB57" s="351">
        <f t="shared" si="9"/>
        <v>0.9582210485517062</v>
      </c>
      <c r="AC57" s="530"/>
    </row>
    <row r="58" spans="1:29" ht="15.75" customHeight="1">
      <c r="A58" s="523" t="s">
        <v>252</v>
      </c>
      <c r="B58" s="62" t="s">
        <v>10</v>
      </c>
      <c r="C58" s="512" t="s">
        <v>41</v>
      </c>
      <c r="D58" s="512"/>
      <c r="E58" s="62">
        <v>46</v>
      </c>
      <c r="F58" s="74">
        <v>2640</v>
      </c>
      <c r="G58" s="350">
        <f t="shared" ref="G58:G63" si="35">E58*F58</f>
        <v>121440</v>
      </c>
      <c r="H58" s="90" t="s">
        <v>5</v>
      </c>
      <c r="I58" s="359">
        <v>17</v>
      </c>
      <c r="J58" s="63">
        <v>2000</v>
      </c>
      <c r="K58" s="64">
        <f t="shared" si="1"/>
        <v>117.64705882352941</v>
      </c>
      <c r="L58" s="359">
        <v>17</v>
      </c>
      <c r="M58" s="65">
        <f t="shared" ref="M58:M63" si="36">F58/V58*60</f>
        <v>1908.4337349397592</v>
      </c>
      <c r="N58" s="65">
        <f t="shared" si="3"/>
        <v>112.26080793763289</v>
      </c>
      <c r="O58" s="66">
        <f t="shared" si="4"/>
        <v>0</v>
      </c>
      <c r="P58" s="67">
        <f t="shared" si="5"/>
        <v>-5.3862508858965157</v>
      </c>
      <c r="Q58" s="351">
        <f t="shared" si="6"/>
        <v>0.95421686746987966</v>
      </c>
      <c r="R58" s="511">
        <f>Q64</f>
        <v>0.95630760693661332</v>
      </c>
      <c r="S58" s="68">
        <v>0.20833333333333334</v>
      </c>
      <c r="T58" s="68">
        <v>0.26597222222222222</v>
      </c>
      <c r="U58" s="73"/>
      <c r="V58" s="360">
        <f t="shared" ref="V58:V63" si="37">(T58-S58)*24*60</f>
        <v>82.999999999999986</v>
      </c>
      <c r="W58" s="73"/>
      <c r="X58" s="73"/>
      <c r="Y58" s="510"/>
      <c r="Z58" s="510"/>
      <c r="AA58" s="66">
        <f t="shared" si="8"/>
        <v>-91.566265060240767</v>
      </c>
      <c r="AB58" s="351">
        <f t="shared" si="9"/>
        <v>0.95421686746987966</v>
      </c>
      <c r="AC58" s="511">
        <f>AB64</f>
        <v>0.95630760693661332</v>
      </c>
    </row>
    <row r="59" spans="1:29" ht="15.75" customHeight="1">
      <c r="A59" s="523" t="s">
        <v>1946</v>
      </c>
      <c r="B59" s="62" t="s">
        <v>10</v>
      </c>
      <c r="C59" s="512" t="s">
        <v>42</v>
      </c>
      <c r="D59" s="512"/>
      <c r="E59" s="62">
        <v>46</v>
      </c>
      <c r="F59" s="74">
        <v>2799</v>
      </c>
      <c r="G59" s="350">
        <f t="shared" si="35"/>
        <v>128754</v>
      </c>
      <c r="H59" s="90" t="s">
        <v>5</v>
      </c>
      <c r="I59" s="359">
        <v>17</v>
      </c>
      <c r="J59" s="63">
        <v>2000</v>
      </c>
      <c r="K59" s="64">
        <f t="shared" si="1"/>
        <v>117.64705882352941</v>
      </c>
      <c r="L59" s="359">
        <v>17</v>
      </c>
      <c r="M59" s="65">
        <f t="shared" si="36"/>
        <v>1908.409090909091</v>
      </c>
      <c r="N59" s="65">
        <f t="shared" si="3"/>
        <v>112.25935828877006</v>
      </c>
      <c r="O59" s="66">
        <f t="shared" si="4"/>
        <v>0</v>
      </c>
      <c r="P59" s="67">
        <f t="shared" si="5"/>
        <v>-5.3877005347593467</v>
      </c>
      <c r="Q59" s="351">
        <f t="shared" si="6"/>
        <v>0.95420454545454558</v>
      </c>
      <c r="R59" s="511"/>
      <c r="S59" s="68">
        <v>0.27152777777777776</v>
      </c>
      <c r="T59" s="68">
        <v>0.33263888888888887</v>
      </c>
      <c r="U59" s="350">
        <f t="shared" ref="U59:U63" si="38">IF(S59=TIME(17,0,0),"",(S59-T58)*24*60)</f>
        <v>7.9999999999999716</v>
      </c>
      <c r="V59" s="360">
        <f t="shared" si="37"/>
        <v>88</v>
      </c>
      <c r="W59" s="69"/>
      <c r="X59" s="69"/>
      <c r="Y59" s="510"/>
      <c r="Z59" s="510"/>
      <c r="AA59" s="66">
        <f t="shared" si="8"/>
        <v>-91.590909090909008</v>
      </c>
      <c r="AB59" s="351">
        <f t="shared" si="9"/>
        <v>0.95420454545454547</v>
      </c>
      <c r="AC59" s="511"/>
    </row>
    <row r="60" spans="1:29" ht="15.75" customHeight="1">
      <c r="A60" s="523" t="s">
        <v>1947</v>
      </c>
      <c r="B60" s="62" t="s">
        <v>6</v>
      </c>
      <c r="C60" s="521" t="s">
        <v>43</v>
      </c>
      <c r="D60" s="522"/>
      <c r="E60" s="62">
        <v>55.56</v>
      </c>
      <c r="F60" s="74">
        <v>2476</v>
      </c>
      <c r="G60" s="350">
        <f t="shared" si="35"/>
        <v>137566.56</v>
      </c>
      <c r="H60" s="90" t="s">
        <v>5</v>
      </c>
      <c r="I60" s="359">
        <v>17</v>
      </c>
      <c r="J60" s="63">
        <v>2000</v>
      </c>
      <c r="K60" s="64">
        <f t="shared" si="1"/>
        <v>117.64705882352941</v>
      </c>
      <c r="L60" s="359">
        <v>17</v>
      </c>
      <c r="M60" s="65">
        <f t="shared" si="36"/>
        <v>1904.6153846153836</v>
      </c>
      <c r="N60" s="65">
        <f t="shared" si="3"/>
        <v>112.03619909502257</v>
      </c>
      <c r="O60" s="66">
        <f t="shared" si="4"/>
        <v>0</v>
      </c>
      <c r="P60" s="67">
        <f t="shared" si="5"/>
        <v>-5.6108597285068385</v>
      </c>
      <c r="Q60" s="351">
        <f t="shared" si="6"/>
        <v>0.95230769230769186</v>
      </c>
      <c r="R60" s="511"/>
      <c r="S60" s="68">
        <v>0.70833333333333337</v>
      </c>
      <c r="T60" s="68">
        <v>0.76250000000000007</v>
      </c>
      <c r="U60" s="350" t="str">
        <f t="shared" si="38"/>
        <v/>
      </c>
      <c r="V60" s="360">
        <f t="shared" si="37"/>
        <v>78.000000000000043</v>
      </c>
      <c r="W60" s="69"/>
      <c r="X60" s="69"/>
      <c r="Y60" s="353"/>
      <c r="Z60" s="354"/>
      <c r="AA60" s="66">
        <f t="shared" si="8"/>
        <v>-95.384615384616382</v>
      </c>
      <c r="AB60" s="351">
        <f t="shared" si="9"/>
        <v>0.95230769230769186</v>
      </c>
      <c r="AC60" s="511"/>
    </row>
    <row r="61" spans="1:29" ht="15.75" customHeight="1">
      <c r="A61" s="523" t="s">
        <v>1947</v>
      </c>
      <c r="B61" s="62" t="s">
        <v>6</v>
      </c>
      <c r="C61" s="355" t="s">
        <v>44</v>
      </c>
      <c r="D61" s="356"/>
      <c r="E61" s="62">
        <v>55.32</v>
      </c>
      <c r="F61" s="74">
        <v>1934</v>
      </c>
      <c r="G61" s="350">
        <f t="shared" si="35"/>
        <v>106988.88</v>
      </c>
      <c r="H61" s="90" t="s">
        <v>5</v>
      </c>
      <c r="I61" s="359">
        <v>15</v>
      </c>
      <c r="J61" s="63">
        <v>2000</v>
      </c>
      <c r="K61" s="64">
        <f t="shared" si="1"/>
        <v>133.33333333333334</v>
      </c>
      <c r="L61" s="359">
        <v>15</v>
      </c>
      <c r="M61" s="65">
        <f t="shared" si="36"/>
        <v>1934.0000000000018</v>
      </c>
      <c r="N61" s="65">
        <f t="shared" si="3"/>
        <v>128.93333333333345</v>
      </c>
      <c r="O61" s="66">
        <f t="shared" si="4"/>
        <v>0</v>
      </c>
      <c r="P61" s="67">
        <f t="shared" si="5"/>
        <v>-4.399999999999892</v>
      </c>
      <c r="Q61" s="351">
        <f t="shared" si="6"/>
        <v>0.96700000000000086</v>
      </c>
      <c r="R61" s="511"/>
      <c r="S61" s="68">
        <v>0.76736111111111116</v>
      </c>
      <c r="T61" s="68">
        <v>0.80902777777777779</v>
      </c>
      <c r="U61" s="350">
        <f t="shared" si="38"/>
        <v>6.9999999999999751</v>
      </c>
      <c r="V61" s="360">
        <f t="shared" si="37"/>
        <v>59.999999999999943</v>
      </c>
      <c r="W61" s="69"/>
      <c r="X61" s="69"/>
      <c r="Y61" s="353"/>
      <c r="Z61" s="354"/>
      <c r="AA61" s="66">
        <f t="shared" si="8"/>
        <v>-65.999999999998181</v>
      </c>
      <c r="AB61" s="351">
        <f t="shared" si="9"/>
        <v>0.96700000000000086</v>
      </c>
      <c r="AC61" s="511"/>
    </row>
    <row r="62" spans="1:29" ht="15.75" customHeight="1">
      <c r="A62" s="523" t="s">
        <v>1947</v>
      </c>
      <c r="B62" s="62" t="s">
        <v>6</v>
      </c>
      <c r="C62" s="355" t="s">
        <v>1462</v>
      </c>
      <c r="D62" s="356"/>
      <c r="E62" s="62">
        <v>53.68</v>
      </c>
      <c r="F62" s="74">
        <v>1100</v>
      </c>
      <c r="G62" s="350">
        <f t="shared" si="35"/>
        <v>59048</v>
      </c>
      <c r="H62" s="90">
        <v>2</v>
      </c>
      <c r="I62" s="359">
        <v>16</v>
      </c>
      <c r="J62" s="63">
        <v>1500</v>
      </c>
      <c r="K62" s="64">
        <f t="shared" si="1"/>
        <v>93.75</v>
      </c>
      <c r="L62" s="359">
        <v>16</v>
      </c>
      <c r="M62" s="65">
        <f t="shared" si="36"/>
        <v>1434.7826086956522</v>
      </c>
      <c r="N62" s="65">
        <f t="shared" si="3"/>
        <v>89.673913043478265</v>
      </c>
      <c r="O62" s="66">
        <f t="shared" si="4"/>
        <v>0</v>
      </c>
      <c r="P62" s="67">
        <f t="shared" si="5"/>
        <v>-4.0760869565217348</v>
      </c>
      <c r="Q62" s="351">
        <f t="shared" si="6"/>
        <v>0.95652173913043481</v>
      </c>
      <c r="R62" s="511"/>
      <c r="S62" s="68">
        <v>0.81388888888888888</v>
      </c>
      <c r="T62" s="68">
        <v>0.84583333333333333</v>
      </c>
      <c r="U62" s="350">
        <f t="shared" si="38"/>
        <v>6.9999999999999751</v>
      </c>
      <c r="V62" s="360">
        <f t="shared" si="37"/>
        <v>46</v>
      </c>
      <c r="W62" s="69">
        <f>T62</f>
        <v>0.84583333333333333</v>
      </c>
      <c r="X62" s="69">
        <f>S63</f>
        <v>0.88472222222222219</v>
      </c>
      <c r="Y62" s="353"/>
      <c r="Z62" s="354"/>
      <c r="AA62" s="66">
        <f t="shared" si="8"/>
        <v>-65.217391304347757</v>
      </c>
      <c r="AB62" s="351">
        <f t="shared" si="9"/>
        <v>0.95652173913043481</v>
      </c>
      <c r="AC62" s="511"/>
    </row>
    <row r="63" spans="1:29" ht="15.75" customHeight="1">
      <c r="A63" s="523" t="s">
        <v>1948</v>
      </c>
      <c r="B63" s="62" t="s">
        <v>6</v>
      </c>
      <c r="C63" s="521" t="s">
        <v>1462</v>
      </c>
      <c r="D63" s="522"/>
      <c r="E63" s="62">
        <v>53.68</v>
      </c>
      <c r="F63" s="74">
        <v>2501</v>
      </c>
      <c r="G63" s="350">
        <f t="shared" si="35"/>
        <v>134253.68</v>
      </c>
      <c r="H63" s="90" t="s">
        <v>5</v>
      </c>
      <c r="I63" s="359">
        <v>16</v>
      </c>
      <c r="J63" s="63">
        <v>1500</v>
      </c>
      <c r="K63" s="64">
        <f t="shared" si="1"/>
        <v>93.75</v>
      </c>
      <c r="L63" s="359">
        <v>16</v>
      </c>
      <c r="M63" s="65">
        <f t="shared" si="36"/>
        <v>1429.1428571428578</v>
      </c>
      <c r="N63" s="65">
        <f t="shared" si="3"/>
        <v>89.321428571428612</v>
      </c>
      <c r="O63" s="66">
        <f t="shared" si="4"/>
        <v>0</v>
      </c>
      <c r="P63" s="67">
        <f t="shared" si="5"/>
        <v>-4.428571428571388</v>
      </c>
      <c r="Q63" s="351">
        <f t="shared" si="6"/>
        <v>0.95276190476190514</v>
      </c>
      <c r="R63" s="511"/>
      <c r="S63" s="68">
        <v>0.88472222222222219</v>
      </c>
      <c r="T63" s="68">
        <v>0.95763888888888882</v>
      </c>
      <c r="U63" s="350">
        <f t="shared" si="38"/>
        <v>55.999999999999957</v>
      </c>
      <c r="V63" s="360">
        <f t="shared" si="37"/>
        <v>104.99999999999994</v>
      </c>
      <c r="W63" s="69"/>
      <c r="X63" s="69"/>
      <c r="Y63" s="517"/>
      <c r="Z63" s="518"/>
      <c r="AA63" s="66">
        <f t="shared" si="8"/>
        <v>-70.857142857142208</v>
      </c>
      <c r="AB63" s="351">
        <f t="shared" si="9"/>
        <v>0.95276190476190514</v>
      </c>
      <c r="AC63" s="511"/>
    </row>
    <row r="64" spans="1:29">
      <c r="A64" s="524" t="s">
        <v>252</v>
      </c>
      <c r="B64" s="62" t="s">
        <v>1945</v>
      </c>
      <c r="C64" s="513"/>
      <c r="D64" s="513"/>
      <c r="E64" s="352"/>
      <c r="F64" s="71"/>
      <c r="G64" s="64"/>
      <c r="H64" s="361"/>
      <c r="I64" s="72">
        <v>16.333333333333332</v>
      </c>
      <c r="J64" s="63">
        <v>1833.3333333333333</v>
      </c>
      <c r="K64" s="64">
        <f t="shared" si="1"/>
        <v>112.24489795918367</v>
      </c>
      <c r="L64" s="72">
        <v>16.333333333333332</v>
      </c>
      <c r="M64" s="65">
        <f>AVERAGE(M58:M63)</f>
        <v>1753.2306127171244</v>
      </c>
      <c r="N64" s="64">
        <f t="shared" si="3"/>
        <v>107.34064975819129</v>
      </c>
      <c r="O64" s="66">
        <f t="shared" si="4"/>
        <v>0</v>
      </c>
      <c r="P64" s="67">
        <f t="shared" si="5"/>
        <v>-4.9042482009923845</v>
      </c>
      <c r="Q64" s="351">
        <f t="shared" si="6"/>
        <v>0.95630760693661332</v>
      </c>
      <c r="R64" s="511"/>
      <c r="S64" s="75"/>
      <c r="T64" s="68"/>
      <c r="U64" s="64"/>
      <c r="V64" s="360"/>
      <c r="W64" s="64"/>
      <c r="X64" s="64"/>
      <c r="Y64" s="510"/>
      <c r="Z64" s="510"/>
      <c r="AA64" s="66">
        <f t="shared" si="8"/>
        <v>-80.102720616208899</v>
      </c>
      <c r="AB64" s="351">
        <f t="shared" si="9"/>
        <v>0.95630760693661332</v>
      </c>
      <c r="AC64" s="511"/>
    </row>
    <row r="65" spans="1:29" ht="15.75" customHeight="1">
      <c r="A65" s="519" t="s">
        <v>1949</v>
      </c>
      <c r="B65" s="361" t="s">
        <v>10</v>
      </c>
      <c r="C65" s="512" t="s">
        <v>46</v>
      </c>
      <c r="D65" s="512"/>
      <c r="E65" s="62">
        <v>26.97</v>
      </c>
      <c r="F65" s="74">
        <v>3230</v>
      </c>
      <c r="G65" s="350">
        <f t="shared" ref="G65:G68" si="39">E65*F65</f>
        <v>87113.099999999991</v>
      </c>
      <c r="H65" s="90" t="s">
        <v>5</v>
      </c>
      <c r="I65" s="359">
        <v>8</v>
      </c>
      <c r="J65" s="63">
        <v>1500</v>
      </c>
      <c r="K65" s="64">
        <f t="shared" si="1"/>
        <v>187.5</v>
      </c>
      <c r="L65" s="359">
        <v>8</v>
      </c>
      <c r="M65" s="65">
        <f t="shared" ref="M65:M68" si="40">F65/V65*60</f>
        <v>1435.555555555555</v>
      </c>
      <c r="N65" s="64">
        <f t="shared" si="3"/>
        <v>179.44444444444437</v>
      </c>
      <c r="O65" s="66">
        <f t="shared" si="4"/>
        <v>0</v>
      </c>
      <c r="P65" s="67">
        <f t="shared" si="5"/>
        <v>-8.0555555555556282</v>
      </c>
      <c r="Q65" s="351">
        <f t="shared" si="6"/>
        <v>0.95703703703703669</v>
      </c>
      <c r="R65" s="511">
        <f>Q69</f>
        <v>0.95897513221496367</v>
      </c>
      <c r="S65" s="68">
        <v>0.20833333333333334</v>
      </c>
      <c r="T65" s="68">
        <v>0.30208333333333337</v>
      </c>
      <c r="U65" s="350"/>
      <c r="V65" s="360">
        <f t="shared" ref="V65:V68" si="41">(T65-S65)*24*60</f>
        <v>135.00000000000006</v>
      </c>
      <c r="W65" s="73"/>
      <c r="X65" s="73"/>
      <c r="Y65" s="510"/>
      <c r="Z65" s="510"/>
      <c r="AA65" s="66">
        <f t="shared" si="8"/>
        <v>-64.444444444445026</v>
      </c>
      <c r="AB65" s="351">
        <f t="shared" si="9"/>
        <v>0.95703703703703669</v>
      </c>
      <c r="AC65" s="511">
        <f>AB69</f>
        <v>0.95897513221496378</v>
      </c>
    </row>
    <row r="66" spans="1:29" ht="15.75" customHeight="1">
      <c r="A66" s="519" t="s">
        <v>1949</v>
      </c>
      <c r="B66" s="361" t="s">
        <v>35</v>
      </c>
      <c r="C66" s="512" t="s">
        <v>45</v>
      </c>
      <c r="D66" s="512"/>
      <c r="E66" s="62">
        <v>26.78</v>
      </c>
      <c r="F66" s="74">
        <v>2966</v>
      </c>
      <c r="G66" s="350">
        <f t="shared" si="39"/>
        <v>79429.48000000001</v>
      </c>
      <c r="H66" s="90" t="s">
        <v>5</v>
      </c>
      <c r="I66" s="359">
        <v>10</v>
      </c>
      <c r="J66" s="63">
        <v>3000</v>
      </c>
      <c r="K66" s="64">
        <f t="shared" si="1"/>
        <v>300</v>
      </c>
      <c r="L66" s="359">
        <v>10</v>
      </c>
      <c r="M66" s="65">
        <f t="shared" si="40"/>
        <v>2870.3225806451601</v>
      </c>
      <c r="N66" s="64">
        <f t="shared" si="3"/>
        <v>287.03225806451599</v>
      </c>
      <c r="O66" s="66">
        <f t="shared" si="4"/>
        <v>0</v>
      </c>
      <c r="P66" s="67">
        <f t="shared" si="5"/>
        <v>-12.967741935484014</v>
      </c>
      <c r="Q66" s="351">
        <f t="shared" si="6"/>
        <v>0.95677419354838666</v>
      </c>
      <c r="R66" s="511"/>
      <c r="S66" s="68">
        <v>0.30694444444444446</v>
      </c>
      <c r="T66" s="68">
        <v>0.35000000000000003</v>
      </c>
      <c r="U66" s="350">
        <f t="shared" ref="U66:U68" si="42">(S66-T65)*24*60</f>
        <v>6.9999999999999751</v>
      </c>
      <c r="V66" s="360">
        <f t="shared" si="41"/>
        <v>62.000000000000021</v>
      </c>
      <c r="W66" s="350"/>
      <c r="X66" s="350"/>
      <c r="Y66" s="510"/>
      <c r="Z66" s="510"/>
      <c r="AA66" s="66">
        <f t="shared" si="8"/>
        <v>-129.67741935483991</v>
      </c>
      <c r="AB66" s="351">
        <f t="shared" si="9"/>
        <v>0.95677419354838666</v>
      </c>
      <c r="AC66" s="511"/>
    </row>
    <row r="67" spans="1:29" ht="15.75" customHeight="1">
      <c r="A67" s="519" t="s">
        <v>162</v>
      </c>
      <c r="B67" s="361" t="s">
        <v>35</v>
      </c>
      <c r="C67" s="512" t="s">
        <v>75</v>
      </c>
      <c r="D67" s="512"/>
      <c r="E67" s="62">
        <v>37.880000000000003</v>
      </c>
      <c r="F67" s="74">
        <v>3554</v>
      </c>
      <c r="G67" s="350">
        <f t="shared" si="39"/>
        <v>134625.52000000002</v>
      </c>
      <c r="H67" s="90" t="s">
        <v>5</v>
      </c>
      <c r="I67" s="359">
        <v>10</v>
      </c>
      <c r="J67" s="63">
        <v>3000</v>
      </c>
      <c r="K67" s="64">
        <f t="shared" si="1"/>
        <v>300</v>
      </c>
      <c r="L67" s="359">
        <v>10</v>
      </c>
      <c r="M67" s="65">
        <f t="shared" si="40"/>
        <v>2881.6216216216226</v>
      </c>
      <c r="N67" s="64">
        <f t="shared" si="3"/>
        <v>288.16216216216225</v>
      </c>
      <c r="O67" s="66">
        <f t="shared" si="4"/>
        <v>0</v>
      </c>
      <c r="P67" s="67">
        <f t="shared" si="5"/>
        <v>-11.837837837837753</v>
      </c>
      <c r="Q67" s="351">
        <f t="shared" si="6"/>
        <v>0.96054054054054083</v>
      </c>
      <c r="R67" s="511"/>
      <c r="S67" s="68">
        <v>0.35416666666666669</v>
      </c>
      <c r="T67" s="68">
        <v>0.40555555555555556</v>
      </c>
      <c r="U67" s="350">
        <f t="shared" si="42"/>
        <v>5.9999999999999787</v>
      </c>
      <c r="V67" s="360">
        <f t="shared" si="41"/>
        <v>73.999999999999972</v>
      </c>
      <c r="W67" s="350"/>
      <c r="X67" s="350"/>
      <c r="Y67" s="510"/>
      <c r="Z67" s="510"/>
      <c r="AA67" s="66">
        <f t="shared" si="8"/>
        <v>-118.37837837837742</v>
      </c>
      <c r="AB67" s="351">
        <f t="shared" si="9"/>
        <v>0.96054054054054083</v>
      </c>
      <c r="AC67" s="511"/>
    </row>
    <row r="68" spans="1:29" ht="15.75" customHeight="1">
      <c r="A68" s="519" t="s">
        <v>1950</v>
      </c>
      <c r="B68" s="361" t="s">
        <v>35</v>
      </c>
      <c r="C68" s="512" t="s">
        <v>85</v>
      </c>
      <c r="D68" s="512"/>
      <c r="E68" s="62">
        <v>40.51</v>
      </c>
      <c r="F68" s="74">
        <v>3314</v>
      </c>
      <c r="G68" s="350">
        <f t="shared" si="39"/>
        <v>134250.13999999998</v>
      </c>
      <c r="H68" s="90" t="s">
        <v>5</v>
      </c>
      <c r="I68" s="359">
        <v>8</v>
      </c>
      <c r="J68" s="63">
        <v>3000</v>
      </c>
      <c r="K68" s="64">
        <f t="shared" si="1"/>
        <v>375</v>
      </c>
      <c r="L68" s="359">
        <v>8</v>
      </c>
      <c r="M68" s="65">
        <f t="shared" si="40"/>
        <v>2881.7391304347825</v>
      </c>
      <c r="N68" s="64">
        <f t="shared" si="3"/>
        <v>360.21739130434781</v>
      </c>
      <c r="O68" s="66">
        <f t="shared" si="4"/>
        <v>0</v>
      </c>
      <c r="P68" s="67">
        <f t="shared" si="5"/>
        <v>-14.782608695652186</v>
      </c>
      <c r="Q68" s="351">
        <f t="shared" si="6"/>
        <v>0.96057971014492749</v>
      </c>
      <c r="R68" s="511"/>
      <c r="S68" s="68">
        <v>0.41041666666666665</v>
      </c>
      <c r="T68" s="68">
        <v>0.45833333333333331</v>
      </c>
      <c r="U68" s="350">
        <f t="shared" si="42"/>
        <v>6.9999999999999751</v>
      </c>
      <c r="V68" s="360">
        <f t="shared" si="41"/>
        <v>69</v>
      </c>
      <c r="W68" s="350"/>
      <c r="X68" s="350"/>
      <c r="Y68" s="510"/>
      <c r="Z68" s="510"/>
      <c r="AA68" s="66">
        <f t="shared" si="8"/>
        <v>-118.26086956521749</v>
      </c>
      <c r="AB68" s="351">
        <f t="shared" si="9"/>
        <v>0.96057971014492749</v>
      </c>
      <c r="AC68" s="511"/>
    </row>
    <row r="69" spans="1:29">
      <c r="A69" s="520" t="s">
        <v>1951</v>
      </c>
      <c r="B69" s="62" t="s">
        <v>1952</v>
      </c>
      <c r="C69" s="513"/>
      <c r="D69" s="513"/>
      <c r="E69" s="352"/>
      <c r="F69" s="71"/>
      <c r="G69" s="64"/>
      <c r="H69" s="361"/>
      <c r="I69" s="72">
        <v>9</v>
      </c>
      <c r="J69" s="63">
        <v>2625</v>
      </c>
      <c r="K69" s="64">
        <f t="shared" ref="K69:K78" si="43">J69/I69</f>
        <v>291.66666666666669</v>
      </c>
      <c r="L69" s="72">
        <v>9</v>
      </c>
      <c r="M69" s="65">
        <f>AVERAGE(M65:M68)</f>
        <v>2517.3097220642799</v>
      </c>
      <c r="N69" s="64">
        <f t="shared" ref="N69:N78" si="44">M69/L69</f>
        <v>279.70108022936444</v>
      </c>
      <c r="O69" s="66">
        <f t="shared" ref="O69:O78" si="45">L69-I69</f>
        <v>0</v>
      </c>
      <c r="P69" s="67">
        <f t="shared" ref="P69:P78" si="46">N69-K69</f>
        <v>-11.96558643730225</v>
      </c>
      <c r="Q69" s="351">
        <f t="shared" ref="Q69:Q78" si="47">N69/K69</f>
        <v>0.95897513221496367</v>
      </c>
      <c r="R69" s="511"/>
      <c r="S69" s="68"/>
      <c r="T69" s="68"/>
      <c r="U69" s="64"/>
      <c r="V69" s="360"/>
      <c r="W69" s="64"/>
      <c r="X69" s="64"/>
      <c r="Y69" s="510"/>
      <c r="Z69" s="510"/>
      <c r="AA69" s="66">
        <f t="shared" ref="AA69:AA78" si="48">M69-J69</f>
        <v>-107.69027793572013</v>
      </c>
      <c r="AB69" s="351">
        <f t="shared" ref="AB69:AB78" si="49">M69/J69</f>
        <v>0.95897513221496378</v>
      </c>
      <c r="AC69" s="511"/>
    </row>
    <row r="70" spans="1:29" ht="15.75" customHeight="1">
      <c r="A70" s="514" t="s">
        <v>1953</v>
      </c>
      <c r="B70" s="361" t="s">
        <v>16</v>
      </c>
      <c r="C70" s="512" t="s">
        <v>48</v>
      </c>
      <c r="D70" s="512"/>
      <c r="E70" s="62">
        <v>20.2</v>
      </c>
      <c r="F70" s="361">
        <v>2862</v>
      </c>
      <c r="G70" s="350">
        <f t="shared" ref="G70:G77" si="50">E70*F70</f>
        <v>57812.4</v>
      </c>
      <c r="H70" s="90" t="s">
        <v>5</v>
      </c>
      <c r="I70" s="359">
        <v>19</v>
      </c>
      <c r="J70" s="63">
        <v>2400</v>
      </c>
      <c r="K70" s="64">
        <f t="shared" si="43"/>
        <v>126.31578947368421</v>
      </c>
      <c r="L70" s="359">
        <v>19</v>
      </c>
      <c r="M70" s="65">
        <f t="shared" ref="M70:M77" si="51">F70/V70*60</f>
        <v>2289.6</v>
      </c>
      <c r="N70" s="64">
        <f t="shared" si="44"/>
        <v>120.50526315789473</v>
      </c>
      <c r="O70" s="66">
        <f t="shared" si="45"/>
        <v>0</v>
      </c>
      <c r="P70" s="67">
        <f t="shared" si="46"/>
        <v>-5.810526315789474</v>
      </c>
      <c r="Q70" s="351">
        <f t="shared" si="47"/>
        <v>0.95399999999999996</v>
      </c>
      <c r="R70" s="511">
        <f>Q78</f>
        <v>0.95737359400684574</v>
      </c>
      <c r="S70" s="68">
        <v>8.3333333333333329E-2</v>
      </c>
      <c r="T70" s="68">
        <v>0.13541666666666666</v>
      </c>
      <c r="U70" s="73"/>
      <c r="V70" s="360">
        <f t="shared" ref="V70:V77" si="52">(T70-S70)*24*60</f>
        <v>75</v>
      </c>
      <c r="W70" s="69">
        <f>T70</f>
        <v>0.13541666666666666</v>
      </c>
      <c r="X70" s="69">
        <f>S71</f>
        <v>0.15625</v>
      </c>
      <c r="Y70" s="510"/>
      <c r="Z70" s="510"/>
      <c r="AA70" s="66">
        <f t="shared" si="48"/>
        <v>-110.40000000000009</v>
      </c>
      <c r="AB70" s="351">
        <f t="shared" si="49"/>
        <v>0.95399999999999996</v>
      </c>
      <c r="AC70" s="511">
        <f>AB78</f>
        <v>0.95737359400684563</v>
      </c>
    </row>
    <row r="71" spans="1:29" ht="15.75" customHeight="1">
      <c r="A71" s="515" t="s">
        <v>163</v>
      </c>
      <c r="B71" s="361" t="s">
        <v>16</v>
      </c>
      <c r="C71" s="512" t="s">
        <v>51</v>
      </c>
      <c r="D71" s="512"/>
      <c r="E71" s="62">
        <v>24.25</v>
      </c>
      <c r="F71" s="361">
        <v>2428</v>
      </c>
      <c r="G71" s="350">
        <f t="shared" si="50"/>
        <v>58879</v>
      </c>
      <c r="H71" s="90" t="s">
        <v>5</v>
      </c>
      <c r="I71" s="359">
        <v>17</v>
      </c>
      <c r="J71" s="63">
        <v>2400</v>
      </c>
      <c r="K71" s="64">
        <f t="shared" si="43"/>
        <v>141.1764705882353</v>
      </c>
      <c r="L71" s="359">
        <v>17</v>
      </c>
      <c r="M71" s="65">
        <f t="shared" si="51"/>
        <v>2312.3809523809518</v>
      </c>
      <c r="N71" s="64">
        <f t="shared" si="44"/>
        <v>136.02240896358541</v>
      </c>
      <c r="O71" s="66">
        <f t="shared" si="45"/>
        <v>0</v>
      </c>
      <c r="P71" s="67">
        <f t="shared" si="46"/>
        <v>-5.1540616246498985</v>
      </c>
      <c r="Q71" s="351">
        <f t="shared" si="47"/>
        <v>0.96349206349206318</v>
      </c>
      <c r="R71" s="511"/>
      <c r="S71" s="68">
        <v>0.15625</v>
      </c>
      <c r="T71" s="68">
        <v>0.2</v>
      </c>
      <c r="U71" s="350">
        <f t="shared" ref="U71:U77" si="53">(S71-T70)*24*60</f>
        <v>30.000000000000014</v>
      </c>
      <c r="V71" s="360">
        <f t="shared" si="52"/>
        <v>63.000000000000014</v>
      </c>
      <c r="W71" s="69"/>
      <c r="X71" s="69"/>
      <c r="Y71" s="510"/>
      <c r="Z71" s="510"/>
      <c r="AA71" s="66">
        <f t="shared" si="48"/>
        <v>-87.61904761904816</v>
      </c>
      <c r="AB71" s="351">
        <f t="shared" si="49"/>
        <v>0.96349206349206329</v>
      </c>
      <c r="AC71" s="511"/>
    </row>
    <row r="72" spans="1:29" ht="15.75" customHeight="1">
      <c r="A72" s="515" t="s">
        <v>1953</v>
      </c>
      <c r="B72" s="361" t="s">
        <v>16</v>
      </c>
      <c r="C72" s="512" t="s">
        <v>17</v>
      </c>
      <c r="D72" s="512"/>
      <c r="E72" s="62">
        <v>24.45</v>
      </c>
      <c r="F72" s="361">
        <v>2896</v>
      </c>
      <c r="G72" s="350">
        <f t="shared" si="50"/>
        <v>70807.199999999997</v>
      </c>
      <c r="H72" s="90" t="s">
        <v>5</v>
      </c>
      <c r="I72" s="359">
        <v>20</v>
      </c>
      <c r="J72" s="63">
        <v>2400</v>
      </c>
      <c r="K72" s="64">
        <f t="shared" si="43"/>
        <v>120</v>
      </c>
      <c r="L72" s="359">
        <v>20</v>
      </c>
      <c r="M72" s="65">
        <f t="shared" si="51"/>
        <v>2286.3157894736851</v>
      </c>
      <c r="N72" s="64">
        <f t="shared" si="44"/>
        <v>114.31578947368425</v>
      </c>
      <c r="O72" s="66">
        <f t="shared" si="45"/>
        <v>0</v>
      </c>
      <c r="P72" s="67">
        <f t="shared" si="46"/>
        <v>-5.6842105263157521</v>
      </c>
      <c r="Q72" s="351">
        <f t="shared" si="47"/>
        <v>0.95263157894736872</v>
      </c>
      <c r="R72" s="511"/>
      <c r="S72" s="68">
        <v>0.20347222222222222</v>
      </c>
      <c r="T72" s="68">
        <v>0.25624999999999998</v>
      </c>
      <c r="U72" s="350">
        <f t="shared" si="53"/>
        <v>4.9999999999999822</v>
      </c>
      <c r="V72" s="360">
        <f t="shared" si="52"/>
        <v>75.999999999999972</v>
      </c>
      <c r="W72" s="69"/>
      <c r="X72" s="69"/>
      <c r="Y72" s="510"/>
      <c r="Z72" s="510"/>
      <c r="AA72" s="66">
        <f t="shared" si="48"/>
        <v>-113.68421052631493</v>
      </c>
      <c r="AB72" s="351">
        <f t="shared" si="49"/>
        <v>0.95263157894736883</v>
      </c>
      <c r="AC72" s="511"/>
    </row>
    <row r="73" spans="1:29" ht="15.75" customHeight="1">
      <c r="A73" s="515" t="s">
        <v>163</v>
      </c>
      <c r="B73" s="361" t="s">
        <v>16</v>
      </c>
      <c r="C73" s="512" t="s">
        <v>34</v>
      </c>
      <c r="D73" s="512"/>
      <c r="E73" s="62">
        <v>24.25</v>
      </c>
      <c r="F73" s="361">
        <v>3220</v>
      </c>
      <c r="G73" s="350">
        <f t="shared" si="50"/>
        <v>78085</v>
      </c>
      <c r="H73" s="90" t="s">
        <v>5</v>
      </c>
      <c r="I73" s="359">
        <v>13</v>
      </c>
      <c r="J73" s="63">
        <v>2400</v>
      </c>
      <c r="K73" s="64">
        <f t="shared" si="43"/>
        <v>184.61538461538461</v>
      </c>
      <c r="L73" s="359">
        <v>13</v>
      </c>
      <c r="M73" s="65">
        <f t="shared" si="51"/>
        <v>2299.9999999999991</v>
      </c>
      <c r="N73" s="64">
        <f t="shared" si="44"/>
        <v>176.92307692307685</v>
      </c>
      <c r="O73" s="66">
        <f t="shared" si="45"/>
        <v>0</v>
      </c>
      <c r="P73" s="67">
        <f t="shared" si="46"/>
        <v>-7.6923076923077645</v>
      </c>
      <c r="Q73" s="351">
        <f t="shared" si="47"/>
        <v>0.95833333333333293</v>
      </c>
      <c r="R73" s="511"/>
      <c r="S73" s="68">
        <v>0.26180555555555551</v>
      </c>
      <c r="T73" s="68">
        <v>0.32013888888888886</v>
      </c>
      <c r="U73" s="350">
        <f t="shared" si="53"/>
        <v>7.9999999999999716</v>
      </c>
      <c r="V73" s="360">
        <f t="shared" si="52"/>
        <v>84.000000000000028</v>
      </c>
      <c r="W73" s="69"/>
      <c r="X73" s="69"/>
      <c r="Y73" s="510"/>
      <c r="Z73" s="510"/>
      <c r="AA73" s="66">
        <f t="shared" si="48"/>
        <v>-100.00000000000091</v>
      </c>
      <c r="AB73" s="351">
        <f t="shared" si="49"/>
        <v>0.95833333333333293</v>
      </c>
      <c r="AC73" s="511"/>
    </row>
    <row r="74" spans="1:29" ht="15.75" customHeight="1">
      <c r="A74" s="515" t="s">
        <v>163</v>
      </c>
      <c r="B74" s="361" t="s">
        <v>16</v>
      </c>
      <c r="C74" s="512" t="s">
        <v>26</v>
      </c>
      <c r="D74" s="512"/>
      <c r="E74" s="62">
        <v>20.52</v>
      </c>
      <c r="F74" s="361">
        <v>3836</v>
      </c>
      <c r="G74" s="350">
        <f t="shared" si="50"/>
        <v>78714.720000000001</v>
      </c>
      <c r="H74" s="90" t="s">
        <v>5</v>
      </c>
      <c r="I74" s="359">
        <v>18</v>
      </c>
      <c r="J74" s="63">
        <v>2400</v>
      </c>
      <c r="K74" s="64">
        <f t="shared" si="43"/>
        <v>133.33333333333334</v>
      </c>
      <c r="L74" s="359">
        <v>18</v>
      </c>
      <c r="M74" s="65">
        <f t="shared" si="51"/>
        <v>2301.6000000000008</v>
      </c>
      <c r="N74" s="64">
        <f t="shared" si="44"/>
        <v>127.86666666666672</v>
      </c>
      <c r="O74" s="66">
        <f t="shared" si="45"/>
        <v>0</v>
      </c>
      <c r="P74" s="67">
        <f t="shared" si="46"/>
        <v>-5.4666666666666259</v>
      </c>
      <c r="Q74" s="351">
        <f t="shared" si="47"/>
        <v>0.9590000000000003</v>
      </c>
      <c r="R74" s="511"/>
      <c r="S74" s="68">
        <v>0.32361111111111107</v>
      </c>
      <c r="T74" s="68">
        <v>0.39305555555555549</v>
      </c>
      <c r="U74" s="350">
        <f t="shared" si="53"/>
        <v>4.9999999999999822</v>
      </c>
      <c r="V74" s="360">
        <f t="shared" si="52"/>
        <v>99.999999999999972</v>
      </c>
      <c r="W74" s="69"/>
      <c r="X74" s="69"/>
      <c r="Y74" s="510"/>
      <c r="Z74" s="510"/>
      <c r="AA74" s="66">
        <f t="shared" si="48"/>
        <v>-98.399999999999181</v>
      </c>
      <c r="AB74" s="351">
        <f t="shared" si="49"/>
        <v>0.9590000000000003</v>
      </c>
      <c r="AC74" s="511"/>
    </row>
    <row r="75" spans="1:29" ht="15.75" customHeight="1">
      <c r="A75" s="515" t="s">
        <v>163</v>
      </c>
      <c r="B75" s="361" t="s">
        <v>16</v>
      </c>
      <c r="C75" s="512" t="s">
        <v>49</v>
      </c>
      <c r="D75" s="512"/>
      <c r="E75" s="62">
        <v>19.02</v>
      </c>
      <c r="F75" s="361">
        <v>4500</v>
      </c>
      <c r="G75" s="350">
        <f t="shared" si="50"/>
        <v>85590</v>
      </c>
      <c r="H75" s="90">
        <v>2</v>
      </c>
      <c r="I75" s="359">
        <v>15</v>
      </c>
      <c r="J75" s="63">
        <v>2400</v>
      </c>
      <c r="K75" s="64">
        <f t="shared" si="43"/>
        <v>160</v>
      </c>
      <c r="L75" s="359">
        <v>15</v>
      </c>
      <c r="M75" s="65">
        <f t="shared" si="51"/>
        <v>2288.1355932203396</v>
      </c>
      <c r="N75" s="64">
        <f t="shared" si="44"/>
        <v>152.54237288135599</v>
      </c>
      <c r="O75" s="66">
        <f t="shared" si="45"/>
        <v>0</v>
      </c>
      <c r="P75" s="67">
        <f t="shared" si="46"/>
        <v>-7.4576271186440124</v>
      </c>
      <c r="Q75" s="351">
        <f t="shared" si="47"/>
        <v>0.95338983050847492</v>
      </c>
      <c r="R75" s="511"/>
      <c r="S75" s="68">
        <v>0.39791666666666659</v>
      </c>
      <c r="T75" s="68">
        <v>0.47986111111111102</v>
      </c>
      <c r="U75" s="350">
        <f t="shared" si="53"/>
        <v>6.9999999999999751</v>
      </c>
      <c r="V75" s="360">
        <f t="shared" si="52"/>
        <v>117.99999999999999</v>
      </c>
      <c r="W75" s="69"/>
      <c r="X75" s="69"/>
      <c r="Y75" s="510"/>
      <c r="Z75" s="510"/>
      <c r="AA75" s="66">
        <f t="shared" si="48"/>
        <v>-111.86440677966038</v>
      </c>
      <c r="AB75" s="351">
        <f t="shared" si="49"/>
        <v>0.95338983050847481</v>
      </c>
      <c r="AC75" s="511"/>
    </row>
    <row r="76" spans="1:29" ht="15.75" customHeight="1">
      <c r="A76" s="515" t="s">
        <v>163</v>
      </c>
      <c r="B76" s="361" t="s">
        <v>16</v>
      </c>
      <c r="C76" s="512" t="s">
        <v>27</v>
      </c>
      <c r="D76" s="512"/>
      <c r="E76" s="62">
        <v>25.98</v>
      </c>
      <c r="F76" s="361">
        <v>1271</v>
      </c>
      <c r="G76" s="350">
        <f t="shared" si="50"/>
        <v>33020.58</v>
      </c>
      <c r="H76" s="90" t="s">
        <v>5</v>
      </c>
      <c r="I76" s="359">
        <v>17</v>
      </c>
      <c r="J76" s="63">
        <v>2400</v>
      </c>
      <c r="K76" s="64">
        <f t="shared" si="43"/>
        <v>141.1764705882353</v>
      </c>
      <c r="L76" s="359">
        <v>17</v>
      </c>
      <c r="M76" s="65">
        <f t="shared" si="51"/>
        <v>2310.9090909090937</v>
      </c>
      <c r="N76" s="64">
        <f t="shared" si="44"/>
        <v>135.93582887700552</v>
      </c>
      <c r="O76" s="66">
        <f t="shared" si="45"/>
        <v>0</v>
      </c>
      <c r="P76" s="67">
        <f t="shared" si="46"/>
        <v>-5.2406417112297845</v>
      </c>
      <c r="Q76" s="351">
        <f t="shared" si="47"/>
        <v>0.962878787878789</v>
      </c>
      <c r="R76" s="511"/>
      <c r="S76" s="68">
        <v>0.48402777777777767</v>
      </c>
      <c r="T76" s="68">
        <v>0.50694444444444431</v>
      </c>
      <c r="U76" s="350">
        <f t="shared" si="53"/>
        <v>5.9999999999999787</v>
      </c>
      <c r="V76" s="360">
        <f t="shared" si="52"/>
        <v>32.999999999999964</v>
      </c>
      <c r="W76" s="69">
        <f>T76</f>
        <v>0.50694444444444431</v>
      </c>
      <c r="X76" s="69">
        <f>S77</f>
        <v>0.54861111111111094</v>
      </c>
      <c r="Y76" s="517"/>
      <c r="Z76" s="518"/>
      <c r="AA76" s="66">
        <f t="shared" si="48"/>
        <v>-89.09090909090628</v>
      </c>
      <c r="AB76" s="351">
        <f t="shared" si="49"/>
        <v>0.962878787878789</v>
      </c>
      <c r="AC76" s="511"/>
    </row>
    <row r="77" spans="1:29" ht="15.75" customHeight="1">
      <c r="A77" s="515" t="s">
        <v>1953</v>
      </c>
      <c r="B77" s="361" t="s">
        <v>16</v>
      </c>
      <c r="C77" s="512" t="s">
        <v>49</v>
      </c>
      <c r="D77" s="512"/>
      <c r="E77" s="62">
        <v>19.02</v>
      </c>
      <c r="F77" s="361">
        <v>7260</v>
      </c>
      <c r="G77" s="350">
        <f t="shared" si="50"/>
        <v>138085.19999999998</v>
      </c>
      <c r="H77" s="90" t="s">
        <v>5</v>
      </c>
      <c r="I77" s="359">
        <v>15</v>
      </c>
      <c r="J77" s="63">
        <v>2400</v>
      </c>
      <c r="K77" s="64">
        <f t="shared" si="43"/>
        <v>160</v>
      </c>
      <c r="L77" s="359">
        <v>15</v>
      </c>
      <c r="M77" s="65">
        <f t="shared" si="51"/>
        <v>2292.6315789473688</v>
      </c>
      <c r="N77" s="64">
        <f t="shared" si="44"/>
        <v>152.84210526315792</v>
      </c>
      <c r="O77" s="66">
        <f t="shared" si="45"/>
        <v>0</v>
      </c>
      <c r="P77" s="67">
        <f t="shared" si="46"/>
        <v>-7.1578947368420813</v>
      </c>
      <c r="Q77" s="351">
        <f t="shared" si="47"/>
        <v>0.95526315789473704</v>
      </c>
      <c r="R77" s="511"/>
      <c r="S77" s="68">
        <v>0.54861111111111094</v>
      </c>
      <c r="T77" s="68">
        <v>0.68055555555555536</v>
      </c>
      <c r="U77" s="350">
        <f t="shared" si="53"/>
        <v>59.999999999999943</v>
      </c>
      <c r="V77" s="360">
        <f t="shared" si="52"/>
        <v>189.99999999999997</v>
      </c>
      <c r="W77" s="69"/>
      <c r="X77" s="69"/>
      <c r="Y77" s="517"/>
      <c r="Z77" s="518"/>
      <c r="AA77" s="66">
        <f t="shared" si="48"/>
        <v>-107.36842105263122</v>
      </c>
      <c r="AB77" s="351">
        <f t="shared" si="49"/>
        <v>0.95526315789473704</v>
      </c>
      <c r="AC77" s="511"/>
    </row>
    <row r="78" spans="1:29" ht="16.5" customHeight="1">
      <c r="A78" s="516" t="s">
        <v>1954</v>
      </c>
      <c r="B78" s="62" t="s">
        <v>150</v>
      </c>
      <c r="C78" s="508"/>
      <c r="D78" s="509"/>
      <c r="E78" s="352"/>
      <c r="F78" s="71"/>
      <c r="G78" s="64"/>
      <c r="H78" s="361"/>
      <c r="I78" s="72">
        <v>16.75</v>
      </c>
      <c r="J78" s="63">
        <v>2400</v>
      </c>
      <c r="K78" s="64">
        <f t="shared" si="43"/>
        <v>143.28358208955223</v>
      </c>
      <c r="L78" s="72">
        <v>16.75</v>
      </c>
      <c r="M78" s="65">
        <f>AVERAGE(M70:M77)</f>
        <v>2297.6966256164296</v>
      </c>
      <c r="N78" s="64">
        <f t="shared" si="44"/>
        <v>137.17591794724953</v>
      </c>
      <c r="O78" s="66">
        <f t="shared" si="45"/>
        <v>0</v>
      </c>
      <c r="P78" s="67">
        <f t="shared" si="46"/>
        <v>-6.1076641423026956</v>
      </c>
      <c r="Q78" s="351">
        <f t="shared" si="47"/>
        <v>0.95737359400684574</v>
      </c>
      <c r="R78" s="511"/>
      <c r="S78" s="68"/>
      <c r="T78" s="68"/>
      <c r="U78" s="64"/>
      <c r="V78" s="360"/>
      <c r="W78" s="64"/>
      <c r="X78" s="64"/>
      <c r="Y78" s="510"/>
      <c r="Z78" s="510"/>
      <c r="AA78" s="66">
        <f t="shared" si="48"/>
        <v>-102.30337438357037</v>
      </c>
      <c r="AB78" s="351">
        <f t="shared" si="49"/>
        <v>0.95737359400684563</v>
      </c>
      <c r="AC78" s="511"/>
    </row>
    <row r="79" spans="1:29">
      <c r="D79" s="76"/>
      <c r="E79" s="76"/>
    </row>
  </sheetData>
  <mergeCells count="203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A13:A20"/>
    <mergeCell ref="C13:D13"/>
    <mergeCell ref="R13:R20"/>
    <mergeCell ref="Y13:Z13"/>
    <mergeCell ref="AC13:AC20"/>
    <mergeCell ref="C17:D17"/>
    <mergeCell ref="Y17:Z17"/>
    <mergeCell ref="C18:D18"/>
    <mergeCell ref="Y18:Z18"/>
    <mergeCell ref="Y19:Z19"/>
    <mergeCell ref="C20:D20"/>
    <mergeCell ref="Y20:Z20"/>
    <mergeCell ref="C14:D14"/>
    <mergeCell ref="Y14:Z14"/>
    <mergeCell ref="C15:D15"/>
    <mergeCell ref="Y15:Z15"/>
    <mergeCell ref="C16:D16"/>
    <mergeCell ref="Y16:Z16"/>
    <mergeCell ref="Y26:Z26"/>
    <mergeCell ref="C27:D27"/>
    <mergeCell ref="Y27:Z27"/>
    <mergeCell ref="A21:A30"/>
    <mergeCell ref="C21:D21"/>
    <mergeCell ref="R21:R30"/>
    <mergeCell ref="Y21:Z21"/>
    <mergeCell ref="C22:D22"/>
    <mergeCell ref="Y22:Z22"/>
    <mergeCell ref="C23:D23"/>
    <mergeCell ref="Y23:Z23"/>
    <mergeCell ref="C24:D24"/>
    <mergeCell ref="AC31:AC38"/>
    <mergeCell ref="C32:D32"/>
    <mergeCell ref="Y32:Z32"/>
    <mergeCell ref="C33:D33"/>
    <mergeCell ref="Y33:Z33"/>
    <mergeCell ref="C34:D34"/>
    <mergeCell ref="C28:D28"/>
    <mergeCell ref="Y28:Z28"/>
    <mergeCell ref="C29:D29"/>
    <mergeCell ref="Y29:Z29"/>
    <mergeCell ref="C30:D30"/>
    <mergeCell ref="Y30:Z30"/>
    <mergeCell ref="AC21:AC30"/>
    <mergeCell ref="Y34:Z34"/>
    <mergeCell ref="C35:D35"/>
    <mergeCell ref="Y35:Z35"/>
    <mergeCell ref="C36:D36"/>
    <mergeCell ref="Y36:Z36"/>
    <mergeCell ref="C37:D37"/>
    <mergeCell ref="Y37:Z37"/>
    <mergeCell ref="Y24:Z24"/>
    <mergeCell ref="C25:D25"/>
    <mergeCell ref="Y25:Z25"/>
    <mergeCell ref="C26:D26"/>
    <mergeCell ref="A31:A38"/>
    <mergeCell ref="C31:D31"/>
    <mergeCell ref="R31:R38"/>
    <mergeCell ref="Y31:Z31"/>
    <mergeCell ref="C38:D38"/>
    <mergeCell ref="Y38:Z38"/>
    <mergeCell ref="A39:A47"/>
    <mergeCell ref="C39:D39"/>
    <mergeCell ref="R39:R47"/>
    <mergeCell ref="Y39:Z39"/>
    <mergeCell ref="Y44:Z44"/>
    <mergeCell ref="C45:D45"/>
    <mergeCell ref="Y45:Z45"/>
    <mergeCell ref="C46:D46"/>
    <mergeCell ref="AC39:AC47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Y46:Z46"/>
    <mergeCell ref="C47:D47"/>
    <mergeCell ref="Y47:Z47"/>
    <mergeCell ref="AC58:AC64"/>
    <mergeCell ref="C59:D59"/>
    <mergeCell ref="Y59:Z59"/>
    <mergeCell ref="C60:D60"/>
    <mergeCell ref="C63:D63"/>
    <mergeCell ref="Y63:Z63"/>
    <mergeCell ref="C55:D55"/>
    <mergeCell ref="Y55:Z55"/>
    <mergeCell ref="C56:D56"/>
    <mergeCell ref="Y56:Z56"/>
    <mergeCell ref="C57:D57"/>
    <mergeCell ref="Y57:Z57"/>
    <mergeCell ref="AC48:AC57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C64:D64"/>
    <mergeCell ref="Y64:Z64"/>
    <mergeCell ref="A65:A69"/>
    <mergeCell ref="C65:D65"/>
    <mergeCell ref="R65:R69"/>
    <mergeCell ref="Y65:Z65"/>
    <mergeCell ref="A58:A64"/>
    <mergeCell ref="C58:D58"/>
    <mergeCell ref="R58:R64"/>
    <mergeCell ref="Y58:Z58"/>
    <mergeCell ref="A48:A57"/>
    <mergeCell ref="C48:D48"/>
    <mergeCell ref="R48:R57"/>
    <mergeCell ref="Y48:Z48"/>
    <mergeCell ref="Y53:Z53"/>
    <mergeCell ref="C54:D54"/>
    <mergeCell ref="Y54:Z54"/>
    <mergeCell ref="AC65:AC69"/>
    <mergeCell ref="C66:D66"/>
    <mergeCell ref="Y66:Z66"/>
    <mergeCell ref="C67:D67"/>
    <mergeCell ref="Y67:Z67"/>
    <mergeCell ref="C68:D68"/>
    <mergeCell ref="Y68:Z68"/>
    <mergeCell ref="C69:D69"/>
    <mergeCell ref="Y69:Z69"/>
    <mergeCell ref="A70:A78"/>
    <mergeCell ref="C70:D70"/>
    <mergeCell ref="R70:R78"/>
    <mergeCell ref="Y70:Z70"/>
    <mergeCell ref="AC70:AC78"/>
    <mergeCell ref="C71:D71"/>
    <mergeCell ref="Y71:Z71"/>
    <mergeCell ref="C72:D72"/>
    <mergeCell ref="Y72:Z72"/>
    <mergeCell ref="C73:D73"/>
    <mergeCell ref="C77:D77"/>
    <mergeCell ref="Y77:Z77"/>
    <mergeCell ref="C78:D78"/>
    <mergeCell ref="Y78:Z78"/>
    <mergeCell ref="Y73:Z73"/>
    <mergeCell ref="C74:D74"/>
    <mergeCell ref="Y74:Z74"/>
    <mergeCell ref="C75:D75"/>
    <mergeCell ref="Y75:Z75"/>
    <mergeCell ref="C76:D76"/>
    <mergeCell ref="Y76:Z76"/>
  </mergeCells>
  <phoneticPr fontId="3" type="noConversion"/>
  <conditionalFormatting sqref="O68:O75 O78 O5:O10 O12:O14 O57:O65 O20:O53">
    <cfRule type="cellIs" dxfId="1908" priority="73" operator="greaterThan">
      <formula>0</formula>
    </cfRule>
  </conditionalFormatting>
  <conditionalFormatting sqref="P5:P8 P68 AA68 P70:P75 P31:P37 P65 P10 P12:P14 P21:P29 P58:P63 P39:P53 AA5:AA65 AA70:AA78">
    <cfRule type="cellIs" dxfId="1907" priority="77" operator="lessThan">
      <formula>0</formula>
    </cfRule>
  </conditionalFormatting>
  <conditionalFormatting sqref="AB68 Q68:Q75 Q78 Q5:Q10 Q12:Q14 Q57:Q65 Q20:Q53 AB5:AB65 AB70:AB78">
    <cfRule type="cellIs" dxfId="1906" priority="74" operator="greaterThan">
      <formula>1</formula>
    </cfRule>
    <cfRule type="cellIs" dxfId="1905" priority="75" operator="lessThan">
      <formula>0.8</formula>
    </cfRule>
  </conditionalFormatting>
  <conditionalFormatting sqref="AC13:AC14 R13:R14 AC68 R68:R75 R20:R26 AC20:AC26 R78 AC5:AC10 R5:R10 R30:R53 AC30:AC53 AC57:AC65 R57:R65">
    <cfRule type="cellIs" dxfId="1904" priority="79" operator="lessThan">
      <formula>0.8</formula>
    </cfRule>
  </conditionalFormatting>
  <conditionalFormatting sqref="AC48">
    <cfRule type="cellIs" dxfId="1903" priority="81" operator="lessThan">
      <formula>0.8</formula>
    </cfRule>
  </conditionalFormatting>
  <conditionalFormatting sqref="AC21:AC26">
    <cfRule type="cellIs" dxfId="1902" priority="78" operator="lessThan">
      <formula>0.8</formula>
    </cfRule>
  </conditionalFormatting>
  <conditionalFormatting sqref="AC31">
    <cfRule type="cellIs" dxfId="1901" priority="80" operator="lessThan">
      <formula>0.8</formula>
    </cfRule>
  </conditionalFormatting>
  <conditionalFormatting sqref="AC39:AC46">
    <cfRule type="cellIs" dxfId="1900" priority="76" operator="lessThan">
      <formula>0.8</formula>
    </cfRule>
  </conditionalFormatting>
  <conditionalFormatting sqref="AA69">
    <cfRule type="cellIs" dxfId="1899" priority="72" operator="lessThan">
      <formula>0</formula>
    </cfRule>
  </conditionalFormatting>
  <conditionalFormatting sqref="AB69">
    <cfRule type="cellIs" dxfId="1898" priority="70" operator="greaterThan">
      <formula>1</formula>
    </cfRule>
    <cfRule type="cellIs" dxfId="1897" priority="71" operator="lessThan">
      <formula>0.8</formula>
    </cfRule>
  </conditionalFormatting>
  <conditionalFormatting sqref="O15:O16">
    <cfRule type="cellIs" dxfId="1896" priority="65" operator="greaterThan">
      <formula>0</formula>
    </cfRule>
  </conditionalFormatting>
  <conditionalFormatting sqref="P15:P16">
    <cfRule type="cellIs" dxfId="1895" priority="68" operator="lessThan">
      <formula>0</formula>
    </cfRule>
  </conditionalFormatting>
  <conditionalFormatting sqref="Q15:Q16">
    <cfRule type="cellIs" dxfId="1894" priority="66" operator="greaterThan">
      <formula>1</formula>
    </cfRule>
    <cfRule type="cellIs" dxfId="1893" priority="67" operator="lessThan">
      <formula>0.8</formula>
    </cfRule>
  </conditionalFormatting>
  <conditionalFormatting sqref="R15:R16 AC15:AC16">
    <cfRule type="cellIs" dxfId="1892" priority="69" operator="lessThan">
      <formula>0.8</formula>
    </cfRule>
  </conditionalFormatting>
  <conditionalFormatting sqref="O11">
    <cfRule type="cellIs" dxfId="1891" priority="61" operator="greaterThan">
      <formula>0</formula>
    </cfRule>
  </conditionalFormatting>
  <conditionalFormatting sqref="P11">
    <cfRule type="cellIs" dxfId="1890" priority="64" operator="lessThan">
      <formula>0</formula>
    </cfRule>
  </conditionalFormatting>
  <conditionalFormatting sqref="Q11">
    <cfRule type="cellIs" dxfId="1889" priority="62" operator="greaterThan">
      <formula>1</formula>
    </cfRule>
    <cfRule type="cellIs" dxfId="1888" priority="63" operator="lessThan">
      <formula>0.8</formula>
    </cfRule>
  </conditionalFormatting>
  <conditionalFormatting sqref="AC28 R28">
    <cfRule type="cellIs" dxfId="1887" priority="60" operator="lessThan">
      <formula>0.8</formula>
    </cfRule>
  </conditionalFormatting>
  <conditionalFormatting sqref="O67">
    <cfRule type="cellIs" dxfId="1886" priority="55" operator="greaterThan">
      <formula>0</formula>
    </cfRule>
  </conditionalFormatting>
  <conditionalFormatting sqref="P67 AA67">
    <cfRule type="cellIs" dxfId="1885" priority="58" operator="lessThan">
      <formula>0</formula>
    </cfRule>
  </conditionalFormatting>
  <conditionalFormatting sqref="Q67 AB67">
    <cfRule type="cellIs" dxfId="1884" priority="56" operator="greaterThan">
      <formula>1</formula>
    </cfRule>
    <cfRule type="cellIs" dxfId="1883" priority="57" operator="lessThan">
      <formula>0.8</formula>
    </cfRule>
  </conditionalFormatting>
  <conditionalFormatting sqref="R67 AC67">
    <cfRule type="cellIs" dxfId="1882" priority="59" operator="lessThan">
      <formula>0.8</formula>
    </cfRule>
  </conditionalFormatting>
  <conditionalFormatting sqref="O76">
    <cfRule type="cellIs" dxfId="1881" priority="50" operator="greaterThan">
      <formula>0</formula>
    </cfRule>
  </conditionalFormatting>
  <conditionalFormatting sqref="P76">
    <cfRule type="cellIs" dxfId="1880" priority="53" operator="lessThan">
      <formula>0</formula>
    </cfRule>
  </conditionalFormatting>
  <conditionalFormatting sqref="Q76">
    <cfRule type="cellIs" dxfId="1879" priority="51" operator="greaterThan">
      <formula>1</formula>
    </cfRule>
    <cfRule type="cellIs" dxfId="1878" priority="52" operator="lessThan">
      <formula>0.8</formula>
    </cfRule>
  </conditionalFormatting>
  <conditionalFormatting sqref="R76">
    <cfRule type="cellIs" dxfId="1877" priority="54" operator="lessThan">
      <formula>0.8</formula>
    </cfRule>
  </conditionalFormatting>
  <conditionalFormatting sqref="O17:O18">
    <cfRule type="cellIs" dxfId="1876" priority="45" operator="greaterThan">
      <formula>0</formula>
    </cfRule>
  </conditionalFormatting>
  <conditionalFormatting sqref="P17:P18">
    <cfRule type="cellIs" dxfId="1875" priority="48" operator="lessThan">
      <formula>0</formula>
    </cfRule>
  </conditionalFormatting>
  <conditionalFormatting sqref="Q17:Q18">
    <cfRule type="cellIs" dxfId="1874" priority="46" operator="greaterThan">
      <formula>1</formula>
    </cfRule>
    <cfRule type="cellIs" dxfId="1873" priority="47" operator="lessThan">
      <formula>0.8</formula>
    </cfRule>
  </conditionalFormatting>
  <conditionalFormatting sqref="R17:R18 AC17:AC18">
    <cfRule type="cellIs" dxfId="1872" priority="49" operator="lessThan">
      <formula>0.8</formula>
    </cfRule>
  </conditionalFormatting>
  <conditionalFormatting sqref="O54">
    <cfRule type="cellIs" dxfId="1871" priority="39" operator="greaterThan">
      <formula>0</formula>
    </cfRule>
  </conditionalFormatting>
  <conditionalFormatting sqref="P54">
    <cfRule type="cellIs" dxfId="1870" priority="43" operator="lessThan">
      <formula>0</formula>
    </cfRule>
  </conditionalFormatting>
  <conditionalFormatting sqref="Q54">
    <cfRule type="cellIs" dxfId="1869" priority="40" operator="greaterThan">
      <formula>1</formula>
    </cfRule>
    <cfRule type="cellIs" dxfId="1868" priority="41" operator="lessThan">
      <formula>0.8</formula>
    </cfRule>
  </conditionalFormatting>
  <conditionalFormatting sqref="R54 AC54">
    <cfRule type="cellIs" dxfId="1867" priority="44" operator="lessThan">
      <formula>0.8</formula>
    </cfRule>
  </conditionalFormatting>
  <conditionalFormatting sqref="AC54">
    <cfRule type="cellIs" dxfId="1866" priority="42" operator="lessThan">
      <formula>0.8</formula>
    </cfRule>
  </conditionalFormatting>
  <conditionalFormatting sqref="O55">
    <cfRule type="cellIs" dxfId="1865" priority="33" operator="greaterThan">
      <formula>0</formula>
    </cfRule>
  </conditionalFormatting>
  <conditionalFormatting sqref="P55">
    <cfRule type="cellIs" dxfId="1864" priority="37" operator="lessThan">
      <formula>0</formula>
    </cfRule>
  </conditionalFormatting>
  <conditionalFormatting sqref="Q55">
    <cfRule type="cellIs" dxfId="1863" priority="34" operator="greaterThan">
      <formula>1</formula>
    </cfRule>
    <cfRule type="cellIs" dxfId="1862" priority="35" operator="lessThan">
      <formula>0.8</formula>
    </cfRule>
  </conditionalFormatting>
  <conditionalFormatting sqref="R55 AC55">
    <cfRule type="cellIs" dxfId="1861" priority="38" operator="lessThan">
      <formula>0.8</formula>
    </cfRule>
  </conditionalFormatting>
  <conditionalFormatting sqref="AC55">
    <cfRule type="cellIs" dxfId="1860" priority="36" operator="lessThan">
      <formula>0.8</formula>
    </cfRule>
  </conditionalFormatting>
  <conditionalFormatting sqref="AC29 R29">
    <cfRule type="cellIs" dxfId="1859" priority="32" operator="lessThan">
      <formula>0.8</formula>
    </cfRule>
  </conditionalFormatting>
  <conditionalFormatting sqref="R27 AC27">
    <cfRule type="cellIs" dxfId="1858" priority="31" operator="lessThan">
      <formula>0.8</formula>
    </cfRule>
  </conditionalFormatting>
  <conditionalFormatting sqref="AC27">
    <cfRule type="cellIs" dxfId="1857" priority="30" operator="lessThan">
      <formula>0.8</formula>
    </cfRule>
  </conditionalFormatting>
  <conditionalFormatting sqref="O56">
    <cfRule type="cellIs" dxfId="1856" priority="24" operator="greaterThan">
      <formula>0</formula>
    </cfRule>
  </conditionalFormatting>
  <conditionalFormatting sqref="P56">
    <cfRule type="cellIs" dxfId="1855" priority="28" operator="lessThan">
      <formula>0</formula>
    </cfRule>
  </conditionalFormatting>
  <conditionalFormatting sqref="Q56">
    <cfRule type="cellIs" dxfId="1854" priority="25" operator="greaterThan">
      <formula>1</formula>
    </cfRule>
    <cfRule type="cellIs" dxfId="1853" priority="26" operator="lessThan">
      <formula>0.8</formula>
    </cfRule>
  </conditionalFormatting>
  <conditionalFormatting sqref="R56 AC56">
    <cfRule type="cellIs" dxfId="1852" priority="29" operator="lessThan">
      <formula>0.8</formula>
    </cfRule>
  </conditionalFormatting>
  <conditionalFormatting sqref="AC56">
    <cfRule type="cellIs" dxfId="1851" priority="27" operator="lessThan">
      <formula>0.8</formula>
    </cfRule>
  </conditionalFormatting>
  <conditionalFormatting sqref="O66">
    <cfRule type="cellIs" dxfId="1850" priority="19" operator="greaterThan">
      <formula>0</formula>
    </cfRule>
  </conditionalFormatting>
  <conditionalFormatting sqref="P66 AA66">
    <cfRule type="cellIs" dxfId="1849" priority="22" operator="lessThan">
      <formula>0</formula>
    </cfRule>
  </conditionalFormatting>
  <conditionalFormatting sqref="Q66 AB66">
    <cfRule type="cellIs" dxfId="1848" priority="20" operator="greaterThan">
      <formula>1</formula>
    </cfRule>
    <cfRule type="cellIs" dxfId="1847" priority="21" operator="lessThan">
      <formula>0.8</formula>
    </cfRule>
  </conditionalFormatting>
  <conditionalFormatting sqref="R66 AC66">
    <cfRule type="cellIs" dxfId="1846" priority="23" operator="lessThan">
      <formula>0.8</formula>
    </cfRule>
  </conditionalFormatting>
  <conditionalFormatting sqref="O19">
    <cfRule type="cellIs" dxfId="1845" priority="14" operator="greaterThan">
      <formula>0</formula>
    </cfRule>
  </conditionalFormatting>
  <conditionalFormatting sqref="P19">
    <cfRule type="cellIs" dxfId="1844" priority="17" operator="lessThan">
      <formula>0</formula>
    </cfRule>
  </conditionalFormatting>
  <conditionalFormatting sqref="Q19">
    <cfRule type="cellIs" dxfId="1843" priority="15" operator="greaterThan">
      <formula>1</formula>
    </cfRule>
    <cfRule type="cellIs" dxfId="1842" priority="16" operator="lessThan">
      <formula>0.8</formula>
    </cfRule>
  </conditionalFormatting>
  <conditionalFormatting sqref="AC19 R19">
    <cfRule type="cellIs" dxfId="1841" priority="18" operator="lessThan">
      <formula>0.8</formula>
    </cfRule>
  </conditionalFormatting>
  <conditionalFormatting sqref="P9">
    <cfRule type="cellIs" dxfId="1840" priority="13" operator="lessThan">
      <formula>0</formula>
    </cfRule>
  </conditionalFormatting>
  <conditionalFormatting sqref="P20">
    <cfRule type="cellIs" dxfId="1839" priority="12" operator="lessThan">
      <formula>0</formula>
    </cfRule>
  </conditionalFormatting>
  <conditionalFormatting sqref="P30">
    <cfRule type="cellIs" dxfId="1838" priority="11" operator="lessThan">
      <formula>0</formula>
    </cfRule>
  </conditionalFormatting>
  <conditionalFormatting sqref="P38">
    <cfRule type="cellIs" dxfId="1837" priority="10" operator="lessThan">
      <formula>0</formula>
    </cfRule>
  </conditionalFormatting>
  <conditionalFormatting sqref="P57">
    <cfRule type="cellIs" dxfId="1836" priority="9" operator="lessThan">
      <formula>0</formula>
    </cfRule>
  </conditionalFormatting>
  <conditionalFormatting sqref="P64">
    <cfRule type="cellIs" dxfId="1835" priority="8" operator="lessThan">
      <formula>0</formula>
    </cfRule>
  </conditionalFormatting>
  <conditionalFormatting sqref="P69">
    <cfRule type="cellIs" dxfId="1834" priority="7" operator="lessThan">
      <formula>0</formula>
    </cfRule>
  </conditionalFormatting>
  <conditionalFormatting sqref="P78">
    <cfRule type="cellIs" dxfId="1833" priority="6" operator="lessThan">
      <formula>0</formula>
    </cfRule>
  </conditionalFormatting>
  <conditionalFormatting sqref="O77">
    <cfRule type="cellIs" dxfId="1832" priority="1" operator="greaterThan">
      <formula>0</formula>
    </cfRule>
  </conditionalFormatting>
  <conditionalFormatting sqref="P77">
    <cfRule type="cellIs" dxfId="1831" priority="4" operator="lessThan">
      <formula>0</formula>
    </cfRule>
  </conditionalFormatting>
  <conditionalFormatting sqref="Q77">
    <cfRule type="cellIs" dxfId="1830" priority="2" operator="greaterThan">
      <formula>1</formula>
    </cfRule>
    <cfRule type="cellIs" dxfId="1829" priority="3" operator="lessThan">
      <formula>0.8</formula>
    </cfRule>
  </conditionalFormatting>
  <conditionalFormatting sqref="R77">
    <cfRule type="cellIs" dxfId="1828" priority="5" operator="lessThan">
      <formula>0.8</formula>
    </cfRule>
  </conditionalFormatting>
  <dataValidations count="1">
    <dataValidation type="list" allowBlank="1" showInputMessage="1" showErrorMessage="1" sqref="Z9 Y5:Z8 Y9:Y68 Z11:Z65 Y69:Z7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23" sqref="A2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1787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1788</v>
      </c>
      <c r="C3" s="497" t="str">
        <f>TEXT('1122 4度C'!A2,"yyyy.mm.ddaaaa")</f>
        <v>2025.11.22星期六</v>
      </c>
      <c r="D3" s="498"/>
      <c r="E3" s="4" t="s">
        <v>257</v>
      </c>
      <c r="F3" s="499">
        <f>'1122 4度C'!D1</f>
        <v>152457</v>
      </c>
      <c r="G3" s="500"/>
      <c r="H3" s="4" t="s">
        <v>1789</v>
      </c>
      <c r="I3" s="501">
        <f>'1122 4度C'!F1</f>
        <v>5318052.330000001</v>
      </c>
      <c r="J3" s="502"/>
      <c r="K3" s="5"/>
      <c r="L3" s="6"/>
      <c r="M3" s="7"/>
      <c r="N3" s="7"/>
    </row>
    <row r="4" spans="2:17" ht="28.5" customHeight="1">
      <c r="B4" s="503" t="s">
        <v>1790</v>
      </c>
      <c r="C4" s="485" t="s">
        <v>1791</v>
      </c>
      <c r="D4" s="486"/>
      <c r="E4" s="506" t="s">
        <v>1792</v>
      </c>
      <c r="F4" s="507"/>
      <c r="G4" s="506" t="s">
        <v>1793</v>
      </c>
      <c r="H4" s="507"/>
      <c r="I4" s="506" t="s">
        <v>1794</v>
      </c>
      <c r="J4" s="507"/>
      <c r="L4" s="7"/>
      <c r="M4" s="7"/>
      <c r="N4" s="7"/>
    </row>
    <row r="5" spans="2:17" ht="28.5" customHeight="1">
      <c r="B5" s="504"/>
      <c r="C5" s="485" t="s">
        <v>1795</v>
      </c>
      <c r="D5" s="486"/>
      <c r="E5" s="485" t="s">
        <v>1796</v>
      </c>
      <c r="F5" s="486"/>
      <c r="G5" s="487" t="s">
        <v>1797</v>
      </c>
      <c r="H5" s="488"/>
      <c r="I5" s="489" t="s">
        <v>1798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153.30228112476451</v>
      </c>
      <c r="F6" s="492">
        <f>AVERAGE(D27:O27,D13:J13)</f>
        <v>160.03358392321121</v>
      </c>
      <c r="G6" s="493">
        <f>AVERAGE(D13:J13)</f>
        <v>160.03358392321121</v>
      </c>
      <c r="H6" s="494"/>
      <c r="I6" s="493">
        <f>AVERAGE(K13:M13)</f>
        <v>137.59590792838875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146.8089410869826</v>
      </c>
      <c r="F7" s="478">
        <f>AVERAGE(D28:O28,D14:J14)</f>
        <v>153.25299712373453</v>
      </c>
      <c r="G7" s="479">
        <f>AVERAGE(D14:J14)</f>
        <v>153.25299712373453</v>
      </c>
      <c r="H7" s="480"/>
      <c r="I7" s="479">
        <f>AVERAGE(K14:M14)</f>
        <v>131.77281033456143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0.95803586039275712</v>
      </c>
      <c r="F8" s="482">
        <f>AVERAGE(D15:J15,D29:O29)</f>
        <v>0.95818948072187093</v>
      </c>
      <c r="G8" s="483">
        <f>AVERAGE(D15:J15)</f>
        <v>0.95818948072187093</v>
      </c>
      <c r="H8" s="484"/>
      <c r="I8" s="483">
        <f>AVERAGE(K15:M15)</f>
        <v>0.95767741295815834</v>
      </c>
      <c r="J8" s="484"/>
      <c r="K8" s="8" t="s">
        <v>1799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1800</v>
      </c>
      <c r="C10" s="459"/>
      <c r="D10" s="460" t="s">
        <v>1801</v>
      </c>
      <c r="E10" s="461"/>
      <c r="F10" s="461"/>
      <c r="G10" s="461"/>
      <c r="H10" s="461"/>
      <c r="I10" s="461"/>
      <c r="J10" s="462"/>
      <c r="K10" s="463" t="s">
        <v>1802</v>
      </c>
      <c r="L10" s="464"/>
      <c r="M10" s="465"/>
      <c r="P10" s="11"/>
      <c r="Q10" s="11"/>
    </row>
    <row r="11" spans="2:17" ht="17.25" customHeight="1">
      <c r="B11" s="466" t="s">
        <v>1803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1804</v>
      </c>
      <c r="C13" s="18" t="s">
        <v>1805</v>
      </c>
      <c r="D13" s="19">
        <f>SUMIFS('1122 4度C'!$K:$K,'1122 4度C'!$A:$A,"新豐6線",'1122 4度C'!$B:$B,"平均")</f>
        <v>137.93103448275863</v>
      </c>
      <c r="E13" s="20">
        <f>SUMIFS('1122 4度C'!$K:$K,'1122 4度C'!$A:$A,"新豐2線",'1122 4度C'!$B:$B,"平均")</f>
        <v>81.081081081081081</v>
      </c>
      <c r="F13" s="21">
        <f>SUMIFS('1122 4度C'!$K:$K,'1122 4度C'!$A:$A,"新豐5線",'1122 4度C'!$B:$B,"平均")</f>
        <v>100.80645161290322</v>
      </c>
      <c r="G13" s="21">
        <f>SUMIFS('1122 4度C'!$K:$K,'1122 4度C'!$A:$A,"新豐7線",'1122 4度C'!$B:$B,"平均")</f>
        <v>114.81481481481481</v>
      </c>
      <c r="H13" s="21">
        <f>SUMIFS('1122 4度C'!$K:$K,'1122 4度C'!$A:$A,"新豐3線",'1122 4度C'!$B:$B,"平均")</f>
        <v>281.69014084507046</v>
      </c>
      <c r="I13" s="21">
        <f>SUMIFS('1122 4度C'!$K:$K,'1122 4度C'!$A:$A,"新豐1線",'1122 4度C'!$B:$B,"平均")</f>
        <v>112.24489795918367</v>
      </c>
      <c r="J13" s="22">
        <f>SUMIFS('1122 4度C'!$K:$K,'1122 4度C'!$A:$A,"新豐10線",'1122 4度C'!$B:$B,"平均")</f>
        <v>291.66666666666669</v>
      </c>
      <c r="K13" s="23">
        <f>SUMIFS('1122 4度C'!$K:$K,'1122 4度C'!$A:$A,"新豐8線",'1122 4度C'!$B:$B,"平均")</f>
        <v>130.43478260869566</v>
      </c>
      <c r="L13" s="24">
        <f>SUMIFS('1122 4度C'!$K:$K,'1122 4度C'!$A:$A,"新豐9線",'1122 4度C'!$B:$B,"平均")</f>
        <v>141.1764705882353</v>
      </c>
      <c r="M13" s="22">
        <f>SUMIFS('1122 4度C'!$K:$K,'1122 4度C'!$A:$A,"新豐4線",'1122 4度C'!$B:$B,"平均")</f>
        <v>141.1764705882353</v>
      </c>
    </row>
    <row r="14" spans="2:17" ht="39.6" customHeight="1">
      <c r="B14" s="471"/>
      <c r="C14" s="25" t="s">
        <v>1806</v>
      </c>
      <c r="D14" s="26">
        <f>SUMIFS('1122 4度C'!$N:$N,'1122 4度C'!$A:$A,"新豐6線",'1122 4度C'!$B:$B,"平均")</f>
        <v>132.54243507616832</v>
      </c>
      <c r="E14" s="27">
        <f>SUMIFS('1122 4度C'!$N:$N,'1122 4度C'!$A:$A,"新豐2線",'1122 4度C'!$B:$B,"平均")</f>
        <v>77.544996460250701</v>
      </c>
      <c r="F14" s="27">
        <f>SUMIFS('1122 4度C'!$N:$N,'1122 4度C'!$A:$A,"新豐5線",'1122 4度C'!$B:$B,"平均")</f>
        <v>97.000998524954866</v>
      </c>
      <c r="G14" s="27">
        <f>SUMIFS('1122 4度C'!$N:$N,'1122 4度C'!$A:$A,"新豐7線",'1122 4度C'!$B:$B,"平均")</f>
        <v>110.23091474743529</v>
      </c>
      <c r="H14" s="27">
        <f>SUMIFS('1122 4度C'!$N:$N,'1122 4度C'!$A:$A,"新豐3線",'1122 4度C'!$B:$B,"平均")</f>
        <v>269.2667452260086</v>
      </c>
      <c r="I14" s="27">
        <f>SUMIFS('1122 4度C'!$N:$N,'1122 4度C'!$A:$A,"新豐1線",'1122 4度C'!$B:$B,"平均")</f>
        <v>107.23807911483078</v>
      </c>
      <c r="J14" s="28">
        <f>SUMIFS('1122 4度C'!$N:$N,'1122 4度C'!$A:$A,"新豐10線",'1122 4度C'!$B:$B,"平均")</f>
        <v>278.9468107164933</v>
      </c>
      <c r="K14" s="29">
        <f>SUMIFS('1122 4度C'!$N:$N,'1122 4度C'!$A:$A,"新豐8線",'1122 4度C'!$B:$B,"平均")</f>
        <v>124.90289016864791</v>
      </c>
      <c r="L14" s="30">
        <f>SUMIFS('1122 4度C'!$N:$N,'1122 4度C'!$A:$A,"新豐9線",'1122 4度C'!$B:$B,"平均")</f>
        <v>134.71752913079254</v>
      </c>
      <c r="M14" s="28">
        <f>SUMIFS('1122 4度C'!$N:$N,'1122 4度C'!$A:$A,"新豐4線",'1122 4度C'!$B:$B,"平均")</f>
        <v>135.69801170424384</v>
      </c>
    </row>
    <row r="15" spans="2:17" ht="40.15" customHeight="1">
      <c r="B15" s="472"/>
      <c r="C15" s="31" t="s">
        <v>1807</v>
      </c>
      <c r="D15" s="32">
        <f t="shared" ref="D15:M15" si="0">D14/D13</f>
        <v>0.96093265430222019</v>
      </c>
      <c r="E15" s="33">
        <f t="shared" si="0"/>
        <v>0.95638828967642531</v>
      </c>
      <c r="F15" s="33">
        <f t="shared" si="0"/>
        <v>0.96224990536755239</v>
      </c>
      <c r="G15" s="33">
        <f t="shared" si="0"/>
        <v>0.9600757090905655</v>
      </c>
      <c r="H15" s="33">
        <f t="shared" si="0"/>
        <v>0.9558969455523304</v>
      </c>
      <c r="I15" s="33">
        <f t="shared" si="0"/>
        <v>0.95539379575031058</v>
      </c>
      <c r="J15" s="34">
        <f t="shared" si="0"/>
        <v>0.95638906531369128</v>
      </c>
      <c r="K15" s="32">
        <f t="shared" si="0"/>
        <v>0.95758882462630068</v>
      </c>
      <c r="L15" s="33">
        <f t="shared" si="0"/>
        <v>0.95424916467644716</v>
      </c>
      <c r="M15" s="34">
        <f t="shared" si="0"/>
        <v>0.96119424957172717</v>
      </c>
    </row>
    <row r="16" spans="2:17" ht="17.25" customHeight="1">
      <c r="B16" s="473" t="s">
        <v>1808</v>
      </c>
      <c r="C16" s="35" t="s">
        <v>1809</v>
      </c>
      <c r="D16" s="49">
        <f>VLOOKUP("新豐6線",'1122 4度C'!$A:$T,19,0)</f>
        <v>0.70833333333333337</v>
      </c>
      <c r="E16" s="50">
        <f>VLOOKUP("新豐2線",'1122 4度C'!$A:$T,19,0)</f>
        <v>0.20833333333333334</v>
      </c>
      <c r="F16" s="50">
        <f>VLOOKUP("新豐5線",'1122 4度C'!$A:$T,19,0)</f>
        <v>0.125</v>
      </c>
      <c r="G16" s="50">
        <f>VLOOKUP("新豐7線",'1122 4度C'!$A:$T,19,0)</f>
        <v>0.20833333333333334</v>
      </c>
      <c r="H16" s="50">
        <f>VLOOKUP("新豐3線",'1122 4度C'!$A:$T,19,0)</f>
        <v>8.3333333333333329E-2</v>
      </c>
      <c r="I16" s="50">
        <f>VLOOKUP("新豐1線",'1122 4度C'!$A:$T,19,0)</f>
        <v>0.20833333333333334</v>
      </c>
      <c r="J16" s="51">
        <f>VLOOKUP("新豐10線",'1122 4度C'!$A:$T,19,0)</f>
        <v>0.20833333333333334</v>
      </c>
      <c r="K16" s="36">
        <f>VLOOKUP("新豐8線",'1122 4度C'!$A:$T,19,0)</f>
        <v>8.3333333333333329E-2</v>
      </c>
      <c r="L16" s="37">
        <f>VLOOKUP("新豐9線",'1122 4度C'!$A:$T,19,0)</f>
        <v>8.3333333333333329E-2</v>
      </c>
      <c r="M16" s="38">
        <f>VLOOKUP("新豐4線",'1122 4度C'!$A:$T,19,0)</f>
        <v>8.3333333333333329E-2</v>
      </c>
    </row>
    <row r="17" spans="2:13" ht="17.25" customHeight="1">
      <c r="B17" s="474"/>
      <c r="C17" s="35" t="s">
        <v>1810</v>
      </c>
      <c r="D17" s="36">
        <f>LOOKUP(2,1/(('1122 4度C'!$A:$A="新豐6線")*('1122 4度C'!$T:$T&lt;&gt;"")),'1122 4度C'!$T:$T)</f>
        <v>0.92361111111111094</v>
      </c>
      <c r="E17" s="50">
        <f>LOOKUP(2,1/(('1122 4度C'!$A:$A="新豐2線")*('1122 4度C'!$T:$T&lt;&gt;"")),'1122 4度C'!$T:$T)</f>
        <v>0.40555555555555556</v>
      </c>
      <c r="F17" s="50">
        <f>LOOKUP(2,1/(('1122 4度C'!$A:$A="新豐5線")*('1122 4度C'!$T:$T&lt;&gt;"")),'1122 4度C'!$T:$T)</f>
        <v>0.92986111111111103</v>
      </c>
      <c r="G17" s="50">
        <f>LOOKUP(2,1/(('1122 4度C'!$A:$A="新豐7線")*('1122 4度C'!$T:$T&lt;&gt;"")),'1122 4度C'!$T:$T)</f>
        <v>0.85347222222222219</v>
      </c>
      <c r="H17" s="50">
        <f>LOOKUP(2,1/(('1122 4度C'!$A:$A="新豐3線")*('1122 4度C'!$T:$T&lt;&gt;"")),'1122 4度C'!$T:$T)</f>
        <v>0.49791666666666656</v>
      </c>
      <c r="I17" s="50">
        <f>LOOKUP(2,1/(('1122 4度C'!$A:$A="新豐1線")*('1122 4度C'!$T:$T&lt;&gt;"")),'1122 4度C'!$T:$T)</f>
        <v>0.93055555555555558</v>
      </c>
      <c r="J17" s="51">
        <f>LOOKUP(2,1/(('1122 4度C'!$A:$A="新豐10線")*('1122 4度C'!$T:$T&lt;&gt;"")),'1122 4度C'!$T:$T)</f>
        <v>0.4194444444444444</v>
      </c>
      <c r="K17" s="49">
        <f>LOOKUP(2,1/(('1122 4度C'!$A:$A="新豐8線")*('1122 4度C'!$T:$T&lt;&gt;"")),'1122 4度C'!$T:$T)</f>
        <v>0.52430555555555558</v>
      </c>
      <c r="L17" s="50">
        <f>LOOKUP(2,1/(('1122 4度C'!$A:$A="新豐9線")*('1122 4度C'!$T:$T&lt;&gt;"")),'1122 4度C'!$T:$T)</f>
        <v>0.51874999999999993</v>
      </c>
      <c r="M17" s="51">
        <f>LOOKUP(2,1/(('1122 4度C'!$A:$A="新豐4線")*('1122 4度C'!$T:$T&lt;&gt;"")),'1122 4度C'!$T:$T)</f>
        <v>0.47777777777777769</v>
      </c>
    </row>
    <row r="18" spans="2:13" ht="17.25" customHeight="1">
      <c r="B18" s="452" t="s">
        <v>1811</v>
      </c>
      <c r="C18" s="453"/>
      <c r="D18" s="39">
        <f>SUMIFS('1122 4度C'!$I:$I,'1122 4度C'!$A:$A,"新豐6線",'1122 4度C'!$B:$B,"平均")</f>
        <v>14.5</v>
      </c>
      <c r="E18" s="40">
        <f>SUMIFS('1122 4度C'!$I:$I,'1122 4度C'!$A:$A,"新豐2線",'1122 4度C'!$B:$B,"平均")</f>
        <v>18.5</v>
      </c>
      <c r="F18" s="40">
        <f>SUMIFS('1122 4度C'!$I:$I,'1122 4度C'!$A:$A,"新豐5線",'1122 4度C'!$B:$B,"平均")</f>
        <v>17.714285714285715</v>
      </c>
      <c r="G18" s="40">
        <f>SUMIFS('1122 4度C'!$I:$I,'1122 4度C'!$A:$A,"新豐7線",'1122 4度C'!$B:$B,"平均")</f>
        <v>16.875</v>
      </c>
      <c r="H18" s="40">
        <f>SUMIFS('1122 4度C'!$I:$I,'1122 4度C'!$A:$A,"新豐3線",'1122 4度C'!$B:$B,"平均")</f>
        <v>10.142857142857142</v>
      </c>
      <c r="I18" s="40">
        <f>SUMIFS('1122 4度C'!$I:$I,'1122 4度C'!$A:$A,"新豐1線",'1122 4度C'!$B:$B,"平均")</f>
        <v>16.333333333333332</v>
      </c>
      <c r="J18" s="41">
        <f>SUMIFS('1122 4度C'!$I:$I,'1122 4度C'!$A:$A,"新豐10線",'1122 4度C'!$B:$B,"平均")</f>
        <v>9</v>
      </c>
      <c r="K18" s="39">
        <f>SUMIFS('1122 4度C'!$I:$I,'1122 4度C'!$A:$A,"新豐8線",'1122 4度C'!$B:$B,"平均")</f>
        <v>18.399999999999999</v>
      </c>
      <c r="L18" s="40">
        <f>SUMIFS('1122 4度C'!$I:$I,'1122 4度C'!$A:$A,"新豐9線",'1122 4度C'!$B:$B,"平均")</f>
        <v>17</v>
      </c>
      <c r="M18" s="41">
        <f>SUMIFS('1122 4度C'!$I:$I,'1122 4度C'!$A:$A,"新豐4線",'1122 4度C'!$B:$B,"平均")</f>
        <v>17</v>
      </c>
    </row>
    <row r="19" spans="2:13" ht="17.25" customHeight="1">
      <c r="B19" s="452" t="s">
        <v>1812</v>
      </c>
      <c r="C19" s="453"/>
      <c r="D19" s="42" t="s">
        <v>65</v>
      </c>
      <c r="E19" s="43" t="s">
        <v>66</v>
      </c>
      <c r="F19" s="43" t="s">
        <v>1813</v>
      </c>
      <c r="G19" s="43" t="s">
        <v>1813</v>
      </c>
      <c r="H19" s="43" t="s">
        <v>67</v>
      </c>
      <c r="I19" s="43" t="s">
        <v>65</v>
      </c>
      <c r="J19" s="44" t="s">
        <v>67</v>
      </c>
      <c r="K19" s="42" t="s">
        <v>1814</v>
      </c>
      <c r="L19" s="43" t="s">
        <v>1814</v>
      </c>
      <c r="M19" s="44" t="s">
        <v>1814</v>
      </c>
    </row>
    <row r="20" spans="2:13" ht="17.25" customHeight="1">
      <c r="B20" s="452" t="s">
        <v>1815</v>
      </c>
      <c r="C20" s="453"/>
      <c r="D20" s="42"/>
      <c r="E20" s="43"/>
      <c r="F20" s="43" t="s">
        <v>1816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1817</v>
      </c>
      <c r="C21" s="455"/>
      <c r="D21" s="45"/>
      <c r="E21" s="46" t="s">
        <v>1818</v>
      </c>
      <c r="F21" s="456" t="s">
        <v>1819</v>
      </c>
      <c r="G21" s="457"/>
      <c r="H21" s="46" t="s">
        <v>1820</v>
      </c>
      <c r="I21" s="46" t="s">
        <v>1821</v>
      </c>
      <c r="J21" s="47" t="s">
        <v>1820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82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0"/>
  <sheetViews>
    <sheetView zoomScale="80" zoomScaleNormal="80" workbookViewId="0">
      <pane ySplit="4" topLeftCell="A23" activePane="bottomLeft" state="frozen"/>
      <selection activeCell="A23" sqref="A23"/>
      <selection pane="bottomLeft" activeCell="A21" sqref="A21:A2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1822</v>
      </c>
      <c r="B1" s="52"/>
      <c r="C1" s="53" t="s">
        <v>1823</v>
      </c>
      <c r="D1" s="54">
        <f>SUM(F5:F69)</f>
        <v>152457</v>
      </c>
      <c r="E1" s="338" t="s">
        <v>1824</v>
      </c>
      <c r="F1" s="52">
        <f>SUM(G5:G69)</f>
        <v>5318052.330000001</v>
      </c>
      <c r="G1" s="52" t="s">
        <v>1825</v>
      </c>
      <c r="H1" s="55">
        <f>L9+L12+L49+L56+L20+L61+L35+L41+L29+L69</f>
        <v>155.46547619047618</v>
      </c>
      <c r="I1" s="556" t="s">
        <v>1826</v>
      </c>
      <c r="J1" s="556"/>
      <c r="K1" s="556"/>
      <c r="L1" s="556" t="s">
        <v>1827</v>
      </c>
      <c r="M1" s="556"/>
      <c r="N1" s="556"/>
      <c r="O1" s="556" t="s">
        <v>1828</v>
      </c>
      <c r="P1" s="556"/>
      <c r="Q1" s="556"/>
      <c r="R1" s="556"/>
      <c r="S1" s="556" t="s">
        <v>1829</v>
      </c>
      <c r="T1" s="556"/>
      <c r="U1" s="556"/>
      <c r="V1" s="556"/>
      <c r="W1" s="556"/>
      <c r="X1" s="556"/>
      <c r="Y1" s="556" t="s">
        <v>1830</v>
      </c>
      <c r="Z1" s="556"/>
      <c r="AA1" s="556" t="s">
        <v>1831</v>
      </c>
      <c r="AB1" s="557"/>
      <c r="AC1" s="557"/>
    </row>
    <row r="2" spans="1:29" ht="26.25" customHeight="1">
      <c r="A2" s="57">
        <v>45983</v>
      </c>
      <c r="B2" s="58" t="s">
        <v>72</v>
      </c>
      <c r="C2" s="53" t="s">
        <v>1804</v>
      </c>
      <c r="D2" s="59">
        <f>AVERAGE(N9,N12,N49,N56,N20,N61,N29,N35,N41,N69)</f>
        <v>146.8089410869826</v>
      </c>
      <c r="E2" s="60" t="s">
        <v>0</v>
      </c>
      <c r="F2" s="61">
        <f>F1/D1</f>
        <v>34.882309962809195</v>
      </c>
      <c r="G2" s="52" t="s">
        <v>1832</v>
      </c>
      <c r="H2" s="348">
        <f>COUNT(H5:H69)</f>
        <v>3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1833</v>
      </c>
      <c r="B3" s="510" t="s">
        <v>1834</v>
      </c>
      <c r="C3" s="510" t="s">
        <v>1835</v>
      </c>
      <c r="D3" s="510"/>
      <c r="E3" s="554" t="s">
        <v>1836</v>
      </c>
      <c r="F3" s="510" t="s">
        <v>1837</v>
      </c>
      <c r="G3" s="554" t="s">
        <v>1838</v>
      </c>
      <c r="H3" s="547" t="s">
        <v>1839</v>
      </c>
      <c r="I3" s="545" t="s">
        <v>1840</v>
      </c>
      <c r="J3" s="550" t="s">
        <v>1841</v>
      </c>
      <c r="K3" s="552" t="s">
        <v>1804</v>
      </c>
      <c r="L3" s="545" t="s">
        <v>1840</v>
      </c>
      <c r="M3" s="550" t="s">
        <v>1841</v>
      </c>
      <c r="N3" s="552" t="s">
        <v>1804</v>
      </c>
      <c r="O3" s="545" t="s">
        <v>1840</v>
      </c>
      <c r="P3" s="552" t="s">
        <v>1804</v>
      </c>
      <c r="Q3" s="551" t="s">
        <v>1842</v>
      </c>
      <c r="R3" s="523" t="s">
        <v>1843</v>
      </c>
      <c r="S3" s="553" t="s">
        <v>1</v>
      </c>
      <c r="T3" s="553"/>
      <c r="U3" s="547" t="s">
        <v>2</v>
      </c>
      <c r="V3" s="547" t="s">
        <v>1844</v>
      </c>
      <c r="W3" s="510" t="s">
        <v>1845</v>
      </c>
      <c r="X3" s="510"/>
      <c r="Y3" s="548" t="s">
        <v>1846</v>
      </c>
      <c r="Z3" s="549"/>
      <c r="AA3" s="550" t="s">
        <v>1847</v>
      </c>
      <c r="AB3" s="551" t="s">
        <v>1848</v>
      </c>
      <c r="AC3" s="523" t="s">
        <v>1849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47" t="s">
        <v>3</v>
      </c>
      <c r="T4" s="347" t="s">
        <v>4</v>
      </c>
      <c r="U4" s="547"/>
      <c r="V4" s="547"/>
      <c r="W4" s="338" t="s">
        <v>1850</v>
      </c>
      <c r="X4" s="338" t="s">
        <v>1851</v>
      </c>
      <c r="Y4" s="549"/>
      <c r="Z4" s="549"/>
      <c r="AA4" s="550"/>
      <c r="AB4" s="551"/>
      <c r="AC4" s="523"/>
    </row>
    <row r="5" spans="1:29">
      <c r="A5" s="544" t="s">
        <v>1852</v>
      </c>
      <c r="B5" s="62" t="s">
        <v>6</v>
      </c>
      <c r="C5" s="546" t="s">
        <v>9</v>
      </c>
      <c r="D5" s="546"/>
      <c r="E5" s="62">
        <v>50.67</v>
      </c>
      <c r="F5" s="347">
        <v>1765</v>
      </c>
      <c r="G5" s="338">
        <f t="shared" ref="G5:G8" si="0">E5*F5</f>
        <v>89432.55</v>
      </c>
      <c r="H5" s="90" t="s">
        <v>5</v>
      </c>
      <c r="I5" s="345">
        <v>17</v>
      </c>
      <c r="J5" s="63">
        <v>2000</v>
      </c>
      <c r="K5" s="64">
        <f t="shared" ref="K5:K68" si="1">J5/I5</f>
        <v>117.64705882352941</v>
      </c>
      <c r="L5" s="345">
        <v>17</v>
      </c>
      <c r="M5" s="65">
        <f t="shared" ref="M5:M8" si="2">F5/V5*60</f>
        <v>1925.4545454545469</v>
      </c>
      <c r="N5" s="64">
        <f t="shared" ref="N5:N68" si="3">M5/L5</f>
        <v>113.26203208556159</v>
      </c>
      <c r="O5" s="66">
        <f t="shared" ref="O5:O68" si="4">L5-I5</f>
        <v>0</v>
      </c>
      <c r="P5" s="67">
        <f t="shared" ref="P5:P68" si="5">N5-K5</f>
        <v>-4.3850267379678201</v>
      </c>
      <c r="Q5" s="339">
        <f t="shared" ref="Q5:Q68" si="6">N5/K5</f>
        <v>0.96272727272727354</v>
      </c>
      <c r="R5" s="511">
        <f>Q9</f>
        <v>0.96093265430222019</v>
      </c>
      <c r="S5" s="68">
        <v>0.70833333333333337</v>
      </c>
      <c r="T5" s="68">
        <v>0.74652777777777779</v>
      </c>
      <c r="U5" s="338"/>
      <c r="V5" s="346">
        <f t="shared" ref="V5:V8" si="7">(T5-S5)*24*60</f>
        <v>54.999999999999964</v>
      </c>
      <c r="W5" s="69"/>
      <c r="X5" s="70"/>
      <c r="Y5" s="510"/>
      <c r="Z5" s="510"/>
      <c r="AA5" s="66">
        <f t="shared" ref="AA5:AA68" si="8">M5-J5</f>
        <v>-74.54545454545314</v>
      </c>
      <c r="AB5" s="339">
        <f t="shared" ref="AB5:AB68" si="9">M5/J5</f>
        <v>0.96272727272727343</v>
      </c>
      <c r="AC5" s="511">
        <f>AB9</f>
        <v>0.9609326543022203</v>
      </c>
    </row>
    <row r="6" spans="1:29">
      <c r="A6" s="545" t="s">
        <v>1853</v>
      </c>
      <c r="B6" s="62" t="s">
        <v>6</v>
      </c>
      <c r="C6" s="546" t="s">
        <v>8</v>
      </c>
      <c r="D6" s="546"/>
      <c r="E6" s="62">
        <v>50.49</v>
      </c>
      <c r="F6" s="347">
        <v>2085</v>
      </c>
      <c r="G6" s="338">
        <f t="shared" si="0"/>
        <v>105271.65000000001</v>
      </c>
      <c r="H6" s="90" t="s">
        <v>5</v>
      </c>
      <c r="I6" s="345">
        <v>15</v>
      </c>
      <c r="J6" s="63">
        <v>2000</v>
      </c>
      <c r="K6" s="64">
        <f t="shared" si="1"/>
        <v>133.33333333333334</v>
      </c>
      <c r="L6" s="345">
        <v>15</v>
      </c>
      <c r="M6" s="65">
        <f t="shared" si="2"/>
        <v>1924.6153846153866</v>
      </c>
      <c r="N6" s="64">
        <f t="shared" si="3"/>
        <v>128.30769230769243</v>
      </c>
      <c r="O6" s="66">
        <f t="shared" si="4"/>
        <v>0</v>
      </c>
      <c r="P6" s="67">
        <f t="shared" si="5"/>
        <v>-5.0256410256409083</v>
      </c>
      <c r="Q6" s="339">
        <f t="shared" si="6"/>
        <v>0.9623076923076932</v>
      </c>
      <c r="R6" s="511"/>
      <c r="S6" s="68">
        <v>0.75138888888888888</v>
      </c>
      <c r="T6" s="68">
        <v>0.79652777777777772</v>
      </c>
      <c r="U6" s="338">
        <f t="shared" ref="U6:U8" si="10">IF(S6=TIME(17,0,0),"",(S6-T5)*24*60)</f>
        <v>6.9999999999999751</v>
      </c>
      <c r="V6" s="346">
        <f t="shared" si="7"/>
        <v>64.999999999999929</v>
      </c>
      <c r="W6" s="69"/>
      <c r="X6" s="69"/>
      <c r="Y6" s="510"/>
      <c r="Z6" s="510"/>
      <c r="AA6" s="66">
        <f t="shared" si="8"/>
        <v>-75.384615384613426</v>
      </c>
      <c r="AB6" s="339">
        <f t="shared" si="9"/>
        <v>0.96230769230769331</v>
      </c>
      <c r="AC6" s="511"/>
    </row>
    <row r="7" spans="1:29">
      <c r="A7" s="545" t="s">
        <v>1853</v>
      </c>
      <c r="B7" s="62" t="s">
        <v>6</v>
      </c>
      <c r="C7" s="539" t="s">
        <v>886</v>
      </c>
      <c r="D7" s="540"/>
      <c r="E7" s="62">
        <v>57.3</v>
      </c>
      <c r="F7" s="347">
        <v>1600</v>
      </c>
      <c r="G7" s="338">
        <f t="shared" si="0"/>
        <v>91680</v>
      </c>
      <c r="H7" s="90">
        <v>2</v>
      </c>
      <c r="I7" s="345">
        <v>13</v>
      </c>
      <c r="J7" s="63">
        <v>2000</v>
      </c>
      <c r="K7" s="64">
        <f t="shared" si="1"/>
        <v>153.84615384615384</v>
      </c>
      <c r="L7" s="345">
        <v>13</v>
      </c>
      <c r="M7" s="65">
        <f t="shared" si="2"/>
        <v>1920.0000000000005</v>
      </c>
      <c r="N7" s="64">
        <f t="shared" si="3"/>
        <v>147.69230769230774</v>
      </c>
      <c r="O7" s="66">
        <f t="shared" si="4"/>
        <v>0</v>
      </c>
      <c r="P7" s="67">
        <f t="shared" si="5"/>
        <v>-6.1538461538461036</v>
      </c>
      <c r="Q7" s="339">
        <f t="shared" si="6"/>
        <v>0.9600000000000003</v>
      </c>
      <c r="R7" s="511"/>
      <c r="S7" s="68">
        <v>0.80069444444444438</v>
      </c>
      <c r="T7" s="68">
        <v>0.83541666666666659</v>
      </c>
      <c r="U7" s="338">
        <f t="shared" si="10"/>
        <v>5.9999999999999787</v>
      </c>
      <c r="V7" s="346">
        <f t="shared" si="7"/>
        <v>49.999999999999986</v>
      </c>
      <c r="W7" s="69">
        <f>T7</f>
        <v>0.83541666666666659</v>
      </c>
      <c r="X7" s="69">
        <f>S8</f>
        <v>0.87569444444444433</v>
      </c>
      <c r="Y7" s="517"/>
      <c r="Z7" s="518"/>
      <c r="AA7" s="66">
        <f t="shared" si="8"/>
        <v>-79.999999999999545</v>
      </c>
      <c r="AB7" s="339">
        <f t="shared" si="9"/>
        <v>0.96000000000000019</v>
      </c>
      <c r="AC7" s="511"/>
    </row>
    <row r="8" spans="1:29">
      <c r="A8" s="545" t="s">
        <v>1853</v>
      </c>
      <c r="B8" s="62" t="s">
        <v>6</v>
      </c>
      <c r="C8" s="539" t="s">
        <v>886</v>
      </c>
      <c r="D8" s="540"/>
      <c r="E8" s="62">
        <v>57.3</v>
      </c>
      <c r="F8" s="347">
        <v>2205</v>
      </c>
      <c r="G8" s="338">
        <f t="shared" si="0"/>
        <v>126346.5</v>
      </c>
      <c r="H8" s="90" t="s">
        <v>5</v>
      </c>
      <c r="I8" s="345">
        <v>13</v>
      </c>
      <c r="J8" s="63">
        <v>2000</v>
      </c>
      <c r="K8" s="64">
        <f t="shared" si="1"/>
        <v>153.84615384615384</v>
      </c>
      <c r="L8" s="345">
        <v>13</v>
      </c>
      <c r="M8" s="65">
        <f t="shared" si="2"/>
        <v>1917.3913043478283</v>
      </c>
      <c r="N8" s="64">
        <f t="shared" si="3"/>
        <v>147.4916387959868</v>
      </c>
      <c r="O8" s="66">
        <f t="shared" si="4"/>
        <v>0</v>
      </c>
      <c r="P8" s="67">
        <f t="shared" si="5"/>
        <v>-6.3545150501670378</v>
      </c>
      <c r="Q8" s="339">
        <f t="shared" si="6"/>
        <v>0.95869565217391428</v>
      </c>
      <c r="R8" s="511"/>
      <c r="S8" s="68">
        <v>0.87569444444444433</v>
      </c>
      <c r="T8" s="68">
        <v>0.92361111111111094</v>
      </c>
      <c r="U8" s="338">
        <f t="shared" si="10"/>
        <v>57.999999999999957</v>
      </c>
      <c r="V8" s="346">
        <f t="shared" si="7"/>
        <v>68.999999999999915</v>
      </c>
      <c r="W8" s="73"/>
      <c r="X8" s="73"/>
      <c r="Y8" s="517"/>
      <c r="Z8" s="518"/>
      <c r="AA8" s="66">
        <f t="shared" si="8"/>
        <v>-82.608695652171718</v>
      </c>
      <c r="AB8" s="339">
        <f t="shared" si="9"/>
        <v>0.95869565217391417</v>
      </c>
      <c r="AC8" s="511"/>
    </row>
    <row r="9" spans="1:29">
      <c r="A9" s="545" t="s">
        <v>1853</v>
      </c>
      <c r="B9" s="62" t="s">
        <v>1854</v>
      </c>
      <c r="C9" s="513"/>
      <c r="D9" s="513"/>
      <c r="E9" s="340"/>
      <c r="F9" s="71"/>
      <c r="G9" s="64"/>
      <c r="H9" s="347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1921.8653086044405</v>
      </c>
      <c r="N9" s="64">
        <f t="shared" si="3"/>
        <v>132.54243507616832</v>
      </c>
      <c r="O9" s="66">
        <f t="shared" si="4"/>
        <v>0</v>
      </c>
      <c r="P9" s="67">
        <f t="shared" si="5"/>
        <v>-5.3885994065903162</v>
      </c>
      <c r="Q9" s="339">
        <f t="shared" si="6"/>
        <v>0.96093265430222019</v>
      </c>
      <c r="R9" s="511"/>
      <c r="S9" s="68"/>
      <c r="T9" s="68"/>
      <c r="U9" s="338"/>
      <c r="V9" s="346"/>
      <c r="W9" s="64"/>
      <c r="X9" s="64"/>
      <c r="Y9" s="510"/>
      <c r="Z9" s="510"/>
      <c r="AA9" s="66">
        <f t="shared" si="8"/>
        <v>-78.134691395559457</v>
      </c>
      <c r="AB9" s="339">
        <f t="shared" si="9"/>
        <v>0.9609326543022203</v>
      </c>
      <c r="AC9" s="511"/>
    </row>
    <row r="10" spans="1:29" ht="15.75" customHeight="1">
      <c r="A10" s="543" t="s">
        <v>1855</v>
      </c>
      <c r="B10" s="62" t="s">
        <v>10</v>
      </c>
      <c r="C10" s="539" t="s">
        <v>12</v>
      </c>
      <c r="D10" s="540"/>
      <c r="E10" s="62">
        <v>39.36</v>
      </c>
      <c r="F10" s="347">
        <v>1415</v>
      </c>
      <c r="G10" s="338">
        <f t="shared" ref="G10:G11" si="11">E10*F10</f>
        <v>55694.400000000001</v>
      </c>
      <c r="H10" s="90" t="s">
        <v>5</v>
      </c>
      <c r="I10" s="345">
        <v>20</v>
      </c>
      <c r="J10" s="63">
        <v>1500</v>
      </c>
      <c r="K10" s="64">
        <f t="shared" si="1"/>
        <v>75</v>
      </c>
      <c r="L10" s="345">
        <v>20</v>
      </c>
      <c r="M10" s="65">
        <f t="shared" ref="M10:M11" si="12">F10/V10*60</f>
        <v>1438.9830508474579</v>
      </c>
      <c r="N10" s="64">
        <f t="shared" si="3"/>
        <v>71.9491525423729</v>
      </c>
      <c r="O10" s="66">
        <f t="shared" si="4"/>
        <v>0</v>
      </c>
      <c r="P10" s="67">
        <f t="shared" si="5"/>
        <v>-3.0508474576270999</v>
      </c>
      <c r="Q10" s="339">
        <f t="shared" si="6"/>
        <v>0.95932203389830528</v>
      </c>
      <c r="R10" s="511">
        <f>Q12</f>
        <v>0.95638828967642531</v>
      </c>
      <c r="S10" s="68">
        <v>0.20833333333333334</v>
      </c>
      <c r="T10" s="68">
        <v>0.24930555555555556</v>
      </c>
      <c r="U10" s="338"/>
      <c r="V10" s="346">
        <f t="shared" ref="V10:V11" si="13">(T10-S10)*24*60</f>
        <v>58.999999999999993</v>
      </c>
      <c r="W10" s="69"/>
      <c r="X10" s="69"/>
      <c r="Y10" s="510"/>
      <c r="Z10" s="510"/>
      <c r="AA10" s="66">
        <f t="shared" si="8"/>
        <v>-61.016949152542111</v>
      </c>
      <c r="AB10" s="339">
        <f t="shared" si="9"/>
        <v>0.95932203389830528</v>
      </c>
      <c r="AC10" s="511">
        <f>AB12</f>
        <v>0.95638828967642531</v>
      </c>
    </row>
    <row r="11" spans="1:29" ht="15.75" customHeight="1">
      <c r="A11" s="543" t="s">
        <v>1855</v>
      </c>
      <c r="B11" s="62" t="s">
        <v>10</v>
      </c>
      <c r="C11" s="539" t="s">
        <v>11</v>
      </c>
      <c r="D11" s="540"/>
      <c r="E11" s="62">
        <v>39.799999999999997</v>
      </c>
      <c r="F11" s="347">
        <v>5244</v>
      </c>
      <c r="G11" s="338">
        <f t="shared" si="11"/>
        <v>208711.19999999998</v>
      </c>
      <c r="H11" s="90" t="s">
        <v>5</v>
      </c>
      <c r="I11" s="345">
        <v>17</v>
      </c>
      <c r="J11" s="63">
        <v>1500</v>
      </c>
      <c r="K11" s="64">
        <f t="shared" si="1"/>
        <v>88.235294117647058</v>
      </c>
      <c r="L11" s="345">
        <v>17</v>
      </c>
      <c r="M11" s="65">
        <f t="shared" si="12"/>
        <v>1430.181818181818</v>
      </c>
      <c r="N11" s="64">
        <f t="shared" si="3"/>
        <v>84.128342245989302</v>
      </c>
      <c r="O11" s="66">
        <f t="shared" si="4"/>
        <v>0</v>
      </c>
      <c r="P11" s="67">
        <f t="shared" si="5"/>
        <v>-4.1069518716577562</v>
      </c>
      <c r="Q11" s="339">
        <f t="shared" si="6"/>
        <v>0.95345454545454544</v>
      </c>
      <c r="R11" s="511"/>
      <c r="S11" s="68">
        <v>0.25277777777777777</v>
      </c>
      <c r="T11" s="68">
        <v>0.40555555555555556</v>
      </c>
      <c r="U11" s="338">
        <f t="shared" ref="U11" si="14">IF(S11=TIME(17,0,0),"",(S11-T10)*24*60)</f>
        <v>4.9999999999999822</v>
      </c>
      <c r="V11" s="346">
        <f t="shared" si="13"/>
        <v>220.00000000000003</v>
      </c>
      <c r="W11" s="69"/>
      <c r="X11" s="69"/>
      <c r="Y11" s="510"/>
      <c r="Z11" s="510"/>
      <c r="AA11" s="66">
        <f t="shared" si="8"/>
        <v>-69.818181818181984</v>
      </c>
      <c r="AB11" s="339">
        <f t="shared" si="9"/>
        <v>0.95345454545454533</v>
      </c>
      <c r="AC11" s="511"/>
    </row>
    <row r="12" spans="1:29" ht="16.5" customHeight="1">
      <c r="A12" s="543" t="s">
        <v>1855</v>
      </c>
      <c r="B12" s="62" t="s">
        <v>1854</v>
      </c>
      <c r="C12" s="513"/>
      <c r="D12" s="513"/>
      <c r="E12" s="340"/>
      <c r="F12" s="63"/>
      <c r="G12" s="65"/>
      <c r="H12" s="347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1434.582434514638</v>
      </c>
      <c r="N12" s="64">
        <f t="shared" si="3"/>
        <v>77.544996460250701</v>
      </c>
      <c r="O12" s="66">
        <f t="shared" si="4"/>
        <v>0</v>
      </c>
      <c r="P12" s="67">
        <f t="shared" si="5"/>
        <v>-3.5360846208303798</v>
      </c>
      <c r="Q12" s="339">
        <f t="shared" si="6"/>
        <v>0.95638828967642531</v>
      </c>
      <c r="R12" s="511"/>
      <c r="S12" s="68"/>
      <c r="T12" s="68"/>
      <c r="U12" s="64"/>
      <c r="V12" s="346"/>
      <c r="W12" s="64"/>
      <c r="X12" s="64"/>
      <c r="Y12" s="510"/>
      <c r="Z12" s="510"/>
      <c r="AA12" s="66">
        <f t="shared" si="8"/>
        <v>-65.417565485362047</v>
      </c>
      <c r="AB12" s="339">
        <f t="shared" si="9"/>
        <v>0.95638828967642531</v>
      </c>
      <c r="AC12" s="511"/>
    </row>
    <row r="13" spans="1:29" ht="16.5" customHeight="1">
      <c r="A13" s="541" t="s">
        <v>1856</v>
      </c>
      <c r="B13" s="347" t="s">
        <v>13</v>
      </c>
      <c r="C13" s="533" t="s">
        <v>14</v>
      </c>
      <c r="D13" s="533"/>
      <c r="E13" s="62">
        <v>41</v>
      </c>
      <c r="F13" s="347">
        <v>2288</v>
      </c>
      <c r="G13" s="338">
        <f t="shared" ref="G13:G19" si="15">E13*F13</f>
        <v>93808</v>
      </c>
      <c r="H13" s="90" t="s">
        <v>5</v>
      </c>
      <c r="I13" s="345">
        <v>26</v>
      </c>
      <c r="J13" s="63">
        <v>1500</v>
      </c>
      <c r="K13" s="64">
        <f t="shared" si="1"/>
        <v>57.692307692307693</v>
      </c>
      <c r="L13" s="345">
        <v>26</v>
      </c>
      <c r="M13" s="65">
        <f t="shared" ref="M13:M19" si="16">F13/V13*60</f>
        <v>1430.0000000000005</v>
      </c>
      <c r="N13" s="64">
        <f t="shared" si="3"/>
        <v>55.000000000000014</v>
      </c>
      <c r="O13" s="66">
        <f t="shared" si="4"/>
        <v>0</v>
      </c>
      <c r="P13" s="67">
        <f t="shared" si="5"/>
        <v>-2.6923076923076792</v>
      </c>
      <c r="Q13" s="339">
        <f t="shared" si="6"/>
        <v>0.95333333333333359</v>
      </c>
      <c r="R13" s="511">
        <f>Q20</f>
        <v>0.96224990536755239</v>
      </c>
      <c r="S13" s="68">
        <v>0.125</v>
      </c>
      <c r="T13" s="68">
        <v>0.19166666666666665</v>
      </c>
      <c r="U13" s="338"/>
      <c r="V13" s="346">
        <f t="shared" ref="V13:V19" si="17">(T13-S13)*24*60</f>
        <v>95.999999999999972</v>
      </c>
      <c r="W13" s="69">
        <f>T13</f>
        <v>0.19166666666666665</v>
      </c>
      <c r="X13" s="69">
        <f>S14</f>
        <v>0.21319444444444444</v>
      </c>
      <c r="Y13" s="510"/>
      <c r="Z13" s="510"/>
      <c r="AA13" s="66">
        <f t="shared" si="8"/>
        <v>-69.999999999999545</v>
      </c>
      <c r="AB13" s="339">
        <f t="shared" si="9"/>
        <v>0.95333333333333359</v>
      </c>
      <c r="AC13" s="511">
        <f>AB20</f>
        <v>0.96224990536755228</v>
      </c>
    </row>
    <row r="14" spans="1:29" ht="16.5" customHeight="1">
      <c r="A14" s="542" t="s">
        <v>1856</v>
      </c>
      <c r="B14" s="347" t="s">
        <v>10</v>
      </c>
      <c r="C14" s="533" t="s">
        <v>15</v>
      </c>
      <c r="D14" s="533"/>
      <c r="E14" s="62">
        <v>39.619999999999997</v>
      </c>
      <c r="F14" s="347">
        <v>3446</v>
      </c>
      <c r="G14" s="338">
        <f t="shared" si="15"/>
        <v>136530.51999999999</v>
      </c>
      <c r="H14" s="90" t="s">
        <v>5</v>
      </c>
      <c r="I14" s="345">
        <v>19</v>
      </c>
      <c r="J14" s="63">
        <v>1500</v>
      </c>
      <c r="K14" s="64">
        <f t="shared" si="1"/>
        <v>78.94736842105263</v>
      </c>
      <c r="L14" s="345">
        <v>19</v>
      </c>
      <c r="M14" s="65">
        <f t="shared" si="16"/>
        <v>1435.833333333333</v>
      </c>
      <c r="N14" s="64">
        <f t="shared" si="3"/>
        <v>75.570175438596479</v>
      </c>
      <c r="O14" s="66">
        <f t="shared" si="4"/>
        <v>0</v>
      </c>
      <c r="P14" s="67">
        <f t="shared" si="5"/>
        <v>-3.3771929824561511</v>
      </c>
      <c r="Q14" s="339">
        <f t="shared" si="6"/>
        <v>0.95722222222222209</v>
      </c>
      <c r="R14" s="511"/>
      <c r="S14" s="68">
        <v>0.21319444444444444</v>
      </c>
      <c r="T14" s="68">
        <v>0.31319444444444444</v>
      </c>
      <c r="U14" s="338">
        <f t="shared" ref="U14:U19" si="18">IF(S14=TIME(17,0,0),"",(S14-T13)*24*60)</f>
        <v>31.000000000000011</v>
      </c>
      <c r="V14" s="346">
        <f t="shared" si="17"/>
        <v>144.00000000000003</v>
      </c>
      <c r="W14" s="69"/>
      <c r="X14" s="69"/>
      <c r="Y14" s="510"/>
      <c r="Z14" s="510"/>
      <c r="AA14" s="66">
        <f t="shared" si="8"/>
        <v>-64.16666666666697</v>
      </c>
      <c r="AB14" s="339">
        <f t="shared" si="9"/>
        <v>0.95722222222222197</v>
      </c>
      <c r="AC14" s="511"/>
    </row>
    <row r="15" spans="1:29" ht="16.5" customHeight="1">
      <c r="A15" s="542" t="s">
        <v>1856</v>
      </c>
      <c r="B15" s="347" t="s">
        <v>77</v>
      </c>
      <c r="C15" s="533" t="s">
        <v>76</v>
      </c>
      <c r="D15" s="533"/>
      <c r="E15" s="62">
        <v>57.3</v>
      </c>
      <c r="F15" s="347">
        <v>845</v>
      </c>
      <c r="G15" s="338">
        <f t="shared" si="15"/>
        <v>48418.5</v>
      </c>
      <c r="H15" s="90" t="s">
        <v>5</v>
      </c>
      <c r="I15" s="345">
        <v>16</v>
      </c>
      <c r="J15" s="63">
        <v>1500</v>
      </c>
      <c r="K15" s="64">
        <f t="shared" si="1"/>
        <v>93.75</v>
      </c>
      <c r="L15" s="345">
        <v>16</v>
      </c>
      <c r="M15" s="65">
        <f t="shared" si="16"/>
        <v>1448.5714285714271</v>
      </c>
      <c r="N15" s="64">
        <f t="shared" si="3"/>
        <v>90.535714285714192</v>
      </c>
      <c r="O15" s="66">
        <f t="shared" si="4"/>
        <v>0</v>
      </c>
      <c r="P15" s="67">
        <f t="shared" si="5"/>
        <v>-3.2142857142858077</v>
      </c>
      <c r="Q15" s="339">
        <f t="shared" si="6"/>
        <v>0.96571428571428475</v>
      </c>
      <c r="R15" s="511"/>
      <c r="S15" s="68">
        <v>0.31805555555555554</v>
      </c>
      <c r="T15" s="68">
        <v>0.34236111111111112</v>
      </c>
      <c r="U15" s="338">
        <f t="shared" si="18"/>
        <v>6.9999999999999751</v>
      </c>
      <c r="V15" s="346">
        <f t="shared" si="17"/>
        <v>35.000000000000036</v>
      </c>
      <c r="W15" s="69"/>
      <c r="X15" s="69"/>
      <c r="Y15" s="510"/>
      <c r="Z15" s="510"/>
      <c r="AA15" s="66">
        <f t="shared" si="8"/>
        <v>-51.428571428572923</v>
      </c>
      <c r="AB15" s="339">
        <f t="shared" si="9"/>
        <v>0.96571428571428475</v>
      </c>
      <c r="AC15" s="511"/>
    </row>
    <row r="16" spans="1:29" ht="16.5" customHeight="1">
      <c r="A16" s="542" t="s">
        <v>1856</v>
      </c>
      <c r="B16" s="347" t="s">
        <v>6</v>
      </c>
      <c r="C16" s="533" t="s">
        <v>890</v>
      </c>
      <c r="D16" s="533"/>
      <c r="E16" s="62">
        <v>50.98</v>
      </c>
      <c r="F16" s="347">
        <v>1200</v>
      </c>
      <c r="G16" s="338">
        <f t="shared" si="15"/>
        <v>61175.999999999993</v>
      </c>
      <c r="H16" s="90">
        <v>2</v>
      </c>
      <c r="I16" s="345">
        <v>16</v>
      </c>
      <c r="J16" s="63">
        <v>2000</v>
      </c>
      <c r="K16" s="64">
        <f t="shared" si="1"/>
        <v>125</v>
      </c>
      <c r="L16" s="345">
        <v>16</v>
      </c>
      <c r="M16" s="65">
        <f t="shared" si="16"/>
        <v>1945.9459459459445</v>
      </c>
      <c r="N16" s="64">
        <f t="shared" si="3"/>
        <v>121.62162162162153</v>
      </c>
      <c r="O16" s="66">
        <f t="shared" si="4"/>
        <v>0</v>
      </c>
      <c r="P16" s="67">
        <f t="shared" si="5"/>
        <v>-3.3783783783784713</v>
      </c>
      <c r="Q16" s="339">
        <f t="shared" si="6"/>
        <v>0.97297297297297225</v>
      </c>
      <c r="R16" s="511"/>
      <c r="S16" s="68">
        <v>0.70833333333333337</v>
      </c>
      <c r="T16" s="68">
        <v>0.73402777777777783</v>
      </c>
      <c r="U16" s="338" t="str">
        <f t="shared" si="18"/>
        <v/>
      </c>
      <c r="V16" s="346">
        <f t="shared" si="17"/>
        <v>37.000000000000028</v>
      </c>
      <c r="W16" s="69"/>
      <c r="X16" s="69"/>
      <c r="Y16" s="510"/>
      <c r="Z16" s="510"/>
      <c r="AA16" s="66">
        <f t="shared" si="8"/>
        <v>-54.054054054055541</v>
      </c>
      <c r="AB16" s="339">
        <f t="shared" si="9"/>
        <v>0.97297297297297225</v>
      </c>
      <c r="AC16" s="511"/>
    </row>
    <row r="17" spans="1:29" ht="16.5" customHeight="1">
      <c r="A17" s="542" t="s">
        <v>1856</v>
      </c>
      <c r="B17" s="347" t="s">
        <v>6</v>
      </c>
      <c r="C17" s="533" t="s">
        <v>20</v>
      </c>
      <c r="D17" s="533"/>
      <c r="E17" s="62">
        <v>50.92</v>
      </c>
      <c r="F17" s="347">
        <v>3335</v>
      </c>
      <c r="G17" s="338">
        <f t="shared" si="15"/>
        <v>169818.2</v>
      </c>
      <c r="H17" s="90" t="s">
        <v>5</v>
      </c>
      <c r="I17" s="345">
        <v>15</v>
      </c>
      <c r="J17" s="63">
        <v>2000</v>
      </c>
      <c r="K17" s="64">
        <f t="shared" si="1"/>
        <v>133.33333333333334</v>
      </c>
      <c r="L17" s="345">
        <v>15</v>
      </c>
      <c r="M17" s="65">
        <f t="shared" si="16"/>
        <v>1905.7142857142869</v>
      </c>
      <c r="N17" s="64">
        <f t="shared" si="3"/>
        <v>127.04761904761912</v>
      </c>
      <c r="O17" s="66">
        <f t="shared" si="4"/>
        <v>0</v>
      </c>
      <c r="P17" s="67">
        <f t="shared" si="5"/>
        <v>-6.2857142857142208</v>
      </c>
      <c r="Q17" s="339">
        <f t="shared" si="6"/>
        <v>0.9528571428571434</v>
      </c>
      <c r="R17" s="511"/>
      <c r="S17" s="68">
        <v>0.73958333333333337</v>
      </c>
      <c r="T17" s="68">
        <v>0.8125</v>
      </c>
      <c r="U17" s="338">
        <f t="shared" si="18"/>
        <v>7.9999999999999716</v>
      </c>
      <c r="V17" s="346">
        <f t="shared" si="17"/>
        <v>104.99999999999994</v>
      </c>
      <c r="W17" s="69"/>
      <c r="X17" s="69"/>
      <c r="Y17" s="510"/>
      <c r="Z17" s="510"/>
      <c r="AA17" s="66">
        <f t="shared" si="8"/>
        <v>-94.285714285713084</v>
      </c>
      <c r="AB17" s="339">
        <f t="shared" si="9"/>
        <v>0.95285714285714351</v>
      </c>
      <c r="AC17" s="511"/>
    </row>
    <row r="18" spans="1:29" ht="16.5" customHeight="1">
      <c r="A18" s="542" t="s">
        <v>1856</v>
      </c>
      <c r="B18" s="347" t="s">
        <v>6</v>
      </c>
      <c r="C18" s="534" t="s">
        <v>7</v>
      </c>
      <c r="D18" s="535"/>
      <c r="E18" s="62">
        <v>46.93</v>
      </c>
      <c r="F18" s="347">
        <v>1105</v>
      </c>
      <c r="G18" s="338">
        <f t="shared" si="15"/>
        <v>51857.65</v>
      </c>
      <c r="H18" s="90" t="s">
        <v>5</v>
      </c>
      <c r="I18" s="345">
        <v>16</v>
      </c>
      <c r="J18" s="63">
        <v>2000</v>
      </c>
      <c r="K18" s="64">
        <f t="shared" si="1"/>
        <v>125</v>
      </c>
      <c r="L18" s="345">
        <v>16</v>
      </c>
      <c r="M18" s="65">
        <f t="shared" si="16"/>
        <v>1949.9999999999975</v>
      </c>
      <c r="N18" s="64">
        <f t="shared" si="3"/>
        <v>121.87499999999984</v>
      </c>
      <c r="O18" s="66">
        <f t="shared" si="4"/>
        <v>0</v>
      </c>
      <c r="P18" s="67">
        <f t="shared" si="5"/>
        <v>-3.1250000000001563</v>
      </c>
      <c r="Q18" s="339">
        <f t="shared" si="6"/>
        <v>0.97499999999999876</v>
      </c>
      <c r="R18" s="511"/>
      <c r="S18" s="68">
        <v>0.81805555555555554</v>
      </c>
      <c r="T18" s="68">
        <v>0.84166666666666667</v>
      </c>
      <c r="U18" s="338">
        <f t="shared" si="18"/>
        <v>7.9999999999999716</v>
      </c>
      <c r="V18" s="346">
        <f t="shared" si="17"/>
        <v>34.000000000000043</v>
      </c>
      <c r="W18" s="69">
        <f>T18</f>
        <v>0.84166666666666667</v>
      </c>
      <c r="X18" s="69">
        <f>S19</f>
        <v>0.88263888888888886</v>
      </c>
      <c r="Y18" s="517"/>
      <c r="Z18" s="518"/>
      <c r="AA18" s="66">
        <f t="shared" si="8"/>
        <v>-50.000000000002501</v>
      </c>
      <c r="AB18" s="339">
        <f t="shared" si="9"/>
        <v>0.97499999999999876</v>
      </c>
      <c r="AC18" s="511"/>
    </row>
    <row r="19" spans="1:29" ht="16.5" customHeight="1">
      <c r="A19" s="542" t="s">
        <v>1856</v>
      </c>
      <c r="B19" s="347" t="s">
        <v>6</v>
      </c>
      <c r="C19" s="343" t="s">
        <v>890</v>
      </c>
      <c r="D19" s="344"/>
      <c r="E19" s="62">
        <v>50.98</v>
      </c>
      <c r="F19" s="347">
        <v>2167</v>
      </c>
      <c r="G19" s="338">
        <f t="shared" si="15"/>
        <v>110473.65999999999</v>
      </c>
      <c r="H19" s="90" t="s">
        <v>5</v>
      </c>
      <c r="I19" s="345">
        <v>16</v>
      </c>
      <c r="J19" s="63">
        <v>2000</v>
      </c>
      <c r="K19" s="64">
        <f t="shared" si="1"/>
        <v>125</v>
      </c>
      <c r="L19" s="345">
        <v>16</v>
      </c>
      <c r="M19" s="65">
        <f t="shared" si="16"/>
        <v>1912.058823529414</v>
      </c>
      <c r="N19" s="64">
        <f t="shared" si="3"/>
        <v>119.50367647058837</v>
      </c>
      <c r="O19" s="66">
        <f t="shared" si="4"/>
        <v>0</v>
      </c>
      <c r="P19" s="67">
        <f t="shared" si="5"/>
        <v>-5.4963235294116259</v>
      </c>
      <c r="Q19" s="339">
        <f t="shared" si="6"/>
        <v>0.95602941176470702</v>
      </c>
      <c r="R19" s="511"/>
      <c r="S19" s="68">
        <v>0.88263888888888886</v>
      </c>
      <c r="T19" s="68">
        <v>0.92986111111111103</v>
      </c>
      <c r="U19" s="338">
        <f t="shared" si="18"/>
        <v>58.99999999999995</v>
      </c>
      <c r="V19" s="346">
        <f t="shared" si="17"/>
        <v>67.999999999999915</v>
      </c>
      <c r="W19" s="69"/>
      <c r="X19" s="69"/>
      <c r="Y19" s="517"/>
      <c r="Z19" s="518"/>
      <c r="AA19" s="66">
        <f t="shared" si="8"/>
        <v>-87.941176470586015</v>
      </c>
      <c r="AB19" s="339">
        <f t="shared" si="9"/>
        <v>0.95602941176470702</v>
      </c>
      <c r="AC19" s="511"/>
    </row>
    <row r="20" spans="1:29" ht="16.5" customHeight="1">
      <c r="A20" s="542" t="s">
        <v>1856</v>
      </c>
      <c r="B20" s="62" t="s">
        <v>1854</v>
      </c>
      <c r="C20" s="513"/>
      <c r="D20" s="513"/>
      <c r="E20" s="340"/>
      <c r="F20" s="71"/>
      <c r="G20" s="64"/>
      <c r="H20" s="347"/>
      <c r="I20" s="72">
        <v>17.714285714285715</v>
      </c>
      <c r="J20" s="63">
        <v>1785.7142857142858</v>
      </c>
      <c r="K20" s="64">
        <f t="shared" si="1"/>
        <v>100.80645161290322</v>
      </c>
      <c r="L20" s="72">
        <v>17.714285714285715</v>
      </c>
      <c r="M20" s="65">
        <f>AVERAGE(M13:M19)</f>
        <v>1718.3034024420576</v>
      </c>
      <c r="N20" s="64">
        <f t="shared" si="3"/>
        <v>97.000998524954866</v>
      </c>
      <c r="O20" s="66">
        <f t="shared" si="4"/>
        <v>0</v>
      </c>
      <c r="P20" s="67">
        <f t="shared" si="5"/>
        <v>-3.8054530879483508</v>
      </c>
      <c r="Q20" s="339">
        <f t="shared" si="6"/>
        <v>0.96224990536755239</v>
      </c>
      <c r="R20" s="511"/>
      <c r="S20" s="68"/>
      <c r="T20" s="68"/>
      <c r="U20" s="338"/>
      <c r="V20" s="346"/>
      <c r="W20" s="64"/>
      <c r="X20" s="64"/>
      <c r="Y20" s="510"/>
      <c r="Z20" s="510"/>
      <c r="AA20" s="66">
        <f t="shared" si="8"/>
        <v>-67.410883272228148</v>
      </c>
      <c r="AB20" s="339">
        <f t="shared" si="9"/>
        <v>0.96224990536755228</v>
      </c>
      <c r="AC20" s="511"/>
    </row>
    <row r="21" spans="1:29" ht="15.75" customHeight="1">
      <c r="A21" s="537" t="s">
        <v>1857</v>
      </c>
      <c r="B21" s="62" t="s">
        <v>13</v>
      </c>
      <c r="C21" s="533" t="s">
        <v>21</v>
      </c>
      <c r="D21" s="533"/>
      <c r="E21" s="62">
        <v>43.14</v>
      </c>
      <c r="F21" s="347">
        <v>1056</v>
      </c>
      <c r="G21" s="338">
        <f t="shared" ref="G21:G28" si="19">E21*F21</f>
        <v>45555.840000000004</v>
      </c>
      <c r="H21" s="90" t="s">
        <v>5</v>
      </c>
      <c r="I21" s="345">
        <v>17</v>
      </c>
      <c r="J21" s="63">
        <v>2000</v>
      </c>
      <c r="K21" s="64">
        <f t="shared" si="1"/>
        <v>117.64705882352941</v>
      </c>
      <c r="L21" s="345">
        <v>17</v>
      </c>
      <c r="M21" s="65">
        <f t="shared" ref="M21:M28" si="20">F21/V21*60</f>
        <v>1920</v>
      </c>
      <c r="N21" s="64">
        <f t="shared" si="3"/>
        <v>112.94117647058823</v>
      </c>
      <c r="O21" s="66">
        <f t="shared" si="4"/>
        <v>0</v>
      </c>
      <c r="P21" s="67">
        <f t="shared" si="5"/>
        <v>-4.705882352941174</v>
      </c>
      <c r="Q21" s="339">
        <f t="shared" si="6"/>
        <v>0.96</v>
      </c>
      <c r="R21" s="511">
        <f>Q29</f>
        <v>0.9600757090905655</v>
      </c>
      <c r="S21" s="68">
        <v>0.20833333333333334</v>
      </c>
      <c r="T21" s="68">
        <v>0.23125000000000001</v>
      </c>
      <c r="U21" s="338"/>
      <c r="V21" s="346">
        <f t="shared" ref="V21:V28" si="21">(T21-S21)*24*60</f>
        <v>33</v>
      </c>
      <c r="W21" s="73"/>
      <c r="X21" s="73"/>
      <c r="Y21" s="510"/>
      <c r="Z21" s="510"/>
      <c r="AA21" s="66">
        <f t="shared" si="8"/>
        <v>-80</v>
      </c>
      <c r="AB21" s="339">
        <f t="shared" si="9"/>
        <v>0.96</v>
      </c>
      <c r="AC21" s="511">
        <f>AB29</f>
        <v>0.96007570909056539</v>
      </c>
    </row>
    <row r="22" spans="1:29" ht="15.75" customHeight="1">
      <c r="A22" s="538" t="s">
        <v>1857</v>
      </c>
      <c r="B22" s="62" t="s">
        <v>77</v>
      </c>
      <c r="C22" s="533" t="s">
        <v>980</v>
      </c>
      <c r="D22" s="533"/>
      <c r="E22" s="62">
        <v>49.9</v>
      </c>
      <c r="F22" s="347">
        <v>1985</v>
      </c>
      <c r="G22" s="338">
        <f t="shared" si="19"/>
        <v>99051.5</v>
      </c>
      <c r="H22" s="90" t="s">
        <v>5</v>
      </c>
      <c r="I22" s="345">
        <v>19</v>
      </c>
      <c r="J22" s="63">
        <v>2000</v>
      </c>
      <c r="K22" s="64">
        <f t="shared" si="1"/>
        <v>105.26315789473684</v>
      </c>
      <c r="L22" s="345">
        <v>19</v>
      </c>
      <c r="M22" s="65">
        <f t="shared" si="20"/>
        <v>1920.9677419354848</v>
      </c>
      <c r="N22" s="64">
        <f t="shared" si="3"/>
        <v>101.10356536502552</v>
      </c>
      <c r="O22" s="66">
        <f t="shared" si="4"/>
        <v>0</v>
      </c>
      <c r="P22" s="67">
        <f t="shared" si="5"/>
        <v>-4.1595925297113183</v>
      </c>
      <c r="Q22" s="339">
        <f t="shared" si="6"/>
        <v>0.96048387096774246</v>
      </c>
      <c r="R22" s="511"/>
      <c r="S22" s="68">
        <v>0.23680555555555557</v>
      </c>
      <c r="T22" s="68">
        <v>0.27986111111111112</v>
      </c>
      <c r="U22" s="338">
        <f t="shared" ref="U22:U28" si="22">IF(S22=TIME(17,0,0),"",(S22-T21)*24*60)</f>
        <v>8.0000000000000107</v>
      </c>
      <c r="V22" s="346">
        <f t="shared" si="21"/>
        <v>61.999999999999979</v>
      </c>
      <c r="W22" s="69"/>
      <c r="X22" s="338"/>
      <c r="Y22" s="510"/>
      <c r="Z22" s="510"/>
      <c r="AA22" s="66">
        <f t="shared" si="8"/>
        <v>-79.03225806451519</v>
      </c>
      <c r="AB22" s="339">
        <f t="shared" si="9"/>
        <v>0.96048387096774246</v>
      </c>
      <c r="AC22" s="511"/>
    </row>
    <row r="23" spans="1:29" ht="15.75" customHeight="1">
      <c r="A23" s="538" t="s">
        <v>1857</v>
      </c>
      <c r="B23" s="62" t="s">
        <v>6</v>
      </c>
      <c r="C23" s="533" t="s">
        <v>22</v>
      </c>
      <c r="D23" s="533"/>
      <c r="E23" s="62">
        <v>57.73</v>
      </c>
      <c r="F23" s="347">
        <v>2106</v>
      </c>
      <c r="G23" s="338">
        <f t="shared" si="19"/>
        <v>121579.37999999999</v>
      </c>
      <c r="H23" s="90" t="s">
        <v>5</v>
      </c>
      <c r="I23" s="345">
        <v>14</v>
      </c>
      <c r="J23" s="63">
        <v>2000</v>
      </c>
      <c r="K23" s="64">
        <f t="shared" si="1"/>
        <v>142.85714285714286</v>
      </c>
      <c r="L23" s="345">
        <v>14</v>
      </c>
      <c r="M23" s="65">
        <f t="shared" si="20"/>
        <v>1914.5454545454545</v>
      </c>
      <c r="N23" s="64">
        <f t="shared" si="3"/>
        <v>136.75324675324674</v>
      </c>
      <c r="O23" s="66">
        <f t="shared" si="4"/>
        <v>0</v>
      </c>
      <c r="P23" s="67">
        <f t="shared" si="5"/>
        <v>-6.103896103896119</v>
      </c>
      <c r="Q23" s="339">
        <f t="shared" si="6"/>
        <v>0.95727272727272716</v>
      </c>
      <c r="R23" s="511"/>
      <c r="S23" s="68">
        <v>0.28472222222222221</v>
      </c>
      <c r="T23" s="68">
        <v>0.33055555555555555</v>
      </c>
      <c r="U23" s="338">
        <f t="shared" si="22"/>
        <v>6.9999999999999751</v>
      </c>
      <c r="V23" s="346">
        <f t="shared" si="21"/>
        <v>66</v>
      </c>
      <c r="W23" s="69"/>
      <c r="X23" s="338"/>
      <c r="Y23" s="510"/>
      <c r="Z23" s="510"/>
      <c r="AA23" s="66">
        <f t="shared" si="8"/>
        <v>-85.454545454545496</v>
      </c>
      <c r="AB23" s="339">
        <f t="shared" si="9"/>
        <v>0.95727272727272728</v>
      </c>
      <c r="AC23" s="511"/>
    </row>
    <row r="24" spans="1:29" ht="15.75" customHeight="1">
      <c r="A24" s="538" t="s">
        <v>1857</v>
      </c>
      <c r="B24" s="62" t="s">
        <v>6</v>
      </c>
      <c r="C24" s="533" t="s">
        <v>23</v>
      </c>
      <c r="D24" s="533"/>
      <c r="E24" s="62">
        <v>53.68</v>
      </c>
      <c r="F24" s="347">
        <v>1500</v>
      </c>
      <c r="G24" s="338">
        <f t="shared" si="19"/>
        <v>80520</v>
      </c>
      <c r="H24" s="90" t="s">
        <v>5</v>
      </c>
      <c r="I24" s="345">
        <v>16</v>
      </c>
      <c r="J24" s="63">
        <v>2000</v>
      </c>
      <c r="K24" s="64">
        <f t="shared" si="1"/>
        <v>125</v>
      </c>
      <c r="L24" s="345">
        <v>16</v>
      </c>
      <c r="M24" s="65">
        <f t="shared" si="20"/>
        <v>1914.8936170212769</v>
      </c>
      <c r="N24" s="64">
        <f t="shared" si="3"/>
        <v>119.68085106382981</v>
      </c>
      <c r="O24" s="66">
        <f t="shared" si="4"/>
        <v>0</v>
      </c>
      <c r="P24" s="67">
        <f t="shared" si="5"/>
        <v>-5.319148936170194</v>
      </c>
      <c r="Q24" s="339">
        <f t="shared" si="6"/>
        <v>0.95744680851063846</v>
      </c>
      <c r="R24" s="511"/>
      <c r="S24" s="68">
        <v>0.33611111111111108</v>
      </c>
      <c r="T24" s="68">
        <v>0.36874999999999997</v>
      </c>
      <c r="U24" s="338">
        <f t="shared" si="22"/>
        <v>7.9999999999999716</v>
      </c>
      <c r="V24" s="346">
        <f t="shared" si="21"/>
        <v>46.999999999999993</v>
      </c>
      <c r="W24" s="69"/>
      <c r="X24" s="338"/>
      <c r="Y24" s="510"/>
      <c r="Z24" s="510"/>
      <c r="AA24" s="66">
        <f t="shared" si="8"/>
        <v>-85.106382978723104</v>
      </c>
      <c r="AB24" s="339">
        <f t="shared" si="9"/>
        <v>0.95744680851063846</v>
      </c>
      <c r="AC24" s="511"/>
    </row>
    <row r="25" spans="1:29" ht="15.75" customHeight="1">
      <c r="A25" s="538" t="s">
        <v>1857</v>
      </c>
      <c r="B25" s="62" t="s">
        <v>6</v>
      </c>
      <c r="C25" s="533" t="s">
        <v>971</v>
      </c>
      <c r="D25" s="533"/>
      <c r="E25" s="62">
        <v>49.91</v>
      </c>
      <c r="F25" s="347">
        <v>1841</v>
      </c>
      <c r="G25" s="338">
        <f t="shared" si="19"/>
        <v>91884.31</v>
      </c>
      <c r="H25" s="90" t="s">
        <v>5</v>
      </c>
      <c r="I25" s="345">
        <v>19</v>
      </c>
      <c r="J25" s="63">
        <v>2000</v>
      </c>
      <c r="K25" s="64">
        <f t="shared" si="1"/>
        <v>105.26315789473684</v>
      </c>
      <c r="L25" s="345">
        <v>19</v>
      </c>
      <c r="M25" s="65">
        <f t="shared" si="20"/>
        <v>1937.8947368421041</v>
      </c>
      <c r="N25" s="64">
        <f t="shared" si="3"/>
        <v>101.99445983379495</v>
      </c>
      <c r="O25" s="66">
        <f t="shared" si="4"/>
        <v>0</v>
      </c>
      <c r="P25" s="67">
        <f t="shared" si="5"/>
        <v>-3.2686980609418868</v>
      </c>
      <c r="Q25" s="339">
        <f t="shared" si="6"/>
        <v>0.96894736842105211</v>
      </c>
      <c r="R25" s="511"/>
      <c r="S25" s="68">
        <v>0.37222222222222218</v>
      </c>
      <c r="T25" s="68">
        <v>0.41180555555555554</v>
      </c>
      <c r="U25" s="338">
        <f t="shared" si="22"/>
        <v>4.9999999999999822</v>
      </c>
      <c r="V25" s="346">
        <f t="shared" si="21"/>
        <v>57.000000000000036</v>
      </c>
      <c r="W25" s="69"/>
      <c r="X25" s="338"/>
      <c r="Y25" s="510"/>
      <c r="Z25" s="510"/>
      <c r="AA25" s="66">
        <f t="shared" si="8"/>
        <v>-62.105263157895934</v>
      </c>
      <c r="AB25" s="339">
        <f t="shared" si="9"/>
        <v>0.968947368421052</v>
      </c>
      <c r="AC25" s="511"/>
    </row>
    <row r="26" spans="1:29" ht="15.75" customHeight="1">
      <c r="A26" s="538" t="s">
        <v>1857</v>
      </c>
      <c r="B26" s="62" t="s">
        <v>6</v>
      </c>
      <c r="C26" s="533" t="s">
        <v>24</v>
      </c>
      <c r="D26" s="533"/>
      <c r="E26" s="62">
        <v>54.09</v>
      </c>
      <c r="F26" s="347">
        <v>2059</v>
      </c>
      <c r="G26" s="338">
        <f t="shared" si="19"/>
        <v>111371.31000000001</v>
      </c>
      <c r="H26" s="90" t="s">
        <v>5</v>
      </c>
      <c r="I26" s="345">
        <v>19</v>
      </c>
      <c r="J26" s="63">
        <v>2000</v>
      </c>
      <c r="K26" s="64">
        <f t="shared" si="1"/>
        <v>105.26315789473684</v>
      </c>
      <c r="L26" s="345">
        <v>19</v>
      </c>
      <c r="M26" s="65">
        <f t="shared" si="20"/>
        <v>1930.312500000002</v>
      </c>
      <c r="N26" s="64">
        <f t="shared" si="3"/>
        <v>101.59539473684221</v>
      </c>
      <c r="O26" s="66">
        <f t="shared" si="4"/>
        <v>0</v>
      </c>
      <c r="P26" s="67">
        <f t="shared" si="5"/>
        <v>-3.6677631578946261</v>
      </c>
      <c r="Q26" s="339">
        <f t="shared" si="6"/>
        <v>0.96515625000000105</v>
      </c>
      <c r="R26" s="511"/>
      <c r="S26" s="68">
        <v>0.70833333333333337</v>
      </c>
      <c r="T26" s="68">
        <v>0.75277777777777777</v>
      </c>
      <c r="U26" s="338" t="str">
        <f t="shared" si="22"/>
        <v/>
      </c>
      <c r="V26" s="346">
        <f t="shared" si="21"/>
        <v>63.999999999999929</v>
      </c>
      <c r="W26" s="69"/>
      <c r="X26" s="73"/>
      <c r="Y26" s="510"/>
      <c r="Z26" s="510"/>
      <c r="AA26" s="66">
        <f t="shared" si="8"/>
        <v>-69.687499999997954</v>
      </c>
      <c r="AB26" s="339">
        <f t="shared" si="9"/>
        <v>0.96515625000000105</v>
      </c>
      <c r="AC26" s="511"/>
    </row>
    <row r="27" spans="1:29" ht="15.75" customHeight="1">
      <c r="A27" s="538" t="s">
        <v>1857</v>
      </c>
      <c r="B27" s="62" t="s">
        <v>6</v>
      </c>
      <c r="C27" s="533" t="s">
        <v>82</v>
      </c>
      <c r="D27" s="533"/>
      <c r="E27" s="62">
        <v>57.73</v>
      </c>
      <c r="F27" s="347">
        <v>1577</v>
      </c>
      <c r="G27" s="338">
        <f t="shared" si="19"/>
        <v>91040.209999999992</v>
      </c>
      <c r="H27" s="90" t="s">
        <v>5</v>
      </c>
      <c r="I27" s="345">
        <v>16</v>
      </c>
      <c r="J27" s="63">
        <v>1500</v>
      </c>
      <c r="K27" s="64">
        <f t="shared" si="1"/>
        <v>93.75</v>
      </c>
      <c r="L27" s="345">
        <v>16</v>
      </c>
      <c r="M27" s="65">
        <f t="shared" si="20"/>
        <v>1433.6363636363617</v>
      </c>
      <c r="N27" s="64">
        <f t="shared" si="3"/>
        <v>89.602272727272606</v>
      </c>
      <c r="O27" s="66">
        <f t="shared" si="4"/>
        <v>0</v>
      </c>
      <c r="P27" s="67">
        <f t="shared" si="5"/>
        <v>-4.1477272727273942</v>
      </c>
      <c r="Q27" s="339">
        <f t="shared" si="6"/>
        <v>0.95575757575757447</v>
      </c>
      <c r="R27" s="511"/>
      <c r="S27" s="68">
        <v>0.75694444444444442</v>
      </c>
      <c r="T27" s="68">
        <v>0.80277777777777781</v>
      </c>
      <c r="U27" s="338">
        <f t="shared" si="22"/>
        <v>5.9999999999999787</v>
      </c>
      <c r="V27" s="346">
        <f t="shared" si="21"/>
        <v>66.000000000000085</v>
      </c>
      <c r="W27" s="69"/>
      <c r="X27" s="73"/>
      <c r="Y27" s="517"/>
      <c r="Z27" s="518"/>
      <c r="AA27" s="66">
        <f t="shared" si="8"/>
        <v>-66.363636363638307</v>
      </c>
      <c r="AB27" s="339">
        <f t="shared" si="9"/>
        <v>0.95575757575757447</v>
      </c>
      <c r="AC27" s="511"/>
    </row>
    <row r="28" spans="1:29" ht="15.75" customHeight="1">
      <c r="A28" s="538" t="s">
        <v>1857</v>
      </c>
      <c r="B28" s="62" t="s">
        <v>6</v>
      </c>
      <c r="C28" s="534" t="s">
        <v>81</v>
      </c>
      <c r="D28" s="535"/>
      <c r="E28" s="62">
        <v>50.67</v>
      </c>
      <c r="F28" s="347">
        <v>2068</v>
      </c>
      <c r="G28" s="338">
        <f t="shared" si="19"/>
        <v>104785.56</v>
      </c>
      <c r="H28" s="90" t="s">
        <v>5</v>
      </c>
      <c r="I28" s="345">
        <v>15</v>
      </c>
      <c r="J28" s="63">
        <v>2000</v>
      </c>
      <c r="K28" s="64">
        <f t="shared" si="1"/>
        <v>133.33333333333334</v>
      </c>
      <c r="L28" s="345">
        <v>15</v>
      </c>
      <c r="M28" s="65">
        <f t="shared" si="20"/>
        <v>1908.9230769230792</v>
      </c>
      <c r="N28" s="64">
        <f t="shared" si="3"/>
        <v>127.26153846153861</v>
      </c>
      <c r="O28" s="66">
        <f t="shared" si="4"/>
        <v>0</v>
      </c>
      <c r="P28" s="67">
        <f t="shared" si="5"/>
        <v>-6.0717948717947365</v>
      </c>
      <c r="Q28" s="339">
        <f t="shared" si="6"/>
        <v>0.95446153846153947</v>
      </c>
      <c r="R28" s="511"/>
      <c r="S28" s="68">
        <v>0.80833333333333335</v>
      </c>
      <c r="T28" s="68">
        <v>0.85347222222222219</v>
      </c>
      <c r="U28" s="338">
        <f t="shared" si="22"/>
        <v>7.9999999999999716</v>
      </c>
      <c r="V28" s="346">
        <f t="shared" si="21"/>
        <v>64.999999999999929</v>
      </c>
      <c r="W28" s="69"/>
      <c r="X28" s="69"/>
      <c r="Y28" s="517"/>
      <c r="Z28" s="518"/>
      <c r="AA28" s="66">
        <f t="shared" si="8"/>
        <v>-91.076923076920821</v>
      </c>
      <c r="AB28" s="339">
        <f t="shared" si="9"/>
        <v>0.95446153846153958</v>
      </c>
      <c r="AC28" s="511"/>
    </row>
    <row r="29" spans="1:29" ht="15.75" customHeight="1">
      <c r="A29" s="538" t="s">
        <v>1857</v>
      </c>
      <c r="B29" s="62" t="s">
        <v>1854</v>
      </c>
      <c r="C29" s="513"/>
      <c r="D29" s="513"/>
      <c r="E29" s="340"/>
      <c r="F29" s="347"/>
      <c r="G29" s="338"/>
      <c r="H29" s="347"/>
      <c r="I29" s="72">
        <v>16.875</v>
      </c>
      <c r="J29" s="63">
        <v>1937.5</v>
      </c>
      <c r="K29" s="64">
        <f t="shared" si="1"/>
        <v>114.81481481481481</v>
      </c>
      <c r="L29" s="72">
        <v>16.875</v>
      </c>
      <c r="M29" s="65">
        <f>AVERAGE(M21:M28)</f>
        <v>1860.1466863629705</v>
      </c>
      <c r="N29" s="64">
        <f t="shared" si="3"/>
        <v>110.23091474743529</v>
      </c>
      <c r="O29" s="66">
        <f t="shared" si="4"/>
        <v>0</v>
      </c>
      <c r="P29" s="67">
        <f t="shared" si="5"/>
        <v>-4.5839000673795169</v>
      </c>
      <c r="Q29" s="339">
        <f t="shared" si="6"/>
        <v>0.9600757090905655</v>
      </c>
      <c r="R29" s="511"/>
      <c r="S29" s="68"/>
      <c r="T29" s="68"/>
      <c r="U29" s="64"/>
      <c r="V29" s="346"/>
      <c r="W29" s="64"/>
      <c r="X29" s="64"/>
      <c r="Y29" s="510"/>
      <c r="Z29" s="510"/>
      <c r="AA29" s="66">
        <f t="shared" si="8"/>
        <v>-77.353313637029487</v>
      </c>
      <c r="AB29" s="339">
        <f t="shared" si="9"/>
        <v>0.96007570909056539</v>
      </c>
      <c r="AC29" s="511"/>
    </row>
    <row r="30" spans="1:29" ht="15.75" customHeight="1">
      <c r="A30" s="536" t="s">
        <v>1858</v>
      </c>
      <c r="B30" s="62" t="s">
        <v>16</v>
      </c>
      <c r="C30" s="533" t="s">
        <v>30</v>
      </c>
      <c r="D30" s="533"/>
      <c r="E30" s="62">
        <v>31.29</v>
      </c>
      <c r="F30" s="347">
        <v>7148</v>
      </c>
      <c r="G30" s="338">
        <f t="shared" ref="G30:G34" si="23">E30*F30</f>
        <v>223660.91999999998</v>
      </c>
      <c r="H30" s="90" t="s">
        <v>5</v>
      </c>
      <c r="I30" s="345">
        <v>18</v>
      </c>
      <c r="J30" s="63">
        <v>2400</v>
      </c>
      <c r="K30" s="64">
        <f t="shared" si="1"/>
        <v>133.33333333333334</v>
      </c>
      <c r="L30" s="345">
        <v>18</v>
      </c>
      <c r="M30" s="65">
        <f t="shared" ref="M30:M34" si="24">F30/V30*60</f>
        <v>2293.4759358288761</v>
      </c>
      <c r="N30" s="64">
        <f t="shared" si="3"/>
        <v>127.41532976827089</v>
      </c>
      <c r="O30" s="66">
        <f t="shared" si="4"/>
        <v>0</v>
      </c>
      <c r="P30" s="67">
        <f t="shared" si="5"/>
        <v>-5.918003565062449</v>
      </c>
      <c r="Q30" s="339">
        <f t="shared" si="6"/>
        <v>0.9556149732620316</v>
      </c>
      <c r="R30" s="511">
        <f>Q35</f>
        <v>0.95758882462630068</v>
      </c>
      <c r="S30" s="68">
        <v>8.3333333333333329E-2</v>
      </c>
      <c r="T30" s="68">
        <v>0.21319444444444446</v>
      </c>
      <c r="U30" s="338"/>
      <c r="V30" s="346">
        <f t="shared" ref="V30:V34" si="25">(T30-S30)*24*60</f>
        <v>187.00000000000006</v>
      </c>
      <c r="W30" s="69">
        <f>T30</f>
        <v>0.21319444444444446</v>
      </c>
      <c r="X30" s="69">
        <f>S31</f>
        <v>0.23472222222222225</v>
      </c>
      <c r="Y30" s="510"/>
      <c r="Z30" s="510"/>
      <c r="AA30" s="66">
        <f t="shared" si="8"/>
        <v>-106.52406417112388</v>
      </c>
      <c r="AB30" s="339">
        <f t="shared" si="9"/>
        <v>0.95561497326203171</v>
      </c>
      <c r="AC30" s="511">
        <f>AB35</f>
        <v>0.95758882462630068</v>
      </c>
    </row>
    <row r="31" spans="1:29" ht="15.75" customHeight="1">
      <c r="A31" s="536" t="s">
        <v>1858</v>
      </c>
      <c r="B31" s="62" t="s">
        <v>16</v>
      </c>
      <c r="C31" s="533" t="s">
        <v>28</v>
      </c>
      <c r="D31" s="533"/>
      <c r="E31" s="62">
        <v>26.18</v>
      </c>
      <c r="F31" s="347">
        <v>2384</v>
      </c>
      <c r="G31" s="338">
        <f t="shared" si="23"/>
        <v>62413.120000000003</v>
      </c>
      <c r="H31" s="90" t="s">
        <v>5</v>
      </c>
      <c r="I31" s="345">
        <v>19</v>
      </c>
      <c r="J31" s="63">
        <v>2400</v>
      </c>
      <c r="K31" s="64">
        <f t="shared" si="1"/>
        <v>126.31578947368421</v>
      </c>
      <c r="L31" s="345">
        <v>19</v>
      </c>
      <c r="M31" s="65">
        <f t="shared" si="24"/>
        <v>2307.0967741935492</v>
      </c>
      <c r="N31" s="64">
        <f t="shared" si="3"/>
        <v>121.4261460101868</v>
      </c>
      <c r="O31" s="66">
        <f t="shared" si="4"/>
        <v>0</v>
      </c>
      <c r="P31" s="67">
        <f t="shared" si="5"/>
        <v>-4.8896434634974071</v>
      </c>
      <c r="Q31" s="339">
        <f t="shared" si="6"/>
        <v>0.96129032258064551</v>
      </c>
      <c r="R31" s="511"/>
      <c r="S31" s="68">
        <v>0.23472222222222225</v>
      </c>
      <c r="T31" s="68">
        <v>0.27777777777777779</v>
      </c>
      <c r="U31" s="338">
        <f t="shared" ref="U31:U34" si="26">(S31-T30)*24*60</f>
        <v>31.000000000000011</v>
      </c>
      <c r="V31" s="346">
        <f t="shared" si="25"/>
        <v>61.999999999999979</v>
      </c>
      <c r="W31" s="69"/>
      <c r="X31" s="69"/>
      <c r="Y31" s="510"/>
      <c r="Z31" s="510"/>
      <c r="AA31" s="66">
        <f t="shared" si="8"/>
        <v>-92.903225806450791</v>
      </c>
      <c r="AB31" s="339">
        <f t="shared" si="9"/>
        <v>0.96129032258064551</v>
      </c>
      <c r="AC31" s="511"/>
    </row>
    <row r="32" spans="1:29" ht="15.75" customHeight="1">
      <c r="A32" s="536" t="s">
        <v>1858</v>
      </c>
      <c r="B32" s="62" t="s">
        <v>16</v>
      </c>
      <c r="C32" s="533" t="s">
        <v>25</v>
      </c>
      <c r="D32" s="533"/>
      <c r="E32" s="62">
        <v>26.2</v>
      </c>
      <c r="F32" s="347">
        <v>4141</v>
      </c>
      <c r="G32" s="338">
        <f t="shared" si="23"/>
        <v>108494.2</v>
      </c>
      <c r="H32" s="90" t="s">
        <v>5</v>
      </c>
      <c r="I32" s="345">
        <v>20</v>
      </c>
      <c r="J32" s="63">
        <v>2400</v>
      </c>
      <c r="K32" s="64">
        <f t="shared" si="1"/>
        <v>120</v>
      </c>
      <c r="L32" s="345">
        <v>20</v>
      </c>
      <c r="M32" s="65">
        <f t="shared" si="24"/>
        <v>2300.5555555555552</v>
      </c>
      <c r="N32" s="64">
        <f t="shared" si="3"/>
        <v>115.02777777777776</v>
      </c>
      <c r="O32" s="66">
        <f t="shared" si="4"/>
        <v>0</v>
      </c>
      <c r="P32" s="67">
        <f t="shared" si="5"/>
        <v>-4.9722222222222427</v>
      </c>
      <c r="Q32" s="339">
        <f t="shared" si="6"/>
        <v>0.95856481481481459</v>
      </c>
      <c r="R32" s="511"/>
      <c r="S32" s="68">
        <v>0.28194444444444444</v>
      </c>
      <c r="T32" s="68">
        <v>0.35694444444444445</v>
      </c>
      <c r="U32" s="338">
        <f t="shared" si="26"/>
        <v>5.9999999999999787</v>
      </c>
      <c r="V32" s="346">
        <f t="shared" si="25"/>
        <v>108.00000000000001</v>
      </c>
      <c r="W32" s="69"/>
      <c r="X32" s="69"/>
      <c r="Y32" s="510"/>
      <c r="Z32" s="510"/>
      <c r="AA32" s="66">
        <f t="shared" si="8"/>
        <v>-99.444444444444798</v>
      </c>
      <c r="AB32" s="339">
        <f t="shared" si="9"/>
        <v>0.9585648148148147</v>
      </c>
      <c r="AC32" s="511"/>
    </row>
    <row r="33" spans="1:29" ht="15.75" customHeight="1">
      <c r="A33" s="536" t="s">
        <v>1858</v>
      </c>
      <c r="B33" s="62" t="s">
        <v>16</v>
      </c>
      <c r="C33" s="533" t="s">
        <v>83</v>
      </c>
      <c r="D33" s="533"/>
      <c r="E33" s="62">
        <v>25.99</v>
      </c>
      <c r="F33" s="347">
        <v>4262</v>
      </c>
      <c r="G33" s="338">
        <f t="shared" si="23"/>
        <v>110769.37999999999</v>
      </c>
      <c r="H33" s="90" t="s">
        <v>5</v>
      </c>
      <c r="I33" s="345">
        <v>14</v>
      </c>
      <c r="J33" s="63">
        <v>2400</v>
      </c>
      <c r="K33" s="64">
        <f t="shared" si="1"/>
        <v>171.42857142857142</v>
      </c>
      <c r="L33" s="345">
        <v>14</v>
      </c>
      <c r="M33" s="65">
        <f t="shared" si="24"/>
        <v>2303.7837837837837</v>
      </c>
      <c r="N33" s="64">
        <f t="shared" si="3"/>
        <v>164.55598455598457</v>
      </c>
      <c r="O33" s="66">
        <f t="shared" si="4"/>
        <v>0</v>
      </c>
      <c r="P33" s="67">
        <f t="shared" si="5"/>
        <v>-6.8725868725868509</v>
      </c>
      <c r="Q33" s="339">
        <f t="shared" si="6"/>
        <v>0.95990990990990999</v>
      </c>
      <c r="R33" s="511"/>
      <c r="S33" s="68">
        <v>0.36249999999999999</v>
      </c>
      <c r="T33" s="68">
        <v>0.43958333333333333</v>
      </c>
      <c r="U33" s="338">
        <f t="shared" si="26"/>
        <v>7.9999999999999716</v>
      </c>
      <c r="V33" s="346">
        <f t="shared" si="25"/>
        <v>111</v>
      </c>
      <c r="W33" s="69"/>
      <c r="X33" s="69"/>
      <c r="Y33" s="510"/>
      <c r="Z33" s="510"/>
      <c r="AA33" s="66">
        <f t="shared" si="8"/>
        <v>-96.216216216216253</v>
      </c>
      <c r="AB33" s="339">
        <f t="shared" si="9"/>
        <v>0.95990990990990988</v>
      </c>
      <c r="AC33" s="511"/>
    </row>
    <row r="34" spans="1:29" ht="15.75" customHeight="1">
      <c r="A34" s="536" t="s">
        <v>1858</v>
      </c>
      <c r="B34" s="62" t="s">
        <v>16</v>
      </c>
      <c r="C34" s="533" t="s">
        <v>982</v>
      </c>
      <c r="D34" s="533"/>
      <c r="E34" s="62">
        <v>25.98</v>
      </c>
      <c r="F34" s="347">
        <v>4458</v>
      </c>
      <c r="G34" s="338">
        <f t="shared" si="23"/>
        <v>115818.84</v>
      </c>
      <c r="H34" s="90" t="s">
        <v>5</v>
      </c>
      <c r="I34" s="345">
        <v>21</v>
      </c>
      <c r="J34" s="63">
        <v>2400</v>
      </c>
      <c r="K34" s="64">
        <f t="shared" si="1"/>
        <v>114.28571428571429</v>
      </c>
      <c r="L34" s="345">
        <v>21</v>
      </c>
      <c r="M34" s="65">
        <f t="shared" si="24"/>
        <v>2286.1538461538448</v>
      </c>
      <c r="N34" s="64">
        <f t="shared" si="3"/>
        <v>108.8644688644688</v>
      </c>
      <c r="O34" s="66">
        <f t="shared" si="4"/>
        <v>0</v>
      </c>
      <c r="P34" s="67">
        <f t="shared" si="5"/>
        <v>-5.4212454212454873</v>
      </c>
      <c r="Q34" s="339">
        <f t="shared" si="6"/>
        <v>0.95256410256410196</v>
      </c>
      <c r="R34" s="511"/>
      <c r="S34" s="68">
        <v>0.44305555555555554</v>
      </c>
      <c r="T34" s="68">
        <v>0.52430555555555558</v>
      </c>
      <c r="U34" s="338">
        <f t="shared" si="26"/>
        <v>4.9999999999999822</v>
      </c>
      <c r="V34" s="346">
        <f t="shared" si="25"/>
        <v>117.00000000000006</v>
      </c>
      <c r="W34" s="69"/>
      <c r="X34" s="69"/>
      <c r="Y34" s="510"/>
      <c r="Z34" s="510"/>
      <c r="AA34" s="66">
        <f t="shared" si="8"/>
        <v>-113.84615384615518</v>
      </c>
      <c r="AB34" s="339">
        <f t="shared" si="9"/>
        <v>0.95256410256410196</v>
      </c>
      <c r="AC34" s="511"/>
    </row>
    <row r="35" spans="1:29" ht="15.75" customHeight="1">
      <c r="A35" s="536" t="s">
        <v>1858</v>
      </c>
      <c r="B35" s="62" t="s">
        <v>1854</v>
      </c>
      <c r="C35" s="513"/>
      <c r="D35" s="513"/>
      <c r="E35" s="340"/>
      <c r="F35" s="347"/>
      <c r="G35" s="338"/>
      <c r="H35" s="347"/>
      <c r="I35" s="72">
        <v>18.399999999999999</v>
      </c>
      <c r="J35" s="63">
        <v>2400</v>
      </c>
      <c r="K35" s="64">
        <f t="shared" si="1"/>
        <v>130.43478260869566</v>
      </c>
      <c r="L35" s="72">
        <v>18.399999999999999</v>
      </c>
      <c r="M35" s="65">
        <f>AVERAGE(M30:M34)</f>
        <v>2298.2131791031215</v>
      </c>
      <c r="N35" s="64">
        <f t="shared" si="3"/>
        <v>124.90289016864791</v>
      </c>
      <c r="O35" s="66">
        <f t="shared" si="4"/>
        <v>0</v>
      </c>
      <c r="P35" s="67">
        <f t="shared" si="5"/>
        <v>-5.5318924400477414</v>
      </c>
      <c r="Q35" s="339">
        <f t="shared" si="6"/>
        <v>0.95758882462630068</v>
      </c>
      <c r="R35" s="511"/>
      <c r="S35" s="68"/>
      <c r="T35" s="68"/>
      <c r="U35" s="338"/>
      <c r="V35" s="346"/>
      <c r="W35" s="338"/>
      <c r="X35" s="338"/>
      <c r="Y35" s="510"/>
      <c r="Z35" s="510"/>
      <c r="AA35" s="66">
        <f t="shared" si="8"/>
        <v>-101.78682089687845</v>
      </c>
      <c r="AB35" s="339">
        <f t="shared" si="9"/>
        <v>0.95758882462630068</v>
      </c>
      <c r="AC35" s="511"/>
    </row>
    <row r="36" spans="1:29" ht="15.75" customHeight="1">
      <c r="A36" s="531" t="s">
        <v>1859</v>
      </c>
      <c r="B36" s="62" t="s">
        <v>16</v>
      </c>
      <c r="C36" s="512" t="s">
        <v>31</v>
      </c>
      <c r="D36" s="512"/>
      <c r="E36" s="62">
        <v>26.2</v>
      </c>
      <c r="F36" s="347">
        <v>5259</v>
      </c>
      <c r="G36" s="338">
        <f t="shared" ref="G36:G40" si="27">E36*F36</f>
        <v>137785.79999999999</v>
      </c>
      <c r="H36" s="90" t="s">
        <v>5</v>
      </c>
      <c r="I36" s="345">
        <v>18</v>
      </c>
      <c r="J36" s="63">
        <v>2400</v>
      </c>
      <c r="K36" s="64">
        <f t="shared" si="1"/>
        <v>133.33333333333334</v>
      </c>
      <c r="L36" s="345">
        <v>18</v>
      </c>
      <c r="M36" s="65">
        <f t="shared" ref="M36:M40" si="28">F36/V36*60</f>
        <v>2286.5217391304354</v>
      </c>
      <c r="N36" s="64">
        <f t="shared" si="3"/>
        <v>127.02898550724642</v>
      </c>
      <c r="O36" s="66">
        <f t="shared" si="4"/>
        <v>0</v>
      </c>
      <c r="P36" s="67">
        <f t="shared" si="5"/>
        <v>-6.304347826086925</v>
      </c>
      <c r="Q36" s="339">
        <f t="shared" si="6"/>
        <v>0.95271739130434807</v>
      </c>
      <c r="R36" s="511">
        <f>Q41</f>
        <v>0.95424916467644716</v>
      </c>
      <c r="S36" s="68">
        <v>8.3333333333333329E-2</v>
      </c>
      <c r="T36" s="68">
        <v>0.17916666666666664</v>
      </c>
      <c r="U36" s="338"/>
      <c r="V36" s="346">
        <f t="shared" ref="V36:V40" si="29">(T36-S36)*24*60</f>
        <v>137.99999999999997</v>
      </c>
      <c r="W36" s="73">
        <f>T36</f>
        <v>0.17916666666666664</v>
      </c>
      <c r="X36" s="73">
        <f>S37</f>
        <v>0.20069444444444443</v>
      </c>
      <c r="Y36" s="510"/>
      <c r="Z36" s="510"/>
      <c r="AA36" s="66">
        <f t="shared" si="8"/>
        <v>-113.47826086956456</v>
      </c>
      <c r="AB36" s="339">
        <f t="shared" si="9"/>
        <v>0.95271739130434807</v>
      </c>
      <c r="AC36" s="511">
        <f>AB41</f>
        <v>0.95424916467644716</v>
      </c>
    </row>
    <row r="37" spans="1:29" ht="15.75" customHeight="1">
      <c r="A37" s="531" t="s">
        <v>1859</v>
      </c>
      <c r="B37" s="62" t="s">
        <v>16</v>
      </c>
      <c r="C37" s="512" t="s">
        <v>32</v>
      </c>
      <c r="D37" s="512"/>
      <c r="E37" s="62">
        <v>26.39</v>
      </c>
      <c r="F37" s="347">
        <v>5011</v>
      </c>
      <c r="G37" s="338">
        <f t="shared" si="27"/>
        <v>132240.29</v>
      </c>
      <c r="H37" s="90" t="s">
        <v>5</v>
      </c>
      <c r="I37" s="345">
        <v>19</v>
      </c>
      <c r="J37" s="63">
        <v>2400</v>
      </c>
      <c r="K37" s="64">
        <f t="shared" si="1"/>
        <v>126.31578947368421</v>
      </c>
      <c r="L37" s="345">
        <v>19</v>
      </c>
      <c r="M37" s="65">
        <f t="shared" si="28"/>
        <v>2295.1145038167947</v>
      </c>
      <c r="N37" s="64">
        <f t="shared" si="3"/>
        <v>120.79550020088394</v>
      </c>
      <c r="O37" s="66">
        <f t="shared" si="4"/>
        <v>0</v>
      </c>
      <c r="P37" s="67">
        <f t="shared" si="5"/>
        <v>-5.5202892728002695</v>
      </c>
      <c r="Q37" s="339">
        <f t="shared" si="6"/>
        <v>0.95629770992366459</v>
      </c>
      <c r="R37" s="511"/>
      <c r="S37" s="68">
        <v>0.20069444444444443</v>
      </c>
      <c r="T37" s="68">
        <v>0.29166666666666663</v>
      </c>
      <c r="U37" s="338">
        <f t="shared" ref="U37:U40" si="30">(S37-T36)*24*60</f>
        <v>31.000000000000011</v>
      </c>
      <c r="V37" s="346">
        <f t="shared" si="29"/>
        <v>130.99999999999997</v>
      </c>
      <c r="W37" s="338"/>
      <c r="X37" s="338"/>
      <c r="Y37" s="510"/>
      <c r="Z37" s="510"/>
      <c r="AA37" s="66">
        <f t="shared" si="8"/>
        <v>-104.8854961832053</v>
      </c>
      <c r="AB37" s="339">
        <f t="shared" si="9"/>
        <v>0.95629770992366447</v>
      </c>
      <c r="AC37" s="511"/>
    </row>
    <row r="38" spans="1:29">
      <c r="A38" s="532" t="s">
        <v>1859</v>
      </c>
      <c r="B38" s="62" t="s">
        <v>16</v>
      </c>
      <c r="C38" s="512" t="s">
        <v>50</v>
      </c>
      <c r="D38" s="512"/>
      <c r="E38" s="62">
        <v>20.52</v>
      </c>
      <c r="F38" s="347">
        <v>3624</v>
      </c>
      <c r="G38" s="338">
        <f t="shared" si="27"/>
        <v>74364.479999999996</v>
      </c>
      <c r="H38" s="90" t="s">
        <v>5</v>
      </c>
      <c r="I38" s="345">
        <v>18</v>
      </c>
      <c r="J38" s="63">
        <v>2400</v>
      </c>
      <c r="K38" s="64">
        <f t="shared" si="1"/>
        <v>133.33333333333334</v>
      </c>
      <c r="L38" s="345">
        <v>18</v>
      </c>
      <c r="M38" s="65">
        <f t="shared" si="28"/>
        <v>2288.8421052631584</v>
      </c>
      <c r="N38" s="64">
        <f t="shared" si="3"/>
        <v>127.15789473684214</v>
      </c>
      <c r="O38" s="66">
        <f t="shared" si="4"/>
        <v>0</v>
      </c>
      <c r="P38" s="67">
        <f t="shared" si="5"/>
        <v>-6.1754385964912046</v>
      </c>
      <c r="Q38" s="339">
        <f t="shared" si="6"/>
        <v>0.95368421052631602</v>
      </c>
      <c r="R38" s="511"/>
      <c r="S38" s="68">
        <v>0.29583333333333328</v>
      </c>
      <c r="T38" s="68">
        <v>0.36180555555555549</v>
      </c>
      <c r="U38" s="338">
        <f t="shared" si="30"/>
        <v>5.9999999999999787</v>
      </c>
      <c r="V38" s="346">
        <f t="shared" si="29"/>
        <v>94.999999999999986</v>
      </c>
      <c r="W38" s="338"/>
      <c r="X38" s="338"/>
      <c r="Y38" s="510"/>
      <c r="Z38" s="510"/>
      <c r="AA38" s="66">
        <f t="shared" si="8"/>
        <v>-111.15789473684163</v>
      </c>
      <c r="AB38" s="339">
        <f t="shared" si="9"/>
        <v>0.95368421052631602</v>
      </c>
      <c r="AC38" s="511"/>
    </row>
    <row r="39" spans="1:29">
      <c r="A39" s="532" t="s">
        <v>1859</v>
      </c>
      <c r="B39" s="62" t="s">
        <v>16</v>
      </c>
      <c r="C39" s="512" t="s">
        <v>18</v>
      </c>
      <c r="D39" s="512"/>
      <c r="E39" s="62">
        <v>22.35</v>
      </c>
      <c r="F39" s="347">
        <v>1526</v>
      </c>
      <c r="G39" s="338">
        <f t="shared" si="27"/>
        <v>34106.1</v>
      </c>
      <c r="H39" s="90" t="s">
        <v>5</v>
      </c>
      <c r="I39" s="345">
        <v>16</v>
      </c>
      <c r="J39" s="63">
        <v>2400</v>
      </c>
      <c r="K39" s="64">
        <f t="shared" si="1"/>
        <v>150</v>
      </c>
      <c r="L39" s="345">
        <v>16</v>
      </c>
      <c r="M39" s="65">
        <f t="shared" si="28"/>
        <v>2288.9999999999991</v>
      </c>
      <c r="N39" s="64">
        <f t="shared" si="3"/>
        <v>143.06249999999994</v>
      </c>
      <c r="O39" s="66">
        <f t="shared" si="4"/>
        <v>0</v>
      </c>
      <c r="P39" s="67">
        <f t="shared" si="5"/>
        <v>-6.9375000000000568</v>
      </c>
      <c r="Q39" s="339">
        <f t="shared" si="6"/>
        <v>0.95374999999999965</v>
      </c>
      <c r="R39" s="511"/>
      <c r="S39" s="68">
        <v>0.36736111111111103</v>
      </c>
      <c r="T39" s="68">
        <v>0.39513888888888882</v>
      </c>
      <c r="U39" s="338">
        <f t="shared" si="30"/>
        <v>7.9999999999999716</v>
      </c>
      <c r="V39" s="346">
        <f t="shared" si="29"/>
        <v>40.000000000000014</v>
      </c>
      <c r="W39" s="69"/>
      <c r="X39" s="69"/>
      <c r="Y39" s="510"/>
      <c r="Z39" s="510"/>
      <c r="AA39" s="66">
        <f t="shared" si="8"/>
        <v>-111.00000000000091</v>
      </c>
      <c r="AB39" s="339">
        <f t="shared" si="9"/>
        <v>0.95374999999999965</v>
      </c>
      <c r="AC39" s="511"/>
    </row>
    <row r="40" spans="1:29">
      <c r="A40" s="532" t="s">
        <v>1859</v>
      </c>
      <c r="B40" s="62" t="s">
        <v>16</v>
      </c>
      <c r="C40" s="512" t="s">
        <v>33</v>
      </c>
      <c r="D40" s="512"/>
      <c r="E40" s="62">
        <v>24.43</v>
      </c>
      <c r="F40" s="347">
        <v>6569</v>
      </c>
      <c r="G40" s="338">
        <f t="shared" si="27"/>
        <v>160480.66999999998</v>
      </c>
      <c r="H40" s="90" t="s">
        <v>5</v>
      </c>
      <c r="I40" s="345">
        <v>14</v>
      </c>
      <c r="J40" s="63">
        <v>2400</v>
      </c>
      <c r="K40" s="64">
        <f t="shared" si="1"/>
        <v>171.42857142857142</v>
      </c>
      <c r="L40" s="345">
        <v>14</v>
      </c>
      <c r="M40" s="65">
        <f t="shared" si="28"/>
        <v>2291.5116279069762</v>
      </c>
      <c r="N40" s="64">
        <f t="shared" si="3"/>
        <v>163.67940199335544</v>
      </c>
      <c r="O40" s="66">
        <f t="shared" si="4"/>
        <v>0</v>
      </c>
      <c r="P40" s="67">
        <f t="shared" si="5"/>
        <v>-7.7491694352159755</v>
      </c>
      <c r="Q40" s="339">
        <f t="shared" si="6"/>
        <v>0.9547965116279068</v>
      </c>
      <c r="R40" s="511"/>
      <c r="S40" s="68">
        <v>0.39930555555555547</v>
      </c>
      <c r="T40" s="68">
        <v>0.51874999999999993</v>
      </c>
      <c r="U40" s="338">
        <f t="shared" si="30"/>
        <v>5.9999999999999787</v>
      </c>
      <c r="V40" s="346">
        <f t="shared" si="29"/>
        <v>172.00000000000003</v>
      </c>
      <c r="W40" s="69"/>
      <c r="X40" s="69"/>
      <c r="Y40" s="510"/>
      <c r="Z40" s="510"/>
      <c r="AA40" s="66">
        <f t="shared" si="8"/>
        <v>-108.48837209302383</v>
      </c>
      <c r="AB40" s="339">
        <f t="shared" si="9"/>
        <v>0.95479651162790669</v>
      </c>
      <c r="AC40" s="511"/>
    </row>
    <row r="41" spans="1:29">
      <c r="A41" s="532" t="s">
        <v>1859</v>
      </c>
      <c r="B41" s="71" t="s">
        <v>1854</v>
      </c>
      <c r="C41" s="513"/>
      <c r="D41" s="513"/>
      <c r="E41" s="340"/>
      <c r="F41" s="71"/>
      <c r="G41" s="64"/>
      <c r="H41" s="347"/>
      <c r="I41" s="72">
        <v>17</v>
      </c>
      <c r="J41" s="63">
        <v>2400</v>
      </c>
      <c r="K41" s="64">
        <f t="shared" si="1"/>
        <v>141.1764705882353</v>
      </c>
      <c r="L41" s="72">
        <v>17</v>
      </c>
      <c r="M41" s="65">
        <f>AVERAGE(M36:M40)</f>
        <v>2290.1979952234733</v>
      </c>
      <c r="N41" s="64">
        <f t="shared" si="3"/>
        <v>134.71752913079254</v>
      </c>
      <c r="O41" s="66">
        <f t="shared" si="4"/>
        <v>0</v>
      </c>
      <c r="P41" s="67">
        <f t="shared" si="5"/>
        <v>-6.4589414574427622</v>
      </c>
      <c r="Q41" s="339">
        <f t="shared" si="6"/>
        <v>0.95424916467644716</v>
      </c>
      <c r="R41" s="511"/>
      <c r="S41" s="68"/>
      <c r="T41" s="68"/>
      <c r="U41" s="64"/>
      <c r="V41" s="346"/>
      <c r="W41" s="64"/>
      <c r="X41" s="64"/>
      <c r="Y41" s="510"/>
      <c r="Z41" s="510"/>
      <c r="AA41" s="66">
        <f t="shared" si="8"/>
        <v>-109.8020047765267</v>
      </c>
      <c r="AB41" s="339">
        <f t="shared" si="9"/>
        <v>0.95424916467644716</v>
      </c>
      <c r="AC41" s="511"/>
    </row>
    <row r="42" spans="1:29" ht="15.75" customHeight="1">
      <c r="A42" s="525" t="s">
        <v>1860</v>
      </c>
      <c r="B42" s="62" t="s">
        <v>35</v>
      </c>
      <c r="C42" s="521" t="s">
        <v>36</v>
      </c>
      <c r="D42" s="522"/>
      <c r="E42" s="62">
        <v>21.13</v>
      </c>
      <c r="F42" s="347">
        <v>4536</v>
      </c>
      <c r="G42" s="338">
        <f t="shared" ref="G42:G48" si="31">E42*F42</f>
        <v>95845.68</v>
      </c>
      <c r="H42" s="90" t="s">
        <v>5</v>
      </c>
      <c r="I42" s="345">
        <v>10</v>
      </c>
      <c r="J42" s="63">
        <v>3000</v>
      </c>
      <c r="K42" s="64">
        <f t="shared" si="1"/>
        <v>300</v>
      </c>
      <c r="L42" s="345">
        <v>10</v>
      </c>
      <c r="M42" s="65">
        <f t="shared" ref="M42:M48" si="32">F42/V42*60</f>
        <v>2864.8421052631575</v>
      </c>
      <c r="N42" s="65">
        <f t="shared" si="3"/>
        <v>286.48421052631574</v>
      </c>
      <c r="O42" s="66">
        <f t="shared" si="4"/>
        <v>0</v>
      </c>
      <c r="P42" s="67">
        <f t="shared" si="5"/>
        <v>-13.515789473684265</v>
      </c>
      <c r="Q42" s="339">
        <f t="shared" si="6"/>
        <v>0.95494736842105243</v>
      </c>
      <c r="R42" s="528">
        <f>Q49</f>
        <v>0.9558969455523304</v>
      </c>
      <c r="S42" s="68">
        <v>8.3333333333333329E-2</v>
      </c>
      <c r="T42" s="68">
        <v>0.14930555555555555</v>
      </c>
      <c r="U42" s="73"/>
      <c r="V42" s="346">
        <f t="shared" ref="V42:V48" si="33">(T42-S42)*24*60</f>
        <v>95.000000000000014</v>
      </c>
      <c r="W42" s="69">
        <f>T42</f>
        <v>0.14930555555555555</v>
      </c>
      <c r="X42" s="69">
        <f>S43</f>
        <v>0.16874999999999998</v>
      </c>
      <c r="Y42" s="517"/>
      <c r="Z42" s="518"/>
      <c r="AA42" s="66">
        <f t="shared" si="8"/>
        <v>-135.15789473684254</v>
      </c>
      <c r="AB42" s="339">
        <f t="shared" si="9"/>
        <v>0.95494736842105243</v>
      </c>
      <c r="AC42" s="528">
        <f>AB49</f>
        <v>0.95589694555233029</v>
      </c>
    </row>
    <row r="43" spans="1:29" ht="15.75" customHeight="1">
      <c r="A43" s="526" t="s">
        <v>1860</v>
      </c>
      <c r="B43" s="62" t="s">
        <v>35</v>
      </c>
      <c r="C43" s="521" t="s">
        <v>37</v>
      </c>
      <c r="D43" s="522"/>
      <c r="E43" s="62">
        <v>27.17</v>
      </c>
      <c r="F43" s="347">
        <v>5806</v>
      </c>
      <c r="G43" s="338">
        <f t="shared" si="31"/>
        <v>157749.02000000002</v>
      </c>
      <c r="H43" s="90" t="s">
        <v>5</v>
      </c>
      <c r="I43" s="345">
        <v>10</v>
      </c>
      <c r="J43" s="63">
        <v>3000</v>
      </c>
      <c r="K43" s="64">
        <f t="shared" si="1"/>
        <v>300</v>
      </c>
      <c r="L43" s="345">
        <v>10</v>
      </c>
      <c r="M43" s="65">
        <f t="shared" si="32"/>
        <v>2855.4098360655739</v>
      </c>
      <c r="N43" s="65">
        <f t="shared" si="3"/>
        <v>285.5409836065574</v>
      </c>
      <c r="O43" s="66">
        <f t="shared" si="4"/>
        <v>0</v>
      </c>
      <c r="P43" s="67">
        <f t="shared" si="5"/>
        <v>-14.459016393442596</v>
      </c>
      <c r="Q43" s="339">
        <f t="shared" si="6"/>
        <v>0.95180327868852466</v>
      </c>
      <c r="R43" s="529"/>
      <c r="S43" s="68">
        <v>0.16874999999999998</v>
      </c>
      <c r="T43" s="68">
        <v>0.25347222222222221</v>
      </c>
      <c r="U43" s="338">
        <f t="shared" ref="U43:U48" si="34">(S43-T42)*24*60</f>
        <v>27.999999999999979</v>
      </c>
      <c r="V43" s="346">
        <f t="shared" si="33"/>
        <v>122</v>
      </c>
      <c r="W43" s="69"/>
      <c r="X43" s="69"/>
      <c r="Y43" s="517"/>
      <c r="Z43" s="518"/>
      <c r="AA43" s="66">
        <f t="shared" si="8"/>
        <v>-144.59016393442607</v>
      </c>
      <c r="AB43" s="339">
        <f t="shared" si="9"/>
        <v>0.95180327868852466</v>
      </c>
      <c r="AC43" s="529"/>
    </row>
    <row r="44" spans="1:29" ht="15.75" customHeight="1">
      <c r="A44" s="526" t="s">
        <v>1860</v>
      </c>
      <c r="B44" s="62" t="s">
        <v>35</v>
      </c>
      <c r="C44" s="521" t="s">
        <v>38</v>
      </c>
      <c r="D44" s="522"/>
      <c r="E44" s="62">
        <v>35.119999999999997</v>
      </c>
      <c r="F44" s="347">
        <v>3888</v>
      </c>
      <c r="G44" s="338">
        <f t="shared" si="31"/>
        <v>136546.56</v>
      </c>
      <c r="H44" s="90" t="s">
        <v>5</v>
      </c>
      <c r="I44" s="345">
        <v>10</v>
      </c>
      <c r="J44" s="63">
        <v>3000</v>
      </c>
      <c r="K44" s="64">
        <f t="shared" si="1"/>
        <v>300</v>
      </c>
      <c r="L44" s="345">
        <v>10</v>
      </c>
      <c r="M44" s="65">
        <f t="shared" si="32"/>
        <v>2879.9999999999991</v>
      </c>
      <c r="N44" s="65">
        <f t="shared" si="3"/>
        <v>287.99999999999989</v>
      </c>
      <c r="O44" s="66">
        <f t="shared" si="4"/>
        <v>0</v>
      </c>
      <c r="P44" s="67">
        <f t="shared" si="5"/>
        <v>-12.000000000000114</v>
      </c>
      <c r="Q44" s="339">
        <f t="shared" si="6"/>
        <v>0.95999999999999963</v>
      </c>
      <c r="R44" s="529"/>
      <c r="S44" s="68">
        <v>0.25694444444444442</v>
      </c>
      <c r="T44" s="68">
        <v>0.31319444444444444</v>
      </c>
      <c r="U44" s="338">
        <f t="shared" si="34"/>
        <v>4.9999999999999822</v>
      </c>
      <c r="V44" s="346">
        <f t="shared" si="33"/>
        <v>81.000000000000028</v>
      </c>
      <c r="W44" s="69"/>
      <c r="X44" s="69"/>
      <c r="Y44" s="517"/>
      <c r="Z44" s="518"/>
      <c r="AA44" s="66">
        <f t="shared" si="8"/>
        <v>-120.00000000000091</v>
      </c>
      <c r="AB44" s="339">
        <f t="shared" si="9"/>
        <v>0.95999999999999974</v>
      </c>
      <c r="AC44" s="529"/>
    </row>
    <row r="45" spans="1:29" ht="15.75" customHeight="1">
      <c r="A45" s="526" t="s">
        <v>1860</v>
      </c>
      <c r="B45" s="62" t="s">
        <v>35</v>
      </c>
      <c r="C45" s="521" t="s">
        <v>39</v>
      </c>
      <c r="D45" s="522"/>
      <c r="E45" s="62">
        <v>35.869999999999997</v>
      </c>
      <c r="F45" s="347">
        <v>2718</v>
      </c>
      <c r="G45" s="338">
        <f t="shared" si="31"/>
        <v>97494.659999999989</v>
      </c>
      <c r="H45" s="90" t="s">
        <v>5</v>
      </c>
      <c r="I45" s="345">
        <v>9</v>
      </c>
      <c r="J45" s="63">
        <v>3000</v>
      </c>
      <c r="K45" s="64">
        <f t="shared" si="1"/>
        <v>333.33333333333331</v>
      </c>
      <c r="L45" s="345">
        <v>9</v>
      </c>
      <c r="M45" s="65">
        <f t="shared" si="32"/>
        <v>2861.0526315789493</v>
      </c>
      <c r="N45" s="65">
        <f t="shared" si="3"/>
        <v>317.89473684210549</v>
      </c>
      <c r="O45" s="66">
        <f t="shared" si="4"/>
        <v>0</v>
      </c>
      <c r="P45" s="67">
        <f t="shared" si="5"/>
        <v>-15.438596491227827</v>
      </c>
      <c r="Q45" s="339">
        <f t="shared" si="6"/>
        <v>0.95368421052631647</v>
      </c>
      <c r="R45" s="529"/>
      <c r="S45" s="68">
        <v>0.31805555555555554</v>
      </c>
      <c r="T45" s="68">
        <v>0.35763888888888884</v>
      </c>
      <c r="U45" s="338">
        <f t="shared" si="34"/>
        <v>6.9999999999999751</v>
      </c>
      <c r="V45" s="346">
        <f t="shared" si="33"/>
        <v>56.999999999999957</v>
      </c>
      <c r="W45" s="69"/>
      <c r="X45" s="69"/>
      <c r="Y45" s="517"/>
      <c r="Z45" s="518"/>
      <c r="AA45" s="66">
        <f t="shared" si="8"/>
        <v>-138.94736842105067</v>
      </c>
      <c r="AB45" s="339">
        <f t="shared" si="9"/>
        <v>0.95368421052631647</v>
      </c>
      <c r="AC45" s="529"/>
    </row>
    <row r="46" spans="1:29" ht="15.75" customHeight="1">
      <c r="A46" s="526" t="s">
        <v>1860</v>
      </c>
      <c r="B46" s="62" t="s">
        <v>35</v>
      </c>
      <c r="C46" s="521" t="s">
        <v>40</v>
      </c>
      <c r="D46" s="522"/>
      <c r="E46" s="62">
        <v>36.14</v>
      </c>
      <c r="F46" s="347">
        <v>1332</v>
      </c>
      <c r="G46" s="338">
        <f t="shared" si="31"/>
        <v>48138.48</v>
      </c>
      <c r="H46" s="90" t="s">
        <v>5</v>
      </c>
      <c r="I46" s="345">
        <v>9</v>
      </c>
      <c r="J46" s="63">
        <v>3000</v>
      </c>
      <c r="K46" s="64">
        <f t="shared" si="1"/>
        <v>333.33333333333331</v>
      </c>
      <c r="L46" s="345">
        <v>9</v>
      </c>
      <c r="M46" s="65">
        <f t="shared" si="32"/>
        <v>2854.2857142857165</v>
      </c>
      <c r="N46" s="65">
        <f t="shared" si="3"/>
        <v>317.14285714285739</v>
      </c>
      <c r="O46" s="66">
        <f t="shared" si="4"/>
        <v>0</v>
      </c>
      <c r="P46" s="67">
        <f t="shared" si="5"/>
        <v>-16.19047619047592</v>
      </c>
      <c r="Q46" s="339">
        <f t="shared" si="6"/>
        <v>0.95142857142857229</v>
      </c>
      <c r="R46" s="529"/>
      <c r="S46" s="68">
        <v>0.36180555555555549</v>
      </c>
      <c r="T46" s="68">
        <v>0.38124999999999992</v>
      </c>
      <c r="U46" s="338">
        <f t="shared" si="34"/>
        <v>5.9999999999999787</v>
      </c>
      <c r="V46" s="346">
        <f t="shared" si="33"/>
        <v>27.999999999999979</v>
      </c>
      <c r="W46" s="69"/>
      <c r="X46" s="69"/>
      <c r="Y46" s="517"/>
      <c r="Z46" s="518"/>
      <c r="AA46" s="66">
        <f t="shared" si="8"/>
        <v>-145.71428571428351</v>
      </c>
      <c r="AB46" s="339">
        <f t="shared" si="9"/>
        <v>0.95142857142857218</v>
      </c>
      <c r="AC46" s="529"/>
    </row>
    <row r="47" spans="1:29" ht="15.75" customHeight="1">
      <c r="A47" s="526" t="s">
        <v>1860</v>
      </c>
      <c r="B47" s="62" t="s">
        <v>35</v>
      </c>
      <c r="C47" s="521" t="s">
        <v>74</v>
      </c>
      <c r="D47" s="522"/>
      <c r="E47" s="62">
        <v>34.36</v>
      </c>
      <c r="F47" s="347">
        <v>2163</v>
      </c>
      <c r="G47" s="338">
        <f t="shared" si="31"/>
        <v>74320.679999999993</v>
      </c>
      <c r="H47" s="90" t="s">
        <v>5</v>
      </c>
      <c r="I47" s="345">
        <v>10</v>
      </c>
      <c r="J47" s="63">
        <v>3000</v>
      </c>
      <c r="K47" s="64">
        <f t="shared" si="1"/>
        <v>300</v>
      </c>
      <c r="L47" s="345">
        <v>10</v>
      </c>
      <c r="M47" s="65">
        <f t="shared" si="32"/>
        <v>2884</v>
      </c>
      <c r="N47" s="65">
        <f t="shared" si="3"/>
        <v>288.39999999999998</v>
      </c>
      <c r="O47" s="66">
        <f t="shared" si="4"/>
        <v>0</v>
      </c>
      <c r="P47" s="67">
        <f t="shared" si="5"/>
        <v>-11.600000000000023</v>
      </c>
      <c r="Q47" s="339">
        <f t="shared" si="6"/>
        <v>0.96133333333333326</v>
      </c>
      <c r="R47" s="529"/>
      <c r="S47" s="68">
        <v>0.38680555555555546</v>
      </c>
      <c r="T47" s="68">
        <v>0.41805555555555546</v>
      </c>
      <c r="U47" s="338">
        <f t="shared" si="34"/>
        <v>7.9999999999999716</v>
      </c>
      <c r="V47" s="346">
        <f t="shared" si="33"/>
        <v>45</v>
      </c>
      <c r="W47" s="69"/>
      <c r="X47" s="69"/>
      <c r="Y47" s="517"/>
      <c r="Z47" s="518"/>
      <c r="AA47" s="66">
        <f t="shared" si="8"/>
        <v>-116</v>
      </c>
      <c r="AB47" s="339">
        <f t="shared" si="9"/>
        <v>0.96133333333333337</v>
      </c>
      <c r="AC47" s="529"/>
    </row>
    <row r="48" spans="1:29" ht="15.75" customHeight="1">
      <c r="A48" s="526" t="s">
        <v>1860</v>
      </c>
      <c r="B48" s="62" t="s">
        <v>35</v>
      </c>
      <c r="C48" s="521" t="s">
        <v>84</v>
      </c>
      <c r="D48" s="522"/>
      <c r="E48" s="62">
        <v>31</v>
      </c>
      <c r="F48" s="347">
        <v>3485</v>
      </c>
      <c r="G48" s="338">
        <f t="shared" si="31"/>
        <v>108035</v>
      </c>
      <c r="H48" s="90" t="s">
        <v>5</v>
      </c>
      <c r="I48" s="345">
        <v>13</v>
      </c>
      <c r="J48" s="63">
        <v>2000</v>
      </c>
      <c r="K48" s="64">
        <f t="shared" si="1"/>
        <v>153.84615384615384</v>
      </c>
      <c r="L48" s="345">
        <v>13</v>
      </c>
      <c r="M48" s="65">
        <f t="shared" si="32"/>
        <v>1918.3486238532107</v>
      </c>
      <c r="N48" s="65">
        <f t="shared" si="3"/>
        <v>147.5652787579393</v>
      </c>
      <c r="O48" s="66">
        <f t="shared" si="4"/>
        <v>0</v>
      </c>
      <c r="P48" s="67">
        <f t="shared" si="5"/>
        <v>-6.2808750882145432</v>
      </c>
      <c r="Q48" s="339">
        <f t="shared" si="6"/>
        <v>0.95917431192660552</v>
      </c>
      <c r="R48" s="529"/>
      <c r="S48" s="68">
        <v>0.42222222222222211</v>
      </c>
      <c r="T48" s="68">
        <v>0.49791666666666656</v>
      </c>
      <c r="U48" s="338">
        <f t="shared" si="34"/>
        <v>5.9999999999999787</v>
      </c>
      <c r="V48" s="346">
        <f t="shared" si="33"/>
        <v>109.00000000000001</v>
      </c>
      <c r="W48" s="69"/>
      <c r="X48" s="69"/>
      <c r="Y48" s="517"/>
      <c r="Z48" s="518"/>
      <c r="AA48" s="66">
        <f t="shared" si="8"/>
        <v>-81.651376146789289</v>
      </c>
      <c r="AB48" s="339">
        <f t="shared" si="9"/>
        <v>0.95917431192660541</v>
      </c>
      <c r="AC48" s="529"/>
    </row>
    <row r="49" spans="1:29" ht="15.75" customHeight="1">
      <c r="A49" s="527" t="s">
        <v>1860</v>
      </c>
      <c r="B49" s="62" t="s">
        <v>1854</v>
      </c>
      <c r="C49" s="508"/>
      <c r="D49" s="509"/>
      <c r="E49" s="337"/>
      <c r="F49" s="347"/>
      <c r="G49" s="338"/>
      <c r="H49" s="347"/>
      <c r="I49" s="72">
        <v>10.142857142857142</v>
      </c>
      <c r="J49" s="63">
        <v>2857.1428571428573</v>
      </c>
      <c r="K49" s="64">
        <f t="shared" si="1"/>
        <v>281.69014084507046</v>
      </c>
      <c r="L49" s="72">
        <v>10.142857142857142</v>
      </c>
      <c r="M49" s="65">
        <f>AVERAGE(M42:M48)</f>
        <v>2731.1341301495154</v>
      </c>
      <c r="N49" s="64">
        <f t="shared" si="3"/>
        <v>269.2667452260086</v>
      </c>
      <c r="O49" s="66">
        <f t="shared" si="4"/>
        <v>0</v>
      </c>
      <c r="P49" s="67">
        <f t="shared" si="5"/>
        <v>-12.423395619061864</v>
      </c>
      <c r="Q49" s="339">
        <f t="shared" si="6"/>
        <v>0.9558969455523304</v>
      </c>
      <c r="R49" s="530"/>
      <c r="S49" s="68"/>
      <c r="T49" s="68"/>
      <c r="U49" s="338"/>
      <c r="V49" s="346"/>
      <c r="W49" s="69"/>
      <c r="X49" s="69"/>
      <c r="Y49" s="517"/>
      <c r="Z49" s="518"/>
      <c r="AA49" s="66">
        <f t="shared" si="8"/>
        <v>-126.00872699334195</v>
      </c>
      <c r="AB49" s="339">
        <f t="shared" si="9"/>
        <v>0.95589694555233029</v>
      </c>
      <c r="AC49" s="530"/>
    </row>
    <row r="50" spans="1:29" ht="15.75" customHeight="1">
      <c r="A50" s="523" t="s">
        <v>1861</v>
      </c>
      <c r="B50" s="62" t="s">
        <v>10</v>
      </c>
      <c r="C50" s="512" t="s">
        <v>41</v>
      </c>
      <c r="D50" s="512"/>
      <c r="E50" s="62">
        <v>46</v>
      </c>
      <c r="F50" s="74">
        <v>1967</v>
      </c>
      <c r="G50" s="338">
        <f t="shared" ref="G50:G55" si="35">E50*F50</f>
        <v>90482</v>
      </c>
      <c r="H50" s="90" t="s">
        <v>5</v>
      </c>
      <c r="I50" s="345">
        <v>17</v>
      </c>
      <c r="J50" s="63">
        <v>2000</v>
      </c>
      <c r="K50" s="64">
        <f t="shared" si="1"/>
        <v>117.64705882352941</v>
      </c>
      <c r="L50" s="345">
        <v>17</v>
      </c>
      <c r="M50" s="65">
        <f t="shared" ref="M50:M55" si="36">F50/V50*60</f>
        <v>1903.5483870967748</v>
      </c>
      <c r="N50" s="65">
        <f t="shared" si="3"/>
        <v>111.9734345351044</v>
      </c>
      <c r="O50" s="66">
        <f t="shared" si="4"/>
        <v>0</v>
      </c>
      <c r="P50" s="67">
        <f t="shared" si="5"/>
        <v>-5.6736242884250032</v>
      </c>
      <c r="Q50" s="339">
        <f t="shared" si="6"/>
        <v>0.95177419354838744</v>
      </c>
      <c r="R50" s="511">
        <f>Q56</f>
        <v>0.95539379575031058</v>
      </c>
      <c r="S50" s="68">
        <v>0.20833333333333334</v>
      </c>
      <c r="T50" s="68">
        <v>0.25138888888888888</v>
      </c>
      <c r="U50" s="73"/>
      <c r="V50" s="346">
        <f t="shared" ref="V50:V55" si="37">(T50-S50)*24*60</f>
        <v>61.999999999999979</v>
      </c>
      <c r="W50" s="73"/>
      <c r="X50" s="73"/>
      <c r="Y50" s="510"/>
      <c r="Z50" s="510"/>
      <c r="AA50" s="66">
        <f t="shared" si="8"/>
        <v>-96.451612903225168</v>
      </c>
      <c r="AB50" s="339">
        <f t="shared" si="9"/>
        <v>0.95177419354838744</v>
      </c>
      <c r="AC50" s="511">
        <f>AB56</f>
        <v>0.95539379575031058</v>
      </c>
    </row>
    <row r="51" spans="1:29" ht="15.75" customHeight="1">
      <c r="A51" s="523" t="s">
        <v>1861</v>
      </c>
      <c r="B51" s="62" t="s">
        <v>10</v>
      </c>
      <c r="C51" s="512" t="s">
        <v>42</v>
      </c>
      <c r="D51" s="512"/>
      <c r="E51" s="62">
        <v>46</v>
      </c>
      <c r="F51" s="74">
        <v>2196</v>
      </c>
      <c r="G51" s="338">
        <f t="shared" si="35"/>
        <v>101016</v>
      </c>
      <c r="H51" s="90" t="s">
        <v>5</v>
      </c>
      <c r="I51" s="345">
        <v>17</v>
      </c>
      <c r="J51" s="63">
        <v>2000</v>
      </c>
      <c r="K51" s="64">
        <f t="shared" si="1"/>
        <v>117.64705882352941</v>
      </c>
      <c r="L51" s="345">
        <v>17</v>
      </c>
      <c r="M51" s="65">
        <f t="shared" si="36"/>
        <v>1909.5652173913043</v>
      </c>
      <c r="N51" s="65">
        <f t="shared" si="3"/>
        <v>112.32736572890025</v>
      </c>
      <c r="O51" s="66">
        <f t="shared" si="4"/>
        <v>0</v>
      </c>
      <c r="P51" s="67">
        <f t="shared" si="5"/>
        <v>-5.3196930946291587</v>
      </c>
      <c r="Q51" s="339">
        <f t="shared" si="6"/>
        <v>0.95478260869565212</v>
      </c>
      <c r="R51" s="511"/>
      <c r="S51" s="68">
        <v>0.25555555555555554</v>
      </c>
      <c r="T51" s="68">
        <v>0.3034722222222222</v>
      </c>
      <c r="U51" s="338">
        <f t="shared" ref="U51:U55" si="38">IF(S51=TIME(17,0,0),"",(S51-T50)*24*60)</f>
        <v>5.9999999999999787</v>
      </c>
      <c r="V51" s="346">
        <f t="shared" si="37"/>
        <v>69</v>
      </c>
      <c r="W51" s="69"/>
      <c r="X51" s="69"/>
      <c r="Y51" s="510"/>
      <c r="Z51" s="510"/>
      <c r="AA51" s="66">
        <f t="shared" si="8"/>
        <v>-90.434782608695741</v>
      </c>
      <c r="AB51" s="339">
        <f t="shared" si="9"/>
        <v>0.95478260869565212</v>
      </c>
      <c r="AC51" s="511"/>
    </row>
    <row r="52" spans="1:29" ht="15.75" customHeight="1">
      <c r="A52" s="523" t="s">
        <v>1861</v>
      </c>
      <c r="B52" s="62" t="s">
        <v>6</v>
      </c>
      <c r="C52" s="521" t="s">
        <v>43</v>
      </c>
      <c r="D52" s="522"/>
      <c r="E52" s="62">
        <v>55.56</v>
      </c>
      <c r="F52" s="74">
        <v>2232</v>
      </c>
      <c r="G52" s="338">
        <f t="shared" si="35"/>
        <v>124009.92</v>
      </c>
      <c r="H52" s="90" t="s">
        <v>5</v>
      </c>
      <c r="I52" s="345">
        <v>17</v>
      </c>
      <c r="J52" s="63">
        <v>2000</v>
      </c>
      <c r="K52" s="64">
        <f t="shared" si="1"/>
        <v>117.64705882352941</v>
      </c>
      <c r="L52" s="345">
        <v>17</v>
      </c>
      <c r="M52" s="65">
        <f t="shared" si="36"/>
        <v>1913.1428571428553</v>
      </c>
      <c r="N52" s="65">
        <f t="shared" si="3"/>
        <v>112.5378151260503</v>
      </c>
      <c r="O52" s="66">
        <f t="shared" si="4"/>
        <v>0</v>
      </c>
      <c r="P52" s="67">
        <f t="shared" si="5"/>
        <v>-5.1092436974791013</v>
      </c>
      <c r="Q52" s="339">
        <f t="shared" si="6"/>
        <v>0.95657142857142763</v>
      </c>
      <c r="R52" s="511"/>
      <c r="S52" s="68">
        <v>0.70833333333333337</v>
      </c>
      <c r="T52" s="68">
        <v>0.75694444444444453</v>
      </c>
      <c r="U52" s="338" t="str">
        <f t="shared" si="38"/>
        <v/>
      </c>
      <c r="V52" s="346">
        <f t="shared" si="37"/>
        <v>70.000000000000071</v>
      </c>
      <c r="W52" s="69"/>
      <c r="X52" s="69"/>
      <c r="Y52" s="335"/>
      <c r="Z52" s="336"/>
      <c r="AA52" s="66">
        <f t="shared" si="8"/>
        <v>-86.857142857144709</v>
      </c>
      <c r="AB52" s="339">
        <f t="shared" si="9"/>
        <v>0.95657142857142763</v>
      </c>
      <c r="AC52" s="511"/>
    </row>
    <row r="53" spans="1:29" ht="15.75" customHeight="1">
      <c r="A53" s="523" t="s">
        <v>1861</v>
      </c>
      <c r="B53" s="62" t="s">
        <v>6</v>
      </c>
      <c r="C53" s="341" t="s">
        <v>44</v>
      </c>
      <c r="D53" s="342"/>
      <c r="E53" s="62">
        <v>55.32</v>
      </c>
      <c r="F53" s="74">
        <v>1664</v>
      </c>
      <c r="G53" s="338">
        <f t="shared" si="35"/>
        <v>92052.479999999996</v>
      </c>
      <c r="H53" s="90" t="s">
        <v>5</v>
      </c>
      <c r="I53" s="345">
        <v>15</v>
      </c>
      <c r="J53" s="63">
        <v>2000</v>
      </c>
      <c r="K53" s="64">
        <f t="shared" si="1"/>
        <v>133.33333333333334</v>
      </c>
      <c r="L53" s="345">
        <v>15</v>
      </c>
      <c r="M53" s="65">
        <f t="shared" si="36"/>
        <v>1920.0000000000009</v>
      </c>
      <c r="N53" s="65">
        <f t="shared" si="3"/>
        <v>128.00000000000006</v>
      </c>
      <c r="O53" s="66">
        <f t="shared" si="4"/>
        <v>0</v>
      </c>
      <c r="P53" s="67">
        <f t="shared" si="5"/>
        <v>-5.333333333333286</v>
      </c>
      <c r="Q53" s="339">
        <f t="shared" si="6"/>
        <v>0.96000000000000041</v>
      </c>
      <c r="R53" s="511"/>
      <c r="S53" s="68">
        <v>0.76111111111111118</v>
      </c>
      <c r="T53" s="68">
        <v>0.79722222222222228</v>
      </c>
      <c r="U53" s="338">
        <f t="shared" si="38"/>
        <v>5.9999999999999787</v>
      </c>
      <c r="V53" s="346">
        <f t="shared" si="37"/>
        <v>51.999999999999972</v>
      </c>
      <c r="W53" s="69"/>
      <c r="X53" s="69"/>
      <c r="Y53" s="335"/>
      <c r="Z53" s="336"/>
      <c r="AA53" s="66">
        <f t="shared" si="8"/>
        <v>-79.999999999999091</v>
      </c>
      <c r="AB53" s="339">
        <f t="shared" si="9"/>
        <v>0.96000000000000041</v>
      </c>
      <c r="AC53" s="511"/>
    </row>
    <row r="54" spans="1:29" ht="15.75" customHeight="1">
      <c r="A54" s="523" t="s">
        <v>1861</v>
      </c>
      <c r="B54" s="62" t="s">
        <v>6</v>
      </c>
      <c r="C54" s="341" t="s">
        <v>1462</v>
      </c>
      <c r="D54" s="342"/>
      <c r="E54" s="62">
        <v>53.68</v>
      </c>
      <c r="F54" s="74">
        <v>1100</v>
      </c>
      <c r="G54" s="338">
        <f t="shared" si="35"/>
        <v>59048</v>
      </c>
      <c r="H54" s="90">
        <v>2</v>
      </c>
      <c r="I54" s="345">
        <v>16</v>
      </c>
      <c r="J54" s="63">
        <v>1500</v>
      </c>
      <c r="K54" s="64">
        <f t="shared" si="1"/>
        <v>93.75</v>
      </c>
      <c r="L54" s="345">
        <v>16</v>
      </c>
      <c r="M54" s="65">
        <f t="shared" si="36"/>
        <v>1434.7826086956522</v>
      </c>
      <c r="N54" s="65">
        <f t="shared" si="3"/>
        <v>89.673913043478265</v>
      </c>
      <c r="O54" s="66">
        <f t="shared" si="4"/>
        <v>0</v>
      </c>
      <c r="P54" s="67">
        <f t="shared" si="5"/>
        <v>-4.0760869565217348</v>
      </c>
      <c r="Q54" s="339">
        <f t="shared" si="6"/>
        <v>0.95652173913043481</v>
      </c>
      <c r="R54" s="511"/>
      <c r="S54" s="68">
        <v>0.80208333333333337</v>
      </c>
      <c r="T54" s="68">
        <v>0.83402777777777781</v>
      </c>
      <c r="U54" s="338">
        <f t="shared" si="38"/>
        <v>6.9999999999999751</v>
      </c>
      <c r="V54" s="346">
        <f t="shared" si="37"/>
        <v>46</v>
      </c>
      <c r="W54" s="69">
        <f>T54</f>
        <v>0.83402777777777781</v>
      </c>
      <c r="X54" s="69">
        <f>S55</f>
        <v>0.87361111111111112</v>
      </c>
      <c r="Y54" s="335"/>
      <c r="Z54" s="336"/>
      <c r="AA54" s="66">
        <f t="shared" si="8"/>
        <v>-65.217391304347757</v>
      </c>
      <c r="AB54" s="339">
        <f t="shared" si="9"/>
        <v>0.95652173913043481</v>
      </c>
      <c r="AC54" s="511"/>
    </row>
    <row r="55" spans="1:29" ht="15.75" customHeight="1">
      <c r="A55" s="523" t="s">
        <v>1861</v>
      </c>
      <c r="B55" s="62" t="s">
        <v>6</v>
      </c>
      <c r="C55" s="521" t="s">
        <v>1462</v>
      </c>
      <c r="D55" s="522"/>
      <c r="E55" s="62">
        <v>53.68</v>
      </c>
      <c r="F55" s="74">
        <v>1952</v>
      </c>
      <c r="G55" s="338">
        <f t="shared" si="35"/>
        <v>104783.36</v>
      </c>
      <c r="H55" s="90" t="s">
        <v>5</v>
      </c>
      <c r="I55" s="345">
        <v>16</v>
      </c>
      <c r="J55" s="63">
        <v>1500</v>
      </c>
      <c r="K55" s="64">
        <f t="shared" si="1"/>
        <v>93.75</v>
      </c>
      <c r="L55" s="345">
        <v>16</v>
      </c>
      <c r="M55" s="65">
        <f t="shared" si="36"/>
        <v>1428.2926829268288</v>
      </c>
      <c r="N55" s="65">
        <f t="shared" si="3"/>
        <v>89.268292682926798</v>
      </c>
      <c r="O55" s="66">
        <f t="shared" si="4"/>
        <v>0</v>
      </c>
      <c r="P55" s="67">
        <f t="shared" si="5"/>
        <v>-4.4817073170732016</v>
      </c>
      <c r="Q55" s="339">
        <f t="shared" si="6"/>
        <v>0.95219512195121914</v>
      </c>
      <c r="R55" s="511"/>
      <c r="S55" s="68">
        <v>0.87361111111111112</v>
      </c>
      <c r="T55" s="68">
        <v>0.93055555555555558</v>
      </c>
      <c r="U55" s="338">
        <f t="shared" si="38"/>
        <v>56.999999999999957</v>
      </c>
      <c r="V55" s="346">
        <f t="shared" si="37"/>
        <v>82.000000000000028</v>
      </c>
      <c r="W55" s="69"/>
      <c r="X55" s="69"/>
      <c r="Y55" s="517"/>
      <c r="Z55" s="518"/>
      <c r="AA55" s="66">
        <f t="shared" si="8"/>
        <v>-71.707317073171225</v>
      </c>
      <c r="AB55" s="339">
        <f t="shared" si="9"/>
        <v>0.95219512195121914</v>
      </c>
      <c r="AC55" s="511"/>
    </row>
    <row r="56" spans="1:29">
      <c r="A56" s="524" t="s">
        <v>1861</v>
      </c>
      <c r="B56" s="62" t="s">
        <v>1854</v>
      </c>
      <c r="C56" s="513"/>
      <c r="D56" s="513"/>
      <c r="E56" s="340"/>
      <c r="F56" s="71"/>
      <c r="G56" s="64"/>
      <c r="H56" s="347"/>
      <c r="I56" s="72">
        <v>16.333333333333332</v>
      </c>
      <c r="J56" s="63">
        <v>1833.3333333333333</v>
      </c>
      <c r="K56" s="64">
        <f t="shared" si="1"/>
        <v>112.24489795918367</v>
      </c>
      <c r="L56" s="72">
        <v>16.333333333333332</v>
      </c>
      <c r="M56" s="65">
        <f>AVERAGE(M50:M55)</f>
        <v>1751.5552922089028</v>
      </c>
      <c r="N56" s="64">
        <f t="shared" si="3"/>
        <v>107.23807911483078</v>
      </c>
      <c r="O56" s="66">
        <f t="shared" si="4"/>
        <v>0</v>
      </c>
      <c r="P56" s="67">
        <f t="shared" si="5"/>
        <v>-5.0068188443528925</v>
      </c>
      <c r="Q56" s="339">
        <f t="shared" si="6"/>
        <v>0.95539379575031058</v>
      </c>
      <c r="R56" s="511"/>
      <c r="S56" s="75"/>
      <c r="T56" s="68"/>
      <c r="U56" s="64"/>
      <c r="V56" s="346"/>
      <c r="W56" s="64"/>
      <c r="X56" s="64"/>
      <c r="Y56" s="510"/>
      <c r="Z56" s="510"/>
      <c r="AA56" s="66">
        <f t="shared" si="8"/>
        <v>-81.778041124430501</v>
      </c>
      <c r="AB56" s="339">
        <f t="shared" si="9"/>
        <v>0.95539379575031058</v>
      </c>
      <c r="AC56" s="511"/>
    </row>
    <row r="57" spans="1:29" ht="15.75" customHeight="1">
      <c r="A57" s="519" t="s">
        <v>1862</v>
      </c>
      <c r="B57" s="347" t="s">
        <v>10</v>
      </c>
      <c r="C57" s="512" t="s">
        <v>46</v>
      </c>
      <c r="D57" s="512"/>
      <c r="E57" s="62">
        <v>26.97</v>
      </c>
      <c r="F57" s="74">
        <v>2707</v>
      </c>
      <c r="G57" s="338">
        <f t="shared" ref="G57:G60" si="39">E57*F57</f>
        <v>73007.789999999994</v>
      </c>
      <c r="H57" s="90" t="s">
        <v>5</v>
      </c>
      <c r="I57" s="345">
        <v>8</v>
      </c>
      <c r="J57" s="63">
        <v>1500</v>
      </c>
      <c r="K57" s="64">
        <f t="shared" si="1"/>
        <v>187.5</v>
      </c>
      <c r="L57" s="345">
        <v>8</v>
      </c>
      <c r="M57" s="65">
        <f t="shared" ref="M57:M60" si="40">F57/V57*60</f>
        <v>1437.3451327433634</v>
      </c>
      <c r="N57" s="64">
        <f t="shared" si="3"/>
        <v>179.66814159292042</v>
      </c>
      <c r="O57" s="66">
        <f t="shared" si="4"/>
        <v>0</v>
      </c>
      <c r="P57" s="67">
        <f t="shared" si="5"/>
        <v>-7.8318584070795794</v>
      </c>
      <c r="Q57" s="339">
        <f t="shared" si="6"/>
        <v>0.95823008849557556</v>
      </c>
      <c r="R57" s="511">
        <f>Q61</f>
        <v>0.95638906531369128</v>
      </c>
      <c r="S57" s="68">
        <v>0.20833333333333334</v>
      </c>
      <c r="T57" s="68">
        <v>0.28680555555555554</v>
      </c>
      <c r="U57" s="338"/>
      <c r="V57" s="346">
        <f t="shared" ref="V57:V60" si="41">(T57-S57)*24*60</f>
        <v>112.99999999999996</v>
      </c>
      <c r="W57" s="73"/>
      <c r="X57" s="73"/>
      <c r="Y57" s="510"/>
      <c r="Z57" s="510"/>
      <c r="AA57" s="66">
        <f t="shared" si="8"/>
        <v>-62.654867256636635</v>
      </c>
      <c r="AB57" s="339">
        <f t="shared" si="9"/>
        <v>0.95823008849557556</v>
      </c>
      <c r="AC57" s="511">
        <f>AB61</f>
        <v>0.95638906531369139</v>
      </c>
    </row>
    <row r="58" spans="1:29" ht="15.75" customHeight="1">
      <c r="A58" s="519" t="s">
        <v>1862</v>
      </c>
      <c r="B58" s="347" t="s">
        <v>35</v>
      </c>
      <c r="C58" s="512" t="s">
        <v>45</v>
      </c>
      <c r="D58" s="512"/>
      <c r="E58" s="62">
        <v>26.78</v>
      </c>
      <c r="F58" s="74">
        <v>2497</v>
      </c>
      <c r="G58" s="338">
        <f t="shared" si="39"/>
        <v>66869.66</v>
      </c>
      <c r="H58" s="90" t="s">
        <v>5</v>
      </c>
      <c r="I58" s="345">
        <v>10</v>
      </c>
      <c r="J58" s="63">
        <v>3000</v>
      </c>
      <c r="K58" s="64">
        <f t="shared" si="1"/>
        <v>300</v>
      </c>
      <c r="L58" s="345">
        <v>10</v>
      </c>
      <c r="M58" s="65">
        <f t="shared" si="40"/>
        <v>2881.1538461538476</v>
      </c>
      <c r="N58" s="64">
        <f t="shared" si="3"/>
        <v>288.11538461538476</v>
      </c>
      <c r="O58" s="66">
        <f t="shared" si="4"/>
        <v>0</v>
      </c>
      <c r="P58" s="67">
        <f t="shared" si="5"/>
        <v>-11.884615384615245</v>
      </c>
      <c r="Q58" s="339">
        <f t="shared" si="6"/>
        <v>0.96038461538461584</v>
      </c>
      <c r="R58" s="511"/>
      <c r="S58" s="68">
        <v>0.29236111111111107</v>
      </c>
      <c r="T58" s="68">
        <v>0.32847222222222217</v>
      </c>
      <c r="U58" s="338">
        <f t="shared" ref="U58:U60" si="42">(S58-T57)*24*60</f>
        <v>7.9999999999999716</v>
      </c>
      <c r="V58" s="346">
        <f t="shared" si="41"/>
        <v>51.999999999999972</v>
      </c>
      <c r="W58" s="338"/>
      <c r="X58" s="338"/>
      <c r="Y58" s="510"/>
      <c r="Z58" s="510"/>
      <c r="AA58" s="66">
        <f t="shared" si="8"/>
        <v>-118.84615384615245</v>
      </c>
      <c r="AB58" s="339">
        <f t="shared" si="9"/>
        <v>0.96038461538461584</v>
      </c>
      <c r="AC58" s="511"/>
    </row>
    <row r="59" spans="1:29" ht="15.75" customHeight="1">
      <c r="A59" s="519" t="s">
        <v>1862</v>
      </c>
      <c r="B59" s="347" t="s">
        <v>35</v>
      </c>
      <c r="C59" s="512" t="s">
        <v>75</v>
      </c>
      <c r="D59" s="512"/>
      <c r="E59" s="62">
        <v>37.880000000000003</v>
      </c>
      <c r="F59" s="74">
        <v>2856</v>
      </c>
      <c r="G59" s="338">
        <f t="shared" si="39"/>
        <v>108185.28000000001</v>
      </c>
      <c r="H59" s="90" t="s">
        <v>5</v>
      </c>
      <c r="I59" s="345">
        <v>10</v>
      </c>
      <c r="J59" s="63">
        <v>3000</v>
      </c>
      <c r="K59" s="64">
        <f t="shared" si="1"/>
        <v>300</v>
      </c>
      <c r="L59" s="345">
        <v>10</v>
      </c>
      <c r="M59" s="65">
        <f t="shared" si="40"/>
        <v>2855.9999999999986</v>
      </c>
      <c r="N59" s="64">
        <f t="shared" si="3"/>
        <v>285.59999999999985</v>
      </c>
      <c r="O59" s="66">
        <f t="shared" si="4"/>
        <v>0</v>
      </c>
      <c r="P59" s="67">
        <f t="shared" si="5"/>
        <v>-14.400000000000148</v>
      </c>
      <c r="Q59" s="339">
        <f t="shared" si="6"/>
        <v>0.95199999999999951</v>
      </c>
      <c r="R59" s="511"/>
      <c r="S59" s="68">
        <v>0.33263888888888882</v>
      </c>
      <c r="T59" s="68">
        <v>0.3743055555555555</v>
      </c>
      <c r="U59" s="338">
        <f t="shared" si="42"/>
        <v>5.9999999999999787</v>
      </c>
      <c r="V59" s="346">
        <f t="shared" si="41"/>
        <v>60.000000000000028</v>
      </c>
      <c r="W59" s="338"/>
      <c r="X59" s="338"/>
      <c r="Y59" s="510"/>
      <c r="Z59" s="510"/>
      <c r="AA59" s="66">
        <f t="shared" si="8"/>
        <v>-144.00000000000136</v>
      </c>
      <c r="AB59" s="339">
        <f t="shared" si="9"/>
        <v>0.95199999999999951</v>
      </c>
      <c r="AC59" s="511"/>
    </row>
    <row r="60" spans="1:29" ht="15.75" customHeight="1">
      <c r="A60" s="519" t="s">
        <v>1862</v>
      </c>
      <c r="B60" s="347" t="s">
        <v>35</v>
      </c>
      <c r="C60" s="512" t="s">
        <v>85</v>
      </c>
      <c r="D60" s="512"/>
      <c r="E60" s="62">
        <v>40.51</v>
      </c>
      <c r="F60" s="74">
        <v>2772</v>
      </c>
      <c r="G60" s="338">
        <f t="shared" si="39"/>
        <v>112293.72</v>
      </c>
      <c r="H60" s="90" t="s">
        <v>5</v>
      </c>
      <c r="I60" s="345">
        <v>8</v>
      </c>
      <c r="J60" s="63">
        <v>3000</v>
      </c>
      <c r="K60" s="64">
        <f t="shared" si="1"/>
        <v>375</v>
      </c>
      <c r="L60" s="345">
        <v>8</v>
      </c>
      <c r="M60" s="65">
        <f t="shared" si="40"/>
        <v>2867.5862068965503</v>
      </c>
      <c r="N60" s="64">
        <f t="shared" si="3"/>
        <v>358.44827586206878</v>
      </c>
      <c r="O60" s="66">
        <f t="shared" si="4"/>
        <v>0</v>
      </c>
      <c r="P60" s="67">
        <f t="shared" si="5"/>
        <v>-16.551724137931217</v>
      </c>
      <c r="Q60" s="339">
        <f t="shared" si="6"/>
        <v>0.95586206896551673</v>
      </c>
      <c r="R60" s="511"/>
      <c r="S60" s="68">
        <v>0.3791666666666666</v>
      </c>
      <c r="T60" s="68">
        <v>0.4194444444444444</v>
      </c>
      <c r="U60" s="338">
        <f t="shared" si="42"/>
        <v>6.9999999999999751</v>
      </c>
      <c r="V60" s="346">
        <f t="shared" si="41"/>
        <v>58.000000000000036</v>
      </c>
      <c r="W60" s="338"/>
      <c r="X60" s="338"/>
      <c r="Y60" s="510"/>
      <c r="Z60" s="510"/>
      <c r="AA60" s="66">
        <f t="shared" si="8"/>
        <v>-132.41379310344973</v>
      </c>
      <c r="AB60" s="339">
        <f t="shared" si="9"/>
        <v>0.95586206896551673</v>
      </c>
      <c r="AC60" s="511"/>
    </row>
    <row r="61" spans="1:29">
      <c r="A61" s="520" t="s">
        <v>1862</v>
      </c>
      <c r="B61" s="62" t="s">
        <v>1854</v>
      </c>
      <c r="C61" s="513"/>
      <c r="D61" s="513"/>
      <c r="E61" s="340"/>
      <c r="F61" s="71"/>
      <c r="G61" s="64"/>
      <c r="H61" s="347"/>
      <c r="I61" s="72">
        <v>9</v>
      </c>
      <c r="J61" s="63">
        <v>2625</v>
      </c>
      <c r="K61" s="64">
        <f t="shared" si="1"/>
        <v>291.66666666666669</v>
      </c>
      <c r="L61" s="72">
        <v>9</v>
      </c>
      <c r="M61" s="65">
        <f>AVERAGE(M57:M60)</f>
        <v>2510.5212964484399</v>
      </c>
      <c r="N61" s="64">
        <f t="shared" si="3"/>
        <v>278.9468107164933</v>
      </c>
      <c r="O61" s="66">
        <f t="shared" si="4"/>
        <v>0</v>
      </c>
      <c r="P61" s="67">
        <f t="shared" si="5"/>
        <v>-12.719855950173383</v>
      </c>
      <c r="Q61" s="339">
        <f t="shared" si="6"/>
        <v>0.95638906531369128</v>
      </c>
      <c r="R61" s="511"/>
      <c r="S61" s="68"/>
      <c r="T61" s="68"/>
      <c r="U61" s="64"/>
      <c r="V61" s="346"/>
      <c r="W61" s="64"/>
      <c r="X61" s="64"/>
      <c r="Y61" s="510"/>
      <c r="Z61" s="510"/>
      <c r="AA61" s="66">
        <f t="shared" si="8"/>
        <v>-114.4787035515601</v>
      </c>
      <c r="AB61" s="339">
        <f t="shared" si="9"/>
        <v>0.95638906531369139</v>
      </c>
      <c r="AC61" s="511"/>
    </row>
    <row r="62" spans="1:29" ht="15.75" customHeight="1">
      <c r="A62" s="514" t="s">
        <v>1863</v>
      </c>
      <c r="B62" s="347" t="s">
        <v>16</v>
      </c>
      <c r="C62" s="512" t="s">
        <v>48</v>
      </c>
      <c r="D62" s="512"/>
      <c r="E62" s="62">
        <v>20.2</v>
      </c>
      <c r="F62" s="347">
        <v>1837</v>
      </c>
      <c r="G62" s="338">
        <f t="shared" ref="G62:G68" si="43">E62*F62</f>
        <v>37107.4</v>
      </c>
      <c r="H62" s="90" t="s">
        <v>5</v>
      </c>
      <c r="I62" s="345">
        <v>19</v>
      </c>
      <c r="J62" s="63">
        <v>2400</v>
      </c>
      <c r="K62" s="64">
        <f t="shared" si="1"/>
        <v>126.31578947368421</v>
      </c>
      <c r="L62" s="345">
        <v>19</v>
      </c>
      <c r="M62" s="65">
        <f t="shared" ref="M62:M68" si="44">F62/V62*60</f>
        <v>2296.2499999999995</v>
      </c>
      <c r="N62" s="64">
        <f t="shared" si="3"/>
        <v>120.85526315789471</v>
      </c>
      <c r="O62" s="66">
        <f t="shared" si="4"/>
        <v>0</v>
      </c>
      <c r="P62" s="67">
        <f t="shared" si="5"/>
        <v>-5.4605263157894939</v>
      </c>
      <c r="Q62" s="339">
        <f t="shared" si="6"/>
        <v>0.95677083333333313</v>
      </c>
      <c r="R62" s="511">
        <f>Q69</f>
        <v>0.96119424957172717</v>
      </c>
      <c r="S62" s="68">
        <v>8.3333333333333329E-2</v>
      </c>
      <c r="T62" s="68">
        <v>0.11666666666666667</v>
      </c>
      <c r="U62" s="73"/>
      <c r="V62" s="346">
        <f t="shared" ref="V62:V68" si="45">(T62-S62)*24*60</f>
        <v>48.000000000000007</v>
      </c>
      <c r="W62" s="69">
        <f>T62</f>
        <v>0.11666666666666667</v>
      </c>
      <c r="X62" s="69">
        <f>S63</f>
        <v>0.13680555555555557</v>
      </c>
      <c r="Y62" s="510"/>
      <c r="Z62" s="510"/>
      <c r="AA62" s="66">
        <f t="shared" si="8"/>
        <v>-103.75000000000045</v>
      </c>
      <c r="AB62" s="339">
        <f t="shared" si="9"/>
        <v>0.95677083333333313</v>
      </c>
      <c r="AC62" s="511">
        <f>AB69</f>
        <v>0.96119424957172728</v>
      </c>
    </row>
    <row r="63" spans="1:29" ht="15.75" customHeight="1">
      <c r="A63" s="515" t="s">
        <v>1863</v>
      </c>
      <c r="B63" s="347" t="s">
        <v>16</v>
      </c>
      <c r="C63" s="512" t="s">
        <v>51</v>
      </c>
      <c r="D63" s="512"/>
      <c r="E63" s="62">
        <v>24.25</v>
      </c>
      <c r="F63" s="347">
        <v>1890</v>
      </c>
      <c r="G63" s="338">
        <f t="shared" si="43"/>
        <v>45832.5</v>
      </c>
      <c r="H63" s="90" t="s">
        <v>5</v>
      </c>
      <c r="I63" s="345">
        <v>17</v>
      </c>
      <c r="J63" s="63">
        <v>2400</v>
      </c>
      <c r="K63" s="64">
        <f t="shared" si="1"/>
        <v>141.1764705882353</v>
      </c>
      <c r="L63" s="345">
        <v>17</v>
      </c>
      <c r="M63" s="65">
        <f t="shared" si="44"/>
        <v>2314.2857142857151</v>
      </c>
      <c r="N63" s="64">
        <f t="shared" si="3"/>
        <v>136.13445378151266</v>
      </c>
      <c r="O63" s="66">
        <f t="shared" si="4"/>
        <v>0</v>
      </c>
      <c r="P63" s="67">
        <f t="shared" si="5"/>
        <v>-5.0420168067226427</v>
      </c>
      <c r="Q63" s="339">
        <f t="shared" si="6"/>
        <v>0.96428571428571463</v>
      </c>
      <c r="R63" s="511"/>
      <c r="S63" s="68">
        <v>0.13680555555555557</v>
      </c>
      <c r="T63" s="68">
        <v>0.17083333333333334</v>
      </c>
      <c r="U63" s="338">
        <f t="shared" ref="U63:U68" si="46">(S63-T62)*24*60</f>
        <v>29.000000000000018</v>
      </c>
      <c r="V63" s="346">
        <f t="shared" si="45"/>
        <v>48.999999999999986</v>
      </c>
      <c r="W63" s="69"/>
      <c r="X63" s="69"/>
      <c r="Y63" s="510"/>
      <c r="Z63" s="510"/>
      <c r="AA63" s="66">
        <f t="shared" si="8"/>
        <v>-85.71428571428487</v>
      </c>
      <c r="AB63" s="339">
        <f t="shared" si="9"/>
        <v>0.96428571428571463</v>
      </c>
      <c r="AC63" s="511"/>
    </row>
    <row r="64" spans="1:29" ht="15.75" customHeight="1">
      <c r="A64" s="515" t="s">
        <v>1863</v>
      </c>
      <c r="B64" s="347" t="s">
        <v>16</v>
      </c>
      <c r="C64" s="512" t="s">
        <v>17</v>
      </c>
      <c r="D64" s="512"/>
      <c r="E64" s="62">
        <v>24.45</v>
      </c>
      <c r="F64" s="347">
        <v>1974</v>
      </c>
      <c r="G64" s="338">
        <f t="shared" si="43"/>
        <v>48264.299999999996</v>
      </c>
      <c r="H64" s="90" t="s">
        <v>5</v>
      </c>
      <c r="I64" s="345">
        <v>20</v>
      </c>
      <c r="J64" s="63">
        <v>2400</v>
      </c>
      <c r="K64" s="64">
        <f t="shared" si="1"/>
        <v>120</v>
      </c>
      <c r="L64" s="345">
        <v>20</v>
      </c>
      <c r="M64" s="65">
        <f t="shared" si="44"/>
        <v>2322.3529411764694</v>
      </c>
      <c r="N64" s="64">
        <f t="shared" si="3"/>
        <v>116.11764705882347</v>
      </c>
      <c r="O64" s="66">
        <f t="shared" si="4"/>
        <v>0</v>
      </c>
      <c r="P64" s="67">
        <f t="shared" si="5"/>
        <v>-3.882352941176535</v>
      </c>
      <c r="Q64" s="339">
        <f t="shared" si="6"/>
        <v>0.96764705882352886</v>
      </c>
      <c r="R64" s="511"/>
      <c r="S64" s="68">
        <v>0.1763888888888889</v>
      </c>
      <c r="T64" s="68">
        <v>0.21180555555555558</v>
      </c>
      <c r="U64" s="338">
        <f t="shared" si="46"/>
        <v>8.0000000000000107</v>
      </c>
      <c r="V64" s="346">
        <f t="shared" si="45"/>
        <v>51.000000000000021</v>
      </c>
      <c r="W64" s="69"/>
      <c r="X64" s="69"/>
      <c r="Y64" s="510"/>
      <c r="Z64" s="510"/>
      <c r="AA64" s="66">
        <f t="shared" si="8"/>
        <v>-77.647058823530642</v>
      </c>
      <c r="AB64" s="339">
        <f t="shared" si="9"/>
        <v>0.96764705882352886</v>
      </c>
      <c r="AC64" s="511"/>
    </row>
    <row r="65" spans="1:29" ht="15.75" customHeight="1">
      <c r="A65" s="515" t="s">
        <v>1863</v>
      </c>
      <c r="B65" s="347" t="s">
        <v>16</v>
      </c>
      <c r="C65" s="512" t="s">
        <v>34</v>
      </c>
      <c r="D65" s="512"/>
      <c r="E65" s="62">
        <v>24.25</v>
      </c>
      <c r="F65" s="347">
        <v>2446</v>
      </c>
      <c r="G65" s="338">
        <f t="shared" si="43"/>
        <v>59315.5</v>
      </c>
      <c r="H65" s="90" t="s">
        <v>5</v>
      </c>
      <c r="I65" s="345">
        <v>13</v>
      </c>
      <c r="J65" s="63">
        <v>2400</v>
      </c>
      <c r="K65" s="64">
        <f t="shared" si="1"/>
        <v>184.61538461538461</v>
      </c>
      <c r="L65" s="345">
        <v>13</v>
      </c>
      <c r="M65" s="65">
        <f t="shared" si="44"/>
        <v>2293.1250000000009</v>
      </c>
      <c r="N65" s="64">
        <f t="shared" si="3"/>
        <v>176.39423076923083</v>
      </c>
      <c r="O65" s="66">
        <f t="shared" si="4"/>
        <v>0</v>
      </c>
      <c r="P65" s="67">
        <f t="shared" si="5"/>
        <v>-8.2211538461537828</v>
      </c>
      <c r="Q65" s="339">
        <f t="shared" si="6"/>
        <v>0.95546875000000031</v>
      </c>
      <c r="R65" s="511"/>
      <c r="S65" s="68">
        <v>0.21736111111111114</v>
      </c>
      <c r="T65" s="68">
        <v>0.26180555555555557</v>
      </c>
      <c r="U65" s="338">
        <f t="shared" si="46"/>
        <v>8.0000000000000107</v>
      </c>
      <c r="V65" s="346">
        <f t="shared" si="45"/>
        <v>63.999999999999972</v>
      </c>
      <c r="W65" s="69"/>
      <c r="X65" s="69"/>
      <c r="Y65" s="510"/>
      <c r="Z65" s="510"/>
      <c r="AA65" s="66">
        <f t="shared" si="8"/>
        <v>-106.87499999999909</v>
      </c>
      <c r="AB65" s="339">
        <f t="shared" si="9"/>
        <v>0.95546875000000042</v>
      </c>
      <c r="AC65" s="511"/>
    </row>
    <row r="66" spans="1:29" ht="15.75" customHeight="1">
      <c r="A66" s="515" t="s">
        <v>1863</v>
      </c>
      <c r="B66" s="347" t="s">
        <v>16</v>
      </c>
      <c r="C66" s="512" t="s">
        <v>26</v>
      </c>
      <c r="D66" s="512"/>
      <c r="E66" s="62">
        <v>20.52</v>
      </c>
      <c r="F66" s="347">
        <v>2803</v>
      </c>
      <c r="G66" s="338">
        <f t="shared" si="43"/>
        <v>57517.56</v>
      </c>
      <c r="H66" s="90" t="s">
        <v>5</v>
      </c>
      <c r="I66" s="345">
        <v>18</v>
      </c>
      <c r="J66" s="63">
        <v>2400</v>
      </c>
      <c r="K66" s="64">
        <f t="shared" si="1"/>
        <v>133.33333333333334</v>
      </c>
      <c r="L66" s="345">
        <v>18</v>
      </c>
      <c r="M66" s="65">
        <f t="shared" si="44"/>
        <v>2303.8356164383567</v>
      </c>
      <c r="N66" s="64">
        <f t="shared" si="3"/>
        <v>127.99086757990871</v>
      </c>
      <c r="O66" s="66">
        <f t="shared" si="4"/>
        <v>0</v>
      </c>
      <c r="P66" s="67">
        <f t="shared" si="5"/>
        <v>-5.3424657534246336</v>
      </c>
      <c r="Q66" s="339">
        <f t="shared" si="6"/>
        <v>0.95993150684931527</v>
      </c>
      <c r="R66" s="511"/>
      <c r="S66" s="68">
        <v>0.26527777777777778</v>
      </c>
      <c r="T66" s="68">
        <v>0.31597222222222221</v>
      </c>
      <c r="U66" s="338">
        <f t="shared" si="46"/>
        <v>4.9999999999999822</v>
      </c>
      <c r="V66" s="346">
        <f t="shared" si="45"/>
        <v>72.999999999999986</v>
      </c>
      <c r="W66" s="69"/>
      <c r="X66" s="69"/>
      <c r="Y66" s="510"/>
      <c r="Z66" s="510"/>
      <c r="AA66" s="66">
        <f t="shared" si="8"/>
        <v>-96.164383561643263</v>
      </c>
      <c r="AB66" s="339">
        <f t="shared" si="9"/>
        <v>0.95993150684931527</v>
      </c>
      <c r="AC66" s="511"/>
    </row>
    <row r="67" spans="1:29" ht="15.75" customHeight="1">
      <c r="A67" s="515" t="s">
        <v>1863</v>
      </c>
      <c r="B67" s="347" t="s">
        <v>16</v>
      </c>
      <c r="C67" s="512" t="s">
        <v>49</v>
      </c>
      <c r="D67" s="512"/>
      <c r="E67" s="62">
        <v>19.02</v>
      </c>
      <c r="F67" s="347">
        <v>7507</v>
      </c>
      <c r="G67" s="338">
        <f t="shared" si="43"/>
        <v>142783.13999999998</v>
      </c>
      <c r="H67" s="90" t="s">
        <v>5</v>
      </c>
      <c r="I67" s="345">
        <v>15</v>
      </c>
      <c r="J67" s="63">
        <v>2400</v>
      </c>
      <c r="K67" s="64">
        <f t="shared" si="1"/>
        <v>160</v>
      </c>
      <c r="L67" s="345">
        <v>15</v>
      </c>
      <c r="M67" s="65">
        <f t="shared" si="44"/>
        <v>2286.3959390862951</v>
      </c>
      <c r="N67" s="64">
        <f t="shared" si="3"/>
        <v>152.42639593908635</v>
      </c>
      <c r="O67" s="66">
        <f t="shared" si="4"/>
        <v>0</v>
      </c>
      <c r="P67" s="67">
        <f t="shared" si="5"/>
        <v>-7.5736040609136523</v>
      </c>
      <c r="Q67" s="339">
        <f t="shared" si="6"/>
        <v>0.95266497461928967</v>
      </c>
      <c r="R67" s="511"/>
      <c r="S67" s="68">
        <v>0.32013888888888886</v>
      </c>
      <c r="T67" s="68">
        <v>0.45694444444444438</v>
      </c>
      <c r="U67" s="338">
        <f t="shared" si="46"/>
        <v>5.9999999999999787</v>
      </c>
      <c r="V67" s="346">
        <f t="shared" si="45"/>
        <v>196.99999999999994</v>
      </c>
      <c r="W67" s="69"/>
      <c r="X67" s="69"/>
      <c r="Y67" s="510"/>
      <c r="Z67" s="510"/>
      <c r="AA67" s="66">
        <f t="shared" si="8"/>
        <v>-113.60406091370487</v>
      </c>
      <c r="AB67" s="339">
        <f t="shared" si="9"/>
        <v>0.95266497461928967</v>
      </c>
      <c r="AC67" s="511"/>
    </row>
    <row r="68" spans="1:29" ht="15.75" customHeight="1">
      <c r="A68" s="515" t="s">
        <v>1863</v>
      </c>
      <c r="B68" s="347" t="s">
        <v>16</v>
      </c>
      <c r="C68" s="512" t="s">
        <v>27</v>
      </c>
      <c r="D68" s="512"/>
      <c r="E68" s="62">
        <v>25.98</v>
      </c>
      <c r="F68" s="347">
        <v>855</v>
      </c>
      <c r="G68" s="338">
        <f t="shared" si="43"/>
        <v>22212.9</v>
      </c>
      <c r="H68" s="90" t="s">
        <v>5</v>
      </c>
      <c r="I68" s="345">
        <v>17</v>
      </c>
      <c r="J68" s="63">
        <v>2400</v>
      </c>
      <c r="K68" s="64">
        <f t="shared" si="1"/>
        <v>141.1764705882353</v>
      </c>
      <c r="L68" s="345">
        <v>17</v>
      </c>
      <c r="M68" s="65">
        <f t="shared" si="44"/>
        <v>2331.818181818182</v>
      </c>
      <c r="N68" s="64">
        <f t="shared" si="3"/>
        <v>137.16577540106954</v>
      </c>
      <c r="O68" s="66">
        <f t="shared" si="4"/>
        <v>0</v>
      </c>
      <c r="P68" s="67">
        <f t="shared" si="5"/>
        <v>-4.0106951871657657</v>
      </c>
      <c r="Q68" s="339">
        <f t="shared" si="6"/>
        <v>0.97159090909090917</v>
      </c>
      <c r="R68" s="511"/>
      <c r="S68" s="68">
        <v>0.46249999999999991</v>
      </c>
      <c r="T68" s="68">
        <v>0.47777777777777769</v>
      </c>
      <c r="U68" s="338">
        <f t="shared" si="46"/>
        <v>7.9999999999999716</v>
      </c>
      <c r="V68" s="346">
        <f t="shared" si="45"/>
        <v>22</v>
      </c>
      <c r="W68" s="69"/>
      <c r="X68" s="69"/>
      <c r="Y68" s="517"/>
      <c r="Z68" s="518"/>
      <c r="AA68" s="66">
        <f t="shared" si="8"/>
        <v>-68.181818181818016</v>
      </c>
      <c r="AB68" s="339">
        <f t="shared" si="9"/>
        <v>0.97159090909090917</v>
      </c>
      <c r="AC68" s="511"/>
    </row>
    <row r="69" spans="1:29" ht="16.5" customHeight="1">
      <c r="A69" s="516" t="s">
        <v>1863</v>
      </c>
      <c r="B69" s="62" t="s">
        <v>1854</v>
      </c>
      <c r="C69" s="508"/>
      <c r="D69" s="509"/>
      <c r="E69" s="340"/>
      <c r="F69" s="71"/>
      <c r="G69" s="64"/>
      <c r="H69" s="347"/>
      <c r="I69" s="72">
        <v>17</v>
      </c>
      <c r="J69" s="63">
        <v>2400</v>
      </c>
      <c r="K69" s="64">
        <f t="shared" ref="K69" si="47">J69/I69</f>
        <v>141.1764705882353</v>
      </c>
      <c r="L69" s="72">
        <v>17</v>
      </c>
      <c r="M69" s="65">
        <f>AVERAGE(M62:M68)</f>
        <v>2306.8661989721454</v>
      </c>
      <c r="N69" s="64">
        <f t="shared" ref="N69" si="48">M69/L69</f>
        <v>135.69801170424384</v>
      </c>
      <c r="O69" s="66">
        <f t="shared" ref="O69" si="49">L69-I69</f>
        <v>0</v>
      </c>
      <c r="P69" s="67">
        <f t="shared" ref="P69" si="50">N69-K69</f>
        <v>-5.4784588839914647</v>
      </c>
      <c r="Q69" s="339">
        <f t="shared" ref="Q69" si="51">N69/K69</f>
        <v>0.96119424957172717</v>
      </c>
      <c r="R69" s="511"/>
      <c r="S69" s="68"/>
      <c r="T69" s="68"/>
      <c r="U69" s="64"/>
      <c r="V69" s="346"/>
      <c r="W69" s="64"/>
      <c r="X69" s="64"/>
      <c r="Y69" s="510"/>
      <c r="Z69" s="510"/>
      <c r="AA69" s="66">
        <f t="shared" ref="AA69" si="52">M69-J69</f>
        <v>-93.133801027854588</v>
      </c>
      <c r="AB69" s="339">
        <f t="shared" ref="AB69" si="53">M69/J69</f>
        <v>0.96119424957172728</v>
      </c>
      <c r="AC69" s="511"/>
    </row>
    <row r="70" spans="1:29">
      <c r="D70" s="76"/>
      <c r="E70" s="76"/>
    </row>
  </sheetData>
  <mergeCells count="185">
    <mergeCell ref="AC62:AC69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A62:A69"/>
    <mergeCell ref="C62:D62"/>
    <mergeCell ref="R62:R69"/>
    <mergeCell ref="Y62:Z62"/>
    <mergeCell ref="Y67:Z67"/>
    <mergeCell ref="C68:D68"/>
    <mergeCell ref="Y68:Z68"/>
    <mergeCell ref="A57:A61"/>
    <mergeCell ref="C57:D57"/>
    <mergeCell ref="R57:R61"/>
    <mergeCell ref="Y57:Z57"/>
    <mergeCell ref="C69:D69"/>
    <mergeCell ref="Y69:Z69"/>
    <mergeCell ref="AC57:AC61"/>
    <mergeCell ref="C58:D58"/>
    <mergeCell ref="Y58:Z58"/>
    <mergeCell ref="C59:D59"/>
    <mergeCell ref="Y59:Z59"/>
    <mergeCell ref="C60:D60"/>
    <mergeCell ref="AC50:AC56"/>
    <mergeCell ref="C51:D51"/>
    <mergeCell ref="Y51:Z51"/>
    <mergeCell ref="C52:D52"/>
    <mergeCell ref="C55:D55"/>
    <mergeCell ref="Y55:Z55"/>
    <mergeCell ref="C56:D56"/>
    <mergeCell ref="Y56:Z56"/>
    <mergeCell ref="Y60:Z60"/>
    <mergeCell ref="C61:D61"/>
    <mergeCell ref="Y61:Z61"/>
    <mergeCell ref="A50:A56"/>
    <mergeCell ref="C50:D50"/>
    <mergeCell ref="R50:R56"/>
    <mergeCell ref="Y50:Z50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42:A49"/>
    <mergeCell ref="C42:D42"/>
    <mergeCell ref="R42:R49"/>
    <mergeCell ref="Y42:Z42"/>
    <mergeCell ref="Y47:Z47"/>
    <mergeCell ref="A36:A41"/>
    <mergeCell ref="C36:D36"/>
    <mergeCell ref="R36:R41"/>
    <mergeCell ref="Y36:Z36"/>
    <mergeCell ref="C48:D48"/>
    <mergeCell ref="Y48:Z48"/>
    <mergeCell ref="C49:D49"/>
    <mergeCell ref="Y49:Z49"/>
    <mergeCell ref="AC36:AC41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1:Z41"/>
    <mergeCell ref="AC30:AC35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A21:A29"/>
    <mergeCell ref="C21:D21"/>
    <mergeCell ref="R21:R29"/>
    <mergeCell ref="Y21:Z21"/>
    <mergeCell ref="C28:D28"/>
    <mergeCell ref="Y28:Z28"/>
    <mergeCell ref="C29:D29"/>
    <mergeCell ref="Y29:Z29"/>
    <mergeCell ref="A30:A35"/>
    <mergeCell ref="C30:D30"/>
    <mergeCell ref="R30:R35"/>
    <mergeCell ref="Y30:Z30"/>
    <mergeCell ref="Y35:Z35"/>
    <mergeCell ref="C12:D12"/>
    <mergeCell ref="Y12:Z12"/>
    <mergeCell ref="AC21:AC29"/>
    <mergeCell ref="C22:D22"/>
    <mergeCell ref="Y22:Z22"/>
    <mergeCell ref="C23:D23"/>
    <mergeCell ref="Y23:Z23"/>
    <mergeCell ref="C24:D24"/>
    <mergeCell ref="C17:D17"/>
    <mergeCell ref="Y17:Z17"/>
    <mergeCell ref="C18:D18"/>
    <mergeCell ref="Y18:Z18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H3:H4"/>
    <mergeCell ref="I3:I4"/>
    <mergeCell ref="A13:A20"/>
    <mergeCell ref="C13:D13"/>
    <mergeCell ref="R13:R20"/>
    <mergeCell ref="Y13:Z13"/>
    <mergeCell ref="AC13:AC20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0:O67 O69 O5:O10 O12:O14 O49:O57 O20:O47">
    <cfRule type="cellIs" dxfId="1826" priority="55" operator="greaterThan">
      <formula>0</formula>
    </cfRule>
  </conditionalFormatting>
  <conditionalFormatting sqref="P5:P8 P60 AA60 P62:P67 P30:P34 P57 P10 P12:P14 P21:P28 P50:P55 P36:P47 AA5:AA57 AA62:AA69">
    <cfRule type="cellIs" dxfId="1825" priority="59" operator="lessThan">
      <formula>0</formula>
    </cfRule>
  </conditionalFormatting>
  <conditionalFormatting sqref="AB60 Q60:Q67 Q69 Q5:Q10 Q12:Q14 Q49:Q57 Q20:Q47 AB5:AB57 AB62:AB69">
    <cfRule type="cellIs" dxfId="1824" priority="56" operator="greaterThan">
      <formula>1</formula>
    </cfRule>
    <cfRule type="cellIs" dxfId="1823" priority="57" operator="lessThan">
      <formula>0.8</formula>
    </cfRule>
  </conditionalFormatting>
  <conditionalFormatting sqref="AC13:AC14 R13:R14 AC60 R60:R67 R20:R26 AC20:AC26 R69 AC5:AC10 R5:R10 R29:R47 AC29:AC47 AC49:AC57 R49:R57">
    <cfRule type="cellIs" dxfId="1822" priority="61" operator="lessThan">
      <formula>0.8</formula>
    </cfRule>
  </conditionalFormatting>
  <conditionalFormatting sqref="AC42">
    <cfRule type="cellIs" dxfId="1821" priority="63" operator="lessThan">
      <formula>0.8</formula>
    </cfRule>
  </conditionalFormatting>
  <conditionalFormatting sqref="AC21:AC26">
    <cfRule type="cellIs" dxfId="1820" priority="60" operator="lessThan">
      <formula>0.8</formula>
    </cfRule>
  </conditionalFormatting>
  <conditionalFormatting sqref="AC30">
    <cfRule type="cellIs" dxfId="1819" priority="62" operator="lessThan">
      <formula>0.8</formula>
    </cfRule>
  </conditionalFormatting>
  <conditionalFormatting sqref="AC36:AC40">
    <cfRule type="cellIs" dxfId="1818" priority="58" operator="lessThan">
      <formula>0.8</formula>
    </cfRule>
  </conditionalFormatting>
  <conditionalFormatting sqref="AA61">
    <cfRule type="cellIs" dxfId="1817" priority="54" operator="lessThan">
      <formula>0</formula>
    </cfRule>
  </conditionalFormatting>
  <conditionalFormatting sqref="AB61">
    <cfRule type="cellIs" dxfId="1816" priority="52" operator="greaterThan">
      <formula>1</formula>
    </cfRule>
    <cfRule type="cellIs" dxfId="1815" priority="53" operator="lessThan">
      <formula>0.8</formula>
    </cfRule>
  </conditionalFormatting>
  <conditionalFormatting sqref="O15:O16">
    <cfRule type="cellIs" dxfId="1814" priority="47" operator="greaterThan">
      <formula>0</formula>
    </cfRule>
  </conditionalFormatting>
  <conditionalFormatting sqref="P15:P16">
    <cfRule type="cellIs" dxfId="1813" priority="50" operator="lessThan">
      <formula>0</formula>
    </cfRule>
  </conditionalFormatting>
  <conditionalFormatting sqref="Q15:Q16">
    <cfRule type="cellIs" dxfId="1812" priority="48" operator="greaterThan">
      <formula>1</formula>
    </cfRule>
    <cfRule type="cellIs" dxfId="1811" priority="49" operator="lessThan">
      <formula>0.8</formula>
    </cfRule>
  </conditionalFormatting>
  <conditionalFormatting sqref="R15:R16 AC15:AC16">
    <cfRule type="cellIs" dxfId="1810" priority="51" operator="lessThan">
      <formula>0.8</formula>
    </cfRule>
  </conditionalFormatting>
  <conditionalFormatting sqref="O11">
    <cfRule type="cellIs" dxfId="1809" priority="43" operator="greaterThan">
      <formula>0</formula>
    </cfRule>
  </conditionalFormatting>
  <conditionalFormatting sqref="P11">
    <cfRule type="cellIs" dxfId="1808" priority="46" operator="lessThan">
      <formula>0</formula>
    </cfRule>
  </conditionalFormatting>
  <conditionalFormatting sqref="Q11">
    <cfRule type="cellIs" dxfId="1807" priority="44" operator="greaterThan">
      <formula>1</formula>
    </cfRule>
    <cfRule type="cellIs" dxfId="1806" priority="45" operator="lessThan">
      <formula>0.8</formula>
    </cfRule>
  </conditionalFormatting>
  <conditionalFormatting sqref="AC28 R28">
    <cfRule type="cellIs" dxfId="1805" priority="42" operator="lessThan">
      <formula>0.8</formula>
    </cfRule>
  </conditionalFormatting>
  <conditionalFormatting sqref="O59">
    <cfRule type="cellIs" dxfId="1804" priority="37" operator="greaterThan">
      <formula>0</formula>
    </cfRule>
  </conditionalFormatting>
  <conditionalFormatting sqref="P59 AA59">
    <cfRule type="cellIs" dxfId="1803" priority="40" operator="lessThan">
      <formula>0</formula>
    </cfRule>
  </conditionalFormatting>
  <conditionalFormatting sqref="Q59 AB59">
    <cfRule type="cellIs" dxfId="1802" priority="38" operator="greaterThan">
      <formula>1</formula>
    </cfRule>
    <cfRule type="cellIs" dxfId="1801" priority="39" operator="lessThan">
      <formula>0.8</formula>
    </cfRule>
  </conditionalFormatting>
  <conditionalFormatting sqref="R59 AC59">
    <cfRule type="cellIs" dxfId="1800" priority="41" operator="lessThan">
      <formula>0.8</formula>
    </cfRule>
  </conditionalFormatting>
  <conditionalFormatting sqref="O68">
    <cfRule type="cellIs" dxfId="1799" priority="32" operator="greaterThan">
      <formula>0</formula>
    </cfRule>
  </conditionalFormatting>
  <conditionalFormatting sqref="P68">
    <cfRule type="cellIs" dxfId="1798" priority="35" operator="lessThan">
      <formula>0</formula>
    </cfRule>
  </conditionalFormatting>
  <conditionalFormatting sqref="Q68">
    <cfRule type="cellIs" dxfId="1797" priority="33" operator="greaterThan">
      <formula>1</formula>
    </cfRule>
    <cfRule type="cellIs" dxfId="1796" priority="34" operator="lessThan">
      <formula>0.8</formula>
    </cfRule>
  </conditionalFormatting>
  <conditionalFormatting sqref="R68">
    <cfRule type="cellIs" dxfId="1795" priority="36" operator="lessThan">
      <formula>0.8</formula>
    </cfRule>
  </conditionalFormatting>
  <conditionalFormatting sqref="O17:O18">
    <cfRule type="cellIs" dxfId="1794" priority="27" operator="greaterThan">
      <formula>0</formula>
    </cfRule>
  </conditionalFormatting>
  <conditionalFormatting sqref="P17:P18">
    <cfRule type="cellIs" dxfId="1793" priority="30" operator="lessThan">
      <formula>0</formula>
    </cfRule>
  </conditionalFormatting>
  <conditionalFormatting sqref="Q17:Q18">
    <cfRule type="cellIs" dxfId="1792" priority="28" operator="greaterThan">
      <formula>1</formula>
    </cfRule>
    <cfRule type="cellIs" dxfId="1791" priority="29" operator="lessThan">
      <formula>0.8</formula>
    </cfRule>
  </conditionalFormatting>
  <conditionalFormatting sqref="R17:R18 AC17:AC18">
    <cfRule type="cellIs" dxfId="1790" priority="31" operator="lessThan">
      <formula>0.8</formula>
    </cfRule>
  </conditionalFormatting>
  <conditionalFormatting sqref="O48">
    <cfRule type="cellIs" dxfId="1789" priority="21" operator="greaterThan">
      <formula>0</formula>
    </cfRule>
  </conditionalFormatting>
  <conditionalFormatting sqref="P48">
    <cfRule type="cellIs" dxfId="1788" priority="25" operator="lessThan">
      <formula>0</formula>
    </cfRule>
  </conditionalFormatting>
  <conditionalFormatting sqref="Q48">
    <cfRule type="cellIs" dxfId="1787" priority="22" operator="greaterThan">
      <formula>1</formula>
    </cfRule>
    <cfRule type="cellIs" dxfId="1786" priority="23" operator="lessThan">
      <formula>0.8</formula>
    </cfRule>
  </conditionalFormatting>
  <conditionalFormatting sqref="R48 AC48">
    <cfRule type="cellIs" dxfId="1785" priority="26" operator="lessThan">
      <formula>0.8</formula>
    </cfRule>
  </conditionalFormatting>
  <conditionalFormatting sqref="AC48">
    <cfRule type="cellIs" dxfId="1784" priority="24" operator="lessThan">
      <formula>0.8</formula>
    </cfRule>
  </conditionalFormatting>
  <conditionalFormatting sqref="R27 AC27">
    <cfRule type="cellIs" dxfId="1783" priority="20" operator="lessThan">
      <formula>0.8</formula>
    </cfRule>
  </conditionalFormatting>
  <conditionalFormatting sqref="AC27">
    <cfRule type="cellIs" dxfId="1782" priority="19" operator="lessThan">
      <formula>0.8</formula>
    </cfRule>
  </conditionalFormatting>
  <conditionalFormatting sqref="O58">
    <cfRule type="cellIs" dxfId="1781" priority="14" operator="greaterThan">
      <formula>0</formula>
    </cfRule>
  </conditionalFormatting>
  <conditionalFormatting sqref="P58 AA58">
    <cfRule type="cellIs" dxfId="1780" priority="17" operator="lessThan">
      <formula>0</formula>
    </cfRule>
  </conditionalFormatting>
  <conditionalFormatting sqref="Q58 AB58">
    <cfRule type="cellIs" dxfId="1779" priority="15" operator="greaterThan">
      <formula>1</formula>
    </cfRule>
    <cfRule type="cellIs" dxfId="1778" priority="16" operator="lessThan">
      <formula>0.8</formula>
    </cfRule>
  </conditionalFormatting>
  <conditionalFormatting sqref="R58 AC58">
    <cfRule type="cellIs" dxfId="1777" priority="18" operator="lessThan">
      <formula>0.8</formula>
    </cfRule>
  </conditionalFormatting>
  <conditionalFormatting sqref="O19">
    <cfRule type="cellIs" dxfId="1776" priority="9" operator="greaterThan">
      <formula>0</formula>
    </cfRule>
  </conditionalFormatting>
  <conditionalFormatting sqref="P19">
    <cfRule type="cellIs" dxfId="1775" priority="12" operator="lessThan">
      <formula>0</formula>
    </cfRule>
  </conditionalFormatting>
  <conditionalFormatting sqref="Q19">
    <cfRule type="cellIs" dxfId="1774" priority="10" operator="greaterThan">
      <formula>1</formula>
    </cfRule>
    <cfRule type="cellIs" dxfId="1773" priority="11" operator="lessThan">
      <formula>0.8</formula>
    </cfRule>
  </conditionalFormatting>
  <conditionalFormatting sqref="AC19 R19">
    <cfRule type="cellIs" dxfId="1772" priority="13" operator="lessThan">
      <formula>0.8</formula>
    </cfRule>
  </conditionalFormatting>
  <conditionalFormatting sqref="P9">
    <cfRule type="cellIs" dxfId="1771" priority="8" operator="lessThan">
      <formula>0</formula>
    </cfRule>
  </conditionalFormatting>
  <conditionalFormatting sqref="P20">
    <cfRule type="cellIs" dxfId="1770" priority="7" operator="lessThan">
      <formula>0</formula>
    </cfRule>
  </conditionalFormatting>
  <conditionalFormatting sqref="P29">
    <cfRule type="cellIs" dxfId="1769" priority="6" operator="lessThan">
      <formula>0</formula>
    </cfRule>
  </conditionalFormatting>
  <conditionalFormatting sqref="P35">
    <cfRule type="cellIs" dxfId="1768" priority="5" operator="lessThan">
      <formula>0</formula>
    </cfRule>
  </conditionalFormatting>
  <conditionalFormatting sqref="P49">
    <cfRule type="cellIs" dxfId="1767" priority="4" operator="lessThan">
      <formula>0</formula>
    </cfRule>
  </conditionalFormatting>
  <conditionalFormatting sqref="P56">
    <cfRule type="cellIs" dxfId="1766" priority="3" operator="lessThan">
      <formula>0</formula>
    </cfRule>
  </conditionalFormatting>
  <conditionalFormatting sqref="P61">
    <cfRule type="cellIs" dxfId="1765" priority="2" operator="lessThan">
      <formula>0</formula>
    </cfRule>
  </conditionalFormatting>
  <conditionalFormatting sqref="P69">
    <cfRule type="cellIs" dxfId="1764" priority="1" operator="lessThan">
      <formula>0</formula>
    </cfRule>
  </conditionalFormatting>
  <dataValidations count="1">
    <dataValidation type="list" allowBlank="1" showInputMessage="1" showErrorMessage="1" sqref="Z9 Y5:Z8 Y9:Y60 Z11:Z57 Y61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1700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1701</v>
      </c>
      <c r="C3" s="497" t="str">
        <f>TEXT('1121 4度C'!A2,"yyyy.mm.ddaaaa")</f>
        <v>2025.11.21星期五</v>
      </c>
      <c r="D3" s="498"/>
      <c r="E3" s="4" t="s">
        <v>1702</v>
      </c>
      <c r="F3" s="499">
        <f>'1121 4度C'!D1</f>
        <v>148213</v>
      </c>
      <c r="G3" s="500"/>
      <c r="H3" s="4" t="s">
        <v>1703</v>
      </c>
      <c r="I3" s="501">
        <f>'1121 4度C'!F1</f>
        <v>5111802.3499999996</v>
      </c>
      <c r="J3" s="502"/>
      <c r="K3" s="5"/>
      <c r="L3" s="6"/>
      <c r="M3" s="7"/>
      <c r="N3" s="7"/>
    </row>
    <row r="4" spans="2:17" ht="28.5" customHeight="1">
      <c r="B4" s="503" t="s">
        <v>91</v>
      </c>
      <c r="C4" s="485" t="s">
        <v>92</v>
      </c>
      <c r="D4" s="486"/>
      <c r="E4" s="506" t="s">
        <v>1704</v>
      </c>
      <c r="F4" s="507"/>
      <c r="G4" s="506" t="s">
        <v>94</v>
      </c>
      <c r="H4" s="507"/>
      <c r="I4" s="506" t="s">
        <v>1705</v>
      </c>
      <c r="J4" s="507"/>
      <c r="L4" s="7"/>
      <c r="M4" s="7"/>
      <c r="N4" s="7"/>
    </row>
    <row r="5" spans="2:17" ht="28.5" customHeight="1">
      <c r="B5" s="504"/>
      <c r="C5" s="485" t="s">
        <v>96</v>
      </c>
      <c r="D5" s="486"/>
      <c r="E5" s="485" t="s">
        <v>97</v>
      </c>
      <c r="F5" s="486"/>
      <c r="G5" s="487" t="s">
        <v>1706</v>
      </c>
      <c r="H5" s="488"/>
      <c r="I5" s="489" t="s">
        <v>1707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152.84496412849404</v>
      </c>
      <c r="F6" s="492">
        <f>AVERAGE(D27:O27,D13:J13)</f>
        <v>159.38027392853914</v>
      </c>
      <c r="G6" s="493">
        <f>AVERAGE(D13:J13)</f>
        <v>159.38027392853914</v>
      </c>
      <c r="H6" s="494"/>
      <c r="I6" s="493">
        <f>AVERAGE(K13:M13)</f>
        <v>137.59590792838875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146.39232663383808</v>
      </c>
      <c r="F7" s="478">
        <f>AVERAGE(D28:O28,D14:J14)</f>
        <v>152.6845193941931</v>
      </c>
      <c r="G7" s="479">
        <f>AVERAGE(D14:J14)</f>
        <v>152.6845193941931</v>
      </c>
      <c r="H7" s="480"/>
      <c r="I7" s="479">
        <f>AVERAGE(K14:M14)</f>
        <v>131.71054352634306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0.95801370321077128</v>
      </c>
      <c r="F8" s="482">
        <f>AVERAGE(D15:J15,D29:O29)</f>
        <v>0.95836269417888453</v>
      </c>
      <c r="G8" s="483">
        <f>AVERAGE(D15:J15)</f>
        <v>0.95836269417888453</v>
      </c>
      <c r="H8" s="484"/>
      <c r="I8" s="483">
        <f>AVERAGE(K15:M15)</f>
        <v>0.95719939095184037</v>
      </c>
      <c r="J8" s="484"/>
      <c r="K8" s="8" t="s">
        <v>1708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100</v>
      </c>
      <c r="C10" s="459"/>
      <c r="D10" s="460" t="s">
        <v>1709</v>
      </c>
      <c r="E10" s="461"/>
      <c r="F10" s="461"/>
      <c r="G10" s="461"/>
      <c r="H10" s="461"/>
      <c r="I10" s="461"/>
      <c r="J10" s="462"/>
      <c r="K10" s="463" t="s">
        <v>1710</v>
      </c>
      <c r="L10" s="464"/>
      <c r="M10" s="465"/>
      <c r="P10" s="11"/>
      <c r="Q10" s="11"/>
    </row>
    <row r="11" spans="2:17" ht="17.25" customHeight="1">
      <c r="B11" s="466" t="s">
        <v>103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78</v>
      </c>
      <c r="C13" s="18" t="s">
        <v>104</v>
      </c>
      <c r="D13" s="19">
        <f>SUMIFS('1121 4度C'!$K:$K,'1121 4度C'!$A:$A,"新豐6線",'1121 4度C'!$B:$B,"平均")</f>
        <v>133.33333333333334</v>
      </c>
      <c r="E13" s="20">
        <f>SUMIFS('1121 4度C'!$K:$K,'1121 4度C'!$A:$A,"新豐2線",'1121 4度C'!$B:$B,"平均")</f>
        <v>81.081081081081081</v>
      </c>
      <c r="F13" s="21">
        <f>SUMIFS('1121 4度C'!$K:$K,'1121 4度C'!$A:$A,"新豐5線",'1121 4度C'!$B:$B,"平均")</f>
        <v>97.222222222222229</v>
      </c>
      <c r="G13" s="21">
        <f>SUMIFS('1121 4度C'!$K:$K,'1121 4度C'!$A:$A,"新豐7線",'1121 4度C'!$B:$B,"平均")</f>
        <v>114.81481481481481</v>
      </c>
      <c r="H13" s="21">
        <f>SUMIFS('1121 4度C'!$K:$K,'1121 4度C'!$A:$A,"新豐3線",'1121 4度C'!$B:$B,"平均")</f>
        <v>281.69014084507046</v>
      </c>
      <c r="I13" s="21">
        <f>SUMIFS('1121 4度C'!$K:$K,'1121 4度C'!$A:$A,"新豐1線",'1121 4度C'!$B:$B,"平均")</f>
        <v>115.85365853658537</v>
      </c>
      <c r="J13" s="22">
        <f>SUMIFS('1121 4度C'!$K:$K,'1121 4度C'!$A:$A,"新豐10線",'1121 4度C'!$B:$B,"平均")</f>
        <v>291.66666666666669</v>
      </c>
      <c r="K13" s="23">
        <f>SUMIFS('1121 4度C'!$K:$K,'1121 4度C'!$A:$A,"新豐8線",'1121 4度C'!$B:$B,"平均")</f>
        <v>130.43478260869566</v>
      </c>
      <c r="L13" s="24">
        <f>SUMIFS('1121 4度C'!$K:$K,'1121 4度C'!$A:$A,"新豐9線",'1121 4度C'!$B:$B,"平均")</f>
        <v>141.1764705882353</v>
      </c>
      <c r="M13" s="22">
        <f>SUMIFS('1121 4度C'!$K:$K,'1121 4度C'!$A:$A,"新豐4線",'1121 4度C'!$B:$B,"平均")</f>
        <v>141.1764705882353</v>
      </c>
    </row>
    <row r="14" spans="2:17" ht="39.6" customHeight="1">
      <c r="B14" s="471"/>
      <c r="C14" s="25" t="s">
        <v>105</v>
      </c>
      <c r="D14" s="26">
        <f>SUMIFS('1121 4度C'!$N:$N,'1121 4度C'!$A:$A,"新豐6線",'1121 4度C'!$B:$B,"平均")</f>
        <v>127.54190407546507</v>
      </c>
      <c r="E14" s="27">
        <f>SUMIFS('1121 4度C'!$N:$N,'1121 4度C'!$A:$A,"新豐2線",'1121 4度C'!$B:$B,"平均")</f>
        <v>77.309125020392599</v>
      </c>
      <c r="F14" s="27">
        <f>SUMIFS('1121 4度C'!$N:$N,'1121 4度C'!$A:$A,"新豐5線",'1121 4度C'!$B:$B,"平均")</f>
        <v>93.719407540354212</v>
      </c>
      <c r="G14" s="27">
        <f>SUMIFS('1121 4度C'!$N:$N,'1121 4度C'!$A:$A,"新豐7線",'1121 4度C'!$B:$B,"平均")</f>
        <v>110.20948839664689</v>
      </c>
      <c r="H14" s="27">
        <f>SUMIFS('1121 4度C'!$N:$N,'1121 4度C'!$A:$A,"新豐3線",'1121 4度C'!$B:$B,"平均")</f>
        <v>269.38907304574502</v>
      </c>
      <c r="I14" s="27">
        <f>SUMIFS('1121 4度C'!$N:$N,'1121 4度C'!$A:$A,"新豐1線",'1121 4度C'!$B:$B,"平均")</f>
        <v>111.28686674356376</v>
      </c>
      <c r="J14" s="28">
        <f>SUMIFS('1121 4度C'!$N:$N,'1121 4度C'!$A:$A,"新豐10線",'1121 4度C'!$B:$B,"平均")</f>
        <v>279.33577093718412</v>
      </c>
      <c r="K14" s="29">
        <f>SUMIFS('1121 4度C'!$N:$N,'1121 4度C'!$A:$A,"新豐8線",'1121 4度C'!$B:$B,"平均")</f>
        <v>124.71278214982591</v>
      </c>
      <c r="L14" s="30">
        <f>SUMIFS('1121 4度C'!$N:$N,'1121 4度C'!$A:$A,"新豐9線",'1121 4度C'!$B:$B,"平均")</f>
        <v>134.71597946642672</v>
      </c>
      <c r="M14" s="28">
        <f>SUMIFS('1121 4度C'!$N:$N,'1121 4度C'!$A:$A,"新豐4線",'1121 4度C'!$B:$B,"平均")</f>
        <v>135.70286896277651</v>
      </c>
    </row>
    <row r="15" spans="2:17" ht="40.15" customHeight="1">
      <c r="B15" s="472"/>
      <c r="C15" s="31" t="s">
        <v>106</v>
      </c>
      <c r="D15" s="32">
        <f t="shared" ref="D15:M15" si="0">D14/D13</f>
        <v>0.95656428056598797</v>
      </c>
      <c r="E15" s="33">
        <f t="shared" si="0"/>
        <v>0.95347920858484203</v>
      </c>
      <c r="F15" s="33">
        <f t="shared" si="0"/>
        <v>0.96397104898650043</v>
      </c>
      <c r="G15" s="33">
        <f t="shared" si="0"/>
        <v>0.95988909248692456</v>
      </c>
      <c r="H15" s="33">
        <f t="shared" si="0"/>
        <v>0.95633120931239468</v>
      </c>
      <c r="I15" s="33">
        <f t="shared" si="0"/>
        <v>0.96058137610233985</v>
      </c>
      <c r="J15" s="34">
        <f t="shared" si="0"/>
        <v>0.95772264321320266</v>
      </c>
      <c r="K15" s="32">
        <f t="shared" si="0"/>
        <v>0.956131329815332</v>
      </c>
      <c r="L15" s="33">
        <f t="shared" si="0"/>
        <v>0.95423818788718917</v>
      </c>
      <c r="M15" s="34">
        <f t="shared" si="0"/>
        <v>0.96122865515300016</v>
      </c>
    </row>
    <row r="16" spans="2:17" ht="17.25" customHeight="1">
      <c r="B16" s="473" t="s">
        <v>107</v>
      </c>
      <c r="C16" s="35" t="s">
        <v>1711</v>
      </c>
      <c r="D16" s="49">
        <f>VLOOKUP("新豐6線",'1121 4度C'!$A:$T,19,0)</f>
        <v>0.70833333333333337</v>
      </c>
      <c r="E16" s="50">
        <f>VLOOKUP("新豐2線",'1121 4度C'!$A:$T,19,0)</f>
        <v>0.20833333333333334</v>
      </c>
      <c r="F16" s="50">
        <f>VLOOKUP("新豐5線",'1121 4度C'!$A:$T,19,0)</f>
        <v>0.125</v>
      </c>
      <c r="G16" s="50">
        <f>VLOOKUP("新豐7線",'1121 4度C'!$A:$T,19,0)</f>
        <v>0.20833333333333334</v>
      </c>
      <c r="H16" s="50">
        <f>VLOOKUP("新豐3線",'1121 4度C'!$A:$T,19,0)</f>
        <v>8.3333333333333329E-2</v>
      </c>
      <c r="I16" s="50">
        <f>VLOOKUP("新豐1線",'1121 4度C'!$A:$T,19,0)</f>
        <v>0.20833333333333334</v>
      </c>
      <c r="J16" s="51">
        <f>VLOOKUP("新豐10線",'1121 4度C'!$A:$T,19,0)</f>
        <v>0.20833333333333334</v>
      </c>
      <c r="K16" s="36">
        <f>VLOOKUP("新豐8線",'1121 4度C'!$A:$T,19,0)</f>
        <v>8.3333333333333329E-2</v>
      </c>
      <c r="L16" s="37">
        <f>VLOOKUP("新豐9線",'1121 4度C'!$A:$T,19,0)</f>
        <v>8.3333333333333329E-2</v>
      </c>
      <c r="M16" s="38">
        <f>VLOOKUP("新豐4線",'1121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LOOKUP(2,1/(('1121 4度C'!$A:$A="新豐6線")*('1121 4度C'!$T:$T&lt;&gt;"")),'1121 4度C'!$T:$T)</f>
        <v>0.86041666666666661</v>
      </c>
      <c r="E17" s="50">
        <f>LOOKUP(2,1/(('1121 4度C'!$A:$A="新豐2線")*('1121 4度C'!$T:$T&lt;&gt;"")),'1121 4度C'!$T:$T)</f>
        <v>0.39861111111111114</v>
      </c>
      <c r="F17" s="50">
        <f>LOOKUP(2,1/(('1121 4度C'!$A:$A="新豐5線")*('1121 4度C'!$T:$T&lt;&gt;"")),'1121 4度C'!$T:$T)</f>
        <v>0.85694444444444451</v>
      </c>
      <c r="G17" s="50">
        <f>LOOKUP(2,1/(('1121 4度C'!$A:$A="新豐7線")*('1121 4度C'!$T:$T&lt;&gt;"")),'1121 4度C'!$T:$T)</f>
        <v>0.84027777777777768</v>
      </c>
      <c r="H17" s="50">
        <f>LOOKUP(2,1/(('1121 4度C'!$A:$A="新豐3線")*('1121 4度C'!$T:$T&lt;&gt;"")),'1121 4度C'!$T:$T)</f>
        <v>0.48958333333333326</v>
      </c>
      <c r="I17" s="50">
        <f>LOOKUP(2,1/(('1121 4度C'!$A:$A="新豐1線")*('1121 4度C'!$T:$T&lt;&gt;"")),'1121 4度C'!$T:$T)</f>
        <v>0.86180555555555549</v>
      </c>
      <c r="J17" s="51">
        <f>LOOKUP(2,1/(('1121 4度C'!$A:$A="新豐10線")*('1121 4度C'!$T:$T&lt;&gt;"")),'1121 4度C'!$T:$T)</f>
        <v>0.41736111111111107</v>
      </c>
      <c r="K17" s="49">
        <f>LOOKUP(2,1/(('1121 4度C'!$A:$A="新豐8線")*('1121 4度C'!$T:$T&lt;&gt;"")),'1121 4度C'!$T:$T)</f>
        <v>0.52361111111111114</v>
      </c>
      <c r="L17" s="50">
        <f>LOOKUP(2,1/(('1121 4度C'!$A:$A="新豐9線")*('1121 4度C'!$T:$T&lt;&gt;"")),'1121 4度C'!$T:$T)</f>
        <v>0.50624999999999998</v>
      </c>
      <c r="M17" s="51">
        <f>LOOKUP(2,1/(('1121 4度C'!$A:$A="新豐4線")*('1121 4度C'!$T:$T&lt;&gt;"")),'1121 4度C'!$T:$T)</f>
        <v>0.48333333333333323</v>
      </c>
    </row>
    <row r="18" spans="2:13" ht="17.25" customHeight="1">
      <c r="B18" s="452" t="s">
        <v>109</v>
      </c>
      <c r="C18" s="453"/>
      <c r="D18" s="39">
        <f>SUMIFS('1121 4度C'!$I:$I,'1121 4度C'!$A:$A,"新豐6線",'1121 4度C'!$B:$B,"平均")</f>
        <v>15</v>
      </c>
      <c r="E18" s="40">
        <f>SUMIFS('1121 4度C'!$I:$I,'1121 4度C'!$A:$A,"新豐2線",'1121 4度C'!$B:$B,"平均")</f>
        <v>18.5</v>
      </c>
      <c r="F18" s="40">
        <f>SUMIFS('1121 4度C'!$I:$I,'1121 4度C'!$A:$A,"新豐5線",'1121 4度C'!$B:$B,"平均")</f>
        <v>18</v>
      </c>
      <c r="G18" s="40">
        <f>SUMIFS('1121 4度C'!$I:$I,'1121 4度C'!$A:$A,"新豐7線",'1121 4度C'!$B:$B,"平均")</f>
        <v>16.875</v>
      </c>
      <c r="H18" s="40">
        <f>SUMIFS('1121 4度C'!$I:$I,'1121 4度C'!$A:$A,"新豐3線",'1121 4度C'!$B:$B,"平均")</f>
        <v>10.142857142857142</v>
      </c>
      <c r="I18" s="40">
        <f>SUMIFS('1121 4度C'!$I:$I,'1121 4度C'!$A:$A,"新豐1線",'1121 4度C'!$B:$B,"平均")</f>
        <v>16.399999999999999</v>
      </c>
      <c r="J18" s="41">
        <f>SUMIFS('1121 4度C'!$I:$I,'1121 4度C'!$A:$A,"新豐10線",'1121 4度C'!$B:$B,"平均")</f>
        <v>9</v>
      </c>
      <c r="K18" s="39">
        <f>SUMIFS('1121 4度C'!$I:$I,'1121 4度C'!$A:$A,"新豐8線",'1121 4度C'!$B:$B,"平均")</f>
        <v>18.399999999999999</v>
      </c>
      <c r="L18" s="40">
        <f>SUMIFS('1121 4度C'!$I:$I,'1121 4度C'!$A:$A,"新豐9線",'1121 4度C'!$B:$B,"平均")</f>
        <v>17</v>
      </c>
      <c r="M18" s="41">
        <f>SUMIFS('1121 4度C'!$I:$I,'1121 4度C'!$A:$A,"新豐4線",'1121 4度C'!$B:$B,"平均")</f>
        <v>17</v>
      </c>
    </row>
    <row r="19" spans="2:13" ht="17.25" customHeight="1">
      <c r="B19" s="452" t="s">
        <v>1712</v>
      </c>
      <c r="C19" s="453"/>
      <c r="D19" s="42" t="s">
        <v>65</v>
      </c>
      <c r="E19" s="43" t="s">
        <v>66</v>
      </c>
      <c r="F19" s="43" t="s">
        <v>1713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71</v>
      </c>
      <c r="L19" s="43" t="s">
        <v>1714</v>
      </c>
      <c r="M19" s="44" t="s">
        <v>1714</v>
      </c>
    </row>
    <row r="20" spans="2:13" ht="17.25" customHeight="1">
      <c r="B20" s="452" t="s">
        <v>113</v>
      </c>
      <c r="C20" s="453"/>
      <c r="D20" s="42"/>
      <c r="E20" s="43"/>
      <c r="F20" s="43" t="s">
        <v>1715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116</v>
      </c>
      <c r="F21" s="456" t="s">
        <v>117</v>
      </c>
      <c r="G21" s="457"/>
      <c r="H21" s="46" t="s">
        <v>118</v>
      </c>
      <c r="I21" s="46" t="s">
        <v>1716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7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1717</v>
      </c>
      <c r="B1" s="52"/>
      <c r="C1" s="53" t="s">
        <v>1718</v>
      </c>
      <c r="D1" s="54">
        <f>SUM(F5:F66)</f>
        <v>148213</v>
      </c>
      <c r="E1" s="326" t="s">
        <v>1719</v>
      </c>
      <c r="F1" s="52">
        <f>SUM(G5:G66)</f>
        <v>5111802.3499999996</v>
      </c>
      <c r="G1" s="52" t="s">
        <v>1720</v>
      </c>
      <c r="H1" s="55">
        <f>L8+L11+L47+L53+L18+L58+L33+L39+L27+L66</f>
        <v>156.31785714285715</v>
      </c>
      <c r="I1" s="556" t="s">
        <v>1721</v>
      </c>
      <c r="J1" s="556"/>
      <c r="K1" s="556"/>
      <c r="L1" s="556" t="s">
        <v>1722</v>
      </c>
      <c r="M1" s="556"/>
      <c r="N1" s="556"/>
      <c r="O1" s="556" t="s">
        <v>1723</v>
      </c>
      <c r="P1" s="556"/>
      <c r="Q1" s="556"/>
      <c r="R1" s="556"/>
      <c r="S1" s="556" t="s">
        <v>1724</v>
      </c>
      <c r="T1" s="556"/>
      <c r="U1" s="556"/>
      <c r="V1" s="556"/>
      <c r="W1" s="556"/>
      <c r="X1" s="556"/>
      <c r="Y1" s="556" t="s">
        <v>1725</v>
      </c>
      <c r="Z1" s="556"/>
      <c r="AA1" s="556" t="s">
        <v>1726</v>
      </c>
      <c r="AB1" s="557"/>
      <c r="AC1" s="557"/>
    </row>
    <row r="2" spans="1:29" ht="26.25" customHeight="1">
      <c r="A2" s="57">
        <v>45982</v>
      </c>
      <c r="B2" s="58" t="s">
        <v>621</v>
      </c>
      <c r="C2" s="53" t="s">
        <v>1727</v>
      </c>
      <c r="D2" s="59">
        <f>AVERAGE(N8,N11,N47,N53,N18,N58,N27,N33,N39,N66)</f>
        <v>146.39232663383808</v>
      </c>
      <c r="E2" s="60" t="s">
        <v>0</v>
      </c>
      <c r="F2" s="61">
        <f>F1/D1</f>
        <v>34.489568054084323</v>
      </c>
      <c r="G2" s="52" t="s">
        <v>1728</v>
      </c>
      <c r="H2" s="334">
        <f>COUNT(H5:H66)</f>
        <v>0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1729</v>
      </c>
      <c r="B3" s="510" t="s">
        <v>1730</v>
      </c>
      <c r="C3" s="510" t="s">
        <v>1731</v>
      </c>
      <c r="D3" s="510"/>
      <c r="E3" s="554" t="s">
        <v>626</v>
      </c>
      <c r="F3" s="510" t="s">
        <v>1732</v>
      </c>
      <c r="G3" s="554" t="s">
        <v>1733</v>
      </c>
      <c r="H3" s="547" t="s">
        <v>1734</v>
      </c>
      <c r="I3" s="545" t="s">
        <v>1735</v>
      </c>
      <c r="J3" s="550" t="s">
        <v>1736</v>
      </c>
      <c r="K3" s="552" t="s">
        <v>1737</v>
      </c>
      <c r="L3" s="545" t="s">
        <v>1738</v>
      </c>
      <c r="M3" s="550" t="s">
        <v>1739</v>
      </c>
      <c r="N3" s="552" t="s">
        <v>1737</v>
      </c>
      <c r="O3" s="545" t="s">
        <v>1740</v>
      </c>
      <c r="P3" s="552" t="s">
        <v>1741</v>
      </c>
      <c r="Q3" s="551" t="s">
        <v>1742</v>
      </c>
      <c r="R3" s="523" t="s">
        <v>1743</v>
      </c>
      <c r="S3" s="553" t="s">
        <v>1</v>
      </c>
      <c r="T3" s="553"/>
      <c r="U3" s="547" t="s">
        <v>2</v>
      </c>
      <c r="V3" s="547" t="s">
        <v>1744</v>
      </c>
      <c r="W3" s="510" t="s">
        <v>1745</v>
      </c>
      <c r="X3" s="510"/>
      <c r="Y3" s="548" t="s">
        <v>1746</v>
      </c>
      <c r="Z3" s="549"/>
      <c r="AA3" s="550" t="s">
        <v>1747</v>
      </c>
      <c r="AB3" s="551" t="s">
        <v>1748</v>
      </c>
      <c r="AC3" s="523" t="s">
        <v>1749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33" t="s">
        <v>3</v>
      </c>
      <c r="T4" s="333" t="s">
        <v>4</v>
      </c>
      <c r="U4" s="547"/>
      <c r="V4" s="547"/>
      <c r="W4" s="326" t="s">
        <v>232</v>
      </c>
      <c r="X4" s="326" t="s">
        <v>1750</v>
      </c>
      <c r="Y4" s="549"/>
      <c r="Z4" s="549"/>
      <c r="AA4" s="550"/>
      <c r="AB4" s="551"/>
      <c r="AC4" s="523"/>
    </row>
    <row r="5" spans="1:29">
      <c r="A5" s="544" t="s">
        <v>1751</v>
      </c>
      <c r="B5" s="62" t="s">
        <v>6</v>
      </c>
      <c r="C5" s="546" t="s">
        <v>9</v>
      </c>
      <c r="D5" s="546"/>
      <c r="E5" s="62">
        <v>50.67</v>
      </c>
      <c r="F5" s="333">
        <v>1442</v>
      </c>
      <c r="G5" s="326">
        <f t="shared" ref="G5:G7" si="0">E5*F5</f>
        <v>73066.14</v>
      </c>
      <c r="H5" s="90" t="s">
        <v>5</v>
      </c>
      <c r="I5" s="331">
        <v>17</v>
      </c>
      <c r="J5" s="63">
        <v>2000</v>
      </c>
      <c r="K5" s="64">
        <f t="shared" ref="K5:K66" si="1">J5/I5</f>
        <v>117.64705882352941</v>
      </c>
      <c r="L5" s="331">
        <v>17</v>
      </c>
      <c r="M5" s="65">
        <f t="shared" ref="M5:M7" si="2">F5/V5*60</f>
        <v>1922.6666666666667</v>
      </c>
      <c r="N5" s="64">
        <f t="shared" ref="N5:N66" si="3">M5/L5</f>
        <v>113.09803921568628</v>
      </c>
      <c r="O5" s="66">
        <f t="shared" ref="O5:O66" si="4">L5-I5</f>
        <v>0</v>
      </c>
      <c r="P5" s="67">
        <f t="shared" ref="P5:P66" si="5">N5-K5</f>
        <v>-4.5490196078431211</v>
      </c>
      <c r="Q5" s="327">
        <f t="shared" ref="Q5:Q66" si="6">N5/K5</f>
        <v>0.96133333333333348</v>
      </c>
      <c r="R5" s="511">
        <f>Q8</f>
        <v>0.95656428056598797</v>
      </c>
      <c r="S5" s="68">
        <v>0.70833333333333337</v>
      </c>
      <c r="T5" s="68">
        <v>0.73958333333333337</v>
      </c>
      <c r="U5" s="326"/>
      <c r="V5" s="332">
        <f t="shared" ref="V5:V7" si="7">(T5-S5)*24*60</f>
        <v>45</v>
      </c>
      <c r="W5" s="69"/>
      <c r="X5" s="70"/>
      <c r="Y5" s="510"/>
      <c r="Z5" s="510"/>
      <c r="AA5" s="66">
        <f t="shared" ref="AA5:AA66" si="8">M5-J5</f>
        <v>-77.333333333333258</v>
      </c>
      <c r="AB5" s="327">
        <f t="shared" ref="AB5:AB66" si="9">M5/J5</f>
        <v>0.96133333333333337</v>
      </c>
      <c r="AC5" s="511">
        <f>AB8</f>
        <v>0.95656428056598808</v>
      </c>
    </row>
    <row r="6" spans="1:29">
      <c r="A6" s="545" t="s">
        <v>1752</v>
      </c>
      <c r="B6" s="62" t="s">
        <v>6</v>
      </c>
      <c r="C6" s="546" t="s">
        <v>8</v>
      </c>
      <c r="D6" s="546"/>
      <c r="E6" s="62">
        <v>50.49</v>
      </c>
      <c r="F6" s="333">
        <v>1849</v>
      </c>
      <c r="G6" s="326">
        <f t="shared" si="0"/>
        <v>93356.010000000009</v>
      </c>
      <c r="H6" s="90" t="s">
        <v>5</v>
      </c>
      <c r="I6" s="331">
        <v>15</v>
      </c>
      <c r="J6" s="63">
        <v>2000</v>
      </c>
      <c r="K6" s="64">
        <f t="shared" si="1"/>
        <v>133.33333333333334</v>
      </c>
      <c r="L6" s="331">
        <v>15</v>
      </c>
      <c r="M6" s="65">
        <f t="shared" si="2"/>
        <v>1912.7586206896565</v>
      </c>
      <c r="N6" s="64">
        <f t="shared" si="3"/>
        <v>127.51724137931043</v>
      </c>
      <c r="O6" s="66">
        <f t="shared" si="4"/>
        <v>0</v>
      </c>
      <c r="P6" s="67">
        <f t="shared" si="5"/>
        <v>-5.8160919540229088</v>
      </c>
      <c r="Q6" s="327">
        <f t="shared" si="6"/>
        <v>0.95637931034482815</v>
      </c>
      <c r="R6" s="511"/>
      <c r="S6" s="68">
        <v>0.74444444444444446</v>
      </c>
      <c r="T6" s="68">
        <v>0.78472222222222221</v>
      </c>
      <c r="U6" s="326">
        <f t="shared" ref="U6:U7" si="10">IF(S6=TIME(17,0,0),"",(S6-T5)*24*60)</f>
        <v>6.9999999999999751</v>
      </c>
      <c r="V6" s="332">
        <f t="shared" si="7"/>
        <v>57.999999999999957</v>
      </c>
      <c r="W6" s="69"/>
      <c r="X6" s="69"/>
      <c r="Y6" s="510"/>
      <c r="Z6" s="510"/>
      <c r="AA6" s="66">
        <f t="shared" si="8"/>
        <v>-87.241379310343518</v>
      </c>
      <c r="AB6" s="327">
        <f t="shared" si="9"/>
        <v>0.95637931034482826</v>
      </c>
      <c r="AC6" s="511"/>
    </row>
    <row r="7" spans="1:29">
      <c r="A7" s="545" t="s">
        <v>1753</v>
      </c>
      <c r="B7" s="62" t="s">
        <v>6</v>
      </c>
      <c r="C7" s="539" t="s">
        <v>886</v>
      </c>
      <c r="D7" s="540"/>
      <c r="E7" s="62">
        <v>57.3</v>
      </c>
      <c r="F7" s="333">
        <v>3205</v>
      </c>
      <c r="G7" s="326">
        <f t="shared" si="0"/>
        <v>183646.5</v>
      </c>
      <c r="H7" s="90" t="s">
        <v>5</v>
      </c>
      <c r="I7" s="331">
        <v>13</v>
      </c>
      <c r="J7" s="63">
        <v>2000</v>
      </c>
      <c r="K7" s="64">
        <f t="shared" si="1"/>
        <v>153.84615384615384</v>
      </c>
      <c r="L7" s="331">
        <v>13</v>
      </c>
      <c r="M7" s="65">
        <f t="shared" si="2"/>
        <v>1903.9603960396048</v>
      </c>
      <c r="N7" s="64">
        <f t="shared" si="3"/>
        <v>146.45849200304653</v>
      </c>
      <c r="O7" s="66">
        <f t="shared" si="4"/>
        <v>0</v>
      </c>
      <c r="P7" s="67">
        <f t="shared" si="5"/>
        <v>-7.3876618431073098</v>
      </c>
      <c r="Q7" s="327">
        <f t="shared" si="6"/>
        <v>0.95198019801980249</v>
      </c>
      <c r="R7" s="511"/>
      <c r="S7" s="68">
        <v>0.79027777777777775</v>
      </c>
      <c r="T7" s="68">
        <v>0.86041666666666661</v>
      </c>
      <c r="U7" s="326">
        <f t="shared" si="10"/>
        <v>7.9999999999999716</v>
      </c>
      <c r="V7" s="332">
        <f t="shared" si="7"/>
        <v>100.99999999999996</v>
      </c>
      <c r="W7" s="69"/>
      <c r="X7" s="69"/>
      <c r="Y7" s="517"/>
      <c r="Z7" s="518"/>
      <c r="AA7" s="66">
        <f t="shared" si="8"/>
        <v>-96.039603960395198</v>
      </c>
      <c r="AB7" s="327">
        <f t="shared" si="9"/>
        <v>0.95198019801980238</v>
      </c>
      <c r="AC7" s="511"/>
    </row>
    <row r="8" spans="1:29">
      <c r="A8" s="545" t="s">
        <v>1752</v>
      </c>
      <c r="B8" s="62" t="s">
        <v>1754</v>
      </c>
      <c r="C8" s="513"/>
      <c r="D8" s="513"/>
      <c r="E8" s="328"/>
      <c r="F8" s="71"/>
      <c r="G8" s="64"/>
      <c r="H8" s="333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1913.1285611319761</v>
      </c>
      <c r="N8" s="64">
        <f t="shared" si="3"/>
        <v>127.54190407546507</v>
      </c>
      <c r="O8" s="66">
        <f t="shared" si="4"/>
        <v>0</v>
      </c>
      <c r="P8" s="67">
        <f t="shared" si="5"/>
        <v>-5.7914292578682733</v>
      </c>
      <c r="Q8" s="327">
        <f t="shared" si="6"/>
        <v>0.95656428056598797</v>
      </c>
      <c r="R8" s="511"/>
      <c r="S8" s="68"/>
      <c r="T8" s="68"/>
      <c r="U8" s="326"/>
      <c r="V8" s="332"/>
      <c r="W8" s="64"/>
      <c r="X8" s="64"/>
      <c r="Y8" s="510"/>
      <c r="Z8" s="510"/>
      <c r="AA8" s="66">
        <f t="shared" si="8"/>
        <v>-86.871438868023915</v>
      </c>
      <c r="AB8" s="327">
        <f t="shared" si="9"/>
        <v>0.95656428056598808</v>
      </c>
      <c r="AC8" s="511"/>
    </row>
    <row r="9" spans="1:29" ht="15.75" customHeight="1">
      <c r="A9" s="543" t="s">
        <v>1755</v>
      </c>
      <c r="B9" s="62" t="s">
        <v>10</v>
      </c>
      <c r="C9" s="539" t="s">
        <v>12</v>
      </c>
      <c r="D9" s="540"/>
      <c r="E9" s="62">
        <v>39.36</v>
      </c>
      <c r="F9" s="333">
        <v>1331</v>
      </c>
      <c r="G9" s="326">
        <f t="shared" ref="G9:G10" si="11">E9*F9</f>
        <v>52388.159999999996</v>
      </c>
      <c r="H9" s="90" t="s">
        <v>5</v>
      </c>
      <c r="I9" s="331">
        <v>20</v>
      </c>
      <c r="J9" s="63">
        <v>1500</v>
      </c>
      <c r="K9" s="64">
        <f t="shared" si="1"/>
        <v>75</v>
      </c>
      <c r="L9" s="331">
        <v>20</v>
      </c>
      <c r="M9" s="65">
        <f t="shared" ref="M9:M10" si="12">F9/V9*60</f>
        <v>1426.0714285714284</v>
      </c>
      <c r="N9" s="64">
        <f t="shared" si="3"/>
        <v>71.303571428571416</v>
      </c>
      <c r="O9" s="66">
        <f t="shared" si="4"/>
        <v>0</v>
      </c>
      <c r="P9" s="67">
        <f t="shared" si="5"/>
        <v>-3.6964285714285836</v>
      </c>
      <c r="Q9" s="327">
        <f t="shared" si="6"/>
        <v>0.95071428571428551</v>
      </c>
      <c r="R9" s="511">
        <f>Q11</f>
        <v>0.95347920858484203</v>
      </c>
      <c r="S9" s="68">
        <v>0.20833333333333334</v>
      </c>
      <c r="T9" s="68">
        <v>0.24722222222222223</v>
      </c>
      <c r="U9" s="326"/>
      <c r="V9" s="332">
        <f t="shared" ref="V9:V10" si="13">(T9-S9)*24*60</f>
        <v>56</v>
      </c>
      <c r="W9" s="69"/>
      <c r="X9" s="69"/>
      <c r="Y9" s="510"/>
      <c r="Z9" s="510"/>
      <c r="AA9" s="66">
        <f t="shared" si="8"/>
        <v>-73.928571428571558</v>
      </c>
      <c r="AB9" s="327">
        <f t="shared" si="9"/>
        <v>0.95071428571428562</v>
      </c>
      <c r="AC9" s="511">
        <f>AB11</f>
        <v>0.95347920858484214</v>
      </c>
    </row>
    <row r="10" spans="1:29" ht="15.75" customHeight="1">
      <c r="A10" s="543" t="s">
        <v>1755</v>
      </c>
      <c r="B10" s="62" t="s">
        <v>10</v>
      </c>
      <c r="C10" s="539" t="s">
        <v>11</v>
      </c>
      <c r="D10" s="540"/>
      <c r="E10" s="62">
        <v>39.799999999999997</v>
      </c>
      <c r="F10" s="333">
        <v>5092</v>
      </c>
      <c r="G10" s="326">
        <f t="shared" si="11"/>
        <v>202661.59999999998</v>
      </c>
      <c r="H10" s="90" t="s">
        <v>5</v>
      </c>
      <c r="I10" s="331">
        <v>17</v>
      </c>
      <c r="J10" s="63">
        <v>1500</v>
      </c>
      <c r="K10" s="64">
        <f t="shared" si="1"/>
        <v>88.235294117647058</v>
      </c>
      <c r="L10" s="331">
        <v>17</v>
      </c>
      <c r="M10" s="65">
        <f t="shared" si="12"/>
        <v>1434.3661971830982</v>
      </c>
      <c r="N10" s="64">
        <f t="shared" si="3"/>
        <v>84.374482187241071</v>
      </c>
      <c r="O10" s="66">
        <f t="shared" si="4"/>
        <v>0</v>
      </c>
      <c r="P10" s="67">
        <f t="shared" si="5"/>
        <v>-3.8608119304059869</v>
      </c>
      <c r="Q10" s="327">
        <f t="shared" si="6"/>
        <v>0.95624413145539877</v>
      </c>
      <c r="R10" s="511"/>
      <c r="S10" s="68">
        <v>0.25069444444444444</v>
      </c>
      <c r="T10" s="68">
        <v>0.39861111111111114</v>
      </c>
      <c r="U10" s="326">
        <f t="shared" ref="U10" si="14">IF(S10=TIME(17,0,0),"",(S10-T9)*24*60)</f>
        <v>4.9999999999999822</v>
      </c>
      <c r="V10" s="332">
        <f t="shared" si="13"/>
        <v>213.00000000000006</v>
      </c>
      <c r="W10" s="69"/>
      <c r="X10" s="69"/>
      <c r="Y10" s="510"/>
      <c r="Z10" s="510"/>
      <c r="AA10" s="66">
        <f t="shared" si="8"/>
        <v>-65.633802816901834</v>
      </c>
      <c r="AB10" s="327">
        <f t="shared" si="9"/>
        <v>0.95624413145539877</v>
      </c>
      <c r="AC10" s="511"/>
    </row>
    <row r="11" spans="1:29" ht="16.5" customHeight="1">
      <c r="A11" s="543" t="s">
        <v>1756</v>
      </c>
      <c r="B11" s="62" t="s">
        <v>1757</v>
      </c>
      <c r="C11" s="513"/>
      <c r="D11" s="513"/>
      <c r="E11" s="328"/>
      <c r="F11" s="63"/>
      <c r="G11" s="65"/>
      <c r="H11" s="333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1430.2188128772632</v>
      </c>
      <c r="N11" s="64">
        <f t="shared" si="3"/>
        <v>77.309125020392599</v>
      </c>
      <c r="O11" s="66">
        <f t="shared" si="4"/>
        <v>0</v>
      </c>
      <c r="P11" s="67">
        <f t="shared" si="5"/>
        <v>-3.7719560606884812</v>
      </c>
      <c r="Q11" s="327">
        <f t="shared" si="6"/>
        <v>0.95347920858484203</v>
      </c>
      <c r="R11" s="511"/>
      <c r="S11" s="68"/>
      <c r="T11" s="68"/>
      <c r="U11" s="64"/>
      <c r="V11" s="332"/>
      <c r="W11" s="64"/>
      <c r="X11" s="64"/>
      <c r="Y11" s="510"/>
      <c r="Z11" s="510"/>
      <c r="AA11" s="66">
        <f t="shared" si="8"/>
        <v>-69.78118712273681</v>
      </c>
      <c r="AB11" s="327">
        <f t="shared" si="9"/>
        <v>0.95347920858484214</v>
      </c>
      <c r="AC11" s="511"/>
    </row>
    <row r="12" spans="1:29" ht="16.5" customHeight="1">
      <c r="A12" s="541" t="s">
        <v>1758</v>
      </c>
      <c r="B12" s="333" t="s">
        <v>13</v>
      </c>
      <c r="C12" s="533" t="s">
        <v>14</v>
      </c>
      <c r="D12" s="533"/>
      <c r="E12" s="62">
        <v>41</v>
      </c>
      <c r="F12" s="333">
        <v>2541</v>
      </c>
      <c r="G12" s="326">
        <f t="shared" ref="G12:G17" si="15">E12*F12</f>
        <v>104181</v>
      </c>
      <c r="H12" s="90" t="s">
        <v>5</v>
      </c>
      <c r="I12" s="331">
        <v>26</v>
      </c>
      <c r="J12" s="63">
        <v>1500</v>
      </c>
      <c r="K12" s="64">
        <f t="shared" si="1"/>
        <v>57.692307692307693</v>
      </c>
      <c r="L12" s="331">
        <v>26</v>
      </c>
      <c r="M12" s="65">
        <f t="shared" ref="M12:M17" si="16">F12/V12*60</f>
        <v>1438.3018867924525</v>
      </c>
      <c r="N12" s="64">
        <f t="shared" si="3"/>
        <v>55.319303338171252</v>
      </c>
      <c r="O12" s="66">
        <f t="shared" si="4"/>
        <v>0</v>
      </c>
      <c r="P12" s="67">
        <f t="shared" si="5"/>
        <v>-2.373004354136441</v>
      </c>
      <c r="Q12" s="327">
        <f t="shared" si="6"/>
        <v>0.95886792452830172</v>
      </c>
      <c r="R12" s="511">
        <f>Q18</f>
        <v>0.96397104898650043</v>
      </c>
      <c r="S12" s="68">
        <v>0.125</v>
      </c>
      <c r="T12" s="68">
        <v>0.19861111111111113</v>
      </c>
      <c r="U12" s="326"/>
      <c r="V12" s="332">
        <f t="shared" ref="V12:V17" si="17">(T12-S12)*24*60</f>
        <v>106.00000000000003</v>
      </c>
      <c r="W12" s="69">
        <f>T12</f>
        <v>0.19861111111111113</v>
      </c>
      <c r="X12" s="69">
        <f>S13</f>
        <v>0.21805555555555556</v>
      </c>
      <c r="Y12" s="510"/>
      <c r="Z12" s="510"/>
      <c r="AA12" s="66">
        <f t="shared" si="8"/>
        <v>-61.698113207547522</v>
      </c>
      <c r="AB12" s="327">
        <f t="shared" si="9"/>
        <v>0.95886792452830161</v>
      </c>
      <c r="AC12" s="511">
        <f>AB18</f>
        <v>0.96397104898650043</v>
      </c>
    </row>
    <row r="13" spans="1:29" ht="16.5" customHeight="1">
      <c r="A13" s="542" t="s">
        <v>1759</v>
      </c>
      <c r="B13" s="333" t="s">
        <v>10</v>
      </c>
      <c r="C13" s="533" t="s">
        <v>15</v>
      </c>
      <c r="D13" s="533"/>
      <c r="E13" s="62">
        <v>39.619999999999997</v>
      </c>
      <c r="F13" s="333">
        <v>3316</v>
      </c>
      <c r="G13" s="326">
        <f t="shared" si="15"/>
        <v>131379.91999999998</v>
      </c>
      <c r="H13" s="90" t="s">
        <v>5</v>
      </c>
      <c r="I13" s="331">
        <v>19</v>
      </c>
      <c r="J13" s="63">
        <v>1500</v>
      </c>
      <c r="K13" s="64">
        <f t="shared" si="1"/>
        <v>78.94736842105263</v>
      </c>
      <c r="L13" s="331">
        <v>19</v>
      </c>
      <c r="M13" s="65">
        <f t="shared" si="16"/>
        <v>1431.3669064748201</v>
      </c>
      <c r="N13" s="64">
        <f t="shared" si="3"/>
        <v>75.335100340780002</v>
      </c>
      <c r="O13" s="66">
        <f t="shared" si="4"/>
        <v>0</v>
      </c>
      <c r="P13" s="67">
        <f t="shared" si="5"/>
        <v>-3.6122680802726279</v>
      </c>
      <c r="Q13" s="327">
        <f t="shared" si="6"/>
        <v>0.95424460431654667</v>
      </c>
      <c r="R13" s="511"/>
      <c r="S13" s="68">
        <v>0.21805555555555556</v>
      </c>
      <c r="T13" s="68">
        <v>0.31458333333333333</v>
      </c>
      <c r="U13" s="326">
        <f t="shared" ref="U13:U17" si="18">IF(S13=TIME(17,0,0),"",(S13-T12)*24*60)</f>
        <v>27.999999999999979</v>
      </c>
      <c r="V13" s="332">
        <f t="shared" si="17"/>
        <v>139</v>
      </c>
      <c r="W13" s="69"/>
      <c r="X13" s="69"/>
      <c r="Y13" s="510"/>
      <c r="Z13" s="510"/>
      <c r="AA13" s="66">
        <f t="shared" si="8"/>
        <v>-68.633093525179902</v>
      </c>
      <c r="AB13" s="327">
        <f t="shared" si="9"/>
        <v>0.95424460431654679</v>
      </c>
      <c r="AC13" s="511"/>
    </row>
    <row r="14" spans="1:29" ht="16.5" customHeight="1">
      <c r="A14" s="542" t="s">
        <v>241</v>
      </c>
      <c r="B14" s="333" t="s">
        <v>77</v>
      </c>
      <c r="C14" s="533" t="s">
        <v>76</v>
      </c>
      <c r="D14" s="533"/>
      <c r="E14" s="62">
        <v>57.3</v>
      </c>
      <c r="F14" s="333">
        <v>856</v>
      </c>
      <c r="G14" s="326">
        <f t="shared" si="15"/>
        <v>49048.799999999996</v>
      </c>
      <c r="H14" s="90" t="s">
        <v>5</v>
      </c>
      <c r="I14" s="331">
        <v>16</v>
      </c>
      <c r="J14" s="63">
        <v>1500</v>
      </c>
      <c r="K14" s="64">
        <f t="shared" si="1"/>
        <v>93.75</v>
      </c>
      <c r="L14" s="331">
        <v>16</v>
      </c>
      <c r="M14" s="65">
        <f t="shared" si="16"/>
        <v>1467.4285714285697</v>
      </c>
      <c r="N14" s="64">
        <f t="shared" si="3"/>
        <v>91.714285714285609</v>
      </c>
      <c r="O14" s="66">
        <f t="shared" si="4"/>
        <v>0</v>
      </c>
      <c r="P14" s="67">
        <f t="shared" si="5"/>
        <v>-2.0357142857143913</v>
      </c>
      <c r="Q14" s="327">
        <f t="shared" si="6"/>
        <v>0.9782857142857132</v>
      </c>
      <c r="R14" s="511"/>
      <c r="S14" s="68">
        <v>0.31805555555555554</v>
      </c>
      <c r="T14" s="68">
        <v>0.34236111111111112</v>
      </c>
      <c r="U14" s="326">
        <f t="shared" si="18"/>
        <v>4.9999999999999822</v>
      </c>
      <c r="V14" s="332">
        <f t="shared" si="17"/>
        <v>35.000000000000036</v>
      </c>
      <c r="W14" s="69"/>
      <c r="X14" s="69"/>
      <c r="Y14" s="510"/>
      <c r="Z14" s="510"/>
      <c r="AA14" s="66">
        <f t="shared" si="8"/>
        <v>-32.57142857143026</v>
      </c>
      <c r="AB14" s="327">
        <f t="shared" si="9"/>
        <v>0.9782857142857132</v>
      </c>
      <c r="AC14" s="511"/>
    </row>
    <row r="15" spans="1:29" ht="16.5" customHeight="1">
      <c r="A15" s="542" t="s">
        <v>1759</v>
      </c>
      <c r="B15" s="333" t="s">
        <v>6</v>
      </c>
      <c r="C15" s="533" t="s">
        <v>890</v>
      </c>
      <c r="D15" s="533"/>
      <c r="E15" s="62">
        <v>50.98</v>
      </c>
      <c r="F15" s="333">
        <v>2745</v>
      </c>
      <c r="G15" s="326">
        <f t="shared" si="15"/>
        <v>139940.1</v>
      </c>
      <c r="H15" s="90" t="s">
        <v>5</v>
      </c>
      <c r="I15" s="331">
        <v>16</v>
      </c>
      <c r="J15" s="63">
        <v>2000</v>
      </c>
      <c r="K15" s="64">
        <f t="shared" si="1"/>
        <v>125</v>
      </c>
      <c r="L15" s="331">
        <v>16</v>
      </c>
      <c r="M15" s="65">
        <f t="shared" si="16"/>
        <v>1915.116279069767</v>
      </c>
      <c r="N15" s="64">
        <f t="shared" si="3"/>
        <v>119.69476744186044</v>
      </c>
      <c r="O15" s="66">
        <f t="shared" si="4"/>
        <v>0</v>
      </c>
      <c r="P15" s="67">
        <f t="shared" si="5"/>
        <v>-5.305232558139565</v>
      </c>
      <c r="Q15" s="327">
        <f t="shared" si="6"/>
        <v>0.95755813953488345</v>
      </c>
      <c r="R15" s="511"/>
      <c r="S15" s="68">
        <v>0.70833333333333337</v>
      </c>
      <c r="T15" s="68">
        <v>0.7680555555555556</v>
      </c>
      <c r="U15" s="326" t="str">
        <f t="shared" si="18"/>
        <v/>
      </c>
      <c r="V15" s="332">
        <f t="shared" si="17"/>
        <v>86.000000000000014</v>
      </c>
      <c r="W15" s="69"/>
      <c r="X15" s="69"/>
      <c r="Y15" s="510"/>
      <c r="Z15" s="510"/>
      <c r="AA15" s="66">
        <f t="shared" si="8"/>
        <v>-84.883720930233039</v>
      </c>
      <c r="AB15" s="327">
        <f t="shared" si="9"/>
        <v>0.95755813953488345</v>
      </c>
      <c r="AC15" s="511"/>
    </row>
    <row r="16" spans="1:29" ht="16.5" customHeight="1">
      <c r="A16" s="542" t="s">
        <v>1759</v>
      </c>
      <c r="B16" s="333" t="s">
        <v>6</v>
      </c>
      <c r="C16" s="533" t="s">
        <v>20</v>
      </c>
      <c r="D16" s="533"/>
      <c r="E16" s="62">
        <v>50.92</v>
      </c>
      <c r="F16" s="333">
        <v>2736</v>
      </c>
      <c r="G16" s="326">
        <f t="shared" si="15"/>
        <v>139317.12</v>
      </c>
      <c r="H16" s="90" t="s">
        <v>5</v>
      </c>
      <c r="I16" s="331">
        <v>15</v>
      </c>
      <c r="J16" s="63">
        <v>2000</v>
      </c>
      <c r="K16" s="64">
        <f t="shared" si="1"/>
        <v>133.33333333333334</v>
      </c>
      <c r="L16" s="331">
        <v>15</v>
      </c>
      <c r="M16" s="65">
        <f t="shared" si="16"/>
        <v>1908.8372093023254</v>
      </c>
      <c r="N16" s="64">
        <f t="shared" si="3"/>
        <v>127.25581395348836</v>
      </c>
      <c r="O16" s="66">
        <f t="shared" si="4"/>
        <v>0</v>
      </c>
      <c r="P16" s="67">
        <f t="shared" si="5"/>
        <v>-6.0775193798449862</v>
      </c>
      <c r="Q16" s="327">
        <f t="shared" si="6"/>
        <v>0.95441860465116257</v>
      </c>
      <c r="R16" s="511"/>
      <c r="S16" s="68">
        <v>0.77222222222222225</v>
      </c>
      <c r="T16" s="68">
        <v>0.83194444444444449</v>
      </c>
      <c r="U16" s="326">
        <f t="shared" si="18"/>
        <v>5.9999999999999787</v>
      </c>
      <c r="V16" s="332">
        <f t="shared" si="17"/>
        <v>86.000000000000014</v>
      </c>
      <c r="W16" s="69"/>
      <c r="X16" s="69"/>
      <c r="Y16" s="510"/>
      <c r="Z16" s="510"/>
      <c r="AA16" s="66">
        <f t="shared" si="8"/>
        <v>-91.162790697674609</v>
      </c>
      <c r="AB16" s="327">
        <f t="shared" si="9"/>
        <v>0.95441860465116268</v>
      </c>
      <c r="AC16" s="511"/>
    </row>
    <row r="17" spans="1:29" ht="16.5" customHeight="1">
      <c r="A17" s="542" t="s">
        <v>241</v>
      </c>
      <c r="B17" s="333" t="s">
        <v>6</v>
      </c>
      <c r="C17" s="534" t="s">
        <v>7</v>
      </c>
      <c r="D17" s="535"/>
      <c r="E17" s="62">
        <v>46.93</v>
      </c>
      <c r="F17" s="333">
        <v>1013</v>
      </c>
      <c r="G17" s="326">
        <f t="shared" si="15"/>
        <v>47540.09</v>
      </c>
      <c r="H17" s="90" t="s">
        <v>5</v>
      </c>
      <c r="I17" s="331">
        <v>16</v>
      </c>
      <c r="J17" s="63">
        <v>2000</v>
      </c>
      <c r="K17" s="64">
        <f t="shared" si="1"/>
        <v>125</v>
      </c>
      <c r="L17" s="331">
        <v>16</v>
      </c>
      <c r="M17" s="65">
        <f t="shared" si="16"/>
        <v>1960.6451612903193</v>
      </c>
      <c r="N17" s="64">
        <f t="shared" si="3"/>
        <v>122.54032258064495</v>
      </c>
      <c r="O17" s="66">
        <f t="shared" si="4"/>
        <v>0</v>
      </c>
      <c r="P17" s="67">
        <f t="shared" si="5"/>
        <v>-2.4596774193550459</v>
      </c>
      <c r="Q17" s="327">
        <f t="shared" si="6"/>
        <v>0.98032258064515965</v>
      </c>
      <c r="R17" s="511"/>
      <c r="S17" s="68">
        <v>0.8354166666666667</v>
      </c>
      <c r="T17" s="68">
        <v>0.85694444444444451</v>
      </c>
      <c r="U17" s="326">
        <f t="shared" si="18"/>
        <v>4.9999999999999822</v>
      </c>
      <c r="V17" s="332">
        <f t="shared" si="17"/>
        <v>31.00000000000005</v>
      </c>
      <c r="W17" s="69"/>
      <c r="X17" s="69"/>
      <c r="Y17" s="517"/>
      <c r="Z17" s="518"/>
      <c r="AA17" s="66">
        <f t="shared" si="8"/>
        <v>-39.354838709680735</v>
      </c>
      <c r="AB17" s="327">
        <f t="shared" si="9"/>
        <v>0.98032258064515965</v>
      </c>
      <c r="AC17" s="511"/>
    </row>
    <row r="18" spans="1:29" ht="16.5" customHeight="1">
      <c r="A18" s="542" t="s">
        <v>1759</v>
      </c>
      <c r="B18" s="62" t="s">
        <v>1760</v>
      </c>
      <c r="C18" s="513"/>
      <c r="D18" s="513"/>
      <c r="E18" s="328"/>
      <c r="F18" s="71"/>
      <c r="G18" s="64"/>
      <c r="H18" s="333"/>
      <c r="I18" s="72">
        <v>18</v>
      </c>
      <c r="J18" s="63">
        <v>1750</v>
      </c>
      <c r="K18" s="64">
        <f t="shared" si="1"/>
        <v>97.222222222222229</v>
      </c>
      <c r="L18" s="72">
        <v>18</v>
      </c>
      <c r="M18" s="65">
        <f>AVERAGE(M12:M17)</f>
        <v>1686.9493357263757</v>
      </c>
      <c r="N18" s="64">
        <f t="shared" si="3"/>
        <v>93.719407540354212</v>
      </c>
      <c r="O18" s="66">
        <f t="shared" si="4"/>
        <v>0</v>
      </c>
      <c r="P18" s="67">
        <f t="shared" si="5"/>
        <v>-3.502814681868017</v>
      </c>
      <c r="Q18" s="327">
        <f t="shared" si="6"/>
        <v>0.96397104898650043</v>
      </c>
      <c r="R18" s="511"/>
      <c r="S18" s="68"/>
      <c r="T18" s="68"/>
      <c r="U18" s="326"/>
      <c r="V18" s="332"/>
      <c r="W18" s="64"/>
      <c r="X18" s="64"/>
      <c r="Y18" s="510"/>
      <c r="Z18" s="510"/>
      <c r="AA18" s="66">
        <f t="shared" si="8"/>
        <v>-63.050664273624307</v>
      </c>
      <c r="AB18" s="327">
        <f t="shared" si="9"/>
        <v>0.96397104898650043</v>
      </c>
      <c r="AC18" s="511"/>
    </row>
    <row r="19" spans="1:29" ht="15.75" customHeight="1">
      <c r="A19" s="537" t="s">
        <v>1761</v>
      </c>
      <c r="B19" s="62" t="s">
        <v>13</v>
      </c>
      <c r="C19" s="533" t="s">
        <v>21</v>
      </c>
      <c r="D19" s="533"/>
      <c r="E19" s="62">
        <v>43.14</v>
      </c>
      <c r="F19" s="333">
        <v>1050</v>
      </c>
      <c r="G19" s="326">
        <f t="shared" ref="G19:G26" si="19">E19*F19</f>
        <v>45297</v>
      </c>
      <c r="H19" s="90" t="s">
        <v>5</v>
      </c>
      <c r="I19" s="331">
        <v>17</v>
      </c>
      <c r="J19" s="63">
        <v>2000</v>
      </c>
      <c r="K19" s="64">
        <f t="shared" si="1"/>
        <v>117.64705882352941</v>
      </c>
      <c r="L19" s="331">
        <v>17</v>
      </c>
      <c r="M19" s="65">
        <f t="shared" ref="M19:M26" si="20">F19/V19*60</f>
        <v>1909.090909090909</v>
      </c>
      <c r="N19" s="64">
        <f t="shared" si="3"/>
        <v>112.29946524064171</v>
      </c>
      <c r="O19" s="66">
        <f t="shared" si="4"/>
        <v>0</v>
      </c>
      <c r="P19" s="67">
        <f t="shared" si="5"/>
        <v>-5.347593582887697</v>
      </c>
      <c r="Q19" s="327">
        <f t="shared" si="6"/>
        <v>0.95454545454545459</v>
      </c>
      <c r="R19" s="511">
        <f>Q27</f>
        <v>0.95988909248692456</v>
      </c>
      <c r="S19" s="68">
        <v>0.20833333333333334</v>
      </c>
      <c r="T19" s="68">
        <v>0.23125000000000001</v>
      </c>
      <c r="U19" s="326"/>
      <c r="V19" s="332">
        <f t="shared" ref="V19:V26" si="21">(T19-S19)*24*60</f>
        <v>33</v>
      </c>
      <c r="W19" s="73"/>
      <c r="X19" s="73"/>
      <c r="Y19" s="510"/>
      <c r="Z19" s="510"/>
      <c r="AA19" s="66">
        <f t="shared" si="8"/>
        <v>-90.909090909090992</v>
      </c>
      <c r="AB19" s="327">
        <f t="shared" si="9"/>
        <v>0.95454545454545447</v>
      </c>
      <c r="AC19" s="511">
        <f>AB27</f>
        <v>0.95988909248692456</v>
      </c>
    </row>
    <row r="20" spans="1:29" ht="15.75" customHeight="1">
      <c r="A20" s="538" t="s">
        <v>1762</v>
      </c>
      <c r="B20" s="62" t="s">
        <v>77</v>
      </c>
      <c r="C20" s="533" t="s">
        <v>980</v>
      </c>
      <c r="D20" s="533"/>
      <c r="E20" s="62">
        <v>49.9</v>
      </c>
      <c r="F20" s="333">
        <v>2545</v>
      </c>
      <c r="G20" s="326">
        <f t="shared" si="19"/>
        <v>126995.5</v>
      </c>
      <c r="H20" s="90" t="s">
        <v>5</v>
      </c>
      <c r="I20" s="331">
        <v>19</v>
      </c>
      <c r="J20" s="63">
        <v>2000</v>
      </c>
      <c r="K20" s="64">
        <f t="shared" si="1"/>
        <v>105.26315789473684</v>
      </c>
      <c r="L20" s="331">
        <v>19</v>
      </c>
      <c r="M20" s="65">
        <f t="shared" si="20"/>
        <v>1908.75</v>
      </c>
      <c r="N20" s="64">
        <f t="shared" si="3"/>
        <v>100.46052631578948</v>
      </c>
      <c r="O20" s="66">
        <f t="shared" si="4"/>
        <v>0</v>
      </c>
      <c r="P20" s="67">
        <f t="shared" si="5"/>
        <v>-4.8026315789473557</v>
      </c>
      <c r="Q20" s="327">
        <f t="shared" si="6"/>
        <v>0.95437500000000008</v>
      </c>
      <c r="R20" s="511"/>
      <c r="S20" s="68">
        <v>0.23680555555555557</v>
      </c>
      <c r="T20" s="68">
        <v>0.29236111111111113</v>
      </c>
      <c r="U20" s="326">
        <f t="shared" ref="U20:U26" si="22">IF(S20=TIME(17,0,0),"",(S20-T19)*24*60)</f>
        <v>8.0000000000000107</v>
      </c>
      <c r="V20" s="332">
        <f t="shared" si="21"/>
        <v>80</v>
      </c>
      <c r="W20" s="69"/>
      <c r="X20" s="326"/>
      <c r="Y20" s="510"/>
      <c r="Z20" s="510"/>
      <c r="AA20" s="66">
        <f t="shared" si="8"/>
        <v>-91.25</v>
      </c>
      <c r="AB20" s="327">
        <f t="shared" si="9"/>
        <v>0.95437499999999997</v>
      </c>
      <c r="AC20" s="511"/>
    </row>
    <row r="21" spans="1:29" ht="15.75" customHeight="1">
      <c r="A21" s="538" t="s">
        <v>1762</v>
      </c>
      <c r="B21" s="62" t="s">
        <v>6</v>
      </c>
      <c r="C21" s="533" t="s">
        <v>22</v>
      </c>
      <c r="D21" s="533"/>
      <c r="E21" s="62">
        <v>57.73</v>
      </c>
      <c r="F21" s="333">
        <v>2085</v>
      </c>
      <c r="G21" s="326">
        <f t="shared" si="19"/>
        <v>120367.04999999999</v>
      </c>
      <c r="H21" s="90" t="s">
        <v>5</v>
      </c>
      <c r="I21" s="331">
        <v>14</v>
      </c>
      <c r="J21" s="63">
        <v>2000</v>
      </c>
      <c r="K21" s="64">
        <f t="shared" si="1"/>
        <v>142.85714285714286</v>
      </c>
      <c r="L21" s="331">
        <v>14</v>
      </c>
      <c r="M21" s="65">
        <f t="shared" si="20"/>
        <v>1924.6153846153843</v>
      </c>
      <c r="N21" s="64">
        <f t="shared" si="3"/>
        <v>137.47252747252745</v>
      </c>
      <c r="O21" s="66">
        <f t="shared" si="4"/>
        <v>0</v>
      </c>
      <c r="P21" s="67">
        <f t="shared" si="5"/>
        <v>-5.3846153846154152</v>
      </c>
      <c r="Q21" s="327">
        <f t="shared" si="6"/>
        <v>0.96230769230769209</v>
      </c>
      <c r="R21" s="511"/>
      <c r="S21" s="68">
        <v>0.29652777777777778</v>
      </c>
      <c r="T21" s="68">
        <v>0.34166666666666667</v>
      </c>
      <c r="U21" s="326">
        <f t="shared" si="22"/>
        <v>5.9999999999999787</v>
      </c>
      <c r="V21" s="332">
        <f t="shared" si="21"/>
        <v>65.000000000000014</v>
      </c>
      <c r="W21" s="69"/>
      <c r="X21" s="326"/>
      <c r="Y21" s="510"/>
      <c r="Z21" s="510"/>
      <c r="AA21" s="66">
        <f t="shared" si="8"/>
        <v>-75.384615384615699</v>
      </c>
      <c r="AB21" s="327">
        <f t="shared" si="9"/>
        <v>0.9623076923076922</v>
      </c>
      <c r="AC21" s="511"/>
    </row>
    <row r="22" spans="1:29" ht="15.75" customHeight="1">
      <c r="A22" s="538" t="s">
        <v>1762</v>
      </c>
      <c r="B22" s="62" t="s">
        <v>6</v>
      </c>
      <c r="C22" s="533" t="s">
        <v>23</v>
      </c>
      <c r="D22" s="533"/>
      <c r="E22" s="62">
        <v>53.68</v>
      </c>
      <c r="F22" s="333">
        <v>1442</v>
      </c>
      <c r="G22" s="326">
        <f t="shared" si="19"/>
        <v>77406.559999999998</v>
      </c>
      <c r="H22" s="90" t="s">
        <v>5</v>
      </c>
      <c r="I22" s="331">
        <v>16</v>
      </c>
      <c r="J22" s="63">
        <v>2000</v>
      </c>
      <c r="K22" s="64">
        <f t="shared" si="1"/>
        <v>125</v>
      </c>
      <c r="L22" s="331">
        <v>16</v>
      </c>
      <c r="M22" s="65">
        <f t="shared" si="20"/>
        <v>1922.6666666666667</v>
      </c>
      <c r="N22" s="64">
        <f t="shared" si="3"/>
        <v>120.16666666666667</v>
      </c>
      <c r="O22" s="66">
        <f t="shared" si="4"/>
        <v>0</v>
      </c>
      <c r="P22" s="67">
        <f t="shared" si="5"/>
        <v>-4.8333333333333286</v>
      </c>
      <c r="Q22" s="327">
        <f t="shared" si="6"/>
        <v>0.96133333333333337</v>
      </c>
      <c r="R22" s="511"/>
      <c r="S22" s="68">
        <v>0.34722222222222221</v>
      </c>
      <c r="T22" s="68">
        <v>0.37847222222222221</v>
      </c>
      <c r="U22" s="326">
        <f t="shared" si="22"/>
        <v>7.9999999999999716</v>
      </c>
      <c r="V22" s="332">
        <f t="shared" si="21"/>
        <v>45</v>
      </c>
      <c r="W22" s="69"/>
      <c r="X22" s="326"/>
      <c r="Y22" s="510"/>
      <c r="Z22" s="510"/>
      <c r="AA22" s="66">
        <f t="shared" si="8"/>
        <v>-77.333333333333258</v>
      </c>
      <c r="AB22" s="327">
        <f t="shared" si="9"/>
        <v>0.96133333333333337</v>
      </c>
      <c r="AC22" s="511"/>
    </row>
    <row r="23" spans="1:29" ht="15.75" customHeight="1">
      <c r="A23" s="538" t="s">
        <v>1762</v>
      </c>
      <c r="B23" s="62" t="s">
        <v>6</v>
      </c>
      <c r="C23" s="533" t="s">
        <v>971</v>
      </c>
      <c r="D23" s="533"/>
      <c r="E23" s="62">
        <v>49.91</v>
      </c>
      <c r="F23" s="333">
        <v>2336</v>
      </c>
      <c r="G23" s="326">
        <f t="shared" si="19"/>
        <v>116589.75999999999</v>
      </c>
      <c r="H23" s="90" t="s">
        <v>5</v>
      </c>
      <c r="I23" s="331">
        <v>19</v>
      </c>
      <c r="J23" s="63">
        <v>2000</v>
      </c>
      <c r="K23" s="64">
        <f t="shared" si="1"/>
        <v>105.26315789473684</v>
      </c>
      <c r="L23" s="331">
        <v>19</v>
      </c>
      <c r="M23" s="65">
        <f t="shared" si="20"/>
        <v>1920.0000000000005</v>
      </c>
      <c r="N23" s="64">
        <f t="shared" si="3"/>
        <v>101.0526315789474</v>
      </c>
      <c r="O23" s="66">
        <f t="shared" si="4"/>
        <v>0</v>
      </c>
      <c r="P23" s="67">
        <f t="shared" si="5"/>
        <v>-4.210526315789437</v>
      </c>
      <c r="Q23" s="327">
        <f t="shared" si="6"/>
        <v>0.9600000000000003</v>
      </c>
      <c r="R23" s="511"/>
      <c r="S23" s="68">
        <v>0.38402777777777775</v>
      </c>
      <c r="T23" s="68">
        <v>0.43472222222222218</v>
      </c>
      <c r="U23" s="326">
        <f t="shared" si="22"/>
        <v>7.9999999999999716</v>
      </c>
      <c r="V23" s="332">
        <f t="shared" si="21"/>
        <v>72.999999999999986</v>
      </c>
      <c r="W23" s="69"/>
      <c r="X23" s="326"/>
      <c r="Y23" s="510"/>
      <c r="Z23" s="510"/>
      <c r="AA23" s="66">
        <f t="shared" si="8"/>
        <v>-79.999999999999545</v>
      </c>
      <c r="AB23" s="327">
        <f t="shared" si="9"/>
        <v>0.96000000000000019</v>
      </c>
      <c r="AC23" s="511"/>
    </row>
    <row r="24" spans="1:29" ht="15.75" customHeight="1">
      <c r="A24" s="538" t="s">
        <v>1762</v>
      </c>
      <c r="B24" s="62" t="s">
        <v>6</v>
      </c>
      <c r="C24" s="533" t="s">
        <v>24</v>
      </c>
      <c r="D24" s="533"/>
      <c r="E24" s="62">
        <v>54.09</v>
      </c>
      <c r="F24" s="333">
        <v>1763</v>
      </c>
      <c r="G24" s="326">
        <f t="shared" si="19"/>
        <v>95360.670000000013</v>
      </c>
      <c r="H24" s="90" t="s">
        <v>5</v>
      </c>
      <c r="I24" s="331">
        <v>19</v>
      </c>
      <c r="J24" s="63">
        <v>2000</v>
      </c>
      <c r="K24" s="64">
        <f t="shared" si="1"/>
        <v>105.26315789473684</v>
      </c>
      <c r="L24" s="331">
        <v>19</v>
      </c>
      <c r="M24" s="65">
        <f t="shared" si="20"/>
        <v>1923.2727272727286</v>
      </c>
      <c r="N24" s="64">
        <f t="shared" si="3"/>
        <v>101.2248803827752</v>
      </c>
      <c r="O24" s="66">
        <f t="shared" si="4"/>
        <v>0</v>
      </c>
      <c r="P24" s="67">
        <f t="shared" si="5"/>
        <v>-4.0382775119616383</v>
      </c>
      <c r="Q24" s="327">
        <f t="shared" si="6"/>
        <v>0.9616363636363644</v>
      </c>
      <c r="R24" s="511"/>
      <c r="S24" s="68">
        <v>0.70833333333333337</v>
      </c>
      <c r="T24" s="68">
        <v>0.74652777777777779</v>
      </c>
      <c r="U24" s="326" t="str">
        <f t="shared" si="22"/>
        <v/>
      </c>
      <c r="V24" s="332">
        <f t="shared" si="21"/>
        <v>54.999999999999964</v>
      </c>
      <c r="W24" s="69"/>
      <c r="X24" s="73"/>
      <c r="Y24" s="510"/>
      <c r="Z24" s="510"/>
      <c r="AA24" s="66">
        <f t="shared" si="8"/>
        <v>-76.727272727271384</v>
      </c>
      <c r="AB24" s="327">
        <f t="shared" si="9"/>
        <v>0.96163636363636429</v>
      </c>
      <c r="AC24" s="511"/>
    </row>
    <row r="25" spans="1:29" ht="15.75" customHeight="1">
      <c r="A25" s="538" t="s">
        <v>1762</v>
      </c>
      <c r="B25" s="62" t="s">
        <v>6</v>
      </c>
      <c r="C25" s="533" t="s">
        <v>82</v>
      </c>
      <c r="D25" s="533"/>
      <c r="E25" s="62">
        <v>57.73</v>
      </c>
      <c r="F25" s="333">
        <v>1471</v>
      </c>
      <c r="G25" s="326">
        <f t="shared" si="19"/>
        <v>84920.83</v>
      </c>
      <c r="H25" s="90" t="s">
        <v>5</v>
      </c>
      <c r="I25" s="331">
        <v>16</v>
      </c>
      <c r="J25" s="63">
        <v>1500</v>
      </c>
      <c r="K25" s="64">
        <f t="shared" si="1"/>
        <v>93.75</v>
      </c>
      <c r="L25" s="331">
        <v>16</v>
      </c>
      <c r="M25" s="65">
        <f t="shared" si="20"/>
        <v>1446.8852459016407</v>
      </c>
      <c r="N25" s="64">
        <f t="shared" si="3"/>
        <v>90.430327868852544</v>
      </c>
      <c r="O25" s="66">
        <f t="shared" si="4"/>
        <v>0</v>
      </c>
      <c r="P25" s="67">
        <f t="shared" si="5"/>
        <v>-3.3196721311474562</v>
      </c>
      <c r="Q25" s="327">
        <f t="shared" si="6"/>
        <v>0.96459016393442709</v>
      </c>
      <c r="R25" s="511"/>
      <c r="S25" s="68">
        <v>0.75208333333333333</v>
      </c>
      <c r="T25" s="68">
        <v>0.7944444444444444</v>
      </c>
      <c r="U25" s="326">
        <f t="shared" si="22"/>
        <v>7.9999999999999716</v>
      </c>
      <c r="V25" s="332">
        <f t="shared" si="21"/>
        <v>60.999999999999943</v>
      </c>
      <c r="W25" s="69"/>
      <c r="X25" s="73"/>
      <c r="Y25" s="517"/>
      <c r="Z25" s="518"/>
      <c r="AA25" s="66">
        <f t="shared" si="8"/>
        <v>-53.114754098359299</v>
      </c>
      <c r="AB25" s="327">
        <f t="shared" si="9"/>
        <v>0.96459016393442709</v>
      </c>
      <c r="AC25" s="511"/>
    </row>
    <row r="26" spans="1:29" ht="15.75" customHeight="1">
      <c r="A26" s="538" t="s">
        <v>1762</v>
      </c>
      <c r="B26" s="62" t="s">
        <v>6</v>
      </c>
      <c r="C26" s="534" t="s">
        <v>81</v>
      </c>
      <c r="D26" s="535"/>
      <c r="E26" s="62">
        <v>50.67</v>
      </c>
      <c r="F26" s="333">
        <v>1923</v>
      </c>
      <c r="G26" s="326">
        <f t="shared" si="19"/>
        <v>97438.41</v>
      </c>
      <c r="H26" s="90" t="s">
        <v>5</v>
      </c>
      <c r="I26" s="331">
        <v>15</v>
      </c>
      <c r="J26" s="63">
        <v>2000</v>
      </c>
      <c r="K26" s="64">
        <f t="shared" si="1"/>
        <v>133.33333333333334</v>
      </c>
      <c r="L26" s="331">
        <v>15</v>
      </c>
      <c r="M26" s="65">
        <f t="shared" si="20"/>
        <v>1923.000000000002</v>
      </c>
      <c r="N26" s="64">
        <f t="shared" si="3"/>
        <v>128.20000000000013</v>
      </c>
      <c r="O26" s="66">
        <f t="shared" si="4"/>
        <v>0</v>
      </c>
      <c r="P26" s="67">
        <f t="shared" si="5"/>
        <v>-5.1333333333332121</v>
      </c>
      <c r="Q26" s="327">
        <f t="shared" si="6"/>
        <v>0.96150000000000091</v>
      </c>
      <c r="R26" s="511"/>
      <c r="S26" s="68">
        <v>0.79861111111111105</v>
      </c>
      <c r="T26" s="68">
        <v>0.84027777777777768</v>
      </c>
      <c r="U26" s="326">
        <f t="shared" si="22"/>
        <v>5.9999999999999787</v>
      </c>
      <c r="V26" s="332">
        <f t="shared" si="21"/>
        <v>59.999999999999943</v>
      </c>
      <c r="W26" s="69"/>
      <c r="X26" s="69"/>
      <c r="Y26" s="517"/>
      <c r="Z26" s="518"/>
      <c r="AA26" s="66">
        <f t="shared" si="8"/>
        <v>-76.999999999997954</v>
      </c>
      <c r="AB26" s="327">
        <f t="shared" si="9"/>
        <v>0.96150000000000102</v>
      </c>
      <c r="AC26" s="511"/>
    </row>
    <row r="27" spans="1:29" ht="15.75" customHeight="1">
      <c r="A27" s="538" t="s">
        <v>1763</v>
      </c>
      <c r="B27" s="62" t="s">
        <v>1754</v>
      </c>
      <c r="C27" s="513"/>
      <c r="D27" s="513"/>
      <c r="E27" s="328"/>
      <c r="F27" s="333"/>
      <c r="G27" s="326"/>
      <c r="H27" s="333"/>
      <c r="I27" s="72">
        <v>16.875</v>
      </c>
      <c r="J27" s="63">
        <v>1937.5</v>
      </c>
      <c r="K27" s="64">
        <f t="shared" si="1"/>
        <v>114.81481481481481</v>
      </c>
      <c r="L27" s="72">
        <v>16.875</v>
      </c>
      <c r="M27" s="65">
        <f>AVERAGE(M19:M26)</f>
        <v>1859.7851166934163</v>
      </c>
      <c r="N27" s="64">
        <f t="shared" si="3"/>
        <v>110.20948839664689</v>
      </c>
      <c r="O27" s="66">
        <f t="shared" si="4"/>
        <v>0</v>
      </c>
      <c r="P27" s="67">
        <f t="shared" si="5"/>
        <v>-4.6053264181679197</v>
      </c>
      <c r="Q27" s="327">
        <f t="shared" si="6"/>
        <v>0.95988909248692456</v>
      </c>
      <c r="R27" s="511"/>
      <c r="S27" s="68"/>
      <c r="T27" s="68"/>
      <c r="U27" s="64"/>
      <c r="V27" s="332"/>
      <c r="W27" s="64"/>
      <c r="X27" s="64"/>
      <c r="Y27" s="510"/>
      <c r="Z27" s="510"/>
      <c r="AA27" s="66">
        <f t="shared" si="8"/>
        <v>-77.714883306583715</v>
      </c>
      <c r="AB27" s="327">
        <f t="shared" si="9"/>
        <v>0.95988909248692456</v>
      </c>
      <c r="AC27" s="511"/>
    </row>
    <row r="28" spans="1:29" ht="15.75" customHeight="1">
      <c r="A28" s="536" t="s">
        <v>1764</v>
      </c>
      <c r="B28" s="62" t="s">
        <v>16</v>
      </c>
      <c r="C28" s="533" t="s">
        <v>30</v>
      </c>
      <c r="D28" s="533"/>
      <c r="E28" s="62">
        <v>31.29</v>
      </c>
      <c r="F28" s="333">
        <v>6789</v>
      </c>
      <c r="G28" s="326">
        <f t="shared" ref="G28:G32" si="23">E28*F28</f>
        <v>212427.81</v>
      </c>
      <c r="H28" s="90" t="s">
        <v>5</v>
      </c>
      <c r="I28" s="331">
        <v>18</v>
      </c>
      <c r="J28" s="63">
        <v>2400</v>
      </c>
      <c r="K28" s="64">
        <f t="shared" si="1"/>
        <v>133.33333333333334</v>
      </c>
      <c r="L28" s="331">
        <v>18</v>
      </c>
      <c r="M28" s="65">
        <f t="shared" ref="M28:M32" si="24">F28/V28*60</f>
        <v>2288.4269662921351</v>
      </c>
      <c r="N28" s="64">
        <f t="shared" si="3"/>
        <v>127.13483146067418</v>
      </c>
      <c r="O28" s="66">
        <f t="shared" si="4"/>
        <v>0</v>
      </c>
      <c r="P28" s="67">
        <f t="shared" si="5"/>
        <v>-6.1985018726591647</v>
      </c>
      <c r="Q28" s="327">
        <f t="shared" si="6"/>
        <v>0.95351123595505627</v>
      </c>
      <c r="R28" s="511">
        <f>Q33</f>
        <v>0.956131329815332</v>
      </c>
      <c r="S28" s="68">
        <v>8.3333333333333329E-2</v>
      </c>
      <c r="T28" s="68">
        <v>0.20694444444444443</v>
      </c>
      <c r="U28" s="326"/>
      <c r="V28" s="332">
        <f t="shared" ref="V28:V32" si="25">(T28-S28)*24*60</f>
        <v>177.99999999999997</v>
      </c>
      <c r="W28" s="69">
        <f>T28</f>
        <v>0.20694444444444443</v>
      </c>
      <c r="X28" s="69">
        <f>S29</f>
        <v>0.22708333333333333</v>
      </c>
      <c r="Y28" s="510"/>
      <c r="Z28" s="510"/>
      <c r="AA28" s="66">
        <f t="shared" si="8"/>
        <v>-111.57303370786485</v>
      </c>
      <c r="AB28" s="327">
        <f t="shared" si="9"/>
        <v>0.95351123595505627</v>
      </c>
      <c r="AC28" s="511">
        <f>AB33</f>
        <v>0.95613132981533189</v>
      </c>
    </row>
    <row r="29" spans="1:29" ht="15.75" customHeight="1">
      <c r="A29" s="536" t="s">
        <v>249</v>
      </c>
      <c r="B29" s="62" t="s">
        <v>16</v>
      </c>
      <c r="C29" s="533" t="s">
        <v>28</v>
      </c>
      <c r="D29" s="533"/>
      <c r="E29" s="62">
        <v>26.18</v>
      </c>
      <c r="F29" s="333">
        <v>2601</v>
      </c>
      <c r="G29" s="326">
        <f t="shared" si="23"/>
        <v>68094.179999999993</v>
      </c>
      <c r="H29" s="90" t="s">
        <v>5</v>
      </c>
      <c r="I29" s="331">
        <v>19</v>
      </c>
      <c r="J29" s="63">
        <v>2400</v>
      </c>
      <c r="K29" s="64">
        <f t="shared" si="1"/>
        <v>126.31578947368421</v>
      </c>
      <c r="L29" s="331">
        <v>19</v>
      </c>
      <c r="M29" s="65">
        <f t="shared" si="24"/>
        <v>2294.9999999999986</v>
      </c>
      <c r="N29" s="64">
        <f t="shared" si="3"/>
        <v>120.78947368421045</v>
      </c>
      <c r="O29" s="66">
        <f t="shared" si="4"/>
        <v>0</v>
      </c>
      <c r="P29" s="67">
        <f t="shared" si="5"/>
        <v>-5.526315789473756</v>
      </c>
      <c r="Q29" s="327">
        <f t="shared" si="6"/>
        <v>0.95624999999999938</v>
      </c>
      <c r="R29" s="511"/>
      <c r="S29" s="68">
        <v>0.22708333333333333</v>
      </c>
      <c r="T29" s="68">
        <v>0.27430555555555558</v>
      </c>
      <c r="U29" s="326">
        <f t="shared" ref="U29:U32" si="26">(S29-T28)*24*60</f>
        <v>29.000000000000018</v>
      </c>
      <c r="V29" s="332">
        <f t="shared" si="25"/>
        <v>68.000000000000043</v>
      </c>
      <c r="W29" s="69"/>
      <c r="X29" s="69"/>
      <c r="Y29" s="510"/>
      <c r="Z29" s="510"/>
      <c r="AA29" s="66">
        <f t="shared" si="8"/>
        <v>-105.00000000000136</v>
      </c>
      <c r="AB29" s="327">
        <f t="shared" si="9"/>
        <v>0.95624999999999938</v>
      </c>
      <c r="AC29" s="511"/>
    </row>
    <row r="30" spans="1:29" ht="15.75" customHeight="1">
      <c r="A30" s="536" t="s">
        <v>1765</v>
      </c>
      <c r="B30" s="62" t="s">
        <v>16</v>
      </c>
      <c r="C30" s="533" t="s">
        <v>25</v>
      </c>
      <c r="D30" s="533"/>
      <c r="E30" s="62">
        <v>26.2</v>
      </c>
      <c r="F30" s="333">
        <v>4184</v>
      </c>
      <c r="G30" s="326">
        <f t="shared" si="23"/>
        <v>109620.8</v>
      </c>
      <c r="H30" s="90" t="s">
        <v>5</v>
      </c>
      <c r="I30" s="331">
        <v>20</v>
      </c>
      <c r="J30" s="63">
        <v>2400</v>
      </c>
      <c r="K30" s="64">
        <f t="shared" si="1"/>
        <v>120</v>
      </c>
      <c r="L30" s="331">
        <v>20</v>
      </c>
      <c r="M30" s="65">
        <f t="shared" si="24"/>
        <v>2303.1192660550455</v>
      </c>
      <c r="N30" s="64">
        <f t="shared" si="3"/>
        <v>115.15596330275227</v>
      </c>
      <c r="O30" s="66">
        <f t="shared" si="4"/>
        <v>0</v>
      </c>
      <c r="P30" s="67">
        <f t="shared" si="5"/>
        <v>-4.8440366972477307</v>
      </c>
      <c r="Q30" s="327">
        <f t="shared" si="6"/>
        <v>0.95963302752293556</v>
      </c>
      <c r="R30" s="511"/>
      <c r="S30" s="68">
        <v>0.27847222222222223</v>
      </c>
      <c r="T30" s="68">
        <v>0.35416666666666669</v>
      </c>
      <c r="U30" s="326">
        <f t="shared" si="26"/>
        <v>5.9999999999999787</v>
      </c>
      <c r="V30" s="332">
        <f t="shared" si="25"/>
        <v>109.00000000000001</v>
      </c>
      <c r="W30" s="69"/>
      <c r="X30" s="69"/>
      <c r="Y30" s="510"/>
      <c r="Z30" s="510"/>
      <c r="AA30" s="66">
        <f t="shared" si="8"/>
        <v>-96.8807339449545</v>
      </c>
      <c r="AB30" s="327">
        <f t="shared" si="9"/>
        <v>0.95963302752293567</v>
      </c>
      <c r="AC30" s="511"/>
    </row>
    <row r="31" spans="1:29" ht="15.75" customHeight="1">
      <c r="A31" s="536" t="s">
        <v>1766</v>
      </c>
      <c r="B31" s="62" t="s">
        <v>16</v>
      </c>
      <c r="C31" s="533" t="s">
        <v>83</v>
      </c>
      <c r="D31" s="533"/>
      <c r="E31" s="62">
        <v>25.99</v>
      </c>
      <c r="F31" s="333">
        <v>4314</v>
      </c>
      <c r="G31" s="326">
        <f t="shared" si="23"/>
        <v>112120.85999999999</v>
      </c>
      <c r="H31" s="90" t="s">
        <v>5</v>
      </c>
      <c r="I31" s="331">
        <v>14</v>
      </c>
      <c r="J31" s="63">
        <v>2400</v>
      </c>
      <c r="K31" s="64">
        <f t="shared" si="1"/>
        <v>171.42857142857142</v>
      </c>
      <c r="L31" s="331">
        <v>14</v>
      </c>
      <c r="M31" s="65">
        <f t="shared" si="24"/>
        <v>2290.6194690265484</v>
      </c>
      <c r="N31" s="64">
        <f t="shared" si="3"/>
        <v>163.61567635903916</v>
      </c>
      <c r="O31" s="66">
        <f t="shared" si="4"/>
        <v>0</v>
      </c>
      <c r="P31" s="67">
        <f t="shared" si="5"/>
        <v>-7.8128950695322601</v>
      </c>
      <c r="Q31" s="327">
        <f t="shared" si="6"/>
        <v>0.9544247787610618</v>
      </c>
      <c r="R31" s="511"/>
      <c r="S31" s="68">
        <v>0.35902777777777778</v>
      </c>
      <c r="T31" s="68">
        <v>0.4375</v>
      </c>
      <c r="U31" s="326">
        <f t="shared" si="26"/>
        <v>6.9999999999999751</v>
      </c>
      <c r="V31" s="332">
        <f t="shared" si="25"/>
        <v>113</v>
      </c>
      <c r="W31" s="69"/>
      <c r="X31" s="69"/>
      <c r="Y31" s="510"/>
      <c r="Z31" s="510"/>
      <c r="AA31" s="66">
        <f t="shared" si="8"/>
        <v>-109.38053097345164</v>
      </c>
      <c r="AB31" s="327">
        <f t="shared" si="9"/>
        <v>0.9544247787610618</v>
      </c>
      <c r="AC31" s="511"/>
    </row>
    <row r="32" spans="1:29" ht="15.75" customHeight="1">
      <c r="A32" s="536" t="s">
        <v>1765</v>
      </c>
      <c r="B32" s="62" t="s">
        <v>16</v>
      </c>
      <c r="C32" s="533" t="s">
        <v>982</v>
      </c>
      <c r="D32" s="533"/>
      <c r="E32" s="62">
        <v>25.98</v>
      </c>
      <c r="F32" s="333">
        <v>4478</v>
      </c>
      <c r="G32" s="326">
        <f t="shared" si="23"/>
        <v>116338.44</v>
      </c>
      <c r="H32" s="90" t="s">
        <v>5</v>
      </c>
      <c r="I32" s="331">
        <v>21</v>
      </c>
      <c r="J32" s="63">
        <v>2400</v>
      </c>
      <c r="K32" s="64">
        <f t="shared" si="1"/>
        <v>114.28571428571429</v>
      </c>
      <c r="L32" s="331">
        <v>21</v>
      </c>
      <c r="M32" s="65">
        <f t="shared" si="24"/>
        <v>2296.4102564102554</v>
      </c>
      <c r="N32" s="64">
        <f t="shared" si="3"/>
        <v>109.35286935286931</v>
      </c>
      <c r="O32" s="66">
        <f t="shared" si="4"/>
        <v>0</v>
      </c>
      <c r="P32" s="67">
        <f t="shared" si="5"/>
        <v>-4.9328449328449864</v>
      </c>
      <c r="Q32" s="327">
        <f t="shared" si="6"/>
        <v>0.95683760683760632</v>
      </c>
      <c r="R32" s="511"/>
      <c r="S32" s="68">
        <v>0.44236111111111109</v>
      </c>
      <c r="T32" s="68">
        <v>0.52361111111111114</v>
      </c>
      <c r="U32" s="326">
        <f t="shared" si="26"/>
        <v>6.9999999999999751</v>
      </c>
      <c r="V32" s="332">
        <f t="shared" si="25"/>
        <v>117.00000000000006</v>
      </c>
      <c r="W32" s="69"/>
      <c r="X32" s="69"/>
      <c r="Y32" s="510"/>
      <c r="Z32" s="510"/>
      <c r="AA32" s="66">
        <f t="shared" si="8"/>
        <v>-103.58974358974456</v>
      </c>
      <c r="AB32" s="327">
        <f t="shared" si="9"/>
        <v>0.95683760683760644</v>
      </c>
      <c r="AC32" s="511"/>
    </row>
    <row r="33" spans="1:29" ht="15.75" customHeight="1">
      <c r="A33" s="536" t="s">
        <v>1767</v>
      </c>
      <c r="B33" s="62" t="s">
        <v>79</v>
      </c>
      <c r="C33" s="513"/>
      <c r="D33" s="513"/>
      <c r="E33" s="328"/>
      <c r="F33" s="333"/>
      <c r="G33" s="326"/>
      <c r="H33" s="333"/>
      <c r="I33" s="72">
        <v>18.399999999999999</v>
      </c>
      <c r="J33" s="63">
        <v>2400</v>
      </c>
      <c r="K33" s="64">
        <f t="shared" si="1"/>
        <v>130.43478260869566</v>
      </c>
      <c r="L33" s="72">
        <v>18.399999999999999</v>
      </c>
      <c r="M33" s="65">
        <f>AVERAGE(M28:M32)</f>
        <v>2294.7151915567965</v>
      </c>
      <c r="N33" s="64">
        <f t="shared" si="3"/>
        <v>124.71278214982591</v>
      </c>
      <c r="O33" s="66">
        <f t="shared" si="4"/>
        <v>0</v>
      </c>
      <c r="P33" s="67">
        <f t="shared" si="5"/>
        <v>-5.7220004588697435</v>
      </c>
      <c r="Q33" s="327">
        <f t="shared" si="6"/>
        <v>0.956131329815332</v>
      </c>
      <c r="R33" s="511"/>
      <c r="S33" s="68"/>
      <c r="T33" s="68"/>
      <c r="U33" s="326"/>
      <c r="V33" s="332"/>
      <c r="W33" s="326"/>
      <c r="X33" s="326"/>
      <c r="Y33" s="510"/>
      <c r="Z33" s="510"/>
      <c r="AA33" s="66">
        <f t="shared" si="8"/>
        <v>-105.28480844320347</v>
      </c>
      <c r="AB33" s="327">
        <f t="shared" si="9"/>
        <v>0.95613132981533189</v>
      </c>
      <c r="AC33" s="511"/>
    </row>
    <row r="34" spans="1:29" ht="15.75" customHeight="1">
      <c r="A34" s="531" t="s">
        <v>250</v>
      </c>
      <c r="B34" s="62" t="s">
        <v>16</v>
      </c>
      <c r="C34" s="512" t="s">
        <v>31</v>
      </c>
      <c r="D34" s="512"/>
      <c r="E34" s="62">
        <v>26.2</v>
      </c>
      <c r="F34" s="333">
        <v>5135</v>
      </c>
      <c r="G34" s="326">
        <f t="shared" ref="G34:G38" si="27">E34*F34</f>
        <v>134537</v>
      </c>
      <c r="H34" s="90" t="s">
        <v>5</v>
      </c>
      <c r="I34" s="331">
        <v>18</v>
      </c>
      <c r="J34" s="63">
        <v>2400</v>
      </c>
      <c r="K34" s="64">
        <f t="shared" si="1"/>
        <v>133.33333333333334</v>
      </c>
      <c r="L34" s="331">
        <v>18</v>
      </c>
      <c r="M34" s="65">
        <f t="shared" ref="M34:M38" si="28">F34/V34*60</f>
        <v>2299.253731343284</v>
      </c>
      <c r="N34" s="64">
        <f t="shared" si="3"/>
        <v>127.73631840796023</v>
      </c>
      <c r="O34" s="66">
        <f t="shared" si="4"/>
        <v>0</v>
      </c>
      <c r="P34" s="67">
        <f t="shared" si="5"/>
        <v>-5.5970149253731165</v>
      </c>
      <c r="Q34" s="327">
        <f t="shared" si="6"/>
        <v>0.95802238805970164</v>
      </c>
      <c r="R34" s="511">
        <f>Q39</f>
        <v>0.95423818788718917</v>
      </c>
      <c r="S34" s="68">
        <v>8.3333333333333329E-2</v>
      </c>
      <c r="T34" s="68">
        <v>0.17638888888888887</v>
      </c>
      <c r="U34" s="326"/>
      <c r="V34" s="332">
        <f t="shared" ref="V34:V38" si="29">(T34-S34)*24*60</f>
        <v>133.99999999999997</v>
      </c>
      <c r="W34" s="73">
        <f>T34</f>
        <v>0.17638888888888887</v>
      </c>
      <c r="X34" s="73">
        <f>S35</f>
        <v>0.19652777777777777</v>
      </c>
      <c r="Y34" s="510"/>
      <c r="Z34" s="510"/>
      <c r="AA34" s="66">
        <f t="shared" si="8"/>
        <v>-100.74626865671598</v>
      </c>
      <c r="AB34" s="327">
        <f t="shared" si="9"/>
        <v>0.95802238805970164</v>
      </c>
      <c r="AC34" s="511">
        <f>AB39</f>
        <v>0.95423818788718928</v>
      </c>
    </row>
    <row r="35" spans="1:29" ht="15.75" customHeight="1">
      <c r="A35" s="531" t="s">
        <v>1768</v>
      </c>
      <c r="B35" s="62" t="s">
        <v>16</v>
      </c>
      <c r="C35" s="512" t="s">
        <v>32</v>
      </c>
      <c r="D35" s="512"/>
      <c r="E35" s="62">
        <v>26.39</v>
      </c>
      <c r="F35" s="333">
        <v>4887</v>
      </c>
      <c r="G35" s="326">
        <f t="shared" si="27"/>
        <v>128967.93000000001</v>
      </c>
      <c r="H35" s="90" t="s">
        <v>5</v>
      </c>
      <c r="I35" s="331">
        <v>19</v>
      </c>
      <c r="J35" s="63">
        <v>2400</v>
      </c>
      <c r="K35" s="64">
        <f t="shared" si="1"/>
        <v>126.31578947368421</v>
      </c>
      <c r="L35" s="331">
        <v>19</v>
      </c>
      <c r="M35" s="65">
        <f t="shared" si="28"/>
        <v>2290.7812500000005</v>
      </c>
      <c r="N35" s="64">
        <f t="shared" si="3"/>
        <v>120.56743421052634</v>
      </c>
      <c r="O35" s="66">
        <f t="shared" si="4"/>
        <v>0</v>
      </c>
      <c r="P35" s="67">
        <f t="shared" si="5"/>
        <v>-5.7483552631578618</v>
      </c>
      <c r="Q35" s="327">
        <f t="shared" si="6"/>
        <v>0.95449218750000031</v>
      </c>
      <c r="R35" s="511"/>
      <c r="S35" s="68">
        <v>0.19652777777777777</v>
      </c>
      <c r="T35" s="68">
        <v>0.28541666666666665</v>
      </c>
      <c r="U35" s="326">
        <f t="shared" ref="U35:U38" si="30">(S35-T34)*24*60</f>
        <v>29.000000000000018</v>
      </c>
      <c r="V35" s="332">
        <f t="shared" si="29"/>
        <v>127.99999999999997</v>
      </c>
      <c r="W35" s="326"/>
      <c r="X35" s="326"/>
      <c r="Y35" s="510"/>
      <c r="Z35" s="510"/>
      <c r="AA35" s="66">
        <f t="shared" si="8"/>
        <v>-109.21874999999955</v>
      </c>
      <c r="AB35" s="327">
        <f t="shared" si="9"/>
        <v>0.9544921875000002</v>
      </c>
      <c r="AC35" s="511"/>
    </row>
    <row r="36" spans="1:29">
      <c r="A36" s="532" t="s">
        <v>1769</v>
      </c>
      <c r="B36" s="62" t="s">
        <v>16</v>
      </c>
      <c r="C36" s="512" t="s">
        <v>50</v>
      </c>
      <c r="D36" s="512"/>
      <c r="E36" s="62">
        <v>20.52</v>
      </c>
      <c r="F36" s="333">
        <v>3560</v>
      </c>
      <c r="G36" s="326">
        <f t="shared" si="27"/>
        <v>73051.199999999997</v>
      </c>
      <c r="H36" s="90" t="s">
        <v>5</v>
      </c>
      <c r="I36" s="331">
        <v>18</v>
      </c>
      <c r="J36" s="63">
        <v>2400</v>
      </c>
      <c r="K36" s="64">
        <f t="shared" si="1"/>
        <v>133.33333333333334</v>
      </c>
      <c r="L36" s="331">
        <v>18</v>
      </c>
      <c r="M36" s="65">
        <f t="shared" si="28"/>
        <v>2296.7741935483878</v>
      </c>
      <c r="N36" s="64">
        <f t="shared" si="3"/>
        <v>127.59856630824376</v>
      </c>
      <c r="O36" s="66">
        <f t="shared" si="4"/>
        <v>0</v>
      </c>
      <c r="P36" s="67">
        <f t="shared" si="5"/>
        <v>-5.7347670250895817</v>
      </c>
      <c r="Q36" s="327">
        <f t="shared" si="6"/>
        <v>0.95698924731182811</v>
      </c>
      <c r="R36" s="511"/>
      <c r="S36" s="68">
        <v>0.29097222222222219</v>
      </c>
      <c r="T36" s="68">
        <v>0.35555555555555551</v>
      </c>
      <c r="U36" s="326">
        <f t="shared" si="30"/>
        <v>7.9999999999999716</v>
      </c>
      <c r="V36" s="332">
        <f t="shared" si="29"/>
        <v>92.999999999999986</v>
      </c>
      <c r="W36" s="326"/>
      <c r="X36" s="326"/>
      <c r="Y36" s="510"/>
      <c r="Z36" s="510"/>
      <c r="AA36" s="66">
        <f t="shared" si="8"/>
        <v>-103.22580645161224</v>
      </c>
      <c r="AB36" s="327">
        <f t="shared" si="9"/>
        <v>0.95698924731182822</v>
      </c>
      <c r="AC36" s="511"/>
    </row>
    <row r="37" spans="1:29">
      <c r="A37" s="532" t="s">
        <v>1769</v>
      </c>
      <c r="B37" s="62" t="s">
        <v>16</v>
      </c>
      <c r="C37" s="512" t="s">
        <v>18</v>
      </c>
      <c r="D37" s="512"/>
      <c r="E37" s="62">
        <v>22.35</v>
      </c>
      <c r="F37" s="333">
        <v>1558</v>
      </c>
      <c r="G37" s="326">
        <f t="shared" si="27"/>
        <v>34821.300000000003</v>
      </c>
      <c r="H37" s="90" t="s">
        <v>5</v>
      </c>
      <c r="I37" s="331">
        <v>16</v>
      </c>
      <c r="J37" s="63">
        <v>2400</v>
      </c>
      <c r="K37" s="64">
        <f t="shared" si="1"/>
        <v>150</v>
      </c>
      <c r="L37" s="331">
        <v>16</v>
      </c>
      <c r="M37" s="65">
        <f t="shared" si="28"/>
        <v>2279.9999999999991</v>
      </c>
      <c r="N37" s="64">
        <f t="shared" si="3"/>
        <v>142.49999999999994</v>
      </c>
      <c r="O37" s="66">
        <f t="shared" si="4"/>
        <v>0</v>
      </c>
      <c r="P37" s="67">
        <f t="shared" si="5"/>
        <v>-7.5000000000000568</v>
      </c>
      <c r="Q37" s="327">
        <f t="shared" si="6"/>
        <v>0.94999999999999962</v>
      </c>
      <c r="R37" s="511"/>
      <c r="S37" s="68">
        <v>0.36111111111111105</v>
      </c>
      <c r="T37" s="68">
        <v>0.38958333333333328</v>
      </c>
      <c r="U37" s="326">
        <f t="shared" si="30"/>
        <v>7.9999999999999716</v>
      </c>
      <c r="V37" s="332">
        <f t="shared" si="29"/>
        <v>41.000000000000014</v>
      </c>
      <c r="W37" s="69"/>
      <c r="X37" s="69"/>
      <c r="Y37" s="510"/>
      <c r="Z37" s="510"/>
      <c r="AA37" s="66">
        <f t="shared" si="8"/>
        <v>-120.00000000000091</v>
      </c>
      <c r="AB37" s="327">
        <f t="shared" si="9"/>
        <v>0.94999999999999962</v>
      </c>
      <c r="AC37" s="511"/>
    </row>
    <row r="38" spans="1:29">
      <c r="A38" s="532" t="s">
        <v>250</v>
      </c>
      <c r="B38" s="62" t="s">
        <v>16</v>
      </c>
      <c r="C38" s="512" t="s">
        <v>33</v>
      </c>
      <c r="D38" s="512"/>
      <c r="E38" s="62">
        <v>24.43</v>
      </c>
      <c r="F38" s="333">
        <v>6205</v>
      </c>
      <c r="G38" s="326">
        <f t="shared" si="27"/>
        <v>151588.15</v>
      </c>
      <c r="H38" s="90" t="s">
        <v>5</v>
      </c>
      <c r="I38" s="331">
        <v>14</v>
      </c>
      <c r="J38" s="63">
        <v>2400</v>
      </c>
      <c r="K38" s="64">
        <f t="shared" si="1"/>
        <v>171.42857142857142</v>
      </c>
      <c r="L38" s="331">
        <v>14</v>
      </c>
      <c r="M38" s="65">
        <f t="shared" si="28"/>
        <v>2284.0490797546004</v>
      </c>
      <c r="N38" s="64">
        <f t="shared" si="3"/>
        <v>163.14636283961431</v>
      </c>
      <c r="O38" s="66">
        <f t="shared" si="4"/>
        <v>0</v>
      </c>
      <c r="P38" s="67">
        <f t="shared" si="5"/>
        <v>-8.2822085889571042</v>
      </c>
      <c r="Q38" s="327">
        <f t="shared" si="6"/>
        <v>0.95168711656441685</v>
      </c>
      <c r="R38" s="511"/>
      <c r="S38" s="68">
        <v>0.39305555555555549</v>
      </c>
      <c r="T38" s="68">
        <v>0.50624999999999998</v>
      </c>
      <c r="U38" s="326">
        <f t="shared" si="30"/>
        <v>4.9999999999999822</v>
      </c>
      <c r="V38" s="332">
        <f t="shared" si="29"/>
        <v>163.00000000000006</v>
      </c>
      <c r="W38" s="69"/>
      <c r="X38" s="69"/>
      <c r="Y38" s="510"/>
      <c r="Z38" s="510"/>
      <c r="AA38" s="66">
        <f t="shared" si="8"/>
        <v>-115.95092024539963</v>
      </c>
      <c r="AB38" s="327">
        <f t="shared" si="9"/>
        <v>0.95168711656441685</v>
      </c>
      <c r="AC38" s="511"/>
    </row>
    <row r="39" spans="1:29">
      <c r="A39" s="532" t="s">
        <v>1769</v>
      </c>
      <c r="B39" s="71" t="s">
        <v>79</v>
      </c>
      <c r="C39" s="513"/>
      <c r="D39" s="513"/>
      <c r="E39" s="328"/>
      <c r="F39" s="71"/>
      <c r="G39" s="64"/>
      <c r="H39" s="333"/>
      <c r="I39" s="72">
        <v>17</v>
      </c>
      <c r="J39" s="63">
        <v>2400</v>
      </c>
      <c r="K39" s="64">
        <f t="shared" si="1"/>
        <v>141.1764705882353</v>
      </c>
      <c r="L39" s="72">
        <v>17</v>
      </c>
      <c r="M39" s="65">
        <f>AVERAGE(M34:M38)</f>
        <v>2290.1716509292542</v>
      </c>
      <c r="N39" s="64">
        <f t="shared" si="3"/>
        <v>134.71597946642672</v>
      </c>
      <c r="O39" s="66">
        <f t="shared" si="4"/>
        <v>0</v>
      </c>
      <c r="P39" s="67">
        <f t="shared" si="5"/>
        <v>-6.4604911218085874</v>
      </c>
      <c r="Q39" s="327">
        <f t="shared" si="6"/>
        <v>0.95423818788718917</v>
      </c>
      <c r="R39" s="511"/>
      <c r="S39" s="68"/>
      <c r="T39" s="68"/>
      <c r="U39" s="64"/>
      <c r="V39" s="332"/>
      <c r="W39" s="64"/>
      <c r="X39" s="64"/>
      <c r="Y39" s="510"/>
      <c r="Z39" s="510"/>
      <c r="AA39" s="66">
        <f t="shared" si="8"/>
        <v>-109.82834907074584</v>
      </c>
      <c r="AB39" s="327">
        <f t="shared" si="9"/>
        <v>0.95423818788718928</v>
      </c>
      <c r="AC39" s="511"/>
    </row>
    <row r="40" spans="1:29" ht="15.75" customHeight="1">
      <c r="A40" s="525" t="s">
        <v>1770</v>
      </c>
      <c r="B40" s="62" t="s">
        <v>35</v>
      </c>
      <c r="C40" s="521" t="s">
        <v>36</v>
      </c>
      <c r="D40" s="522"/>
      <c r="E40" s="62">
        <v>21.13</v>
      </c>
      <c r="F40" s="333">
        <v>4517</v>
      </c>
      <c r="G40" s="326">
        <f t="shared" ref="G40:G46" si="31">E40*F40</f>
        <v>95444.209999999992</v>
      </c>
      <c r="H40" s="90" t="s">
        <v>5</v>
      </c>
      <c r="I40" s="331">
        <v>10</v>
      </c>
      <c r="J40" s="63">
        <v>3000</v>
      </c>
      <c r="K40" s="64">
        <f t="shared" si="1"/>
        <v>300</v>
      </c>
      <c r="L40" s="331">
        <v>10</v>
      </c>
      <c r="M40" s="65">
        <f t="shared" ref="M40:M46" si="32">F40/V40*60</f>
        <v>2852.8421052631575</v>
      </c>
      <c r="N40" s="65">
        <f t="shared" si="3"/>
        <v>285.28421052631575</v>
      </c>
      <c r="O40" s="66">
        <f t="shared" si="4"/>
        <v>0</v>
      </c>
      <c r="P40" s="67">
        <f t="shared" si="5"/>
        <v>-14.715789473684254</v>
      </c>
      <c r="Q40" s="327">
        <f t="shared" si="6"/>
        <v>0.95094736842105254</v>
      </c>
      <c r="R40" s="528">
        <f>Q47</f>
        <v>0.95633120931239468</v>
      </c>
      <c r="S40" s="68">
        <v>8.3333333333333329E-2</v>
      </c>
      <c r="T40" s="68">
        <v>0.14930555555555555</v>
      </c>
      <c r="U40" s="73"/>
      <c r="V40" s="332">
        <f t="shared" ref="V40:V46" si="33">(T40-S40)*24*60</f>
        <v>95.000000000000014</v>
      </c>
      <c r="W40" s="69">
        <f>T40</f>
        <v>0.14930555555555555</v>
      </c>
      <c r="X40" s="69">
        <f>S41</f>
        <v>0.1673611111111111</v>
      </c>
      <c r="Y40" s="517"/>
      <c r="Z40" s="518"/>
      <c r="AA40" s="66">
        <f t="shared" si="8"/>
        <v>-147.15789473684254</v>
      </c>
      <c r="AB40" s="327">
        <f t="shared" si="9"/>
        <v>0.95094736842105254</v>
      </c>
      <c r="AC40" s="528">
        <f>AB47</f>
        <v>0.95633120931239468</v>
      </c>
    </row>
    <row r="41" spans="1:29" ht="15.75" customHeight="1">
      <c r="A41" s="526" t="s">
        <v>1771</v>
      </c>
      <c r="B41" s="62" t="s">
        <v>35</v>
      </c>
      <c r="C41" s="521" t="s">
        <v>37</v>
      </c>
      <c r="D41" s="522"/>
      <c r="E41" s="62">
        <v>27.17</v>
      </c>
      <c r="F41" s="333">
        <v>5657</v>
      </c>
      <c r="G41" s="326">
        <f t="shared" si="31"/>
        <v>153700.69</v>
      </c>
      <c r="H41" s="90" t="s">
        <v>5</v>
      </c>
      <c r="I41" s="331">
        <v>10</v>
      </c>
      <c r="J41" s="63">
        <v>3000</v>
      </c>
      <c r="K41" s="64">
        <f t="shared" si="1"/>
        <v>300</v>
      </c>
      <c r="L41" s="331">
        <v>10</v>
      </c>
      <c r="M41" s="65">
        <f t="shared" si="32"/>
        <v>2876.4406779661012</v>
      </c>
      <c r="N41" s="65">
        <f t="shared" si="3"/>
        <v>287.6440677966101</v>
      </c>
      <c r="O41" s="66">
        <f t="shared" si="4"/>
        <v>0</v>
      </c>
      <c r="P41" s="67">
        <f t="shared" si="5"/>
        <v>-12.355932203389898</v>
      </c>
      <c r="Q41" s="327">
        <f t="shared" si="6"/>
        <v>0.95881355932203371</v>
      </c>
      <c r="R41" s="529"/>
      <c r="S41" s="68">
        <v>0.1673611111111111</v>
      </c>
      <c r="T41" s="68">
        <v>0.24930555555555556</v>
      </c>
      <c r="U41" s="326">
        <f t="shared" ref="U41:U46" si="34">(S41-T40)*24*60</f>
        <v>25.999999999999986</v>
      </c>
      <c r="V41" s="332">
        <f t="shared" si="33"/>
        <v>118.00000000000001</v>
      </c>
      <c r="W41" s="69"/>
      <c r="X41" s="69"/>
      <c r="Y41" s="517"/>
      <c r="Z41" s="518"/>
      <c r="AA41" s="66">
        <f t="shared" si="8"/>
        <v>-123.55932203389875</v>
      </c>
      <c r="AB41" s="327">
        <f t="shared" si="9"/>
        <v>0.95881355932203371</v>
      </c>
      <c r="AC41" s="529"/>
    </row>
    <row r="42" spans="1:29" ht="15.75" customHeight="1">
      <c r="A42" s="526" t="s">
        <v>1772</v>
      </c>
      <c r="B42" s="62" t="s">
        <v>35</v>
      </c>
      <c r="C42" s="521" t="s">
        <v>38</v>
      </c>
      <c r="D42" s="522"/>
      <c r="E42" s="62">
        <v>35.119999999999997</v>
      </c>
      <c r="F42" s="333">
        <v>3932</v>
      </c>
      <c r="G42" s="326">
        <f t="shared" si="31"/>
        <v>138091.84</v>
      </c>
      <c r="H42" s="90" t="s">
        <v>5</v>
      </c>
      <c r="I42" s="331">
        <v>10</v>
      </c>
      <c r="J42" s="63">
        <v>3000</v>
      </c>
      <c r="K42" s="64">
        <f t="shared" si="1"/>
        <v>300</v>
      </c>
      <c r="L42" s="331">
        <v>10</v>
      </c>
      <c r="M42" s="65">
        <f t="shared" si="32"/>
        <v>2877.0731707317063</v>
      </c>
      <c r="N42" s="65">
        <f t="shared" si="3"/>
        <v>287.70731707317066</v>
      </c>
      <c r="O42" s="66">
        <f t="shared" si="4"/>
        <v>0</v>
      </c>
      <c r="P42" s="67">
        <f t="shared" si="5"/>
        <v>-12.292682926829343</v>
      </c>
      <c r="Q42" s="327">
        <f t="shared" si="6"/>
        <v>0.95902439024390218</v>
      </c>
      <c r="R42" s="529"/>
      <c r="S42" s="68">
        <v>0.25277777777777777</v>
      </c>
      <c r="T42" s="68">
        <v>0.30972222222222223</v>
      </c>
      <c r="U42" s="326">
        <f t="shared" si="34"/>
        <v>4.9999999999999822</v>
      </c>
      <c r="V42" s="332">
        <f t="shared" si="33"/>
        <v>82.000000000000028</v>
      </c>
      <c r="W42" s="69"/>
      <c r="X42" s="69"/>
      <c r="Y42" s="517"/>
      <c r="Z42" s="518"/>
      <c r="AA42" s="66">
        <f t="shared" si="8"/>
        <v>-122.92682926829366</v>
      </c>
      <c r="AB42" s="327">
        <f t="shared" si="9"/>
        <v>0.95902439024390207</v>
      </c>
      <c r="AC42" s="529"/>
    </row>
    <row r="43" spans="1:29" ht="15.75" customHeight="1">
      <c r="A43" s="526" t="s">
        <v>1773</v>
      </c>
      <c r="B43" s="62" t="s">
        <v>35</v>
      </c>
      <c r="C43" s="521" t="s">
        <v>39</v>
      </c>
      <c r="D43" s="522"/>
      <c r="E43" s="62">
        <v>35.869999999999997</v>
      </c>
      <c r="F43" s="333">
        <v>2603</v>
      </c>
      <c r="G43" s="326">
        <f t="shared" si="31"/>
        <v>93369.61</v>
      </c>
      <c r="H43" s="90" t="s">
        <v>5</v>
      </c>
      <c r="I43" s="331">
        <v>9</v>
      </c>
      <c r="J43" s="63">
        <v>3000</v>
      </c>
      <c r="K43" s="64">
        <f t="shared" si="1"/>
        <v>333.33333333333331</v>
      </c>
      <c r="L43" s="331">
        <v>9</v>
      </c>
      <c r="M43" s="65">
        <f t="shared" si="32"/>
        <v>2892.222222222224</v>
      </c>
      <c r="N43" s="65">
        <f t="shared" si="3"/>
        <v>321.3580246913582</v>
      </c>
      <c r="O43" s="66">
        <f t="shared" si="4"/>
        <v>0</v>
      </c>
      <c r="P43" s="67">
        <f t="shared" si="5"/>
        <v>-11.975308641975118</v>
      </c>
      <c r="Q43" s="327">
        <f t="shared" si="6"/>
        <v>0.96407407407407464</v>
      </c>
      <c r="R43" s="529"/>
      <c r="S43" s="68">
        <v>0.31388888888888888</v>
      </c>
      <c r="T43" s="68">
        <v>0.35138888888888886</v>
      </c>
      <c r="U43" s="326">
        <f t="shared" si="34"/>
        <v>5.9999999999999787</v>
      </c>
      <c r="V43" s="332">
        <f t="shared" si="33"/>
        <v>53.999999999999972</v>
      </c>
      <c r="W43" s="69"/>
      <c r="X43" s="69"/>
      <c r="Y43" s="517"/>
      <c r="Z43" s="518"/>
      <c r="AA43" s="66">
        <f t="shared" si="8"/>
        <v>-107.77777777777601</v>
      </c>
      <c r="AB43" s="327">
        <f t="shared" si="9"/>
        <v>0.96407407407407464</v>
      </c>
      <c r="AC43" s="529"/>
    </row>
    <row r="44" spans="1:29" ht="15.75" customHeight="1">
      <c r="A44" s="526" t="s">
        <v>1774</v>
      </c>
      <c r="B44" s="62" t="s">
        <v>35</v>
      </c>
      <c r="C44" s="521" t="s">
        <v>40</v>
      </c>
      <c r="D44" s="522"/>
      <c r="E44" s="62">
        <v>36.14</v>
      </c>
      <c r="F44" s="333">
        <v>1236</v>
      </c>
      <c r="G44" s="326">
        <f t="shared" si="31"/>
        <v>44669.04</v>
      </c>
      <c r="H44" s="90" t="s">
        <v>5</v>
      </c>
      <c r="I44" s="331">
        <v>9</v>
      </c>
      <c r="J44" s="63">
        <v>3000</v>
      </c>
      <c r="K44" s="64">
        <f t="shared" si="1"/>
        <v>333.33333333333331</v>
      </c>
      <c r="L44" s="331">
        <v>9</v>
      </c>
      <c r="M44" s="65">
        <f t="shared" si="32"/>
        <v>2852.3076923076937</v>
      </c>
      <c r="N44" s="65">
        <f t="shared" si="3"/>
        <v>316.92307692307708</v>
      </c>
      <c r="O44" s="66">
        <f t="shared" si="4"/>
        <v>0</v>
      </c>
      <c r="P44" s="67">
        <f t="shared" si="5"/>
        <v>-16.410256410256238</v>
      </c>
      <c r="Q44" s="327">
        <f t="shared" si="6"/>
        <v>0.95076923076923125</v>
      </c>
      <c r="R44" s="529"/>
      <c r="S44" s="68">
        <v>0.3569444444444444</v>
      </c>
      <c r="T44" s="68">
        <v>0.37499999999999994</v>
      </c>
      <c r="U44" s="326">
        <f t="shared" si="34"/>
        <v>7.9999999999999716</v>
      </c>
      <c r="V44" s="332">
        <f t="shared" si="33"/>
        <v>25.999999999999986</v>
      </c>
      <c r="W44" s="69"/>
      <c r="X44" s="69"/>
      <c r="Y44" s="517"/>
      <c r="Z44" s="518"/>
      <c r="AA44" s="66">
        <f t="shared" si="8"/>
        <v>-147.69230769230626</v>
      </c>
      <c r="AB44" s="327">
        <f t="shared" si="9"/>
        <v>0.95076923076923125</v>
      </c>
      <c r="AC44" s="529"/>
    </row>
    <row r="45" spans="1:29" ht="15.75" customHeight="1">
      <c r="A45" s="526" t="s">
        <v>1770</v>
      </c>
      <c r="B45" s="62" t="s">
        <v>35</v>
      </c>
      <c r="C45" s="521" t="s">
        <v>74</v>
      </c>
      <c r="D45" s="522"/>
      <c r="E45" s="62">
        <v>34.36</v>
      </c>
      <c r="F45" s="333">
        <v>2154</v>
      </c>
      <c r="G45" s="326">
        <f t="shared" si="31"/>
        <v>74011.44</v>
      </c>
      <c r="H45" s="90" t="s">
        <v>5</v>
      </c>
      <c r="I45" s="331">
        <v>10</v>
      </c>
      <c r="J45" s="63">
        <v>3000</v>
      </c>
      <c r="K45" s="64">
        <f t="shared" si="1"/>
        <v>300</v>
      </c>
      <c r="L45" s="331">
        <v>10</v>
      </c>
      <c r="M45" s="65">
        <f t="shared" si="32"/>
        <v>2872</v>
      </c>
      <c r="N45" s="65">
        <f t="shared" si="3"/>
        <v>287.2</v>
      </c>
      <c r="O45" s="66">
        <f t="shared" si="4"/>
        <v>0</v>
      </c>
      <c r="P45" s="67">
        <f t="shared" si="5"/>
        <v>-12.800000000000011</v>
      </c>
      <c r="Q45" s="327">
        <f t="shared" si="6"/>
        <v>0.95733333333333326</v>
      </c>
      <c r="R45" s="529"/>
      <c r="S45" s="68">
        <v>0.38055555555555548</v>
      </c>
      <c r="T45" s="68">
        <v>0.41180555555555548</v>
      </c>
      <c r="U45" s="326">
        <f t="shared" si="34"/>
        <v>7.9999999999999716</v>
      </c>
      <c r="V45" s="332">
        <f t="shared" si="33"/>
        <v>45</v>
      </c>
      <c r="W45" s="69"/>
      <c r="X45" s="69"/>
      <c r="Y45" s="517"/>
      <c r="Z45" s="518"/>
      <c r="AA45" s="66">
        <f t="shared" si="8"/>
        <v>-128</v>
      </c>
      <c r="AB45" s="327">
        <f t="shared" si="9"/>
        <v>0.95733333333333337</v>
      </c>
      <c r="AC45" s="529"/>
    </row>
    <row r="46" spans="1:29" ht="15.75" customHeight="1">
      <c r="A46" s="526" t="s">
        <v>1774</v>
      </c>
      <c r="B46" s="62" t="s">
        <v>35</v>
      </c>
      <c r="C46" s="521" t="s">
        <v>84</v>
      </c>
      <c r="D46" s="522"/>
      <c r="E46" s="62">
        <v>31</v>
      </c>
      <c r="F46" s="333">
        <v>3395</v>
      </c>
      <c r="G46" s="326">
        <f t="shared" si="31"/>
        <v>105245</v>
      </c>
      <c r="H46" s="90" t="s">
        <v>5</v>
      </c>
      <c r="I46" s="331">
        <v>13</v>
      </c>
      <c r="J46" s="63">
        <v>2000</v>
      </c>
      <c r="K46" s="64">
        <f t="shared" si="1"/>
        <v>153.84615384615384</v>
      </c>
      <c r="L46" s="331">
        <v>13</v>
      </c>
      <c r="M46" s="65">
        <f t="shared" si="32"/>
        <v>1903.7383177570091</v>
      </c>
      <c r="N46" s="65">
        <f t="shared" si="3"/>
        <v>146.44140905823147</v>
      </c>
      <c r="O46" s="66">
        <f t="shared" si="4"/>
        <v>0</v>
      </c>
      <c r="P46" s="67">
        <f t="shared" si="5"/>
        <v>-7.4047447879223682</v>
      </c>
      <c r="Q46" s="327">
        <f t="shared" si="6"/>
        <v>0.95186915887850465</v>
      </c>
      <c r="R46" s="529"/>
      <c r="S46" s="68">
        <v>0.41527777777777769</v>
      </c>
      <c r="T46" s="68">
        <v>0.48958333333333326</v>
      </c>
      <c r="U46" s="326">
        <f t="shared" si="34"/>
        <v>4.9999999999999822</v>
      </c>
      <c r="V46" s="332">
        <f t="shared" si="33"/>
        <v>107.00000000000001</v>
      </c>
      <c r="W46" s="69"/>
      <c r="X46" s="69"/>
      <c r="Y46" s="517"/>
      <c r="Z46" s="518"/>
      <c r="AA46" s="66">
        <f t="shared" si="8"/>
        <v>-96.261682242990901</v>
      </c>
      <c r="AB46" s="327">
        <f t="shared" si="9"/>
        <v>0.95186915887850454</v>
      </c>
      <c r="AC46" s="529"/>
    </row>
    <row r="47" spans="1:29" ht="15.75" customHeight="1">
      <c r="A47" s="527" t="s">
        <v>1775</v>
      </c>
      <c r="B47" s="62" t="s">
        <v>79</v>
      </c>
      <c r="C47" s="508"/>
      <c r="D47" s="509"/>
      <c r="E47" s="325"/>
      <c r="F47" s="333"/>
      <c r="G47" s="326"/>
      <c r="H47" s="333"/>
      <c r="I47" s="72">
        <v>10.142857142857142</v>
      </c>
      <c r="J47" s="63">
        <v>2857.1428571428573</v>
      </c>
      <c r="K47" s="64">
        <f t="shared" si="1"/>
        <v>281.69014084507046</v>
      </c>
      <c r="L47" s="72">
        <v>10.142857142857142</v>
      </c>
      <c r="M47" s="65">
        <f>AVERAGE(M40:M46)</f>
        <v>2732.3748837496992</v>
      </c>
      <c r="N47" s="64">
        <f t="shared" si="3"/>
        <v>269.38907304574502</v>
      </c>
      <c r="O47" s="66">
        <f t="shared" si="4"/>
        <v>0</v>
      </c>
      <c r="P47" s="67">
        <f t="shared" si="5"/>
        <v>-12.301067799325438</v>
      </c>
      <c r="Q47" s="327">
        <f t="shared" si="6"/>
        <v>0.95633120931239468</v>
      </c>
      <c r="R47" s="530"/>
      <c r="S47" s="68"/>
      <c r="T47" s="68"/>
      <c r="U47" s="326"/>
      <c r="V47" s="332"/>
      <c r="W47" s="69"/>
      <c r="X47" s="69"/>
      <c r="Y47" s="517"/>
      <c r="Z47" s="518"/>
      <c r="AA47" s="66">
        <f t="shared" si="8"/>
        <v>-124.76797339315817</v>
      </c>
      <c r="AB47" s="327">
        <f t="shared" si="9"/>
        <v>0.95633120931239468</v>
      </c>
      <c r="AC47" s="530"/>
    </row>
    <row r="48" spans="1:29" ht="15.75" customHeight="1">
      <c r="A48" s="523" t="s">
        <v>1776</v>
      </c>
      <c r="B48" s="62" t="s">
        <v>10</v>
      </c>
      <c r="C48" s="512" t="s">
        <v>41</v>
      </c>
      <c r="D48" s="512"/>
      <c r="E48" s="62">
        <v>46</v>
      </c>
      <c r="F48" s="74">
        <v>1909</v>
      </c>
      <c r="G48" s="326">
        <f t="shared" ref="G48:G52" si="35">E48*F48</f>
        <v>87814</v>
      </c>
      <c r="H48" s="90" t="s">
        <v>5</v>
      </c>
      <c r="I48" s="331">
        <v>17</v>
      </c>
      <c r="J48" s="63">
        <v>2000</v>
      </c>
      <c r="K48" s="64">
        <f t="shared" si="1"/>
        <v>117.64705882352941</v>
      </c>
      <c r="L48" s="331">
        <v>17</v>
      </c>
      <c r="M48" s="65">
        <f t="shared" ref="M48:M52" si="36">F48/V48*60</f>
        <v>1909.0000000000005</v>
      </c>
      <c r="N48" s="65">
        <f t="shared" si="3"/>
        <v>112.29411764705885</v>
      </c>
      <c r="O48" s="66">
        <f t="shared" si="4"/>
        <v>0</v>
      </c>
      <c r="P48" s="67">
        <f t="shared" si="5"/>
        <v>-5.3529411764705515</v>
      </c>
      <c r="Q48" s="327">
        <f t="shared" si="6"/>
        <v>0.95450000000000035</v>
      </c>
      <c r="R48" s="511">
        <f>Q53</f>
        <v>0.96058137610233985</v>
      </c>
      <c r="S48" s="68">
        <v>0.20833333333333334</v>
      </c>
      <c r="T48" s="68">
        <v>0.25</v>
      </c>
      <c r="U48" s="73"/>
      <c r="V48" s="332">
        <f t="shared" ref="V48:V52" si="37">(T48-S48)*24*60</f>
        <v>59.999999999999986</v>
      </c>
      <c r="W48" s="73"/>
      <c r="X48" s="73"/>
      <c r="Y48" s="510"/>
      <c r="Z48" s="510"/>
      <c r="AA48" s="66">
        <f t="shared" si="8"/>
        <v>-90.999999999999545</v>
      </c>
      <c r="AB48" s="327">
        <f t="shared" si="9"/>
        <v>0.95450000000000024</v>
      </c>
      <c r="AC48" s="511">
        <f>AB53</f>
        <v>0.96058137610233973</v>
      </c>
    </row>
    <row r="49" spans="1:29" ht="15.75" customHeight="1">
      <c r="A49" s="523" t="s">
        <v>80</v>
      </c>
      <c r="B49" s="62" t="s">
        <v>10</v>
      </c>
      <c r="C49" s="512" t="s">
        <v>42</v>
      </c>
      <c r="D49" s="512"/>
      <c r="E49" s="62">
        <v>46</v>
      </c>
      <c r="F49" s="74">
        <v>2117</v>
      </c>
      <c r="G49" s="326">
        <f t="shared" si="35"/>
        <v>97382</v>
      </c>
      <c r="H49" s="90" t="s">
        <v>5</v>
      </c>
      <c r="I49" s="331">
        <v>17</v>
      </c>
      <c r="J49" s="63">
        <v>2000</v>
      </c>
      <c r="K49" s="64">
        <f t="shared" si="1"/>
        <v>117.64705882352941</v>
      </c>
      <c r="L49" s="331">
        <v>17</v>
      </c>
      <c r="M49" s="65">
        <f t="shared" si="36"/>
        <v>1924.5454545454547</v>
      </c>
      <c r="N49" s="65">
        <f t="shared" si="3"/>
        <v>113.20855614973263</v>
      </c>
      <c r="O49" s="66">
        <f t="shared" si="4"/>
        <v>0</v>
      </c>
      <c r="P49" s="67">
        <f t="shared" si="5"/>
        <v>-4.4385026737967763</v>
      </c>
      <c r="Q49" s="327">
        <f t="shared" si="6"/>
        <v>0.96227272727272739</v>
      </c>
      <c r="R49" s="511"/>
      <c r="S49" s="68">
        <v>0.25416666666666665</v>
      </c>
      <c r="T49" s="68">
        <v>0.3</v>
      </c>
      <c r="U49" s="326">
        <f t="shared" ref="U49:U52" si="38">IF(S49=TIME(17,0,0),"",(S49-T48)*24*60)</f>
        <v>5.9999999999999787</v>
      </c>
      <c r="V49" s="332">
        <f t="shared" si="37"/>
        <v>66</v>
      </c>
      <c r="W49" s="69"/>
      <c r="X49" s="69"/>
      <c r="Y49" s="510"/>
      <c r="Z49" s="510"/>
      <c r="AA49" s="66">
        <f t="shared" si="8"/>
        <v>-75.454545454545269</v>
      </c>
      <c r="AB49" s="327">
        <f t="shared" si="9"/>
        <v>0.96227272727272739</v>
      </c>
      <c r="AC49" s="511"/>
    </row>
    <row r="50" spans="1:29" ht="15.75" customHeight="1">
      <c r="A50" s="523" t="s">
        <v>80</v>
      </c>
      <c r="B50" s="62" t="s">
        <v>6</v>
      </c>
      <c r="C50" s="521" t="s">
        <v>43</v>
      </c>
      <c r="D50" s="522"/>
      <c r="E50" s="62">
        <v>55.56</v>
      </c>
      <c r="F50" s="74">
        <v>1895</v>
      </c>
      <c r="G50" s="326">
        <f t="shared" si="35"/>
        <v>105286.2</v>
      </c>
      <c r="H50" s="90" t="s">
        <v>5</v>
      </c>
      <c r="I50" s="331">
        <v>17</v>
      </c>
      <c r="J50" s="63">
        <v>2000</v>
      </c>
      <c r="K50" s="64">
        <f t="shared" si="1"/>
        <v>117.64705882352941</v>
      </c>
      <c r="L50" s="331">
        <v>17</v>
      </c>
      <c r="M50" s="65">
        <f t="shared" si="36"/>
        <v>1927.1186440677982</v>
      </c>
      <c r="N50" s="65">
        <f t="shared" si="3"/>
        <v>113.35992023928225</v>
      </c>
      <c r="O50" s="66">
        <f t="shared" si="4"/>
        <v>0</v>
      </c>
      <c r="P50" s="67">
        <f t="shared" si="5"/>
        <v>-4.2871385842471597</v>
      </c>
      <c r="Q50" s="327">
        <f t="shared" si="6"/>
        <v>0.96355932203389916</v>
      </c>
      <c r="R50" s="511"/>
      <c r="S50" s="68">
        <v>0.70833333333333337</v>
      </c>
      <c r="T50" s="68">
        <v>0.74930555555555556</v>
      </c>
      <c r="U50" s="326" t="str">
        <f t="shared" si="38"/>
        <v/>
      </c>
      <c r="V50" s="332">
        <f t="shared" si="37"/>
        <v>58.99999999999995</v>
      </c>
      <c r="W50" s="69"/>
      <c r="X50" s="69"/>
      <c r="Y50" s="323"/>
      <c r="Z50" s="324"/>
      <c r="AA50" s="66">
        <f t="shared" si="8"/>
        <v>-72.881355932201814</v>
      </c>
      <c r="AB50" s="327">
        <f t="shared" si="9"/>
        <v>0.96355932203389905</v>
      </c>
      <c r="AC50" s="511"/>
    </row>
    <row r="51" spans="1:29" ht="15.75" customHeight="1">
      <c r="A51" s="523" t="s">
        <v>1777</v>
      </c>
      <c r="B51" s="62" t="s">
        <v>6</v>
      </c>
      <c r="C51" s="329" t="s">
        <v>44</v>
      </c>
      <c r="D51" s="330"/>
      <c r="E51" s="62">
        <v>55.32</v>
      </c>
      <c r="F51" s="74">
        <v>1451</v>
      </c>
      <c r="G51" s="326">
        <f t="shared" si="35"/>
        <v>80269.320000000007</v>
      </c>
      <c r="H51" s="90" t="s">
        <v>5</v>
      </c>
      <c r="I51" s="331">
        <v>15</v>
      </c>
      <c r="J51" s="63">
        <v>2000</v>
      </c>
      <c r="K51" s="64">
        <f t="shared" si="1"/>
        <v>133.33333333333334</v>
      </c>
      <c r="L51" s="331">
        <v>15</v>
      </c>
      <c r="M51" s="65">
        <f t="shared" si="36"/>
        <v>1934.6666666666667</v>
      </c>
      <c r="N51" s="65">
        <f t="shared" si="3"/>
        <v>128.97777777777779</v>
      </c>
      <c r="O51" s="66">
        <f t="shared" si="4"/>
        <v>0</v>
      </c>
      <c r="P51" s="67">
        <f t="shared" si="5"/>
        <v>-4.3555555555555543</v>
      </c>
      <c r="Q51" s="327">
        <f t="shared" si="6"/>
        <v>0.96733333333333338</v>
      </c>
      <c r="R51" s="511"/>
      <c r="S51" s="68">
        <v>0.75486111111111109</v>
      </c>
      <c r="T51" s="68">
        <v>0.78611111111111109</v>
      </c>
      <c r="U51" s="326">
        <f t="shared" si="38"/>
        <v>7.9999999999999716</v>
      </c>
      <c r="V51" s="332">
        <f t="shared" si="37"/>
        <v>45</v>
      </c>
      <c r="W51" s="69"/>
      <c r="X51" s="69"/>
      <c r="Y51" s="323"/>
      <c r="Z51" s="324"/>
      <c r="AA51" s="66">
        <f t="shared" si="8"/>
        <v>-65.333333333333258</v>
      </c>
      <c r="AB51" s="327">
        <f t="shared" si="9"/>
        <v>0.96733333333333338</v>
      </c>
      <c r="AC51" s="511"/>
    </row>
    <row r="52" spans="1:29" ht="15.75" customHeight="1">
      <c r="A52" s="523" t="s">
        <v>80</v>
      </c>
      <c r="B52" s="62" t="s">
        <v>6</v>
      </c>
      <c r="C52" s="329" t="s">
        <v>1462</v>
      </c>
      <c r="D52" s="330"/>
      <c r="E52" s="62">
        <v>53.68</v>
      </c>
      <c r="F52" s="74">
        <v>2479</v>
      </c>
      <c r="G52" s="326">
        <f t="shared" si="35"/>
        <v>133072.72</v>
      </c>
      <c r="H52" s="90" t="s">
        <v>5</v>
      </c>
      <c r="I52" s="331">
        <v>16</v>
      </c>
      <c r="J52" s="63">
        <v>1500</v>
      </c>
      <c r="K52" s="64">
        <f t="shared" si="1"/>
        <v>93.75</v>
      </c>
      <c r="L52" s="331">
        <v>16</v>
      </c>
      <c r="M52" s="65">
        <f t="shared" si="36"/>
        <v>1430.1923076923085</v>
      </c>
      <c r="N52" s="65">
        <f t="shared" si="3"/>
        <v>89.387019230769283</v>
      </c>
      <c r="O52" s="66">
        <f t="shared" si="4"/>
        <v>0</v>
      </c>
      <c r="P52" s="67">
        <f t="shared" si="5"/>
        <v>-4.3629807692307168</v>
      </c>
      <c r="Q52" s="327">
        <f t="shared" si="6"/>
        <v>0.95346153846153903</v>
      </c>
      <c r="R52" s="511"/>
      <c r="S52" s="68">
        <v>0.7895833333333333</v>
      </c>
      <c r="T52" s="68">
        <v>0.86180555555555549</v>
      </c>
      <c r="U52" s="326">
        <f t="shared" si="38"/>
        <v>4.9999999999999822</v>
      </c>
      <c r="V52" s="332">
        <f t="shared" si="37"/>
        <v>103.99999999999994</v>
      </c>
      <c r="W52" s="69"/>
      <c r="X52" s="69"/>
      <c r="Y52" s="323"/>
      <c r="Z52" s="324"/>
      <c r="AA52" s="66">
        <f t="shared" si="8"/>
        <v>-69.807692307691468</v>
      </c>
      <c r="AB52" s="327">
        <f t="shared" si="9"/>
        <v>0.95346153846153903</v>
      </c>
      <c r="AC52" s="511"/>
    </row>
    <row r="53" spans="1:29">
      <c r="A53" s="524" t="s">
        <v>80</v>
      </c>
      <c r="B53" s="62" t="s">
        <v>1778</v>
      </c>
      <c r="C53" s="513"/>
      <c r="D53" s="513"/>
      <c r="E53" s="328"/>
      <c r="F53" s="71"/>
      <c r="G53" s="64"/>
      <c r="H53" s="333"/>
      <c r="I53" s="72">
        <v>16.399999999999999</v>
      </c>
      <c r="J53" s="63">
        <v>1900</v>
      </c>
      <c r="K53" s="64">
        <f t="shared" si="1"/>
        <v>115.85365853658537</v>
      </c>
      <c r="L53" s="72">
        <v>16.399999999999999</v>
      </c>
      <c r="M53" s="65">
        <f>AVERAGE(M48:M52)</f>
        <v>1825.1046145944456</v>
      </c>
      <c r="N53" s="64">
        <f t="shared" si="3"/>
        <v>111.28686674356376</v>
      </c>
      <c r="O53" s="66">
        <f t="shared" si="4"/>
        <v>0</v>
      </c>
      <c r="P53" s="67">
        <f t="shared" si="5"/>
        <v>-4.5667917930216078</v>
      </c>
      <c r="Q53" s="327">
        <f t="shared" si="6"/>
        <v>0.96058137610233985</v>
      </c>
      <c r="R53" s="511"/>
      <c r="S53" s="75"/>
      <c r="T53" s="68"/>
      <c r="U53" s="64"/>
      <c r="V53" s="332"/>
      <c r="W53" s="64"/>
      <c r="X53" s="64"/>
      <c r="Y53" s="510"/>
      <c r="Z53" s="510"/>
      <c r="AA53" s="66">
        <f t="shared" si="8"/>
        <v>-74.895385405554407</v>
      </c>
      <c r="AB53" s="327">
        <f t="shared" si="9"/>
        <v>0.96058137610233973</v>
      </c>
      <c r="AC53" s="511"/>
    </row>
    <row r="54" spans="1:29" ht="15.75" customHeight="1">
      <c r="A54" s="519" t="s">
        <v>1779</v>
      </c>
      <c r="B54" s="333" t="s">
        <v>10</v>
      </c>
      <c r="C54" s="512" t="s">
        <v>46</v>
      </c>
      <c r="D54" s="512"/>
      <c r="E54" s="62">
        <v>26.97</v>
      </c>
      <c r="F54" s="74">
        <v>2622</v>
      </c>
      <c r="G54" s="326">
        <f t="shared" ref="G54:G57" si="39">E54*F54</f>
        <v>70715.34</v>
      </c>
      <c r="H54" s="90" t="s">
        <v>5</v>
      </c>
      <c r="I54" s="331">
        <v>8</v>
      </c>
      <c r="J54" s="63">
        <v>1500</v>
      </c>
      <c r="K54" s="64">
        <f t="shared" si="1"/>
        <v>187.5</v>
      </c>
      <c r="L54" s="331">
        <v>8</v>
      </c>
      <c r="M54" s="65">
        <f t="shared" ref="M54:M57" si="40">F54/V54*60</f>
        <v>1430.1818181818185</v>
      </c>
      <c r="N54" s="64">
        <f t="shared" si="3"/>
        <v>178.77272727272731</v>
      </c>
      <c r="O54" s="66">
        <f t="shared" si="4"/>
        <v>0</v>
      </c>
      <c r="P54" s="67">
        <f t="shared" si="5"/>
        <v>-8.7272727272726911</v>
      </c>
      <c r="Q54" s="327">
        <f t="shared" si="6"/>
        <v>0.95345454545454567</v>
      </c>
      <c r="R54" s="511">
        <f>Q58</f>
        <v>0.95772264321320266</v>
      </c>
      <c r="S54" s="68">
        <v>0.20833333333333334</v>
      </c>
      <c r="T54" s="68">
        <v>0.28472222222222221</v>
      </c>
      <c r="U54" s="326"/>
      <c r="V54" s="332">
        <f t="shared" ref="V54:V57" si="41">(T54-S54)*24*60</f>
        <v>109.99999999999997</v>
      </c>
      <c r="W54" s="73"/>
      <c r="X54" s="73"/>
      <c r="Y54" s="510"/>
      <c r="Z54" s="510"/>
      <c r="AA54" s="66">
        <f t="shared" si="8"/>
        <v>-69.818181818181529</v>
      </c>
      <c r="AB54" s="327">
        <f t="shared" si="9"/>
        <v>0.95345454545454567</v>
      </c>
      <c r="AC54" s="511">
        <f>AB58</f>
        <v>0.95772264321320266</v>
      </c>
    </row>
    <row r="55" spans="1:29" ht="15.75" customHeight="1">
      <c r="A55" s="519" t="s">
        <v>1780</v>
      </c>
      <c r="B55" s="333" t="s">
        <v>35</v>
      </c>
      <c r="C55" s="512" t="s">
        <v>45</v>
      </c>
      <c r="D55" s="512"/>
      <c r="E55" s="62">
        <v>26.78</v>
      </c>
      <c r="F55" s="74">
        <v>2392</v>
      </c>
      <c r="G55" s="326">
        <f t="shared" si="39"/>
        <v>64057.760000000002</v>
      </c>
      <c r="H55" s="90" t="s">
        <v>5</v>
      </c>
      <c r="I55" s="331">
        <v>10</v>
      </c>
      <c r="J55" s="63">
        <v>3000</v>
      </c>
      <c r="K55" s="64">
        <f t="shared" si="1"/>
        <v>300</v>
      </c>
      <c r="L55" s="331">
        <v>10</v>
      </c>
      <c r="M55" s="65">
        <f t="shared" si="40"/>
        <v>2870.4000000000005</v>
      </c>
      <c r="N55" s="64">
        <f t="shared" si="3"/>
        <v>287.04000000000008</v>
      </c>
      <c r="O55" s="66">
        <f t="shared" si="4"/>
        <v>0</v>
      </c>
      <c r="P55" s="67">
        <f t="shared" si="5"/>
        <v>-12.959999999999923</v>
      </c>
      <c r="Q55" s="327">
        <f t="shared" si="6"/>
        <v>0.95680000000000021</v>
      </c>
      <c r="R55" s="511"/>
      <c r="S55" s="68">
        <v>0.29027777777777775</v>
      </c>
      <c r="T55" s="68">
        <v>0.32499999999999996</v>
      </c>
      <c r="U55" s="326">
        <f t="shared" ref="U55:U57" si="42">(S55-T54)*24*60</f>
        <v>7.9999999999999716</v>
      </c>
      <c r="V55" s="332">
        <f t="shared" si="41"/>
        <v>49.999999999999986</v>
      </c>
      <c r="W55" s="326"/>
      <c r="X55" s="326"/>
      <c r="Y55" s="510"/>
      <c r="Z55" s="510"/>
      <c r="AA55" s="66">
        <f t="shared" si="8"/>
        <v>-129.59999999999945</v>
      </c>
      <c r="AB55" s="327">
        <f t="shared" si="9"/>
        <v>0.95680000000000021</v>
      </c>
      <c r="AC55" s="511"/>
    </row>
    <row r="56" spans="1:29" ht="15.75" customHeight="1">
      <c r="A56" s="519" t="s">
        <v>1781</v>
      </c>
      <c r="B56" s="333" t="s">
        <v>35</v>
      </c>
      <c r="C56" s="512" t="s">
        <v>75</v>
      </c>
      <c r="D56" s="512"/>
      <c r="E56" s="62">
        <v>37.880000000000003</v>
      </c>
      <c r="F56" s="74">
        <v>2935</v>
      </c>
      <c r="G56" s="326">
        <f t="shared" si="39"/>
        <v>111177.8</v>
      </c>
      <c r="H56" s="90" t="s">
        <v>5</v>
      </c>
      <c r="I56" s="331">
        <v>10</v>
      </c>
      <c r="J56" s="63">
        <v>3000</v>
      </c>
      <c r="K56" s="64">
        <f t="shared" si="1"/>
        <v>300</v>
      </c>
      <c r="L56" s="331">
        <v>10</v>
      </c>
      <c r="M56" s="65">
        <f t="shared" si="40"/>
        <v>2886.8852459016384</v>
      </c>
      <c r="N56" s="64">
        <f t="shared" si="3"/>
        <v>288.68852459016387</v>
      </c>
      <c r="O56" s="66">
        <f t="shared" si="4"/>
        <v>0</v>
      </c>
      <c r="P56" s="67">
        <f t="shared" si="5"/>
        <v>-11.311475409836135</v>
      </c>
      <c r="Q56" s="327">
        <f t="shared" si="6"/>
        <v>0.96229508196721292</v>
      </c>
      <c r="R56" s="511"/>
      <c r="S56" s="68">
        <v>0.32916666666666661</v>
      </c>
      <c r="T56" s="68">
        <v>0.37152777777777773</v>
      </c>
      <c r="U56" s="326">
        <f t="shared" si="42"/>
        <v>5.9999999999999787</v>
      </c>
      <c r="V56" s="332">
        <f t="shared" si="41"/>
        <v>61.000000000000021</v>
      </c>
      <c r="W56" s="326"/>
      <c r="X56" s="326"/>
      <c r="Y56" s="510"/>
      <c r="Z56" s="510"/>
      <c r="AA56" s="66">
        <f t="shared" si="8"/>
        <v>-113.11475409836157</v>
      </c>
      <c r="AB56" s="327">
        <f t="shared" si="9"/>
        <v>0.96229508196721281</v>
      </c>
      <c r="AC56" s="511"/>
    </row>
    <row r="57" spans="1:29" ht="15.75" customHeight="1">
      <c r="A57" s="519" t="s">
        <v>1782</v>
      </c>
      <c r="B57" s="333" t="s">
        <v>35</v>
      </c>
      <c r="C57" s="512" t="s">
        <v>85</v>
      </c>
      <c r="D57" s="512"/>
      <c r="E57" s="62">
        <v>40.51</v>
      </c>
      <c r="F57" s="74">
        <v>2773</v>
      </c>
      <c r="G57" s="326">
        <f t="shared" si="39"/>
        <v>112334.23</v>
      </c>
      <c r="H57" s="90" t="s">
        <v>5</v>
      </c>
      <c r="I57" s="331">
        <v>8</v>
      </c>
      <c r="J57" s="63">
        <v>3000</v>
      </c>
      <c r="K57" s="64">
        <f t="shared" si="1"/>
        <v>375</v>
      </c>
      <c r="L57" s="331">
        <v>8</v>
      </c>
      <c r="M57" s="65">
        <f t="shared" si="40"/>
        <v>2868.6206896551707</v>
      </c>
      <c r="N57" s="64">
        <f t="shared" si="3"/>
        <v>358.57758620689634</v>
      </c>
      <c r="O57" s="66">
        <f t="shared" si="4"/>
        <v>0</v>
      </c>
      <c r="P57" s="67">
        <f t="shared" si="5"/>
        <v>-16.422413793103658</v>
      </c>
      <c r="Q57" s="327">
        <f t="shared" si="6"/>
        <v>0.95620689655172353</v>
      </c>
      <c r="R57" s="511"/>
      <c r="S57" s="68">
        <v>0.37708333333333327</v>
      </c>
      <c r="T57" s="68">
        <v>0.41736111111111107</v>
      </c>
      <c r="U57" s="326">
        <f t="shared" si="42"/>
        <v>7.9999999999999716</v>
      </c>
      <c r="V57" s="332">
        <f t="shared" si="41"/>
        <v>58.000000000000036</v>
      </c>
      <c r="W57" s="326"/>
      <c r="X57" s="326"/>
      <c r="Y57" s="510"/>
      <c r="Z57" s="510"/>
      <c r="AA57" s="66">
        <f t="shared" si="8"/>
        <v>-131.37931034482926</v>
      </c>
      <c r="AB57" s="327">
        <f t="shared" si="9"/>
        <v>0.95620689655172353</v>
      </c>
      <c r="AC57" s="511"/>
    </row>
    <row r="58" spans="1:29">
      <c r="A58" s="520" t="s">
        <v>1780</v>
      </c>
      <c r="B58" s="62" t="s">
        <v>1783</v>
      </c>
      <c r="C58" s="513"/>
      <c r="D58" s="513"/>
      <c r="E58" s="328"/>
      <c r="F58" s="71"/>
      <c r="G58" s="64"/>
      <c r="H58" s="333"/>
      <c r="I58" s="72">
        <v>9</v>
      </c>
      <c r="J58" s="63">
        <v>2625</v>
      </c>
      <c r="K58" s="64">
        <f t="shared" si="1"/>
        <v>291.66666666666669</v>
      </c>
      <c r="L58" s="72">
        <v>9</v>
      </c>
      <c r="M58" s="65">
        <f>AVERAGE(M54:M57)</f>
        <v>2514.0219384346569</v>
      </c>
      <c r="N58" s="64">
        <f t="shared" si="3"/>
        <v>279.33577093718412</v>
      </c>
      <c r="O58" s="66">
        <f t="shared" si="4"/>
        <v>0</v>
      </c>
      <c r="P58" s="67">
        <f t="shared" si="5"/>
        <v>-12.330895729482563</v>
      </c>
      <c r="Q58" s="327">
        <f t="shared" si="6"/>
        <v>0.95772264321320266</v>
      </c>
      <c r="R58" s="511"/>
      <c r="S58" s="68"/>
      <c r="T58" s="68"/>
      <c r="U58" s="64"/>
      <c r="V58" s="332"/>
      <c r="W58" s="64"/>
      <c r="X58" s="64"/>
      <c r="Y58" s="510"/>
      <c r="Z58" s="510"/>
      <c r="AA58" s="66">
        <f t="shared" si="8"/>
        <v>-110.97806156534307</v>
      </c>
      <c r="AB58" s="327">
        <f t="shared" si="9"/>
        <v>0.95772264321320266</v>
      </c>
      <c r="AC58" s="511"/>
    </row>
    <row r="59" spans="1:29" ht="15.75" customHeight="1">
      <c r="A59" s="514" t="s">
        <v>1784</v>
      </c>
      <c r="B59" s="333" t="s">
        <v>16</v>
      </c>
      <c r="C59" s="512" t="s">
        <v>48</v>
      </c>
      <c r="D59" s="512"/>
      <c r="E59" s="62">
        <v>20.2</v>
      </c>
      <c r="F59" s="333">
        <v>1949</v>
      </c>
      <c r="G59" s="326">
        <f t="shared" ref="G59:G65" si="43">E59*F59</f>
        <v>39369.799999999996</v>
      </c>
      <c r="H59" s="90" t="s">
        <v>5</v>
      </c>
      <c r="I59" s="331">
        <v>19</v>
      </c>
      <c r="J59" s="63">
        <v>2400</v>
      </c>
      <c r="K59" s="64">
        <f t="shared" si="1"/>
        <v>126.31578947368421</v>
      </c>
      <c r="L59" s="331">
        <v>19</v>
      </c>
      <c r="M59" s="65">
        <f t="shared" ref="M59:M65" si="44">F59/V59*60</f>
        <v>2292.9411764705883</v>
      </c>
      <c r="N59" s="64">
        <f t="shared" si="3"/>
        <v>120.6811145510836</v>
      </c>
      <c r="O59" s="66">
        <f t="shared" si="4"/>
        <v>0</v>
      </c>
      <c r="P59" s="67">
        <f t="shared" si="5"/>
        <v>-5.6346749226006096</v>
      </c>
      <c r="Q59" s="327">
        <f t="shared" si="6"/>
        <v>0.95539215686274515</v>
      </c>
      <c r="R59" s="511">
        <f>Q66</f>
        <v>0.96122865515300016</v>
      </c>
      <c r="S59" s="68">
        <v>8.3333333333333329E-2</v>
      </c>
      <c r="T59" s="68">
        <v>0.11874999999999999</v>
      </c>
      <c r="U59" s="73"/>
      <c r="V59" s="332">
        <f t="shared" ref="V59:V65" si="45">(T59-S59)*24*60</f>
        <v>51</v>
      </c>
      <c r="W59" s="69">
        <f>T59</f>
        <v>0.11874999999999999</v>
      </c>
      <c r="X59" s="69">
        <f>S60</f>
        <v>0.13819444444444443</v>
      </c>
      <c r="Y59" s="510"/>
      <c r="Z59" s="510"/>
      <c r="AA59" s="66">
        <f t="shared" si="8"/>
        <v>-107.05882352941171</v>
      </c>
      <c r="AB59" s="327">
        <f t="shared" si="9"/>
        <v>0.95539215686274515</v>
      </c>
      <c r="AC59" s="511">
        <f>AB66</f>
        <v>0.96122865515300016</v>
      </c>
    </row>
    <row r="60" spans="1:29" ht="15.75" customHeight="1">
      <c r="A60" s="515" t="s">
        <v>254</v>
      </c>
      <c r="B60" s="333" t="s">
        <v>16</v>
      </c>
      <c r="C60" s="512" t="s">
        <v>51</v>
      </c>
      <c r="D60" s="512"/>
      <c r="E60" s="62">
        <v>24.25</v>
      </c>
      <c r="F60" s="333">
        <v>2029</v>
      </c>
      <c r="G60" s="326">
        <f t="shared" si="43"/>
        <v>49203.25</v>
      </c>
      <c r="H60" s="90" t="s">
        <v>5</v>
      </c>
      <c r="I60" s="331">
        <v>17</v>
      </c>
      <c r="J60" s="63">
        <v>2400</v>
      </c>
      <c r="K60" s="64">
        <f t="shared" si="1"/>
        <v>141.1764705882353</v>
      </c>
      <c r="L60" s="331">
        <v>17</v>
      </c>
      <c r="M60" s="65">
        <f t="shared" si="44"/>
        <v>2296.9811320754711</v>
      </c>
      <c r="N60" s="64">
        <f t="shared" si="3"/>
        <v>135.11653718091006</v>
      </c>
      <c r="O60" s="66">
        <f t="shared" si="4"/>
        <v>0</v>
      </c>
      <c r="P60" s="67">
        <f t="shared" si="5"/>
        <v>-6.0599334073252464</v>
      </c>
      <c r="Q60" s="327">
        <f t="shared" si="6"/>
        <v>0.9570754716981128</v>
      </c>
      <c r="R60" s="511"/>
      <c r="S60" s="68">
        <v>0.13819444444444443</v>
      </c>
      <c r="T60" s="68">
        <v>0.17499999999999999</v>
      </c>
      <c r="U60" s="326">
        <f t="shared" ref="U60:U65" si="46">(S60-T59)*24*60</f>
        <v>27.999999999999979</v>
      </c>
      <c r="V60" s="332">
        <f t="shared" si="45"/>
        <v>53.000000000000014</v>
      </c>
      <c r="W60" s="69"/>
      <c r="X60" s="69"/>
      <c r="Y60" s="510"/>
      <c r="Z60" s="510"/>
      <c r="AA60" s="66">
        <f t="shared" si="8"/>
        <v>-103.01886792452888</v>
      </c>
      <c r="AB60" s="327">
        <f t="shared" si="9"/>
        <v>0.95707547169811302</v>
      </c>
      <c r="AC60" s="511"/>
    </row>
    <row r="61" spans="1:29" ht="15.75" customHeight="1">
      <c r="A61" s="515" t="s">
        <v>254</v>
      </c>
      <c r="B61" s="333" t="s">
        <v>16</v>
      </c>
      <c r="C61" s="512" t="s">
        <v>17</v>
      </c>
      <c r="D61" s="512"/>
      <c r="E61" s="62">
        <v>24.45</v>
      </c>
      <c r="F61" s="333">
        <v>2012</v>
      </c>
      <c r="G61" s="326">
        <f t="shared" si="43"/>
        <v>49193.4</v>
      </c>
      <c r="H61" s="90" t="s">
        <v>5</v>
      </c>
      <c r="I61" s="331">
        <v>20</v>
      </c>
      <c r="J61" s="63">
        <v>2400</v>
      </c>
      <c r="K61" s="64">
        <f t="shared" si="1"/>
        <v>120</v>
      </c>
      <c r="L61" s="331">
        <v>20</v>
      </c>
      <c r="M61" s="65">
        <f t="shared" si="44"/>
        <v>2321.538461538461</v>
      </c>
      <c r="N61" s="64">
        <f t="shared" si="3"/>
        <v>116.07692307692305</v>
      </c>
      <c r="O61" s="66">
        <f t="shared" si="4"/>
        <v>0</v>
      </c>
      <c r="P61" s="67">
        <f t="shared" si="5"/>
        <v>-3.9230769230769482</v>
      </c>
      <c r="Q61" s="327">
        <f t="shared" si="6"/>
        <v>0.96730769230769209</v>
      </c>
      <c r="R61" s="511"/>
      <c r="S61" s="68">
        <v>0.1784722222222222</v>
      </c>
      <c r="T61" s="68">
        <v>0.21458333333333332</v>
      </c>
      <c r="U61" s="326">
        <f t="shared" si="46"/>
        <v>4.9999999999999822</v>
      </c>
      <c r="V61" s="332">
        <f t="shared" si="45"/>
        <v>52.000000000000014</v>
      </c>
      <c r="W61" s="69"/>
      <c r="X61" s="69"/>
      <c r="Y61" s="510"/>
      <c r="Z61" s="510"/>
      <c r="AA61" s="66">
        <f t="shared" si="8"/>
        <v>-78.461538461539021</v>
      </c>
      <c r="AB61" s="327">
        <f t="shared" si="9"/>
        <v>0.96730769230769209</v>
      </c>
      <c r="AC61" s="511"/>
    </row>
    <row r="62" spans="1:29" ht="15.75" customHeight="1">
      <c r="A62" s="515" t="s">
        <v>1785</v>
      </c>
      <c r="B62" s="333" t="s">
        <v>16</v>
      </c>
      <c r="C62" s="512" t="s">
        <v>34</v>
      </c>
      <c r="D62" s="512"/>
      <c r="E62" s="62">
        <v>24.25</v>
      </c>
      <c r="F62" s="333">
        <v>2655</v>
      </c>
      <c r="G62" s="326">
        <f t="shared" si="43"/>
        <v>64383.75</v>
      </c>
      <c r="H62" s="90" t="s">
        <v>5</v>
      </c>
      <c r="I62" s="331">
        <v>13</v>
      </c>
      <c r="J62" s="63">
        <v>2400</v>
      </c>
      <c r="K62" s="64">
        <f t="shared" si="1"/>
        <v>184.61538461538461</v>
      </c>
      <c r="L62" s="331">
        <v>13</v>
      </c>
      <c r="M62" s="65">
        <f t="shared" si="44"/>
        <v>2308.695652173913</v>
      </c>
      <c r="N62" s="64">
        <f t="shared" si="3"/>
        <v>177.59197324414714</v>
      </c>
      <c r="O62" s="66">
        <f t="shared" si="4"/>
        <v>0</v>
      </c>
      <c r="P62" s="67">
        <f t="shared" si="5"/>
        <v>-7.0234113712374722</v>
      </c>
      <c r="Q62" s="327">
        <f t="shared" si="6"/>
        <v>0.96195652173913038</v>
      </c>
      <c r="R62" s="511"/>
      <c r="S62" s="68">
        <v>0.21944444444444444</v>
      </c>
      <c r="T62" s="68">
        <v>0.2673611111111111</v>
      </c>
      <c r="U62" s="326">
        <f t="shared" si="46"/>
        <v>7.0000000000000151</v>
      </c>
      <c r="V62" s="332">
        <f t="shared" si="45"/>
        <v>69</v>
      </c>
      <c r="W62" s="69"/>
      <c r="X62" s="69"/>
      <c r="Y62" s="510"/>
      <c r="Z62" s="510"/>
      <c r="AA62" s="66">
        <f t="shared" si="8"/>
        <v>-91.304347826086996</v>
      </c>
      <c r="AB62" s="327">
        <f t="shared" si="9"/>
        <v>0.96195652173913038</v>
      </c>
      <c r="AC62" s="511"/>
    </row>
    <row r="63" spans="1:29" ht="15.75" customHeight="1">
      <c r="A63" s="515" t="s">
        <v>1786</v>
      </c>
      <c r="B63" s="333" t="s">
        <v>16</v>
      </c>
      <c r="C63" s="512" t="s">
        <v>26</v>
      </c>
      <c r="D63" s="512"/>
      <c r="E63" s="62">
        <v>20.52</v>
      </c>
      <c r="F63" s="333">
        <v>2760</v>
      </c>
      <c r="G63" s="326">
        <f t="shared" si="43"/>
        <v>56635.199999999997</v>
      </c>
      <c r="H63" s="90" t="s">
        <v>5</v>
      </c>
      <c r="I63" s="331">
        <v>18</v>
      </c>
      <c r="J63" s="63">
        <v>2400</v>
      </c>
      <c r="K63" s="64">
        <f t="shared" si="1"/>
        <v>133.33333333333334</v>
      </c>
      <c r="L63" s="331">
        <v>18</v>
      </c>
      <c r="M63" s="65">
        <f t="shared" si="44"/>
        <v>2300.0000000000005</v>
      </c>
      <c r="N63" s="64">
        <f t="shared" si="3"/>
        <v>127.7777777777778</v>
      </c>
      <c r="O63" s="66">
        <f t="shared" si="4"/>
        <v>0</v>
      </c>
      <c r="P63" s="67">
        <f t="shared" si="5"/>
        <v>-5.5555555555555429</v>
      </c>
      <c r="Q63" s="327">
        <f t="shared" si="6"/>
        <v>0.95833333333333348</v>
      </c>
      <c r="R63" s="511"/>
      <c r="S63" s="68">
        <v>0.27152777777777776</v>
      </c>
      <c r="T63" s="68">
        <v>0.32152777777777775</v>
      </c>
      <c r="U63" s="326">
        <f t="shared" si="46"/>
        <v>5.9999999999999787</v>
      </c>
      <c r="V63" s="332">
        <f t="shared" si="45"/>
        <v>71.999999999999986</v>
      </c>
      <c r="W63" s="69"/>
      <c r="X63" s="69"/>
      <c r="Y63" s="510"/>
      <c r="Z63" s="510"/>
      <c r="AA63" s="66">
        <f t="shared" si="8"/>
        <v>-99.999999999999545</v>
      </c>
      <c r="AB63" s="327">
        <f t="shared" si="9"/>
        <v>0.95833333333333348</v>
      </c>
      <c r="AC63" s="511"/>
    </row>
    <row r="64" spans="1:29" ht="15.75" customHeight="1">
      <c r="A64" s="515" t="s">
        <v>254</v>
      </c>
      <c r="B64" s="333" t="s">
        <v>16</v>
      </c>
      <c r="C64" s="512" t="s">
        <v>49</v>
      </c>
      <c r="D64" s="512"/>
      <c r="E64" s="62">
        <v>19.02</v>
      </c>
      <c r="F64" s="333">
        <v>7391</v>
      </c>
      <c r="G64" s="326">
        <f t="shared" si="43"/>
        <v>140576.82</v>
      </c>
      <c r="H64" s="90" t="s">
        <v>5</v>
      </c>
      <c r="I64" s="331">
        <v>15</v>
      </c>
      <c r="J64" s="63">
        <v>2400</v>
      </c>
      <c r="K64" s="64">
        <f t="shared" si="1"/>
        <v>160</v>
      </c>
      <c r="L64" s="331">
        <v>15</v>
      </c>
      <c r="M64" s="65">
        <f t="shared" si="44"/>
        <v>2285.8762886597947</v>
      </c>
      <c r="N64" s="64">
        <f t="shared" si="3"/>
        <v>152.39175257731964</v>
      </c>
      <c r="O64" s="66">
        <f t="shared" si="4"/>
        <v>0</v>
      </c>
      <c r="P64" s="67">
        <f t="shared" si="5"/>
        <v>-7.608247422680364</v>
      </c>
      <c r="Q64" s="327">
        <f t="shared" si="6"/>
        <v>0.9524484536082477</v>
      </c>
      <c r="R64" s="511"/>
      <c r="S64" s="68">
        <v>0.32708333333333328</v>
      </c>
      <c r="T64" s="68">
        <v>0.46180555555555547</v>
      </c>
      <c r="U64" s="326">
        <f t="shared" si="46"/>
        <v>7.9999999999999716</v>
      </c>
      <c r="V64" s="332">
        <f t="shared" si="45"/>
        <v>193.99999999999994</v>
      </c>
      <c r="W64" s="69"/>
      <c r="X64" s="69"/>
      <c r="Y64" s="510"/>
      <c r="Z64" s="510"/>
      <c r="AA64" s="66">
        <f t="shared" si="8"/>
        <v>-114.12371134020532</v>
      </c>
      <c r="AB64" s="327">
        <f t="shared" si="9"/>
        <v>0.95244845360824781</v>
      </c>
      <c r="AC64" s="511"/>
    </row>
    <row r="65" spans="1:29" ht="15.75" customHeight="1">
      <c r="A65" s="515" t="s">
        <v>1785</v>
      </c>
      <c r="B65" s="333" t="s">
        <v>16</v>
      </c>
      <c r="C65" s="512" t="s">
        <v>27</v>
      </c>
      <c r="D65" s="512"/>
      <c r="E65" s="62">
        <v>25.98</v>
      </c>
      <c r="F65" s="333">
        <v>898</v>
      </c>
      <c r="G65" s="326">
        <f t="shared" si="43"/>
        <v>23330.04</v>
      </c>
      <c r="H65" s="90" t="s">
        <v>5</v>
      </c>
      <c r="I65" s="331">
        <v>17</v>
      </c>
      <c r="J65" s="63">
        <v>2400</v>
      </c>
      <c r="K65" s="64">
        <f t="shared" si="1"/>
        <v>141.1764705882353</v>
      </c>
      <c r="L65" s="331">
        <v>17</v>
      </c>
      <c r="M65" s="65">
        <f t="shared" si="44"/>
        <v>2342.608695652174</v>
      </c>
      <c r="N65" s="64">
        <f t="shared" si="3"/>
        <v>137.80051150895142</v>
      </c>
      <c r="O65" s="66">
        <f t="shared" si="4"/>
        <v>0</v>
      </c>
      <c r="P65" s="67">
        <f t="shared" si="5"/>
        <v>-3.3759590792838878</v>
      </c>
      <c r="Q65" s="327">
        <f t="shared" si="6"/>
        <v>0.97608695652173916</v>
      </c>
      <c r="R65" s="511"/>
      <c r="S65" s="68">
        <v>0.46736111111111101</v>
      </c>
      <c r="T65" s="68">
        <v>0.48333333333333323</v>
      </c>
      <c r="U65" s="326">
        <f t="shared" si="46"/>
        <v>7.9999999999999716</v>
      </c>
      <c r="V65" s="332">
        <f t="shared" si="45"/>
        <v>23</v>
      </c>
      <c r="W65" s="69"/>
      <c r="X65" s="69"/>
      <c r="Y65" s="517"/>
      <c r="Z65" s="518"/>
      <c r="AA65" s="66">
        <f t="shared" si="8"/>
        <v>-57.391304347826008</v>
      </c>
      <c r="AB65" s="327">
        <f t="shared" si="9"/>
        <v>0.97608695652173916</v>
      </c>
      <c r="AC65" s="511"/>
    </row>
    <row r="66" spans="1:29" ht="16.5" customHeight="1">
      <c r="A66" s="516" t="s">
        <v>1786</v>
      </c>
      <c r="B66" s="62" t="s">
        <v>1754</v>
      </c>
      <c r="C66" s="508"/>
      <c r="D66" s="509"/>
      <c r="E66" s="328"/>
      <c r="F66" s="71"/>
      <c r="G66" s="64"/>
      <c r="H66" s="333"/>
      <c r="I66" s="72">
        <v>17</v>
      </c>
      <c r="J66" s="63">
        <v>2400</v>
      </c>
      <c r="K66" s="64">
        <f t="shared" si="1"/>
        <v>141.1764705882353</v>
      </c>
      <c r="L66" s="72">
        <v>17</v>
      </c>
      <c r="M66" s="65">
        <f>AVERAGE(M59:M65)</f>
        <v>2306.9487723672005</v>
      </c>
      <c r="N66" s="64">
        <f t="shared" si="3"/>
        <v>135.70286896277651</v>
      </c>
      <c r="O66" s="66">
        <f t="shared" si="4"/>
        <v>0</v>
      </c>
      <c r="P66" s="67">
        <f t="shared" si="5"/>
        <v>-5.473601625458798</v>
      </c>
      <c r="Q66" s="327">
        <f t="shared" si="6"/>
        <v>0.96122865515300016</v>
      </c>
      <c r="R66" s="511"/>
      <c r="S66" s="68"/>
      <c r="T66" s="68"/>
      <c r="U66" s="64"/>
      <c r="V66" s="332"/>
      <c r="W66" s="64"/>
      <c r="X66" s="64"/>
      <c r="Y66" s="510"/>
      <c r="Z66" s="510"/>
      <c r="AA66" s="66">
        <f t="shared" si="8"/>
        <v>-93.05122763279951</v>
      </c>
      <c r="AB66" s="327">
        <f t="shared" si="9"/>
        <v>0.96122865515300016</v>
      </c>
      <c r="AC66" s="511"/>
    </row>
    <row r="67" spans="1:29">
      <c r="D67" s="76"/>
      <c r="E67" s="76"/>
    </row>
  </sheetData>
  <mergeCells count="180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C19:AC27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C25:D25"/>
    <mergeCell ref="Y25:Z25"/>
    <mergeCell ref="A19:A27"/>
    <mergeCell ref="C19:D19"/>
    <mergeCell ref="R19:R27"/>
    <mergeCell ref="Y19:Z19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A34:A39"/>
    <mergeCell ref="C34:D34"/>
    <mergeCell ref="R34:R39"/>
    <mergeCell ref="Y34:Z34"/>
    <mergeCell ref="C46:D46"/>
    <mergeCell ref="Y46:Z46"/>
    <mergeCell ref="C47:D47"/>
    <mergeCell ref="Y47:Z47"/>
    <mergeCell ref="AC34:AC39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39:Z39"/>
    <mergeCell ref="A48:A53"/>
    <mergeCell ref="C48:D48"/>
    <mergeCell ref="R48:R53"/>
    <mergeCell ref="Y48:Z48"/>
    <mergeCell ref="AC40:AC47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A40:A47"/>
    <mergeCell ref="C40:D40"/>
    <mergeCell ref="R40:R47"/>
    <mergeCell ref="Y40:Z40"/>
    <mergeCell ref="Y45:Z45"/>
    <mergeCell ref="AC54:AC58"/>
    <mergeCell ref="C55:D55"/>
    <mergeCell ref="Y55:Z55"/>
    <mergeCell ref="C56:D56"/>
    <mergeCell ref="Y56:Z56"/>
    <mergeCell ref="C57:D57"/>
    <mergeCell ref="AC48:AC53"/>
    <mergeCell ref="C49:D49"/>
    <mergeCell ref="Y49:Z49"/>
    <mergeCell ref="C50:D50"/>
    <mergeCell ref="C53:D53"/>
    <mergeCell ref="Y53:Z53"/>
    <mergeCell ref="Y57:Z57"/>
    <mergeCell ref="C58:D58"/>
    <mergeCell ref="Y58:Z58"/>
    <mergeCell ref="A59:A66"/>
    <mergeCell ref="C59:D59"/>
    <mergeCell ref="R59:R66"/>
    <mergeCell ref="Y59:Z59"/>
    <mergeCell ref="Y64:Z64"/>
    <mergeCell ref="C65:D65"/>
    <mergeCell ref="Y65:Z65"/>
    <mergeCell ref="A54:A58"/>
    <mergeCell ref="C54:D54"/>
    <mergeCell ref="R54:R58"/>
    <mergeCell ref="Y54:Z54"/>
    <mergeCell ref="C66:D66"/>
    <mergeCell ref="Y66:Z66"/>
    <mergeCell ref="AC59:AC66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</mergeCells>
  <phoneticPr fontId="3" type="noConversion"/>
  <conditionalFormatting sqref="O57:O64 O66 O5:O9 O11:O13 O47:O54 O18:O45">
    <cfRule type="cellIs" dxfId="1762" priority="50" operator="greaterThan">
      <formula>0</formula>
    </cfRule>
  </conditionalFormatting>
  <conditionalFormatting sqref="P5:P7 P57 AA57 P59:P64 P28:P32 P54 P9 P11:P13 P19:P26 P48:P52 P34:P45 AA5:AA54 AA59:AA66">
    <cfRule type="cellIs" dxfId="1761" priority="54" operator="lessThan">
      <formula>0</formula>
    </cfRule>
  </conditionalFormatting>
  <conditionalFormatting sqref="AB57 Q57:Q64 Q66 Q5:Q9 Q11:Q13 Q47:Q54 Q18:Q45 AB5:AB54 AB59:AB66">
    <cfRule type="cellIs" dxfId="1760" priority="51" operator="greaterThan">
      <formula>1</formula>
    </cfRule>
    <cfRule type="cellIs" dxfId="1759" priority="52" operator="lessThan">
      <formula>0.8</formula>
    </cfRule>
  </conditionalFormatting>
  <conditionalFormatting sqref="AC12:AC13 R12:R13 AC57 R57:R64 R18:R24 AC18:AC24 R66 AC5:AC9 R5:R9 R27:R45 AC27:AC45 AC47:AC54 R47:R54">
    <cfRule type="cellIs" dxfId="1758" priority="56" operator="lessThan">
      <formula>0.8</formula>
    </cfRule>
  </conditionalFormatting>
  <conditionalFormatting sqref="AC40">
    <cfRule type="cellIs" dxfId="1757" priority="58" operator="lessThan">
      <formula>0.8</formula>
    </cfRule>
  </conditionalFormatting>
  <conditionalFormatting sqref="AC19:AC24">
    <cfRule type="cellIs" dxfId="1756" priority="55" operator="lessThan">
      <formula>0.8</formula>
    </cfRule>
  </conditionalFormatting>
  <conditionalFormatting sqref="AC28">
    <cfRule type="cellIs" dxfId="1755" priority="57" operator="lessThan">
      <formula>0.8</formula>
    </cfRule>
  </conditionalFormatting>
  <conditionalFormatting sqref="AC34:AC38">
    <cfRule type="cellIs" dxfId="1754" priority="53" operator="lessThan">
      <formula>0.8</formula>
    </cfRule>
  </conditionalFormatting>
  <conditionalFormatting sqref="AA58">
    <cfRule type="cellIs" dxfId="1753" priority="49" operator="lessThan">
      <formula>0</formula>
    </cfRule>
  </conditionalFormatting>
  <conditionalFormatting sqref="AB58">
    <cfRule type="cellIs" dxfId="1752" priority="47" operator="greaterThan">
      <formula>1</formula>
    </cfRule>
    <cfRule type="cellIs" dxfId="1751" priority="48" operator="lessThan">
      <formula>0.8</formula>
    </cfRule>
  </conditionalFormatting>
  <conditionalFormatting sqref="O14:O15">
    <cfRule type="cellIs" dxfId="1750" priority="42" operator="greaterThan">
      <formula>0</formula>
    </cfRule>
  </conditionalFormatting>
  <conditionalFormatting sqref="P14:P15">
    <cfRule type="cellIs" dxfId="1749" priority="45" operator="lessThan">
      <formula>0</formula>
    </cfRule>
  </conditionalFormatting>
  <conditionalFormatting sqref="Q14:Q15">
    <cfRule type="cellIs" dxfId="1748" priority="43" operator="greaterThan">
      <formula>1</formula>
    </cfRule>
    <cfRule type="cellIs" dxfId="1747" priority="44" operator="lessThan">
      <formula>0.8</formula>
    </cfRule>
  </conditionalFormatting>
  <conditionalFormatting sqref="R14:R15 AC14:AC15">
    <cfRule type="cellIs" dxfId="1746" priority="46" operator="lessThan">
      <formula>0.8</formula>
    </cfRule>
  </conditionalFormatting>
  <conditionalFormatting sqref="O10">
    <cfRule type="cellIs" dxfId="1745" priority="38" operator="greaterThan">
      <formula>0</formula>
    </cfRule>
  </conditionalFormatting>
  <conditionalFormatting sqref="P10">
    <cfRule type="cellIs" dxfId="1744" priority="41" operator="lessThan">
      <formula>0</formula>
    </cfRule>
  </conditionalFormatting>
  <conditionalFormatting sqref="Q10">
    <cfRule type="cellIs" dxfId="1743" priority="39" operator="greaterThan">
      <formula>1</formula>
    </cfRule>
    <cfRule type="cellIs" dxfId="1742" priority="40" operator="lessThan">
      <formula>0.8</formula>
    </cfRule>
  </conditionalFormatting>
  <conditionalFormatting sqref="AC26 R26">
    <cfRule type="cellIs" dxfId="1741" priority="37" operator="lessThan">
      <formula>0.8</formula>
    </cfRule>
  </conditionalFormatting>
  <conditionalFormatting sqref="O56">
    <cfRule type="cellIs" dxfId="1740" priority="32" operator="greaterThan">
      <formula>0</formula>
    </cfRule>
  </conditionalFormatting>
  <conditionalFormatting sqref="P56 AA56">
    <cfRule type="cellIs" dxfId="1739" priority="35" operator="lessThan">
      <formula>0</formula>
    </cfRule>
  </conditionalFormatting>
  <conditionalFormatting sqref="Q56 AB56">
    <cfRule type="cellIs" dxfId="1738" priority="33" operator="greaterThan">
      <formula>1</formula>
    </cfRule>
    <cfRule type="cellIs" dxfId="1737" priority="34" operator="lessThan">
      <formula>0.8</formula>
    </cfRule>
  </conditionalFormatting>
  <conditionalFormatting sqref="R56 AC56">
    <cfRule type="cellIs" dxfId="1736" priority="36" operator="lessThan">
      <formula>0.8</formula>
    </cfRule>
  </conditionalFormatting>
  <conditionalFormatting sqref="O65">
    <cfRule type="cellIs" dxfId="1735" priority="27" operator="greaterThan">
      <formula>0</formula>
    </cfRule>
  </conditionalFormatting>
  <conditionalFormatting sqref="P65">
    <cfRule type="cellIs" dxfId="1734" priority="30" operator="lessThan">
      <formula>0</formula>
    </cfRule>
  </conditionalFormatting>
  <conditionalFormatting sqref="Q65">
    <cfRule type="cellIs" dxfId="1733" priority="28" operator="greaterThan">
      <formula>1</formula>
    </cfRule>
    <cfRule type="cellIs" dxfId="1732" priority="29" operator="lessThan">
      <formula>0.8</formula>
    </cfRule>
  </conditionalFormatting>
  <conditionalFormatting sqref="R65">
    <cfRule type="cellIs" dxfId="1731" priority="31" operator="lessThan">
      <formula>0.8</formula>
    </cfRule>
  </conditionalFormatting>
  <conditionalFormatting sqref="O16:O17">
    <cfRule type="cellIs" dxfId="1730" priority="22" operator="greaterThan">
      <formula>0</formula>
    </cfRule>
  </conditionalFormatting>
  <conditionalFormatting sqref="P16:P17">
    <cfRule type="cellIs" dxfId="1729" priority="25" operator="lessThan">
      <formula>0</formula>
    </cfRule>
  </conditionalFormatting>
  <conditionalFormatting sqref="Q16:Q17">
    <cfRule type="cellIs" dxfId="1728" priority="23" operator="greaterThan">
      <formula>1</formula>
    </cfRule>
    <cfRule type="cellIs" dxfId="1727" priority="24" operator="lessThan">
      <formula>0.8</formula>
    </cfRule>
  </conditionalFormatting>
  <conditionalFormatting sqref="R16:R17 AC16:AC17">
    <cfRule type="cellIs" dxfId="1726" priority="26" operator="lessThan">
      <formula>0.8</formula>
    </cfRule>
  </conditionalFormatting>
  <conditionalFormatting sqref="O46">
    <cfRule type="cellIs" dxfId="1725" priority="16" operator="greaterThan">
      <formula>0</formula>
    </cfRule>
  </conditionalFormatting>
  <conditionalFormatting sqref="P46">
    <cfRule type="cellIs" dxfId="1724" priority="20" operator="lessThan">
      <formula>0</formula>
    </cfRule>
  </conditionalFormatting>
  <conditionalFormatting sqref="Q46">
    <cfRule type="cellIs" dxfId="1723" priority="17" operator="greaterThan">
      <formula>1</formula>
    </cfRule>
    <cfRule type="cellIs" dxfId="1722" priority="18" operator="lessThan">
      <formula>0.8</formula>
    </cfRule>
  </conditionalFormatting>
  <conditionalFormatting sqref="R46 AC46">
    <cfRule type="cellIs" dxfId="1721" priority="21" operator="lessThan">
      <formula>0.8</formula>
    </cfRule>
  </conditionalFormatting>
  <conditionalFormatting sqref="AC46">
    <cfRule type="cellIs" dxfId="1720" priority="19" operator="lessThan">
      <formula>0.8</formula>
    </cfRule>
  </conditionalFormatting>
  <conditionalFormatting sqref="R25 AC25">
    <cfRule type="cellIs" dxfId="1719" priority="15" operator="lessThan">
      <formula>0.8</formula>
    </cfRule>
  </conditionalFormatting>
  <conditionalFormatting sqref="AC25">
    <cfRule type="cellIs" dxfId="1718" priority="14" operator="lessThan">
      <formula>0.8</formula>
    </cfRule>
  </conditionalFormatting>
  <conditionalFormatting sqref="O55">
    <cfRule type="cellIs" dxfId="1717" priority="9" operator="greaterThan">
      <formula>0</formula>
    </cfRule>
  </conditionalFormatting>
  <conditionalFormatting sqref="P55 AA55">
    <cfRule type="cellIs" dxfId="1716" priority="12" operator="lessThan">
      <formula>0</formula>
    </cfRule>
  </conditionalFormatting>
  <conditionalFormatting sqref="Q55 AB55">
    <cfRule type="cellIs" dxfId="1715" priority="10" operator="greaterThan">
      <formula>1</formula>
    </cfRule>
    <cfRule type="cellIs" dxfId="1714" priority="11" operator="lessThan">
      <formula>0.8</formula>
    </cfRule>
  </conditionalFormatting>
  <conditionalFormatting sqref="R55 AC55">
    <cfRule type="cellIs" dxfId="1713" priority="13" operator="lessThan">
      <formula>0.8</formula>
    </cfRule>
  </conditionalFormatting>
  <conditionalFormatting sqref="P8">
    <cfRule type="cellIs" dxfId="1712" priority="8" operator="lessThan">
      <formula>0</formula>
    </cfRule>
  </conditionalFormatting>
  <conditionalFormatting sqref="P18">
    <cfRule type="cellIs" dxfId="1711" priority="7" operator="lessThan">
      <formula>0</formula>
    </cfRule>
  </conditionalFormatting>
  <conditionalFormatting sqref="P27">
    <cfRule type="cellIs" dxfId="1710" priority="6" operator="lessThan">
      <formula>0</formula>
    </cfRule>
  </conditionalFormatting>
  <conditionalFormatting sqref="P33">
    <cfRule type="cellIs" dxfId="1709" priority="5" operator="lessThan">
      <formula>0</formula>
    </cfRule>
  </conditionalFormatting>
  <conditionalFormatting sqref="P47">
    <cfRule type="cellIs" dxfId="1708" priority="4" operator="lessThan">
      <formula>0</formula>
    </cfRule>
  </conditionalFormatting>
  <conditionalFormatting sqref="P53">
    <cfRule type="cellIs" dxfId="1707" priority="3" operator="lessThan">
      <formula>0</formula>
    </cfRule>
  </conditionalFormatting>
  <conditionalFormatting sqref="P58">
    <cfRule type="cellIs" dxfId="1706" priority="2" operator="lessThan">
      <formula>0</formula>
    </cfRule>
  </conditionalFormatting>
  <conditionalFormatting sqref="P66">
    <cfRule type="cellIs" dxfId="1705" priority="1" operator="lessThan">
      <formula>0</formula>
    </cfRule>
  </conditionalFormatting>
  <dataValidations count="1">
    <dataValidation type="list" allowBlank="1" showInputMessage="1" showErrorMessage="1" sqref="Z8 Y5:Z7 Y8:Y57 Z10:Z54 Y58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1" sqref="B1:J2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87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88</v>
      </c>
      <c r="C3" s="497" t="str">
        <f>TEXT('1120 4度C'!A2,"yyyy.mm.ddaaaa")</f>
        <v>2025.11.20星期四</v>
      </c>
      <c r="D3" s="498"/>
      <c r="E3" s="4" t="s">
        <v>1628</v>
      </c>
      <c r="F3" s="499">
        <f>'1120 4度C'!D1</f>
        <v>177093</v>
      </c>
      <c r="G3" s="500"/>
      <c r="H3" s="4" t="s">
        <v>90</v>
      </c>
      <c r="I3" s="501">
        <f>'1120 4度C'!F1</f>
        <v>5993844.8700000001</v>
      </c>
      <c r="J3" s="502"/>
      <c r="K3" s="5"/>
      <c r="L3" s="6"/>
      <c r="M3" s="7"/>
      <c r="N3" s="7"/>
    </row>
    <row r="4" spans="2:17" ht="28.5" customHeight="1">
      <c r="B4" s="503" t="s">
        <v>91</v>
      </c>
      <c r="C4" s="485" t="s">
        <v>260</v>
      </c>
      <c r="D4" s="486"/>
      <c r="E4" s="506" t="s">
        <v>93</v>
      </c>
      <c r="F4" s="507"/>
      <c r="G4" s="506" t="s">
        <v>94</v>
      </c>
      <c r="H4" s="507"/>
      <c r="I4" s="506" t="s">
        <v>172</v>
      </c>
      <c r="J4" s="507"/>
      <c r="L4" s="7"/>
      <c r="M4" s="7"/>
      <c r="N4" s="7"/>
    </row>
    <row r="5" spans="2:17" ht="28.5" customHeight="1">
      <c r="B5" s="504"/>
      <c r="C5" s="485" t="s">
        <v>96</v>
      </c>
      <c r="D5" s="486"/>
      <c r="E5" s="485" t="s">
        <v>174</v>
      </c>
      <c r="F5" s="486"/>
      <c r="G5" s="487" t="s">
        <v>266</v>
      </c>
      <c r="H5" s="488"/>
      <c r="I5" s="489" t="s">
        <v>1629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152.68595900729565</v>
      </c>
      <c r="F6" s="492">
        <f>AVERAGE(D27:O27,D13:J13)</f>
        <v>157.78605620370266</v>
      </c>
      <c r="G6" s="493">
        <f>AVERAGE(D13:J13)</f>
        <v>157.78605620370266</v>
      </c>
      <c r="H6" s="494"/>
      <c r="I6" s="493">
        <f>AVERAGE(K13:M13)</f>
        <v>140.78573221567925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146.38750408619921</v>
      </c>
      <c r="F7" s="478">
        <f>AVERAGE(D28:O28,D14:J14)</f>
        <v>151.43786124541643</v>
      </c>
      <c r="G7" s="479">
        <f>AVERAGE(D14:J14)</f>
        <v>151.43786124541643</v>
      </c>
      <c r="H7" s="480"/>
      <c r="I7" s="479">
        <f>AVERAGE(K14:M14)</f>
        <v>134.60333738135907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0.95828622629696514</v>
      </c>
      <c r="F8" s="482">
        <f>AVERAGE(D15:J15,D29:O29)</f>
        <v>0.95922662932176928</v>
      </c>
      <c r="G8" s="483">
        <f>AVERAGE(D15:J15)</f>
        <v>0.95922662932176928</v>
      </c>
      <c r="H8" s="484"/>
      <c r="I8" s="483">
        <f>AVERAGE(K15:M15)</f>
        <v>0.95609195257242197</v>
      </c>
      <c r="J8" s="484"/>
      <c r="K8" s="8" t="s">
        <v>1630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100</v>
      </c>
      <c r="C10" s="459"/>
      <c r="D10" s="460" t="s">
        <v>1631</v>
      </c>
      <c r="E10" s="461"/>
      <c r="F10" s="461"/>
      <c r="G10" s="461"/>
      <c r="H10" s="461"/>
      <c r="I10" s="461"/>
      <c r="J10" s="462"/>
      <c r="K10" s="463" t="s">
        <v>102</v>
      </c>
      <c r="L10" s="464"/>
      <c r="M10" s="465"/>
      <c r="P10" s="11"/>
      <c r="Q10" s="11"/>
    </row>
    <row r="11" spans="2:17" ht="17.25" customHeight="1">
      <c r="B11" s="466" t="s">
        <v>103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78</v>
      </c>
      <c r="C13" s="18" t="s">
        <v>183</v>
      </c>
      <c r="D13" s="19">
        <f>SUMIFS('1120 4度C'!$K:$K,'1120 4度C'!$A:$A,"新豐6線",'1120 4度C'!$B:$B,"平均")</f>
        <v>137.93103448275863</v>
      </c>
      <c r="E13" s="20">
        <f>SUMIFS('1120 4度C'!$K:$K,'1120 4度C'!$A:$A,"新豐2線",'1120 4度C'!$B:$B,"平均")</f>
        <v>81.081081081081081</v>
      </c>
      <c r="F13" s="21">
        <f>SUMIFS('1120 4度C'!$K:$K,'1120 4度C'!$A:$A,"新豐5線",'1120 4度C'!$B:$B,"平均")</f>
        <v>100.80645161290322</v>
      </c>
      <c r="G13" s="21">
        <f>SUMIFS('1120 4度C'!$K:$K,'1120 4度C'!$A:$A,"新豐7線",'1120 4度C'!$B:$B,"平均")</f>
        <v>114.81481481481481</v>
      </c>
      <c r="H13" s="21">
        <f>SUMIFS('1120 4度C'!$K:$K,'1120 4度C'!$A:$A,"新豐3線",'1120 4度C'!$B:$B,"平均")</f>
        <v>265.95744680851061</v>
      </c>
      <c r="I13" s="21">
        <f>SUMIFS('1120 4度C'!$K:$K,'1120 4度C'!$A:$A,"新豐1線",'1120 4度C'!$B:$B,"平均")</f>
        <v>112.24489795918367</v>
      </c>
      <c r="J13" s="22">
        <f>SUMIFS('1120 4度C'!$K:$K,'1120 4度C'!$A:$A,"新豐10線",'1120 4度C'!$B:$B,"平均")</f>
        <v>291.66666666666669</v>
      </c>
      <c r="K13" s="23">
        <f>SUMIFS('1120 4度C'!$K:$K,'1120 4度C'!$A:$A,"新豐8線",'1120 4度C'!$B:$B,"平均")</f>
        <v>135.48387096774192</v>
      </c>
      <c r="L13" s="24">
        <f>SUMIFS('1120 4度C'!$K:$K,'1120 4度C'!$A:$A,"新豐9線",'1120 4度C'!$B:$B,"平均")</f>
        <v>143.58974358974359</v>
      </c>
      <c r="M13" s="22">
        <f>SUMIFS('1120 4度C'!$K:$K,'1120 4度C'!$A:$A,"新豐4線",'1120 4度C'!$B:$B,"平均")</f>
        <v>143.28358208955223</v>
      </c>
    </row>
    <row r="14" spans="2:17" ht="39.6" customHeight="1">
      <c r="B14" s="471"/>
      <c r="C14" s="25" t="s">
        <v>1632</v>
      </c>
      <c r="D14" s="26">
        <f>SUMIFS('1120 4度C'!$N:$N,'1120 4度C'!$A:$A,"新豐6線",'1120 4度C'!$B:$B,"平均")</f>
        <v>132.42637099511597</v>
      </c>
      <c r="E14" s="27">
        <f>SUMIFS('1120 4度C'!$N:$N,'1120 4度C'!$A:$A,"新豐2線",'1120 4度C'!$B:$B,"平均")</f>
        <v>77.481013410636166</v>
      </c>
      <c r="F14" s="27">
        <f>SUMIFS('1120 4度C'!$N:$N,'1120 4度C'!$A:$A,"新豐5線",'1120 4度C'!$B:$B,"平均")</f>
        <v>96.981978400156876</v>
      </c>
      <c r="G14" s="27">
        <f>SUMIFS('1120 4度C'!$N:$N,'1120 4度C'!$A:$A,"新豐7線",'1120 4度C'!$B:$B,"平均")</f>
        <v>109.87790235301107</v>
      </c>
      <c r="H14" s="27">
        <f>SUMIFS('1120 4度C'!$N:$N,'1120 4度C'!$A:$A,"新豐3線",'1120 4度C'!$B:$B,"平均")</f>
        <v>255.25124897531038</v>
      </c>
      <c r="I14" s="27">
        <f>SUMIFS('1120 4度C'!$N:$N,'1120 4度C'!$A:$A,"新豐1線",'1120 4度C'!$B:$B,"平均")</f>
        <v>107.5890437924126</v>
      </c>
      <c r="J14" s="28">
        <f>SUMIFS('1120 4度C'!$N:$N,'1120 4度C'!$A:$A,"新豐10線",'1120 4度C'!$B:$B,"平均")</f>
        <v>280.45747079127227</v>
      </c>
      <c r="K14" s="29">
        <f>SUMIFS('1120 4度C'!$N:$N,'1120 4度C'!$A:$A,"新豐8線",'1120 4度C'!$B:$B,"平均")</f>
        <v>129.56323260340014</v>
      </c>
      <c r="L14" s="30">
        <f>SUMIFS('1120 4度C'!$N:$N,'1120 4度C'!$A:$A,"新豐9線",'1120 4度C'!$B:$B,"平均")</f>
        <v>136.96533726373386</v>
      </c>
      <c r="M14" s="28">
        <f>SUMIFS('1120 4度C'!$N:$N,'1120 4度C'!$A:$A,"新豐4線",'1120 4度C'!$B:$B,"平均")</f>
        <v>137.28144227694318</v>
      </c>
    </row>
    <row r="15" spans="2:17" ht="40.15" customHeight="1">
      <c r="B15" s="472"/>
      <c r="C15" s="31" t="s">
        <v>1633</v>
      </c>
      <c r="D15" s="32">
        <f t="shared" ref="D15:M15" si="0">D14/D13</f>
        <v>0.96009118971459073</v>
      </c>
      <c r="E15" s="33">
        <f t="shared" si="0"/>
        <v>0.95559916539784606</v>
      </c>
      <c r="F15" s="33">
        <f t="shared" si="0"/>
        <v>0.96206122572955632</v>
      </c>
      <c r="G15" s="33">
        <f t="shared" si="0"/>
        <v>0.9570010850100964</v>
      </c>
      <c r="H15" s="33">
        <f t="shared" si="0"/>
        <v>0.95974469614716706</v>
      </c>
      <c r="I15" s="33">
        <f t="shared" si="0"/>
        <v>0.95852057196876672</v>
      </c>
      <c r="J15" s="34">
        <f t="shared" si="0"/>
        <v>0.96156847128436196</v>
      </c>
      <c r="K15" s="32">
        <f t="shared" si="0"/>
        <v>0.9563000501679535</v>
      </c>
      <c r="L15" s="33">
        <f t="shared" si="0"/>
        <v>0.95386574165814653</v>
      </c>
      <c r="M15" s="34">
        <f t="shared" si="0"/>
        <v>0.95811006589116599</v>
      </c>
    </row>
    <row r="16" spans="2:17" ht="17.25" customHeight="1">
      <c r="B16" s="473" t="s">
        <v>186</v>
      </c>
      <c r="C16" s="35" t="s">
        <v>187</v>
      </c>
      <c r="D16" s="49">
        <f>VLOOKUP("新豐6線",'1120 4度C'!$A:$T,19,0)</f>
        <v>0.70833333333333337</v>
      </c>
      <c r="E16" s="50">
        <f>VLOOKUP("新豐2線",'1120 4度C'!$A:$T,19,0)</f>
        <v>0.20833333333333334</v>
      </c>
      <c r="F16" s="50">
        <f>VLOOKUP("新豐5線",'1120 4度C'!$A:$T,19,0)</f>
        <v>0.125</v>
      </c>
      <c r="G16" s="50">
        <f>VLOOKUP("新豐7線",'1120 4度C'!$A:$T,19,0)</f>
        <v>0.20833333333333334</v>
      </c>
      <c r="H16" s="50">
        <f>VLOOKUP("新豐3線",'1120 4度C'!$A:$T,19,0)</f>
        <v>8.3333333333333329E-2</v>
      </c>
      <c r="I16" s="50">
        <f>VLOOKUP("新豐1線",'1120 4度C'!$A:$T,19,0)</f>
        <v>0.20833333333333334</v>
      </c>
      <c r="J16" s="51">
        <f>VLOOKUP("新豐10線",'1120 4度C'!$A:$T,19,0)</f>
        <v>0.20833333333333334</v>
      </c>
      <c r="K16" s="36">
        <f>VLOOKUP("新豐8線",'1120 4度C'!$A:$T,19,0)</f>
        <v>8.3333333333333329E-2</v>
      </c>
      <c r="L16" s="37">
        <f>VLOOKUP("新豐9線",'1120 4度C'!$A:$T,19,0)</f>
        <v>8.3333333333333329E-2</v>
      </c>
      <c r="M16" s="38">
        <f>VLOOKUP("新豐4線",'1120 4度C'!$A:$T,19,0)</f>
        <v>8.3333333333333329E-2</v>
      </c>
    </row>
    <row r="17" spans="2:13" ht="17.25" customHeight="1">
      <c r="B17" s="474"/>
      <c r="C17" s="35" t="s">
        <v>188</v>
      </c>
      <c r="D17" s="36">
        <f>LOOKUP(2,1/(('1120 4度C'!$A:$A="新豐6線")*('1120 4度C'!$T:$T&lt;&gt;"")),'1120 4度C'!$T:$T)</f>
        <v>0.90555555555555545</v>
      </c>
      <c r="E17" s="50">
        <f>LOOKUP(2,1/(('1120 4度C'!$A:$A="新豐2線")*('1120 4度C'!$T:$T&lt;&gt;"")),'1120 4度C'!$T:$T)</f>
        <v>0.43888888888888888</v>
      </c>
      <c r="F17" s="50">
        <f>LOOKUP(2,1/(('1120 4度C'!$A:$A="新豐5線")*('1120 4度C'!$T:$T&lt;&gt;"")),'1120 4度C'!$T:$T)</f>
        <v>0.91736111111111107</v>
      </c>
      <c r="G17" s="50">
        <f>LOOKUP(2,1/(('1120 4度C'!$A:$A="新豐7線")*('1120 4度C'!$T:$T&lt;&gt;"")),'1120 4度C'!$T:$T)</f>
        <v>0.85069444444444442</v>
      </c>
      <c r="H17" s="50">
        <f>LOOKUP(2,1/(('1120 4度C'!$A:$A="新豐3線")*('1120 4度C'!$T:$T&lt;&gt;"")),'1120 4度C'!$T:$T)</f>
        <v>0.60972222222222205</v>
      </c>
      <c r="I17" s="50">
        <f>LOOKUP(2,1/(('1120 4度C'!$A:$A="新豐1線")*('1120 4度C'!$T:$T&lt;&gt;"")),'1120 4度C'!$T:$T)</f>
        <v>0.92986111111111103</v>
      </c>
      <c r="J17" s="51">
        <f>LOOKUP(2,1/(('1120 4度C'!$A:$A="新豐10線")*('1120 4度C'!$T:$T&lt;&gt;"")),'1120 4度C'!$T:$T)</f>
        <v>0.44374999999999998</v>
      </c>
      <c r="K17" s="49">
        <f>LOOKUP(2,1/(('1120 4度C'!$A:$A="新豐8線")*('1120 4度C'!$T:$T&lt;&gt;"")),'1120 4度C'!$T:$T)</f>
        <v>0.69236111111111098</v>
      </c>
      <c r="L17" s="50">
        <f>LOOKUP(2,1/(('1120 4度C'!$A:$A="新豐9線")*('1120 4度C'!$T:$T&lt;&gt;"")),'1120 4度C'!$T:$T)</f>
        <v>0.64236111111111116</v>
      </c>
      <c r="M17" s="51">
        <f>LOOKUP(2,1/(('1120 4度C'!$A:$A="新豐4線")*('1120 4度C'!$T:$T&lt;&gt;"")),'1120 4度C'!$T:$T)</f>
        <v>0.60972222222222205</v>
      </c>
    </row>
    <row r="18" spans="2:13" ht="17.25" customHeight="1">
      <c r="B18" s="452" t="s">
        <v>1634</v>
      </c>
      <c r="C18" s="453"/>
      <c r="D18" s="39">
        <f>SUMIFS('1120 4度C'!$I:$I,'1120 4度C'!$A:$A,"新豐6線",'1120 4度C'!$B:$B,"平均")</f>
        <v>14.5</v>
      </c>
      <c r="E18" s="40">
        <f>SUMIFS('1120 4度C'!$I:$I,'1120 4度C'!$A:$A,"新豐2線",'1120 4度C'!$B:$B,"平均")</f>
        <v>18.5</v>
      </c>
      <c r="F18" s="40">
        <f>SUMIFS('1120 4度C'!$I:$I,'1120 4度C'!$A:$A,"新豐5線",'1120 4度C'!$B:$B,"平均")</f>
        <v>17.714285714285715</v>
      </c>
      <c r="G18" s="40">
        <f>SUMIFS('1120 4度C'!$I:$I,'1120 4度C'!$A:$A,"新豐7線",'1120 4度C'!$B:$B,"平均")</f>
        <v>16.875</v>
      </c>
      <c r="H18" s="40">
        <f>SUMIFS('1120 4度C'!$I:$I,'1120 4度C'!$A:$A,"新豐3線",'1120 4度C'!$B:$B,"平均")</f>
        <v>10.444444444444445</v>
      </c>
      <c r="I18" s="40">
        <f>SUMIFS('1120 4度C'!$I:$I,'1120 4度C'!$A:$A,"新豐1線",'1120 4度C'!$B:$B,"平均")</f>
        <v>16.333333333333332</v>
      </c>
      <c r="J18" s="41">
        <f>SUMIFS('1120 4度C'!$I:$I,'1120 4度C'!$A:$A,"新豐10線",'1120 4度C'!$B:$B,"平均")</f>
        <v>9</v>
      </c>
      <c r="K18" s="39">
        <f>SUMIFS('1120 4度C'!$I:$I,'1120 4度C'!$A:$A,"新豐8線",'1120 4度C'!$B:$B,"平均")</f>
        <v>17.714285714285715</v>
      </c>
      <c r="L18" s="40">
        <f>SUMIFS('1120 4度C'!$I:$I,'1120 4度C'!$A:$A,"新豐9線",'1120 4度C'!$B:$B,"平均")</f>
        <v>16.714285714285715</v>
      </c>
      <c r="M18" s="41">
        <f>SUMIFS('1120 4度C'!$I:$I,'1120 4度C'!$A:$A,"新豐4線",'1120 4度C'!$B:$B,"平均")</f>
        <v>16.75</v>
      </c>
    </row>
    <row r="19" spans="2:13" ht="17.25" customHeight="1">
      <c r="B19" s="452" t="s">
        <v>190</v>
      </c>
      <c r="C19" s="453"/>
      <c r="D19" s="42" t="s">
        <v>65</v>
      </c>
      <c r="E19" s="43" t="s">
        <v>66</v>
      </c>
      <c r="F19" s="43" t="s">
        <v>1635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71</v>
      </c>
      <c r="L19" s="43" t="s">
        <v>1636</v>
      </c>
      <c r="M19" s="44" t="s">
        <v>71</v>
      </c>
    </row>
    <row r="20" spans="2:13" ht="17.25" customHeight="1">
      <c r="B20" s="452" t="s">
        <v>1637</v>
      </c>
      <c r="C20" s="453"/>
      <c r="D20" s="42"/>
      <c r="E20" s="43"/>
      <c r="F20" s="43" t="s">
        <v>114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198</v>
      </c>
      <c r="F21" s="456" t="s">
        <v>199</v>
      </c>
      <c r="G21" s="457"/>
      <c r="H21" s="46" t="s">
        <v>118</v>
      </c>
      <c r="I21" s="46" t="s">
        <v>201</v>
      </c>
      <c r="J21" s="47" t="s">
        <v>1638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70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7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K2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customWidth="1"/>
    <col min="6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120</v>
      </c>
      <c r="B1" s="52"/>
      <c r="C1" s="53" t="s">
        <v>204</v>
      </c>
      <c r="D1" s="54">
        <f>SUM(F5:F76)</f>
        <v>177093</v>
      </c>
      <c r="E1" s="312" t="s">
        <v>73</v>
      </c>
      <c r="F1" s="52">
        <f>SUM(G5:G76)</f>
        <v>5993844.8700000001</v>
      </c>
      <c r="G1" s="52" t="s">
        <v>1639</v>
      </c>
      <c r="H1" s="55">
        <f>L9+L12+L55+L62+L20+L67+L37+L45+L29+L76</f>
        <v>154.54563492063494</v>
      </c>
      <c r="I1" s="556" t="s">
        <v>1640</v>
      </c>
      <c r="J1" s="556"/>
      <c r="K1" s="556"/>
      <c r="L1" s="556" t="s">
        <v>616</v>
      </c>
      <c r="M1" s="556"/>
      <c r="N1" s="556"/>
      <c r="O1" s="556" t="s">
        <v>1641</v>
      </c>
      <c r="P1" s="556"/>
      <c r="Q1" s="556"/>
      <c r="R1" s="556"/>
      <c r="S1" s="556" t="s">
        <v>1642</v>
      </c>
      <c r="T1" s="556"/>
      <c r="U1" s="556"/>
      <c r="V1" s="556"/>
      <c r="W1" s="556"/>
      <c r="X1" s="556"/>
      <c r="Y1" s="556" t="s">
        <v>1643</v>
      </c>
      <c r="Z1" s="556"/>
      <c r="AA1" s="556" t="s">
        <v>1644</v>
      </c>
      <c r="AB1" s="557"/>
      <c r="AC1" s="557"/>
    </row>
    <row r="2" spans="1:29" ht="26.25" customHeight="1">
      <c r="A2" s="57">
        <v>45981</v>
      </c>
      <c r="B2" s="58" t="s">
        <v>552</v>
      </c>
      <c r="C2" s="53" t="s">
        <v>78</v>
      </c>
      <c r="D2" s="59">
        <f>AVERAGE(N9,N12,N55,N62,N20,N67,N29,N37,N45,N76)</f>
        <v>146.38750408619924</v>
      </c>
      <c r="E2" s="60" t="s">
        <v>0</v>
      </c>
      <c r="F2" s="61">
        <f>F1/D1</f>
        <v>33.845746980400129</v>
      </c>
      <c r="G2" s="52" t="s">
        <v>1645</v>
      </c>
      <c r="H2" s="322">
        <f>COUNT(H5:H76)</f>
        <v>10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1646</v>
      </c>
      <c r="B3" s="510" t="s">
        <v>1647</v>
      </c>
      <c r="C3" s="510" t="s">
        <v>1648</v>
      </c>
      <c r="D3" s="510"/>
      <c r="E3" s="554" t="s">
        <v>1649</v>
      </c>
      <c r="F3" s="510" t="s">
        <v>1650</v>
      </c>
      <c r="G3" s="554" t="s">
        <v>1651</v>
      </c>
      <c r="H3" s="547" t="s">
        <v>1652</v>
      </c>
      <c r="I3" s="545" t="s">
        <v>1653</v>
      </c>
      <c r="J3" s="550" t="s">
        <v>1654</v>
      </c>
      <c r="K3" s="552" t="s">
        <v>78</v>
      </c>
      <c r="L3" s="545" t="s">
        <v>1655</v>
      </c>
      <c r="M3" s="550" t="s">
        <v>1656</v>
      </c>
      <c r="N3" s="552" t="s">
        <v>78</v>
      </c>
      <c r="O3" s="545" t="s">
        <v>1657</v>
      </c>
      <c r="P3" s="552" t="s">
        <v>1658</v>
      </c>
      <c r="Q3" s="551" t="s">
        <v>1659</v>
      </c>
      <c r="R3" s="523" t="s">
        <v>1660</v>
      </c>
      <c r="S3" s="553" t="s">
        <v>1</v>
      </c>
      <c r="T3" s="553"/>
      <c r="U3" s="547" t="s">
        <v>2</v>
      </c>
      <c r="V3" s="547" t="s">
        <v>1661</v>
      </c>
      <c r="W3" s="510" t="s">
        <v>1662</v>
      </c>
      <c r="X3" s="510"/>
      <c r="Y3" s="548" t="s">
        <v>1663</v>
      </c>
      <c r="Z3" s="549"/>
      <c r="AA3" s="550" t="s">
        <v>224</v>
      </c>
      <c r="AB3" s="551" t="s">
        <v>1664</v>
      </c>
      <c r="AC3" s="523" t="s">
        <v>1665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21" t="s">
        <v>3</v>
      </c>
      <c r="T4" s="321" t="s">
        <v>4</v>
      </c>
      <c r="U4" s="547"/>
      <c r="V4" s="547"/>
      <c r="W4" s="312" t="s">
        <v>146</v>
      </c>
      <c r="X4" s="312" t="s">
        <v>1666</v>
      </c>
      <c r="Y4" s="549"/>
      <c r="Z4" s="549"/>
      <c r="AA4" s="550"/>
      <c r="AB4" s="551"/>
      <c r="AC4" s="523"/>
    </row>
    <row r="5" spans="1:29">
      <c r="A5" s="544" t="s">
        <v>1667</v>
      </c>
      <c r="B5" s="62" t="s">
        <v>6</v>
      </c>
      <c r="C5" s="546" t="s">
        <v>9</v>
      </c>
      <c r="D5" s="546"/>
      <c r="E5" s="62">
        <v>50.67</v>
      </c>
      <c r="F5" s="321">
        <v>1532</v>
      </c>
      <c r="G5" s="312">
        <f t="shared" ref="G5:G8" si="0">E5*F5</f>
        <v>77626.44</v>
      </c>
      <c r="H5" s="90" t="s">
        <v>5</v>
      </c>
      <c r="I5" s="319">
        <v>17</v>
      </c>
      <c r="J5" s="63">
        <v>2000</v>
      </c>
      <c r="K5" s="64">
        <f t="shared" ref="K5:K68" si="1">J5/I5</f>
        <v>117.64705882352941</v>
      </c>
      <c r="L5" s="319">
        <v>17</v>
      </c>
      <c r="M5" s="65">
        <f t="shared" ref="M5:M8" si="2">F5/V5*60</f>
        <v>1915.0000000000005</v>
      </c>
      <c r="N5" s="64">
        <f t="shared" ref="N5:N68" si="3">M5/L5</f>
        <v>112.64705882352943</v>
      </c>
      <c r="O5" s="66">
        <f t="shared" ref="O5:O68" si="4">L5-I5</f>
        <v>0</v>
      </c>
      <c r="P5" s="67">
        <f t="shared" ref="P5:P68" si="5">N5-K5</f>
        <v>-4.9999999999999716</v>
      </c>
      <c r="Q5" s="313">
        <f t="shared" ref="Q5:Q68" si="6">N5/K5</f>
        <v>0.95750000000000024</v>
      </c>
      <c r="R5" s="511">
        <f>Q9</f>
        <v>0.96009118971459073</v>
      </c>
      <c r="S5" s="68">
        <v>0.70833333333333337</v>
      </c>
      <c r="T5" s="68">
        <v>0.7416666666666667</v>
      </c>
      <c r="U5" s="312"/>
      <c r="V5" s="320">
        <f t="shared" ref="V5:V8" si="7">(T5-S5)*24*60</f>
        <v>47.999999999999986</v>
      </c>
      <c r="W5" s="69"/>
      <c r="X5" s="70"/>
      <c r="Y5" s="510"/>
      <c r="Z5" s="510"/>
      <c r="AA5" s="66">
        <f t="shared" ref="AA5:AA68" si="8">M5-J5</f>
        <v>-84.999999999999545</v>
      </c>
      <c r="AB5" s="313">
        <f t="shared" ref="AB5:AB68" si="9">M5/J5</f>
        <v>0.95750000000000024</v>
      </c>
      <c r="AC5" s="511">
        <f>AB9</f>
        <v>0.96009118971459073</v>
      </c>
    </row>
    <row r="6" spans="1:29">
      <c r="A6" s="545" t="s">
        <v>1668</v>
      </c>
      <c r="B6" s="62" t="s">
        <v>6</v>
      </c>
      <c r="C6" s="546" t="s">
        <v>8</v>
      </c>
      <c r="D6" s="546"/>
      <c r="E6" s="62">
        <v>50.49</v>
      </c>
      <c r="F6" s="321">
        <v>1951</v>
      </c>
      <c r="G6" s="312">
        <f t="shared" si="0"/>
        <v>98505.99</v>
      </c>
      <c r="H6" s="90" t="s">
        <v>5</v>
      </c>
      <c r="I6" s="319">
        <v>15</v>
      </c>
      <c r="J6" s="63">
        <v>2000</v>
      </c>
      <c r="K6" s="64">
        <f t="shared" si="1"/>
        <v>133.33333333333334</v>
      </c>
      <c r="L6" s="319">
        <v>15</v>
      </c>
      <c r="M6" s="65">
        <f t="shared" si="2"/>
        <v>1919.0163934426248</v>
      </c>
      <c r="N6" s="64">
        <f t="shared" si="3"/>
        <v>127.93442622950832</v>
      </c>
      <c r="O6" s="66">
        <f t="shared" si="4"/>
        <v>0</v>
      </c>
      <c r="P6" s="67">
        <f t="shared" si="5"/>
        <v>-5.3989071038250245</v>
      </c>
      <c r="Q6" s="313">
        <f t="shared" si="6"/>
        <v>0.95950819672131227</v>
      </c>
      <c r="R6" s="511"/>
      <c r="S6" s="68">
        <v>0.74652777777777779</v>
      </c>
      <c r="T6" s="68">
        <v>0.78888888888888886</v>
      </c>
      <c r="U6" s="312">
        <f t="shared" ref="U6:U8" si="10">IF(S6=TIME(17,0,0),"",(S6-T5)*24*60)</f>
        <v>6.9999999999999751</v>
      </c>
      <c r="V6" s="320">
        <f t="shared" si="7"/>
        <v>60.999999999999943</v>
      </c>
      <c r="W6" s="69"/>
      <c r="X6" s="69"/>
      <c r="Y6" s="510"/>
      <c r="Z6" s="510"/>
      <c r="AA6" s="66">
        <f t="shared" si="8"/>
        <v>-80.983606557375197</v>
      </c>
      <c r="AB6" s="313">
        <f t="shared" si="9"/>
        <v>0.95950819672131238</v>
      </c>
      <c r="AC6" s="511"/>
    </row>
    <row r="7" spans="1:29">
      <c r="A7" s="545" t="s">
        <v>1669</v>
      </c>
      <c r="B7" s="62" t="s">
        <v>6</v>
      </c>
      <c r="C7" s="539" t="s">
        <v>886</v>
      </c>
      <c r="D7" s="540"/>
      <c r="E7" s="62">
        <v>57.3</v>
      </c>
      <c r="F7" s="321">
        <v>2000</v>
      </c>
      <c r="G7" s="312">
        <f t="shared" si="0"/>
        <v>114600</v>
      </c>
      <c r="H7" s="90">
        <v>2</v>
      </c>
      <c r="I7" s="319">
        <v>13</v>
      </c>
      <c r="J7" s="63">
        <v>2000</v>
      </c>
      <c r="K7" s="64">
        <f t="shared" si="1"/>
        <v>153.84615384615384</v>
      </c>
      <c r="L7" s="319">
        <v>13</v>
      </c>
      <c r="M7" s="65">
        <f t="shared" si="2"/>
        <v>1904.7619047619066</v>
      </c>
      <c r="N7" s="64">
        <f t="shared" si="3"/>
        <v>146.52014652014665</v>
      </c>
      <c r="O7" s="66">
        <f t="shared" si="4"/>
        <v>0</v>
      </c>
      <c r="P7" s="67">
        <f t="shared" si="5"/>
        <v>-7.3260073260071863</v>
      </c>
      <c r="Q7" s="313">
        <f t="shared" si="6"/>
        <v>0.95238095238095333</v>
      </c>
      <c r="R7" s="511"/>
      <c r="S7" s="68">
        <v>0.7944444444444444</v>
      </c>
      <c r="T7" s="68">
        <v>0.83819444444444435</v>
      </c>
      <c r="U7" s="312">
        <f t="shared" si="10"/>
        <v>7.9999999999999716</v>
      </c>
      <c r="V7" s="320">
        <f t="shared" si="7"/>
        <v>62.999999999999936</v>
      </c>
      <c r="W7" s="69">
        <f>T7</f>
        <v>0.83819444444444435</v>
      </c>
      <c r="X7" s="69">
        <f>S8</f>
        <v>0.87708333333333321</v>
      </c>
      <c r="Y7" s="517"/>
      <c r="Z7" s="518"/>
      <c r="AA7" s="66">
        <f t="shared" si="8"/>
        <v>-95.238095238093365</v>
      </c>
      <c r="AB7" s="313">
        <f t="shared" si="9"/>
        <v>0.95238095238095333</v>
      </c>
      <c r="AC7" s="511"/>
    </row>
    <row r="8" spans="1:29">
      <c r="A8" s="545" t="s">
        <v>1669</v>
      </c>
      <c r="B8" s="62" t="s">
        <v>6</v>
      </c>
      <c r="C8" s="539" t="s">
        <v>886</v>
      </c>
      <c r="D8" s="540"/>
      <c r="E8" s="62">
        <v>57.3</v>
      </c>
      <c r="F8" s="321">
        <v>1327</v>
      </c>
      <c r="G8" s="312">
        <f t="shared" si="0"/>
        <v>76037.099999999991</v>
      </c>
      <c r="H8" s="90" t="s">
        <v>5</v>
      </c>
      <c r="I8" s="319">
        <v>13</v>
      </c>
      <c r="J8" s="63">
        <v>2000</v>
      </c>
      <c r="K8" s="64">
        <f t="shared" si="1"/>
        <v>153.84615384615384</v>
      </c>
      <c r="L8" s="319">
        <v>13</v>
      </c>
      <c r="M8" s="65">
        <f t="shared" si="2"/>
        <v>1941.9512195121943</v>
      </c>
      <c r="N8" s="64">
        <f t="shared" si="3"/>
        <v>149.38086303939957</v>
      </c>
      <c r="O8" s="66">
        <f t="shared" si="4"/>
        <v>0</v>
      </c>
      <c r="P8" s="67">
        <f t="shared" si="5"/>
        <v>-4.4652908067542683</v>
      </c>
      <c r="Q8" s="313">
        <f t="shared" si="6"/>
        <v>0.9709756097560972</v>
      </c>
      <c r="R8" s="511"/>
      <c r="S8" s="68">
        <v>0.87708333333333321</v>
      </c>
      <c r="T8" s="68">
        <v>0.90555555555555545</v>
      </c>
      <c r="U8" s="312">
        <f t="shared" si="10"/>
        <v>55.999999999999957</v>
      </c>
      <c r="V8" s="320">
        <f t="shared" si="7"/>
        <v>41.000000000000014</v>
      </c>
      <c r="W8" s="73"/>
      <c r="X8" s="73"/>
      <c r="Y8" s="517"/>
      <c r="Z8" s="518"/>
      <c r="AA8" s="66">
        <f t="shared" si="8"/>
        <v>-58.048780487805743</v>
      </c>
      <c r="AB8" s="313">
        <f t="shared" si="9"/>
        <v>0.97097560975609709</v>
      </c>
      <c r="AC8" s="511"/>
    </row>
    <row r="9" spans="1:29">
      <c r="A9" s="545" t="s">
        <v>1670</v>
      </c>
      <c r="B9" s="62" t="s">
        <v>79</v>
      </c>
      <c r="C9" s="513"/>
      <c r="D9" s="513"/>
      <c r="E9" s="314"/>
      <c r="F9" s="71"/>
      <c r="G9" s="64"/>
      <c r="H9" s="321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1920.1823794291815</v>
      </c>
      <c r="N9" s="64">
        <f t="shared" si="3"/>
        <v>132.42637099511597</v>
      </c>
      <c r="O9" s="66">
        <f t="shared" si="4"/>
        <v>0</v>
      </c>
      <c r="P9" s="67">
        <f t="shared" si="5"/>
        <v>-5.5046634876426594</v>
      </c>
      <c r="Q9" s="313">
        <f t="shared" si="6"/>
        <v>0.96009118971459073</v>
      </c>
      <c r="R9" s="511"/>
      <c r="S9" s="68"/>
      <c r="T9" s="68"/>
      <c r="U9" s="312"/>
      <c r="V9" s="320"/>
      <c r="W9" s="64"/>
      <c r="X9" s="64"/>
      <c r="Y9" s="510"/>
      <c r="Z9" s="510"/>
      <c r="AA9" s="66">
        <f t="shared" si="8"/>
        <v>-79.817620570818463</v>
      </c>
      <c r="AB9" s="313">
        <f t="shared" si="9"/>
        <v>0.96009118971459073</v>
      </c>
      <c r="AC9" s="511"/>
    </row>
    <row r="10" spans="1:29" ht="15.75" customHeight="1">
      <c r="A10" s="543" t="s">
        <v>1671</v>
      </c>
      <c r="B10" s="62" t="s">
        <v>10</v>
      </c>
      <c r="C10" s="539" t="s">
        <v>12</v>
      </c>
      <c r="D10" s="540"/>
      <c r="E10" s="62">
        <v>39.36</v>
      </c>
      <c r="F10" s="321">
        <v>1658</v>
      </c>
      <c r="G10" s="312">
        <f t="shared" ref="G10:G11" si="11">E10*F10</f>
        <v>65258.879999999997</v>
      </c>
      <c r="H10" s="90" t="s">
        <v>5</v>
      </c>
      <c r="I10" s="319">
        <v>20</v>
      </c>
      <c r="J10" s="63">
        <v>1500</v>
      </c>
      <c r="K10" s="64">
        <f t="shared" si="1"/>
        <v>75</v>
      </c>
      <c r="L10" s="319">
        <v>20</v>
      </c>
      <c r="M10" s="65">
        <f t="shared" ref="M10:M11" si="12">F10/V10*60</f>
        <v>1441.7391304347836</v>
      </c>
      <c r="N10" s="64">
        <f t="shared" si="3"/>
        <v>72.086956521739182</v>
      </c>
      <c r="O10" s="66">
        <f t="shared" si="4"/>
        <v>0</v>
      </c>
      <c r="P10" s="67">
        <f t="shared" si="5"/>
        <v>-2.9130434782608177</v>
      </c>
      <c r="Q10" s="313">
        <f t="shared" si="6"/>
        <v>0.96115942028985579</v>
      </c>
      <c r="R10" s="511">
        <f>Q12</f>
        <v>0.95559916539784606</v>
      </c>
      <c r="S10" s="68">
        <v>0.20833333333333334</v>
      </c>
      <c r="T10" s="68">
        <v>0.25624999999999998</v>
      </c>
      <c r="U10" s="312"/>
      <c r="V10" s="320">
        <f t="shared" ref="V10:V11" si="13">(T10-S10)*24*60</f>
        <v>68.999999999999957</v>
      </c>
      <c r="W10" s="69"/>
      <c r="X10" s="69"/>
      <c r="Y10" s="510"/>
      <c r="Z10" s="510"/>
      <c r="AA10" s="66">
        <f t="shared" si="8"/>
        <v>-58.260869565216353</v>
      </c>
      <c r="AB10" s="313">
        <f t="shared" si="9"/>
        <v>0.96115942028985579</v>
      </c>
      <c r="AC10" s="511">
        <f>AB12</f>
        <v>0.95559916539784595</v>
      </c>
    </row>
    <row r="11" spans="1:29" ht="15.75" customHeight="1">
      <c r="A11" s="543" t="s">
        <v>151</v>
      </c>
      <c r="B11" s="62" t="s">
        <v>10</v>
      </c>
      <c r="C11" s="539" t="s">
        <v>11</v>
      </c>
      <c r="D11" s="540"/>
      <c r="E11" s="62">
        <v>39.799999999999997</v>
      </c>
      <c r="F11" s="321">
        <v>6104</v>
      </c>
      <c r="G11" s="312">
        <f t="shared" si="11"/>
        <v>242939.19999999998</v>
      </c>
      <c r="H11" s="90" t="s">
        <v>5</v>
      </c>
      <c r="I11" s="319">
        <v>17</v>
      </c>
      <c r="J11" s="63">
        <v>1500</v>
      </c>
      <c r="K11" s="64">
        <f t="shared" si="1"/>
        <v>88.235294117647058</v>
      </c>
      <c r="L11" s="319">
        <v>17</v>
      </c>
      <c r="M11" s="65">
        <f t="shared" si="12"/>
        <v>1425.0583657587545</v>
      </c>
      <c r="N11" s="64">
        <f t="shared" si="3"/>
        <v>83.826962691691435</v>
      </c>
      <c r="O11" s="66">
        <f t="shared" si="4"/>
        <v>0</v>
      </c>
      <c r="P11" s="67">
        <f t="shared" si="5"/>
        <v>-4.4083314259556232</v>
      </c>
      <c r="Q11" s="313">
        <f t="shared" si="6"/>
        <v>0.95003891050583622</v>
      </c>
      <c r="R11" s="511"/>
      <c r="S11" s="68">
        <v>0.26041666666666663</v>
      </c>
      <c r="T11" s="68">
        <v>0.43888888888888888</v>
      </c>
      <c r="U11" s="312">
        <f t="shared" ref="U11" si="14">IF(S11=TIME(17,0,0),"",(S11-T10)*24*60)</f>
        <v>5.9999999999999787</v>
      </c>
      <c r="V11" s="320">
        <f t="shared" si="13"/>
        <v>257.00000000000006</v>
      </c>
      <c r="W11" s="69"/>
      <c r="X11" s="69"/>
      <c r="Y11" s="510"/>
      <c r="Z11" s="510"/>
      <c r="AA11" s="66">
        <f t="shared" si="8"/>
        <v>-74.941634241245538</v>
      </c>
      <c r="AB11" s="313">
        <f t="shared" si="9"/>
        <v>0.95003891050583633</v>
      </c>
      <c r="AC11" s="511"/>
    </row>
    <row r="12" spans="1:29" ht="16.5" customHeight="1">
      <c r="A12" s="543" t="s">
        <v>151</v>
      </c>
      <c r="B12" s="62" t="s">
        <v>1672</v>
      </c>
      <c r="C12" s="513"/>
      <c r="D12" s="513"/>
      <c r="E12" s="314"/>
      <c r="F12" s="63"/>
      <c r="G12" s="65"/>
      <c r="H12" s="321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1433.3987480967689</v>
      </c>
      <c r="N12" s="64">
        <f t="shared" si="3"/>
        <v>77.481013410636166</v>
      </c>
      <c r="O12" s="66">
        <f t="shared" si="4"/>
        <v>0</v>
      </c>
      <c r="P12" s="67">
        <f t="shared" si="5"/>
        <v>-3.6000676704449148</v>
      </c>
      <c r="Q12" s="313">
        <f t="shared" si="6"/>
        <v>0.95559916539784606</v>
      </c>
      <c r="R12" s="511"/>
      <c r="S12" s="68"/>
      <c r="T12" s="68"/>
      <c r="U12" s="64"/>
      <c r="V12" s="320"/>
      <c r="W12" s="64"/>
      <c r="X12" s="64"/>
      <c r="Y12" s="510"/>
      <c r="Z12" s="510"/>
      <c r="AA12" s="66">
        <f t="shared" si="8"/>
        <v>-66.601251903231059</v>
      </c>
      <c r="AB12" s="313">
        <f t="shared" si="9"/>
        <v>0.95559916539784595</v>
      </c>
      <c r="AC12" s="511"/>
    </row>
    <row r="13" spans="1:29" ht="16.5" customHeight="1">
      <c r="A13" s="541" t="s">
        <v>1673</v>
      </c>
      <c r="B13" s="321" t="s">
        <v>13</v>
      </c>
      <c r="C13" s="533" t="s">
        <v>14</v>
      </c>
      <c r="D13" s="533"/>
      <c r="E13" s="62">
        <v>41</v>
      </c>
      <c r="F13" s="321">
        <v>2909</v>
      </c>
      <c r="G13" s="312">
        <f t="shared" ref="G13:G19" si="15">E13*F13</f>
        <v>119269</v>
      </c>
      <c r="H13" s="90" t="s">
        <v>5</v>
      </c>
      <c r="I13" s="319">
        <v>26</v>
      </c>
      <c r="J13" s="63">
        <v>1500</v>
      </c>
      <c r="K13" s="64">
        <f t="shared" si="1"/>
        <v>57.692307692307693</v>
      </c>
      <c r="L13" s="319">
        <v>26</v>
      </c>
      <c r="M13" s="65">
        <f t="shared" ref="M13:M19" si="16">F13/V13*60</f>
        <v>1430.6557377049182</v>
      </c>
      <c r="N13" s="64">
        <f t="shared" si="3"/>
        <v>55.025220680958391</v>
      </c>
      <c r="O13" s="66">
        <f t="shared" si="4"/>
        <v>0</v>
      </c>
      <c r="P13" s="67">
        <f t="shared" si="5"/>
        <v>-2.6670870113493024</v>
      </c>
      <c r="Q13" s="313">
        <f t="shared" si="6"/>
        <v>0.95377049180327877</v>
      </c>
      <c r="R13" s="511">
        <f>Q20</f>
        <v>0.96206122572955632</v>
      </c>
      <c r="S13" s="68">
        <v>0.125</v>
      </c>
      <c r="T13" s="68">
        <v>0.2097222222222222</v>
      </c>
      <c r="U13" s="312"/>
      <c r="V13" s="320">
        <f t="shared" ref="V13:V19" si="17">(T13-S13)*24*60</f>
        <v>121.99999999999997</v>
      </c>
      <c r="W13" s="69">
        <f>T13</f>
        <v>0.2097222222222222</v>
      </c>
      <c r="X13" s="69">
        <f>S14</f>
        <v>0.22916666666666663</v>
      </c>
      <c r="Y13" s="510"/>
      <c r="Z13" s="510"/>
      <c r="AA13" s="66">
        <f t="shared" si="8"/>
        <v>-69.344262295081762</v>
      </c>
      <c r="AB13" s="313">
        <f t="shared" si="9"/>
        <v>0.95377049180327877</v>
      </c>
      <c r="AC13" s="511">
        <f>AB20</f>
        <v>0.96206122572955632</v>
      </c>
    </row>
    <row r="14" spans="1:29" ht="16.5" customHeight="1">
      <c r="A14" s="542" t="s">
        <v>242</v>
      </c>
      <c r="B14" s="321" t="s">
        <v>10</v>
      </c>
      <c r="C14" s="533" t="s">
        <v>15</v>
      </c>
      <c r="D14" s="533"/>
      <c r="E14" s="62">
        <v>39.619999999999997</v>
      </c>
      <c r="F14" s="321">
        <v>4048</v>
      </c>
      <c r="G14" s="312">
        <f t="shared" si="15"/>
        <v>160381.75999999998</v>
      </c>
      <c r="H14" s="90" t="s">
        <v>5</v>
      </c>
      <c r="I14" s="319">
        <v>19</v>
      </c>
      <c r="J14" s="63">
        <v>1500</v>
      </c>
      <c r="K14" s="64">
        <f t="shared" si="1"/>
        <v>78.94736842105263</v>
      </c>
      <c r="L14" s="319">
        <v>19</v>
      </c>
      <c r="M14" s="65">
        <f t="shared" si="16"/>
        <v>1428.705882352941</v>
      </c>
      <c r="N14" s="64">
        <f t="shared" si="3"/>
        <v>75.19504643962847</v>
      </c>
      <c r="O14" s="66">
        <f t="shared" si="4"/>
        <v>0</v>
      </c>
      <c r="P14" s="67">
        <f t="shared" si="5"/>
        <v>-3.75232198142416</v>
      </c>
      <c r="Q14" s="313">
        <f t="shared" si="6"/>
        <v>0.95247058823529396</v>
      </c>
      <c r="R14" s="511"/>
      <c r="S14" s="68">
        <v>0.22916666666666663</v>
      </c>
      <c r="T14" s="68">
        <v>0.34722222222222221</v>
      </c>
      <c r="U14" s="312">
        <f t="shared" ref="U14:U19" si="18">IF(S14=TIME(17,0,0),"",(S14-T13)*24*60)</f>
        <v>27.999999999999979</v>
      </c>
      <c r="V14" s="320">
        <f t="shared" si="17"/>
        <v>170.00000000000003</v>
      </c>
      <c r="W14" s="69"/>
      <c r="X14" s="69"/>
      <c r="Y14" s="510"/>
      <c r="Z14" s="510"/>
      <c r="AA14" s="66">
        <f t="shared" si="8"/>
        <v>-71.294117647059011</v>
      </c>
      <c r="AB14" s="313">
        <f t="shared" si="9"/>
        <v>0.95247058823529396</v>
      </c>
      <c r="AC14" s="511"/>
    </row>
    <row r="15" spans="1:29" ht="16.5" customHeight="1">
      <c r="A15" s="542" t="s">
        <v>242</v>
      </c>
      <c r="B15" s="321" t="s">
        <v>77</v>
      </c>
      <c r="C15" s="533" t="s">
        <v>76</v>
      </c>
      <c r="D15" s="533"/>
      <c r="E15" s="62">
        <v>57.3</v>
      </c>
      <c r="F15" s="321">
        <v>929</v>
      </c>
      <c r="G15" s="312">
        <f t="shared" si="15"/>
        <v>53231.7</v>
      </c>
      <c r="H15" s="90" t="s">
        <v>5</v>
      </c>
      <c r="I15" s="319">
        <v>16</v>
      </c>
      <c r="J15" s="63">
        <v>1500</v>
      </c>
      <c r="K15" s="64">
        <f t="shared" si="1"/>
        <v>93.75</v>
      </c>
      <c r="L15" s="319">
        <v>16</v>
      </c>
      <c r="M15" s="65">
        <f t="shared" si="16"/>
        <v>1429.2307692307684</v>
      </c>
      <c r="N15" s="64">
        <f t="shared" si="3"/>
        <v>89.326923076923023</v>
      </c>
      <c r="O15" s="66">
        <f t="shared" si="4"/>
        <v>0</v>
      </c>
      <c r="P15" s="67">
        <f t="shared" si="5"/>
        <v>-4.4230769230769766</v>
      </c>
      <c r="Q15" s="313">
        <f t="shared" si="6"/>
        <v>0.95282051282051228</v>
      </c>
      <c r="R15" s="511"/>
      <c r="S15" s="68">
        <v>0.35138888888888886</v>
      </c>
      <c r="T15" s="68">
        <v>0.37847222222222221</v>
      </c>
      <c r="U15" s="312">
        <f t="shared" si="18"/>
        <v>5.9999999999999787</v>
      </c>
      <c r="V15" s="320">
        <f t="shared" si="17"/>
        <v>39.000000000000021</v>
      </c>
      <c r="W15" s="69"/>
      <c r="X15" s="69"/>
      <c r="Y15" s="510"/>
      <c r="Z15" s="510"/>
      <c r="AA15" s="66">
        <f t="shared" si="8"/>
        <v>-70.769230769231626</v>
      </c>
      <c r="AB15" s="313">
        <f t="shared" si="9"/>
        <v>0.95282051282051228</v>
      </c>
      <c r="AC15" s="511"/>
    </row>
    <row r="16" spans="1:29" ht="16.5" customHeight="1">
      <c r="A16" s="542" t="s">
        <v>1674</v>
      </c>
      <c r="B16" s="321" t="s">
        <v>6</v>
      </c>
      <c r="C16" s="533" t="s">
        <v>890</v>
      </c>
      <c r="D16" s="533"/>
      <c r="E16" s="62">
        <v>50.98</v>
      </c>
      <c r="F16" s="321">
        <v>1300</v>
      </c>
      <c r="G16" s="312">
        <f t="shared" si="15"/>
        <v>66274</v>
      </c>
      <c r="H16" s="90">
        <v>2</v>
      </c>
      <c r="I16" s="319">
        <v>16</v>
      </c>
      <c r="J16" s="63">
        <v>2000</v>
      </c>
      <c r="K16" s="64">
        <f t="shared" si="1"/>
        <v>125</v>
      </c>
      <c r="L16" s="319">
        <v>16</v>
      </c>
      <c r="M16" s="65">
        <f t="shared" si="16"/>
        <v>1949.9999999999991</v>
      </c>
      <c r="N16" s="64">
        <f t="shared" si="3"/>
        <v>121.87499999999994</v>
      </c>
      <c r="O16" s="66">
        <f t="shared" si="4"/>
        <v>0</v>
      </c>
      <c r="P16" s="67">
        <f t="shared" si="5"/>
        <v>-3.1250000000000568</v>
      </c>
      <c r="Q16" s="313">
        <f t="shared" si="6"/>
        <v>0.97499999999999953</v>
      </c>
      <c r="R16" s="511"/>
      <c r="S16" s="68">
        <v>0.70833333333333337</v>
      </c>
      <c r="T16" s="68">
        <v>0.73611111111111116</v>
      </c>
      <c r="U16" s="312" t="str">
        <f t="shared" si="18"/>
        <v/>
      </c>
      <c r="V16" s="320">
        <f t="shared" si="17"/>
        <v>40.000000000000014</v>
      </c>
      <c r="W16" s="69"/>
      <c r="X16" s="69"/>
      <c r="Y16" s="510"/>
      <c r="Z16" s="510"/>
      <c r="AA16" s="66">
        <f t="shared" si="8"/>
        <v>-50.000000000000909</v>
      </c>
      <c r="AB16" s="313">
        <f t="shared" si="9"/>
        <v>0.97499999999999953</v>
      </c>
      <c r="AC16" s="511"/>
    </row>
    <row r="17" spans="1:29" ht="16.5" customHeight="1">
      <c r="A17" s="542" t="s">
        <v>1675</v>
      </c>
      <c r="B17" s="321" t="s">
        <v>6</v>
      </c>
      <c r="C17" s="533" t="s">
        <v>20</v>
      </c>
      <c r="D17" s="533"/>
      <c r="E17" s="62">
        <v>50.92</v>
      </c>
      <c r="F17" s="321">
        <v>3056</v>
      </c>
      <c r="G17" s="312">
        <f t="shared" si="15"/>
        <v>155611.52000000002</v>
      </c>
      <c r="H17" s="90" t="s">
        <v>5</v>
      </c>
      <c r="I17" s="319">
        <v>15</v>
      </c>
      <c r="J17" s="63">
        <v>2000</v>
      </c>
      <c r="K17" s="64">
        <f t="shared" si="1"/>
        <v>133.33333333333334</v>
      </c>
      <c r="L17" s="319">
        <v>15</v>
      </c>
      <c r="M17" s="65">
        <f t="shared" si="16"/>
        <v>1910.0000000000005</v>
      </c>
      <c r="N17" s="64">
        <f t="shared" si="3"/>
        <v>127.33333333333336</v>
      </c>
      <c r="O17" s="66">
        <f t="shared" si="4"/>
        <v>0</v>
      </c>
      <c r="P17" s="67">
        <f t="shared" si="5"/>
        <v>-5.9999999999999858</v>
      </c>
      <c r="Q17" s="313">
        <f t="shared" si="6"/>
        <v>0.95500000000000007</v>
      </c>
      <c r="R17" s="511"/>
      <c r="S17" s="68">
        <v>0.74097222222222225</v>
      </c>
      <c r="T17" s="68">
        <v>0.80763888888888891</v>
      </c>
      <c r="U17" s="312">
        <f t="shared" si="18"/>
        <v>6.9999999999999751</v>
      </c>
      <c r="V17" s="320">
        <f t="shared" si="17"/>
        <v>95.999999999999972</v>
      </c>
      <c r="W17" s="69"/>
      <c r="X17" s="69"/>
      <c r="Y17" s="510"/>
      <c r="Z17" s="510"/>
      <c r="AA17" s="66">
        <f t="shared" si="8"/>
        <v>-89.999999999999545</v>
      </c>
      <c r="AB17" s="313">
        <f t="shared" si="9"/>
        <v>0.95500000000000018</v>
      </c>
      <c r="AC17" s="511"/>
    </row>
    <row r="18" spans="1:29" ht="16.5" customHeight="1">
      <c r="A18" s="542" t="s">
        <v>242</v>
      </c>
      <c r="B18" s="321" t="s">
        <v>6</v>
      </c>
      <c r="C18" s="534" t="s">
        <v>7</v>
      </c>
      <c r="D18" s="535"/>
      <c r="E18" s="62">
        <v>46.93</v>
      </c>
      <c r="F18" s="321">
        <v>1138</v>
      </c>
      <c r="G18" s="312">
        <f t="shared" si="15"/>
        <v>53406.34</v>
      </c>
      <c r="H18" s="90" t="s">
        <v>5</v>
      </c>
      <c r="I18" s="319">
        <v>16</v>
      </c>
      <c r="J18" s="63">
        <v>2000</v>
      </c>
      <c r="K18" s="64">
        <f t="shared" si="1"/>
        <v>125</v>
      </c>
      <c r="L18" s="319">
        <v>16</v>
      </c>
      <c r="M18" s="65">
        <f t="shared" si="16"/>
        <v>1950.8571428571411</v>
      </c>
      <c r="N18" s="64">
        <f t="shared" si="3"/>
        <v>121.92857142857132</v>
      </c>
      <c r="O18" s="66">
        <f t="shared" si="4"/>
        <v>0</v>
      </c>
      <c r="P18" s="67">
        <f t="shared" si="5"/>
        <v>-3.0714285714286831</v>
      </c>
      <c r="Q18" s="313">
        <f t="shared" si="6"/>
        <v>0.97542857142857053</v>
      </c>
      <c r="R18" s="511"/>
      <c r="S18" s="68">
        <v>0.81319444444444444</v>
      </c>
      <c r="T18" s="68">
        <v>0.83750000000000002</v>
      </c>
      <c r="U18" s="312">
        <f t="shared" si="18"/>
        <v>7.9999999999999716</v>
      </c>
      <c r="V18" s="320">
        <f t="shared" si="17"/>
        <v>35.000000000000036</v>
      </c>
      <c r="W18" s="69">
        <f>T18</f>
        <v>0.83750000000000002</v>
      </c>
      <c r="X18" s="69">
        <f>S19</f>
        <v>0.87777777777777777</v>
      </c>
      <c r="Y18" s="517"/>
      <c r="Z18" s="518"/>
      <c r="AA18" s="66">
        <f t="shared" si="8"/>
        <v>-49.142857142858929</v>
      </c>
      <c r="AB18" s="313">
        <f t="shared" si="9"/>
        <v>0.97542857142857053</v>
      </c>
      <c r="AC18" s="511"/>
    </row>
    <row r="19" spans="1:29" ht="16.5" customHeight="1">
      <c r="A19" s="542" t="s">
        <v>242</v>
      </c>
      <c r="B19" s="321" t="s">
        <v>6</v>
      </c>
      <c r="C19" s="317" t="s">
        <v>890</v>
      </c>
      <c r="D19" s="318"/>
      <c r="E19" s="62">
        <v>50.98</v>
      </c>
      <c r="F19" s="321">
        <v>1830</v>
      </c>
      <c r="G19" s="312">
        <f t="shared" si="15"/>
        <v>93293.4</v>
      </c>
      <c r="H19" s="90" t="s">
        <v>5</v>
      </c>
      <c r="I19" s="319">
        <v>16</v>
      </c>
      <c r="J19" s="63">
        <v>2000</v>
      </c>
      <c r="K19" s="64">
        <f t="shared" si="1"/>
        <v>125</v>
      </c>
      <c r="L19" s="319">
        <v>16</v>
      </c>
      <c r="M19" s="65">
        <f t="shared" si="16"/>
        <v>1926.3157894736858</v>
      </c>
      <c r="N19" s="64">
        <f t="shared" si="3"/>
        <v>120.39473684210536</v>
      </c>
      <c r="O19" s="66">
        <f t="shared" si="4"/>
        <v>0</v>
      </c>
      <c r="P19" s="67">
        <f t="shared" si="5"/>
        <v>-4.6052631578946404</v>
      </c>
      <c r="Q19" s="313">
        <f t="shared" si="6"/>
        <v>0.96315789473684288</v>
      </c>
      <c r="R19" s="511"/>
      <c r="S19" s="68">
        <v>0.87777777777777777</v>
      </c>
      <c r="T19" s="68">
        <v>0.91736111111111107</v>
      </c>
      <c r="U19" s="312">
        <f t="shared" si="18"/>
        <v>57.999999999999957</v>
      </c>
      <c r="V19" s="320">
        <f t="shared" si="17"/>
        <v>56.999999999999957</v>
      </c>
      <c r="W19" s="69"/>
      <c r="X19" s="69"/>
      <c r="Y19" s="517"/>
      <c r="Z19" s="518"/>
      <c r="AA19" s="66">
        <f t="shared" si="8"/>
        <v>-73.684210526314246</v>
      </c>
      <c r="AB19" s="313">
        <f t="shared" si="9"/>
        <v>0.96315789473684288</v>
      </c>
      <c r="AC19" s="511"/>
    </row>
    <row r="20" spans="1:29" ht="16.5" customHeight="1">
      <c r="A20" s="542" t="s">
        <v>242</v>
      </c>
      <c r="B20" s="62" t="s">
        <v>1676</v>
      </c>
      <c r="C20" s="513"/>
      <c r="D20" s="513"/>
      <c r="E20" s="314"/>
      <c r="F20" s="71"/>
      <c r="G20" s="64"/>
      <c r="H20" s="321"/>
      <c r="I20" s="72">
        <v>17.714285714285715</v>
      </c>
      <c r="J20" s="63">
        <v>1785.7142857142858</v>
      </c>
      <c r="K20" s="64">
        <f t="shared" si="1"/>
        <v>100.80645161290322</v>
      </c>
      <c r="L20" s="72">
        <v>17.714285714285715</v>
      </c>
      <c r="M20" s="65">
        <f>AVERAGE(M13:M19)</f>
        <v>1717.9664745170649</v>
      </c>
      <c r="N20" s="64">
        <f t="shared" si="3"/>
        <v>96.981978400156876</v>
      </c>
      <c r="O20" s="66">
        <f t="shared" si="4"/>
        <v>0</v>
      </c>
      <c r="P20" s="67">
        <f t="shared" si="5"/>
        <v>-3.8244732127463408</v>
      </c>
      <c r="Q20" s="313">
        <f t="shared" si="6"/>
        <v>0.96206122572955632</v>
      </c>
      <c r="R20" s="511"/>
      <c r="S20" s="68"/>
      <c r="T20" s="68"/>
      <c r="U20" s="312"/>
      <c r="V20" s="320"/>
      <c r="W20" s="64"/>
      <c r="X20" s="64"/>
      <c r="Y20" s="510"/>
      <c r="Z20" s="510"/>
      <c r="AA20" s="66">
        <f t="shared" si="8"/>
        <v>-67.747811197220926</v>
      </c>
      <c r="AB20" s="313">
        <f t="shared" si="9"/>
        <v>0.96206122572955632</v>
      </c>
      <c r="AC20" s="511"/>
    </row>
    <row r="21" spans="1:29" ht="15.75" customHeight="1">
      <c r="A21" s="537" t="s">
        <v>1677</v>
      </c>
      <c r="B21" s="62" t="s">
        <v>13</v>
      </c>
      <c r="C21" s="533" t="s">
        <v>21</v>
      </c>
      <c r="D21" s="533"/>
      <c r="E21" s="62">
        <v>43.14</v>
      </c>
      <c r="F21" s="321">
        <v>1313</v>
      </c>
      <c r="G21" s="312">
        <f t="shared" ref="G21:G28" si="19">E21*F21</f>
        <v>56642.82</v>
      </c>
      <c r="H21" s="90" t="s">
        <v>5</v>
      </c>
      <c r="I21" s="319">
        <v>17</v>
      </c>
      <c r="J21" s="63">
        <v>2000</v>
      </c>
      <c r="K21" s="64">
        <f t="shared" si="1"/>
        <v>117.64705882352941</v>
      </c>
      <c r="L21" s="319">
        <v>17</v>
      </c>
      <c r="M21" s="65">
        <f t="shared" ref="M21:M28" si="20">F21/V21*60</f>
        <v>1921.4634146341459</v>
      </c>
      <c r="N21" s="64">
        <f t="shared" si="3"/>
        <v>113.02725968436152</v>
      </c>
      <c r="O21" s="66">
        <f t="shared" si="4"/>
        <v>0</v>
      </c>
      <c r="P21" s="67">
        <f t="shared" si="5"/>
        <v>-4.6197991391678812</v>
      </c>
      <c r="Q21" s="313">
        <f t="shared" si="6"/>
        <v>0.96073170731707302</v>
      </c>
      <c r="R21" s="511">
        <f>Q29</f>
        <v>0.9570010850100964</v>
      </c>
      <c r="S21" s="68">
        <v>0.20833333333333334</v>
      </c>
      <c r="T21" s="68">
        <v>0.23680555555555557</v>
      </c>
      <c r="U21" s="312"/>
      <c r="V21" s="320">
        <f t="shared" ref="V21:V28" si="21">(T21-S21)*24*60</f>
        <v>41.000000000000014</v>
      </c>
      <c r="W21" s="73"/>
      <c r="X21" s="73"/>
      <c r="Y21" s="510"/>
      <c r="Z21" s="510"/>
      <c r="AA21" s="66">
        <f t="shared" si="8"/>
        <v>-78.53658536585408</v>
      </c>
      <c r="AB21" s="313">
        <f t="shared" si="9"/>
        <v>0.96073170731707291</v>
      </c>
      <c r="AC21" s="511">
        <f>AB29</f>
        <v>0.95700108501009629</v>
      </c>
    </row>
    <row r="22" spans="1:29" ht="15.75" customHeight="1">
      <c r="A22" s="538" t="s">
        <v>1678</v>
      </c>
      <c r="B22" s="62" t="s">
        <v>77</v>
      </c>
      <c r="C22" s="533" t="s">
        <v>980</v>
      </c>
      <c r="D22" s="533"/>
      <c r="E22" s="62">
        <v>49.9</v>
      </c>
      <c r="F22" s="321">
        <v>2254</v>
      </c>
      <c r="G22" s="312">
        <f t="shared" si="19"/>
        <v>112474.59999999999</v>
      </c>
      <c r="H22" s="90" t="s">
        <v>5</v>
      </c>
      <c r="I22" s="319">
        <v>19</v>
      </c>
      <c r="J22" s="63">
        <v>2000</v>
      </c>
      <c r="K22" s="64">
        <f t="shared" si="1"/>
        <v>105.26315789473684</v>
      </c>
      <c r="L22" s="319">
        <v>19</v>
      </c>
      <c r="M22" s="65">
        <f t="shared" si="20"/>
        <v>1904.7887323943667</v>
      </c>
      <c r="N22" s="64">
        <f t="shared" si="3"/>
        <v>100.25203854707193</v>
      </c>
      <c r="O22" s="66">
        <f t="shared" si="4"/>
        <v>0</v>
      </c>
      <c r="P22" s="67">
        <f t="shared" si="5"/>
        <v>-5.0111193476649021</v>
      </c>
      <c r="Q22" s="313">
        <f t="shared" si="6"/>
        <v>0.95239436619718343</v>
      </c>
      <c r="R22" s="511"/>
      <c r="S22" s="68">
        <v>0.24097222222222225</v>
      </c>
      <c r="T22" s="68">
        <v>0.2902777777777778</v>
      </c>
      <c r="U22" s="312">
        <f t="shared" ref="U22:U28" si="22">IF(S22=TIME(17,0,0),"",(S22-T21)*24*60)</f>
        <v>6.0000000000000187</v>
      </c>
      <c r="V22" s="320">
        <f t="shared" si="21"/>
        <v>70.999999999999986</v>
      </c>
      <c r="W22" s="69"/>
      <c r="X22" s="312"/>
      <c r="Y22" s="510"/>
      <c r="Z22" s="510"/>
      <c r="AA22" s="66">
        <f t="shared" si="8"/>
        <v>-95.211267605633338</v>
      </c>
      <c r="AB22" s="313">
        <f t="shared" si="9"/>
        <v>0.95239436619718332</v>
      </c>
      <c r="AC22" s="511"/>
    </row>
    <row r="23" spans="1:29" ht="15.75" customHeight="1">
      <c r="A23" s="538" t="s">
        <v>156</v>
      </c>
      <c r="B23" s="62" t="s">
        <v>6</v>
      </c>
      <c r="C23" s="533" t="s">
        <v>22</v>
      </c>
      <c r="D23" s="533"/>
      <c r="E23" s="62">
        <v>57.73</v>
      </c>
      <c r="F23" s="321">
        <v>2438</v>
      </c>
      <c r="G23" s="312">
        <f t="shared" si="19"/>
        <v>140745.74</v>
      </c>
      <c r="H23" s="90" t="s">
        <v>5</v>
      </c>
      <c r="I23" s="319">
        <v>14</v>
      </c>
      <c r="J23" s="63">
        <v>2000</v>
      </c>
      <c r="K23" s="64">
        <f t="shared" si="1"/>
        <v>142.85714285714286</v>
      </c>
      <c r="L23" s="319">
        <v>14</v>
      </c>
      <c r="M23" s="65">
        <f t="shared" si="20"/>
        <v>1924.7368421052638</v>
      </c>
      <c r="N23" s="64">
        <f t="shared" si="3"/>
        <v>137.48120300751884</v>
      </c>
      <c r="O23" s="66">
        <f t="shared" si="4"/>
        <v>0</v>
      </c>
      <c r="P23" s="67">
        <f t="shared" si="5"/>
        <v>-5.3759398496240181</v>
      </c>
      <c r="Q23" s="313">
        <f t="shared" si="6"/>
        <v>0.96236842105263187</v>
      </c>
      <c r="R23" s="511"/>
      <c r="S23" s="68">
        <v>0.2951388888888889</v>
      </c>
      <c r="T23" s="68">
        <v>0.34791666666666665</v>
      </c>
      <c r="U23" s="312">
        <f t="shared" si="22"/>
        <v>6.9999999999999751</v>
      </c>
      <c r="V23" s="320">
        <f t="shared" si="21"/>
        <v>75.999999999999972</v>
      </c>
      <c r="W23" s="69"/>
      <c r="X23" s="312"/>
      <c r="Y23" s="510"/>
      <c r="Z23" s="510"/>
      <c r="AA23" s="66">
        <f t="shared" si="8"/>
        <v>-75.263157894736196</v>
      </c>
      <c r="AB23" s="313">
        <f t="shared" si="9"/>
        <v>0.96236842105263187</v>
      </c>
      <c r="AC23" s="511"/>
    </row>
    <row r="24" spans="1:29" ht="15.75" customHeight="1">
      <c r="A24" s="538" t="s">
        <v>1679</v>
      </c>
      <c r="B24" s="62" t="s">
        <v>6</v>
      </c>
      <c r="C24" s="533" t="s">
        <v>23</v>
      </c>
      <c r="D24" s="533"/>
      <c r="E24" s="62">
        <v>53.68</v>
      </c>
      <c r="F24" s="321">
        <v>1619</v>
      </c>
      <c r="G24" s="312">
        <f t="shared" si="19"/>
        <v>86907.92</v>
      </c>
      <c r="H24" s="90" t="s">
        <v>5</v>
      </c>
      <c r="I24" s="319">
        <v>16</v>
      </c>
      <c r="J24" s="63">
        <v>2000</v>
      </c>
      <c r="K24" s="64">
        <f t="shared" si="1"/>
        <v>125</v>
      </c>
      <c r="L24" s="319">
        <v>16</v>
      </c>
      <c r="M24" s="65">
        <f t="shared" si="20"/>
        <v>1904.7058823529419</v>
      </c>
      <c r="N24" s="64">
        <f t="shared" si="3"/>
        <v>119.04411764705887</v>
      </c>
      <c r="O24" s="66">
        <f t="shared" si="4"/>
        <v>0</v>
      </c>
      <c r="P24" s="67">
        <f t="shared" si="5"/>
        <v>-5.9558823529411313</v>
      </c>
      <c r="Q24" s="313">
        <f t="shared" si="6"/>
        <v>0.95235294117647096</v>
      </c>
      <c r="R24" s="511"/>
      <c r="S24" s="68">
        <v>0.35347222222222219</v>
      </c>
      <c r="T24" s="68">
        <v>0.38888888888888884</v>
      </c>
      <c r="U24" s="312">
        <f t="shared" si="22"/>
        <v>7.9999999999999716</v>
      </c>
      <c r="V24" s="320">
        <f t="shared" si="21"/>
        <v>50.999999999999979</v>
      </c>
      <c r="W24" s="69"/>
      <c r="X24" s="312"/>
      <c r="Y24" s="510"/>
      <c r="Z24" s="510"/>
      <c r="AA24" s="66">
        <f t="shared" si="8"/>
        <v>-95.294117647058101</v>
      </c>
      <c r="AB24" s="313">
        <f t="shared" si="9"/>
        <v>0.95235294117647096</v>
      </c>
      <c r="AC24" s="511"/>
    </row>
    <row r="25" spans="1:29" ht="15.75" customHeight="1">
      <c r="A25" s="538" t="s">
        <v>156</v>
      </c>
      <c r="B25" s="62" t="s">
        <v>6</v>
      </c>
      <c r="C25" s="533" t="s">
        <v>971</v>
      </c>
      <c r="D25" s="533"/>
      <c r="E25" s="62">
        <v>49.91</v>
      </c>
      <c r="F25" s="321">
        <v>1918</v>
      </c>
      <c r="G25" s="312">
        <f t="shared" si="19"/>
        <v>95727.37999999999</v>
      </c>
      <c r="H25" s="90" t="s">
        <v>5</v>
      </c>
      <c r="I25" s="319">
        <v>19</v>
      </c>
      <c r="J25" s="63">
        <v>2000</v>
      </c>
      <c r="K25" s="64">
        <f t="shared" si="1"/>
        <v>105.26315789473684</v>
      </c>
      <c r="L25" s="319">
        <v>19</v>
      </c>
      <c r="M25" s="65">
        <f t="shared" si="20"/>
        <v>1917.9999999999991</v>
      </c>
      <c r="N25" s="64">
        <f t="shared" si="3"/>
        <v>100.94736842105259</v>
      </c>
      <c r="O25" s="66">
        <f t="shared" si="4"/>
        <v>0</v>
      </c>
      <c r="P25" s="67">
        <f t="shared" si="5"/>
        <v>-4.3157894736842479</v>
      </c>
      <c r="Q25" s="313">
        <f t="shared" si="6"/>
        <v>0.95899999999999963</v>
      </c>
      <c r="R25" s="511"/>
      <c r="S25" s="68">
        <v>0.39236111111111105</v>
      </c>
      <c r="T25" s="68">
        <v>0.43402777777777773</v>
      </c>
      <c r="U25" s="312">
        <f t="shared" si="22"/>
        <v>4.9999999999999822</v>
      </c>
      <c r="V25" s="320">
        <f t="shared" si="21"/>
        <v>60.000000000000028</v>
      </c>
      <c r="W25" s="69"/>
      <c r="X25" s="312"/>
      <c r="Y25" s="510"/>
      <c r="Z25" s="510"/>
      <c r="AA25" s="66">
        <f t="shared" si="8"/>
        <v>-82.000000000000909</v>
      </c>
      <c r="AB25" s="313">
        <f t="shared" si="9"/>
        <v>0.95899999999999952</v>
      </c>
      <c r="AC25" s="511"/>
    </row>
    <row r="26" spans="1:29" ht="15.75" customHeight="1">
      <c r="A26" s="538" t="s">
        <v>1679</v>
      </c>
      <c r="B26" s="62" t="s">
        <v>6</v>
      </c>
      <c r="C26" s="533" t="s">
        <v>24</v>
      </c>
      <c r="D26" s="533"/>
      <c r="E26" s="62">
        <v>54.09</v>
      </c>
      <c r="F26" s="321">
        <v>1716</v>
      </c>
      <c r="G26" s="312">
        <f t="shared" si="19"/>
        <v>92818.44</v>
      </c>
      <c r="H26" s="90" t="s">
        <v>5</v>
      </c>
      <c r="I26" s="319">
        <v>19</v>
      </c>
      <c r="J26" s="63">
        <v>2000</v>
      </c>
      <c r="K26" s="64">
        <f t="shared" si="1"/>
        <v>105.26315789473684</v>
      </c>
      <c r="L26" s="319">
        <v>19</v>
      </c>
      <c r="M26" s="65">
        <f t="shared" si="20"/>
        <v>1906.6666666666677</v>
      </c>
      <c r="N26" s="64">
        <f t="shared" si="3"/>
        <v>100.35087719298251</v>
      </c>
      <c r="O26" s="66">
        <f t="shared" si="4"/>
        <v>0</v>
      </c>
      <c r="P26" s="67">
        <f t="shared" si="5"/>
        <v>-4.9122807017543266</v>
      </c>
      <c r="Q26" s="313">
        <f t="shared" si="6"/>
        <v>0.95333333333333392</v>
      </c>
      <c r="R26" s="511"/>
      <c r="S26" s="68">
        <v>0.70833333333333337</v>
      </c>
      <c r="T26" s="68">
        <v>0.74583333333333335</v>
      </c>
      <c r="U26" s="312" t="str">
        <f t="shared" si="22"/>
        <v/>
      </c>
      <c r="V26" s="320">
        <f t="shared" si="21"/>
        <v>53.999999999999972</v>
      </c>
      <c r="W26" s="69"/>
      <c r="X26" s="73"/>
      <c r="Y26" s="510"/>
      <c r="Z26" s="510"/>
      <c r="AA26" s="66">
        <f t="shared" si="8"/>
        <v>-93.333333333332348</v>
      </c>
      <c r="AB26" s="313">
        <f t="shared" si="9"/>
        <v>0.95333333333333381</v>
      </c>
      <c r="AC26" s="511"/>
    </row>
    <row r="27" spans="1:29" ht="15.75" customHeight="1">
      <c r="A27" s="538" t="s">
        <v>1680</v>
      </c>
      <c r="B27" s="62" t="s">
        <v>6</v>
      </c>
      <c r="C27" s="533" t="s">
        <v>82</v>
      </c>
      <c r="D27" s="533"/>
      <c r="E27" s="62">
        <v>57.73</v>
      </c>
      <c r="F27" s="321">
        <v>1671</v>
      </c>
      <c r="G27" s="312">
        <f t="shared" si="19"/>
        <v>96466.83</v>
      </c>
      <c r="H27" s="90" t="s">
        <v>5</v>
      </c>
      <c r="I27" s="319">
        <v>16</v>
      </c>
      <c r="J27" s="63">
        <v>1500</v>
      </c>
      <c r="K27" s="64">
        <f t="shared" si="1"/>
        <v>93.75</v>
      </c>
      <c r="L27" s="319">
        <v>16</v>
      </c>
      <c r="M27" s="65">
        <f t="shared" si="20"/>
        <v>1432.2857142857129</v>
      </c>
      <c r="N27" s="64">
        <f t="shared" si="3"/>
        <v>89.517857142857054</v>
      </c>
      <c r="O27" s="66">
        <f t="shared" si="4"/>
        <v>0</v>
      </c>
      <c r="P27" s="67">
        <f t="shared" si="5"/>
        <v>-4.2321428571429465</v>
      </c>
      <c r="Q27" s="313">
        <f t="shared" si="6"/>
        <v>0.95485714285714185</v>
      </c>
      <c r="R27" s="511"/>
      <c r="S27" s="68">
        <v>0.75069444444444444</v>
      </c>
      <c r="T27" s="68">
        <v>0.7993055555555556</v>
      </c>
      <c r="U27" s="312">
        <f t="shared" si="22"/>
        <v>6.9999999999999751</v>
      </c>
      <c r="V27" s="320">
        <f t="shared" si="21"/>
        <v>70.000000000000071</v>
      </c>
      <c r="W27" s="69"/>
      <c r="X27" s="73"/>
      <c r="Y27" s="517"/>
      <c r="Z27" s="518"/>
      <c r="AA27" s="66">
        <f t="shared" si="8"/>
        <v>-67.714285714287143</v>
      </c>
      <c r="AB27" s="313">
        <f t="shared" si="9"/>
        <v>0.95485714285714185</v>
      </c>
      <c r="AC27" s="511"/>
    </row>
    <row r="28" spans="1:29" ht="15.75" customHeight="1">
      <c r="A28" s="538" t="s">
        <v>1680</v>
      </c>
      <c r="B28" s="62" t="s">
        <v>6</v>
      </c>
      <c r="C28" s="534" t="s">
        <v>81</v>
      </c>
      <c r="D28" s="535"/>
      <c r="E28" s="62">
        <v>50.67</v>
      </c>
      <c r="F28" s="321">
        <v>2209</v>
      </c>
      <c r="G28" s="312">
        <f t="shared" si="19"/>
        <v>111930.03</v>
      </c>
      <c r="H28" s="90" t="s">
        <v>5</v>
      </c>
      <c r="I28" s="319">
        <v>15</v>
      </c>
      <c r="J28" s="63">
        <v>2000</v>
      </c>
      <c r="K28" s="64">
        <f t="shared" si="1"/>
        <v>133.33333333333334</v>
      </c>
      <c r="L28" s="319">
        <v>15</v>
      </c>
      <c r="M28" s="65">
        <f t="shared" si="20"/>
        <v>1920.8695652173938</v>
      </c>
      <c r="N28" s="64">
        <f t="shared" si="3"/>
        <v>128.05797101449292</v>
      </c>
      <c r="O28" s="66">
        <f t="shared" si="4"/>
        <v>0</v>
      </c>
      <c r="P28" s="67">
        <f t="shared" si="5"/>
        <v>-5.2753623188404219</v>
      </c>
      <c r="Q28" s="313">
        <f t="shared" si="6"/>
        <v>0.96043478260869686</v>
      </c>
      <c r="R28" s="511"/>
      <c r="S28" s="68">
        <v>0.80277777777777781</v>
      </c>
      <c r="T28" s="68">
        <v>0.85069444444444442</v>
      </c>
      <c r="U28" s="312">
        <f t="shared" si="22"/>
        <v>4.9999999999999822</v>
      </c>
      <c r="V28" s="320">
        <f t="shared" si="21"/>
        <v>68.999999999999915</v>
      </c>
      <c r="W28" s="69"/>
      <c r="X28" s="69"/>
      <c r="Y28" s="517"/>
      <c r="Z28" s="518"/>
      <c r="AA28" s="66">
        <f t="shared" si="8"/>
        <v>-79.130434782606244</v>
      </c>
      <c r="AB28" s="313">
        <f t="shared" si="9"/>
        <v>0.96043478260869686</v>
      </c>
      <c r="AC28" s="511"/>
    </row>
    <row r="29" spans="1:29" ht="15.75" customHeight="1">
      <c r="A29" s="538" t="s">
        <v>156</v>
      </c>
      <c r="B29" s="62" t="s">
        <v>1681</v>
      </c>
      <c r="C29" s="513"/>
      <c r="D29" s="513"/>
      <c r="E29" s="314"/>
      <c r="F29" s="321"/>
      <c r="G29" s="312"/>
      <c r="H29" s="321"/>
      <c r="I29" s="72">
        <v>16.875</v>
      </c>
      <c r="J29" s="63">
        <v>1937.5</v>
      </c>
      <c r="K29" s="64">
        <f t="shared" si="1"/>
        <v>114.81481481481481</v>
      </c>
      <c r="L29" s="72">
        <v>16.875</v>
      </c>
      <c r="M29" s="65">
        <f>AVERAGE(M21:M28)</f>
        <v>1854.1896022070616</v>
      </c>
      <c r="N29" s="64">
        <f t="shared" si="3"/>
        <v>109.87790235301107</v>
      </c>
      <c r="O29" s="66">
        <f t="shared" si="4"/>
        <v>0</v>
      </c>
      <c r="P29" s="67">
        <f t="shared" si="5"/>
        <v>-4.9369124618037432</v>
      </c>
      <c r="Q29" s="313">
        <f t="shared" si="6"/>
        <v>0.9570010850100964</v>
      </c>
      <c r="R29" s="511"/>
      <c r="S29" s="68"/>
      <c r="T29" s="68"/>
      <c r="U29" s="64"/>
      <c r="V29" s="320"/>
      <c r="W29" s="64"/>
      <c r="X29" s="64"/>
      <c r="Y29" s="510"/>
      <c r="Z29" s="510"/>
      <c r="AA29" s="66">
        <f t="shared" si="8"/>
        <v>-83.310397792938375</v>
      </c>
      <c r="AB29" s="313">
        <f t="shared" si="9"/>
        <v>0.95700108501009629</v>
      </c>
      <c r="AC29" s="511"/>
    </row>
    <row r="30" spans="1:29" ht="15.75" customHeight="1">
      <c r="A30" s="536" t="s">
        <v>1682</v>
      </c>
      <c r="B30" s="62" t="s">
        <v>16</v>
      </c>
      <c r="C30" s="533" t="s">
        <v>30</v>
      </c>
      <c r="D30" s="533"/>
      <c r="E30" s="62">
        <v>31.29</v>
      </c>
      <c r="F30" s="321">
        <v>3800</v>
      </c>
      <c r="G30" s="312">
        <f t="shared" ref="G30:G36" si="23">E30*F30</f>
        <v>118902</v>
      </c>
      <c r="H30" s="90">
        <v>2</v>
      </c>
      <c r="I30" s="319">
        <v>18</v>
      </c>
      <c r="J30" s="63">
        <v>2400</v>
      </c>
      <c r="K30" s="64">
        <f t="shared" si="1"/>
        <v>133.33333333333334</v>
      </c>
      <c r="L30" s="319">
        <v>18</v>
      </c>
      <c r="M30" s="65">
        <f t="shared" ref="M30:M36" si="24">F30/V30*60</f>
        <v>2303.030303030303</v>
      </c>
      <c r="N30" s="64">
        <f t="shared" si="3"/>
        <v>127.94612794612794</v>
      </c>
      <c r="O30" s="66">
        <f t="shared" si="4"/>
        <v>0</v>
      </c>
      <c r="P30" s="67">
        <f t="shared" si="5"/>
        <v>-5.3872053872053982</v>
      </c>
      <c r="Q30" s="313">
        <f t="shared" si="6"/>
        <v>0.95959595959595956</v>
      </c>
      <c r="R30" s="511">
        <f>Q37</f>
        <v>0.9563000501679535</v>
      </c>
      <c r="S30" s="68">
        <v>8.3333333333333329E-2</v>
      </c>
      <c r="T30" s="68">
        <v>0.15208333333333332</v>
      </c>
      <c r="U30" s="312"/>
      <c r="V30" s="320">
        <f t="shared" ref="V30:V36" si="25">(T30-S30)*24*60</f>
        <v>99</v>
      </c>
      <c r="W30" s="69">
        <f>T30</f>
        <v>0.15208333333333332</v>
      </c>
      <c r="X30" s="69">
        <f>S31</f>
        <v>0.17152777777777775</v>
      </c>
      <c r="Y30" s="510"/>
      <c r="Z30" s="510"/>
      <c r="AA30" s="66">
        <f t="shared" si="8"/>
        <v>-96.969696969696997</v>
      </c>
      <c r="AB30" s="313">
        <f t="shared" si="9"/>
        <v>0.95959595959595956</v>
      </c>
      <c r="AC30" s="511">
        <f>AB37</f>
        <v>0.95630005016795339</v>
      </c>
    </row>
    <row r="31" spans="1:29" ht="15.75" customHeight="1">
      <c r="A31" s="536" t="s">
        <v>1683</v>
      </c>
      <c r="B31" s="62" t="s">
        <v>16</v>
      </c>
      <c r="C31" s="533" t="s">
        <v>28</v>
      </c>
      <c r="D31" s="533"/>
      <c r="E31" s="62">
        <v>26.18</v>
      </c>
      <c r="F31" s="321">
        <v>3108</v>
      </c>
      <c r="G31" s="312">
        <f t="shared" si="23"/>
        <v>81367.44</v>
      </c>
      <c r="H31" s="90" t="s">
        <v>5</v>
      </c>
      <c r="I31" s="319">
        <v>19</v>
      </c>
      <c r="J31" s="63">
        <v>2400</v>
      </c>
      <c r="K31" s="64">
        <f t="shared" si="1"/>
        <v>126.31578947368421</v>
      </c>
      <c r="L31" s="319">
        <v>19</v>
      </c>
      <c r="M31" s="65">
        <f t="shared" si="24"/>
        <v>2302.2222222222226</v>
      </c>
      <c r="N31" s="64">
        <f t="shared" si="3"/>
        <v>121.16959064327487</v>
      </c>
      <c r="O31" s="66">
        <f t="shared" si="4"/>
        <v>0</v>
      </c>
      <c r="P31" s="67">
        <f t="shared" si="5"/>
        <v>-5.1461988304093325</v>
      </c>
      <c r="Q31" s="313">
        <f t="shared" si="6"/>
        <v>0.95925925925925948</v>
      </c>
      <c r="R31" s="511"/>
      <c r="S31" s="68">
        <v>0.17152777777777775</v>
      </c>
      <c r="T31" s="68">
        <v>0.22777777777777775</v>
      </c>
      <c r="U31" s="312">
        <f t="shared" ref="U31:U36" si="26">(S31-T30)*24*60</f>
        <v>27.999999999999979</v>
      </c>
      <c r="V31" s="320">
        <f t="shared" si="25"/>
        <v>80.999999999999986</v>
      </c>
      <c r="W31" s="69"/>
      <c r="X31" s="69"/>
      <c r="Y31" s="510"/>
      <c r="Z31" s="510"/>
      <c r="AA31" s="66">
        <f t="shared" si="8"/>
        <v>-97.777777777777374</v>
      </c>
      <c r="AB31" s="313">
        <f t="shared" si="9"/>
        <v>0.95925925925925948</v>
      </c>
      <c r="AC31" s="511"/>
    </row>
    <row r="32" spans="1:29" ht="15.75" customHeight="1">
      <c r="A32" s="536" t="s">
        <v>1684</v>
      </c>
      <c r="B32" s="62" t="s">
        <v>16</v>
      </c>
      <c r="C32" s="533" t="s">
        <v>25</v>
      </c>
      <c r="D32" s="533"/>
      <c r="E32" s="62">
        <v>26.2</v>
      </c>
      <c r="F32" s="321">
        <v>4989</v>
      </c>
      <c r="G32" s="312">
        <f t="shared" si="23"/>
        <v>130711.8</v>
      </c>
      <c r="H32" s="90" t="s">
        <v>5</v>
      </c>
      <c r="I32" s="319">
        <v>20</v>
      </c>
      <c r="J32" s="63">
        <v>2400</v>
      </c>
      <c r="K32" s="64">
        <f t="shared" si="1"/>
        <v>120</v>
      </c>
      <c r="L32" s="319">
        <v>20</v>
      </c>
      <c r="M32" s="65">
        <f t="shared" si="24"/>
        <v>2285.038167938932</v>
      </c>
      <c r="N32" s="64">
        <f t="shared" si="3"/>
        <v>114.2519083969466</v>
      </c>
      <c r="O32" s="66">
        <f t="shared" si="4"/>
        <v>0</v>
      </c>
      <c r="P32" s="67">
        <f t="shared" si="5"/>
        <v>-5.7480916030533962</v>
      </c>
      <c r="Q32" s="313">
        <f t="shared" si="6"/>
        <v>0.95209923664122165</v>
      </c>
      <c r="R32" s="511"/>
      <c r="S32" s="68">
        <v>0.23263888888888887</v>
      </c>
      <c r="T32" s="68">
        <v>0.32361111111111107</v>
      </c>
      <c r="U32" s="312">
        <f t="shared" si="26"/>
        <v>7.0000000000000151</v>
      </c>
      <c r="V32" s="320">
        <f t="shared" si="25"/>
        <v>130.99999999999997</v>
      </c>
      <c r="W32" s="69"/>
      <c r="X32" s="69"/>
      <c r="Y32" s="510"/>
      <c r="Z32" s="510"/>
      <c r="AA32" s="66">
        <f t="shared" si="8"/>
        <v>-114.96183206106798</v>
      </c>
      <c r="AB32" s="313">
        <f t="shared" si="9"/>
        <v>0.95209923664122165</v>
      </c>
      <c r="AC32" s="511"/>
    </row>
    <row r="33" spans="1:29" ht="15.75" customHeight="1">
      <c r="A33" s="536" t="s">
        <v>1685</v>
      </c>
      <c r="B33" s="62" t="s">
        <v>16</v>
      </c>
      <c r="C33" s="533" t="s">
        <v>83</v>
      </c>
      <c r="D33" s="533"/>
      <c r="E33" s="62">
        <v>25.99</v>
      </c>
      <c r="F33" s="321">
        <v>3000</v>
      </c>
      <c r="G33" s="312">
        <f t="shared" si="23"/>
        <v>77970</v>
      </c>
      <c r="H33" s="90">
        <v>2</v>
      </c>
      <c r="I33" s="319">
        <v>14</v>
      </c>
      <c r="J33" s="63">
        <v>2400</v>
      </c>
      <c r="K33" s="64">
        <f t="shared" si="1"/>
        <v>171.42857142857142</v>
      </c>
      <c r="L33" s="319">
        <v>14</v>
      </c>
      <c r="M33" s="65">
        <f t="shared" si="24"/>
        <v>2307.6923076923063</v>
      </c>
      <c r="N33" s="64">
        <f t="shared" si="3"/>
        <v>164.83516483516473</v>
      </c>
      <c r="O33" s="66">
        <f t="shared" si="4"/>
        <v>0</v>
      </c>
      <c r="P33" s="67">
        <f t="shared" si="5"/>
        <v>-6.5934065934066837</v>
      </c>
      <c r="Q33" s="313">
        <f t="shared" si="6"/>
        <v>0.96153846153846101</v>
      </c>
      <c r="R33" s="511"/>
      <c r="S33" s="68">
        <v>0.32777777777777772</v>
      </c>
      <c r="T33" s="68">
        <v>0.38194444444444442</v>
      </c>
      <c r="U33" s="312">
        <f t="shared" si="26"/>
        <v>5.9999999999999787</v>
      </c>
      <c r="V33" s="320">
        <f t="shared" si="25"/>
        <v>78.000000000000043</v>
      </c>
      <c r="W33" s="69"/>
      <c r="X33" s="69"/>
      <c r="Y33" s="510"/>
      <c r="Z33" s="510"/>
      <c r="AA33" s="66">
        <f t="shared" si="8"/>
        <v>-92.307692307693742</v>
      </c>
      <c r="AB33" s="313">
        <f t="shared" si="9"/>
        <v>0.9615384615384609</v>
      </c>
      <c r="AC33" s="511"/>
    </row>
    <row r="34" spans="1:29" ht="15.75" customHeight="1">
      <c r="A34" s="536" t="s">
        <v>1685</v>
      </c>
      <c r="B34" s="62" t="s">
        <v>16</v>
      </c>
      <c r="C34" s="533" t="s">
        <v>982</v>
      </c>
      <c r="D34" s="533"/>
      <c r="E34" s="62">
        <v>25.98</v>
      </c>
      <c r="F34" s="321">
        <v>6970</v>
      </c>
      <c r="G34" s="312">
        <f t="shared" si="23"/>
        <v>181080.6</v>
      </c>
      <c r="H34" s="90" t="s">
        <v>5</v>
      </c>
      <c r="I34" s="319">
        <v>21</v>
      </c>
      <c r="J34" s="63">
        <v>2400</v>
      </c>
      <c r="K34" s="64">
        <f t="shared" si="1"/>
        <v>114.28571428571429</v>
      </c>
      <c r="L34" s="319">
        <v>21</v>
      </c>
      <c r="M34" s="65">
        <f t="shared" si="24"/>
        <v>2285.2459016393441</v>
      </c>
      <c r="N34" s="64">
        <f t="shared" si="3"/>
        <v>108.82123341139734</v>
      </c>
      <c r="O34" s="66">
        <f t="shared" si="4"/>
        <v>0</v>
      </c>
      <c r="P34" s="67">
        <f t="shared" si="5"/>
        <v>-5.4644808743169477</v>
      </c>
      <c r="Q34" s="313">
        <f t="shared" si="6"/>
        <v>0.95218579234972667</v>
      </c>
      <c r="R34" s="511"/>
      <c r="S34" s="68">
        <v>0.38749999999999996</v>
      </c>
      <c r="T34" s="68">
        <v>0.51458333333333328</v>
      </c>
      <c r="U34" s="312">
        <f t="shared" si="26"/>
        <v>7.9999999999999716</v>
      </c>
      <c r="V34" s="320">
        <f t="shared" si="25"/>
        <v>183</v>
      </c>
      <c r="W34" s="69">
        <f>T34</f>
        <v>0.51458333333333328</v>
      </c>
      <c r="X34" s="69">
        <f>S35</f>
        <v>0.5527777777777777</v>
      </c>
      <c r="Y34" s="510"/>
      <c r="Z34" s="510"/>
      <c r="AA34" s="66">
        <f t="shared" si="8"/>
        <v>-114.75409836065592</v>
      </c>
      <c r="AB34" s="313">
        <f t="shared" si="9"/>
        <v>0.95218579234972667</v>
      </c>
      <c r="AC34" s="511"/>
    </row>
    <row r="35" spans="1:29" ht="15.75" customHeight="1">
      <c r="A35" s="536" t="s">
        <v>1686</v>
      </c>
      <c r="B35" s="62" t="s">
        <v>16</v>
      </c>
      <c r="C35" s="533" t="s">
        <v>30</v>
      </c>
      <c r="D35" s="533"/>
      <c r="E35" s="62">
        <v>31.29</v>
      </c>
      <c r="F35" s="321">
        <v>5109</v>
      </c>
      <c r="G35" s="312">
        <f t="shared" si="23"/>
        <v>159860.60999999999</v>
      </c>
      <c r="H35" s="90" t="s">
        <v>5</v>
      </c>
      <c r="I35" s="319">
        <v>18</v>
      </c>
      <c r="J35" s="63">
        <v>2400</v>
      </c>
      <c r="K35" s="64">
        <f t="shared" si="1"/>
        <v>133.33333333333334</v>
      </c>
      <c r="L35" s="319">
        <v>18</v>
      </c>
      <c r="M35" s="65">
        <f t="shared" si="24"/>
        <v>2287.6119402985073</v>
      </c>
      <c r="N35" s="64">
        <f t="shared" si="3"/>
        <v>127.08955223880596</v>
      </c>
      <c r="O35" s="66">
        <f t="shared" si="4"/>
        <v>0</v>
      </c>
      <c r="P35" s="67">
        <f t="shared" si="5"/>
        <v>-6.2437810945273782</v>
      </c>
      <c r="Q35" s="313">
        <f t="shared" si="6"/>
        <v>0.95317164179104463</v>
      </c>
      <c r="R35" s="511"/>
      <c r="S35" s="68">
        <v>0.5527777777777777</v>
      </c>
      <c r="T35" s="68">
        <v>0.64583333333333326</v>
      </c>
      <c r="U35" s="312">
        <f t="shared" si="26"/>
        <v>54.999999999999964</v>
      </c>
      <c r="V35" s="320">
        <f t="shared" si="25"/>
        <v>134</v>
      </c>
      <c r="W35" s="69"/>
      <c r="X35" s="69"/>
      <c r="Y35" s="510"/>
      <c r="Z35" s="510"/>
      <c r="AA35" s="66">
        <f t="shared" si="8"/>
        <v>-112.38805970149269</v>
      </c>
      <c r="AB35" s="313">
        <f t="shared" si="9"/>
        <v>0.95317164179104474</v>
      </c>
      <c r="AC35" s="511"/>
    </row>
    <row r="36" spans="1:29" ht="15.75" customHeight="1">
      <c r="A36" s="536" t="s">
        <v>159</v>
      </c>
      <c r="B36" s="62" t="s">
        <v>16</v>
      </c>
      <c r="C36" s="533" t="s">
        <v>83</v>
      </c>
      <c r="D36" s="533"/>
      <c r="E36" s="62">
        <v>25.99</v>
      </c>
      <c r="F36" s="321">
        <v>2295</v>
      </c>
      <c r="G36" s="312">
        <f t="shared" si="23"/>
        <v>59647.049999999996</v>
      </c>
      <c r="H36" s="90" t="s">
        <v>5</v>
      </c>
      <c r="I36" s="319">
        <v>14</v>
      </c>
      <c r="J36" s="63">
        <v>2400</v>
      </c>
      <c r="K36" s="64">
        <f t="shared" si="1"/>
        <v>171.42857142857142</v>
      </c>
      <c r="L36" s="319">
        <v>14</v>
      </c>
      <c r="M36" s="65">
        <f t="shared" si="24"/>
        <v>2295.0000000000023</v>
      </c>
      <c r="N36" s="64">
        <f t="shared" si="3"/>
        <v>163.92857142857159</v>
      </c>
      <c r="O36" s="66">
        <f t="shared" si="4"/>
        <v>0</v>
      </c>
      <c r="P36" s="67">
        <f t="shared" si="5"/>
        <v>-7.4999999999998295</v>
      </c>
      <c r="Q36" s="313">
        <f t="shared" si="6"/>
        <v>0.95625000000000104</v>
      </c>
      <c r="R36" s="511"/>
      <c r="S36" s="68">
        <v>0.65069444444444435</v>
      </c>
      <c r="T36" s="68">
        <v>0.69236111111111098</v>
      </c>
      <c r="U36" s="312">
        <f t="shared" si="26"/>
        <v>6.9999999999999751</v>
      </c>
      <c r="V36" s="320">
        <f t="shared" si="25"/>
        <v>59.999999999999943</v>
      </c>
      <c r="W36" s="69"/>
      <c r="X36" s="69"/>
      <c r="Y36" s="510"/>
      <c r="Z36" s="510"/>
      <c r="AA36" s="66">
        <f t="shared" si="8"/>
        <v>-104.99999999999773</v>
      </c>
      <c r="AB36" s="313">
        <f t="shared" si="9"/>
        <v>0.95625000000000093</v>
      </c>
      <c r="AC36" s="511"/>
    </row>
    <row r="37" spans="1:29" ht="15.75" customHeight="1">
      <c r="A37" s="536" t="s">
        <v>1686</v>
      </c>
      <c r="B37" s="62" t="s">
        <v>79</v>
      </c>
      <c r="C37" s="513"/>
      <c r="D37" s="513"/>
      <c r="E37" s="314"/>
      <c r="F37" s="321"/>
      <c r="G37" s="312"/>
      <c r="H37" s="321"/>
      <c r="I37" s="72">
        <v>17.714285714285715</v>
      </c>
      <c r="J37" s="63">
        <v>2400</v>
      </c>
      <c r="K37" s="64">
        <f t="shared" si="1"/>
        <v>135.48387096774192</v>
      </c>
      <c r="L37" s="72">
        <v>17.714285714285715</v>
      </c>
      <c r="M37" s="65">
        <f>AVERAGE(M30:M36)</f>
        <v>2295.1201204030881</v>
      </c>
      <c r="N37" s="64">
        <f t="shared" si="3"/>
        <v>129.56323260340014</v>
      </c>
      <c r="O37" s="66">
        <f t="shared" si="4"/>
        <v>0</v>
      </c>
      <c r="P37" s="67">
        <f t="shared" si="5"/>
        <v>-5.9206383643417837</v>
      </c>
      <c r="Q37" s="313">
        <f t="shared" si="6"/>
        <v>0.9563000501679535</v>
      </c>
      <c r="R37" s="511"/>
      <c r="S37" s="68"/>
      <c r="T37" s="68"/>
      <c r="U37" s="312"/>
      <c r="V37" s="320"/>
      <c r="W37" s="312"/>
      <c r="X37" s="312"/>
      <c r="Y37" s="510"/>
      <c r="Z37" s="510"/>
      <c r="AA37" s="66">
        <f t="shared" si="8"/>
        <v>-104.87987959691191</v>
      </c>
      <c r="AB37" s="313">
        <f t="shared" si="9"/>
        <v>0.95630005016795339</v>
      </c>
      <c r="AC37" s="511"/>
    </row>
    <row r="38" spans="1:29" ht="15.75" customHeight="1">
      <c r="A38" s="531" t="s">
        <v>1687</v>
      </c>
      <c r="B38" s="62" t="s">
        <v>16</v>
      </c>
      <c r="C38" s="512" t="s">
        <v>31</v>
      </c>
      <c r="D38" s="512"/>
      <c r="E38" s="62">
        <v>26.2</v>
      </c>
      <c r="F38" s="321">
        <v>3500</v>
      </c>
      <c r="G38" s="312">
        <f t="shared" ref="G38:G44" si="27">E38*F38</f>
        <v>91700</v>
      </c>
      <c r="H38" s="90">
        <v>2</v>
      </c>
      <c r="I38" s="319">
        <v>18</v>
      </c>
      <c r="J38" s="63">
        <v>2400</v>
      </c>
      <c r="K38" s="64">
        <f t="shared" si="1"/>
        <v>133.33333333333334</v>
      </c>
      <c r="L38" s="319">
        <v>18</v>
      </c>
      <c r="M38" s="65">
        <f t="shared" ref="M38:M44" si="28">F38/V38*60</f>
        <v>2282.608695652174</v>
      </c>
      <c r="N38" s="64">
        <f t="shared" si="3"/>
        <v>126.81159420289856</v>
      </c>
      <c r="O38" s="66">
        <f t="shared" si="4"/>
        <v>0</v>
      </c>
      <c r="P38" s="67">
        <f t="shared" si="5"/>
        <v>-6.5217391304347814</v>
      </c>
      <c r="Q38" s="313">
        <f t="shared" si="6"/>
        <v>0.95108695652173914</v>
      </c>
      <c r="R38" s="511">
        <f>Q45</f>
        <v>0.95386574165814653</v>
      </c>
      <c r="S38" s="68">
        <v>8.3333333333333329E-2</v>
      </c>
      <c r="T38" s="68">
        <v>0.14722222222222223</v>
      </c>
      <c r="U38" s="312"/>
      <c r="V38" s="320">
        <f t="shared" ref="V38:V44" si="29">(T38-S38)*24*60</f>
        <v>92.000000000000014</v>
      </c>
      <c r="W38" s="73">
        <f>T38</f>
        <v>0.14722222222222223</v>
      </c>
      <c r="X38" s="73">
        <f>S39</f>
        <v>0.16597222222222222</v>
      </c>
      <c r="Y38" s="510"/>
      <c r="Z38" s="510"/>
      <c r="AA38" s="66">
        <f t="shared" si="8"/>
        <v>-117.39130434782601</v>
      </c>
      <c r="AB38" s="313">
        <f t="shared" si="9"/>
        <v>0.95108695652173914</v>
      </c>
      <c r="AC38" s="511">
        <f>AB45</f>
        <v>0.95386574165814653</v>
      </c>
    </row>
    <row r="39" spans="1:29" ht="15.75" customHeight="1">
      <c r="A39" s="531" t="s">
        <v>250</v>
      </c>
      <c r="B39" s="62" t="s">
        <v>16</v>
      </c>
      <c r="C39" s="512" t="s">
        <v>32</v>
      </c>
      <c r="D39" s="512"/>
      <c r="E39" s="62">
        <v>26.39</v>
      </c>
      <c r="F39" s="321">
        <v>6077</v>
      </c>
      <c r="G39" s="312">
        <f t="shared" si="27"/>
        <v>160372.03</v>
      </c>
      <c r="H39" s="90" t="s">
        <v>5</v>
      </c>
      <c r="I39" s="319">
        <v>19</v>
      </c>
      <c r="J39" s="63">
        <v>2400</v>
      </c>
      <c r="K39" s="64">
        <f t="shared" si="1"/>
        <v>126.31578947368421</v>
      </c>
      <c r="L39" s="319">
        <v>19</v>
      </c>
      <c r="M39" s="65">
        <f t="shared" si="28"/>
        <v>2293.2075471698108</v>
      </c>
      <c r="N39" s="64">
        <f t="shared" si="3"/>
        <v>120.69513406156899</v>
      </c>
      <c r="O39" s="66">
        <f t="shared" si="4"/>
        <v>0</v>
      </c>
      <c r="P39" s="67">
        <f t="shared" si="5"/>
        <v>-5.6206554121152124</v>
      </c>
      <c r="Q39" s="313">
        <f t="shared" si="6"/>
        <v>0.95550314465408792</v>
      </c>
      <c r="R39" s="511"/>
      <c r="S39" s="68">
        <v>0.16597222222222222</v>
      </c>
      <c r="T39" s="68">
        <v>0.27638888888888891</v>
      </c>
      <c r="U39" s="312">
        <f t="shared" ref="U39:U44" si="30">(S39-T38)*24*60</f>
        <v>26.999999999999986</v>
      </c>
      <c r="V39" s="320">
        <f t="shared" si="29"/>
        <v>159.00000000000003</v>
      </c>
      <c r="W39" s="312"/>
      <c r="X39" s="312"/>
      <c r="Y39" s="510"/>
      <c r="Z39" s="510"/>
      <c r="AA39" s="66">
        <f t="shared" si="8"/>
        <v>-106.79245283018918</v>
      </c>
      <c r="AB39" s="313">
        <f t="shared" si="9"/>
        <v>0.95550314465408781</v>
      </c>
      <c r="AC39" s="511"/>
    </row>
    <row r="40" spans="1:29">
      <c r="A40" s="532" t="s">
        <v>1688</v>
      </c>
      <c r="B40" s="62" t="s">
        <v>16</v>
      </c>
      <c r="C40" s="512" t="s">
        <v>50</v>
      </c>
      <c r="D40" s="512"/>
      <c r="E40" s="62">
        <v>20.52</v>
      </c>
      <c r="F40" s="321">
        <v>4760</v>
      </c>
      <c r="G40" s="312">
        <f t="shared" si="27"/>
        <v>97675.199999999997</v>
      </c>
      <c r="H40" s="90" t="s">
        <v>5</v>
      </c>
      <c r="I40" s="319">
        <v>18</v>
      </c>
      <c r="J40" s="63">
        <v>2400</v>
      </c>
      <c r="K40" s="64">
        <f t="shared" si="1"/>
        <v>133.33333333333334</v>
      </c>
      <c r="L40" s="319">
        <v>18</v>
      </c>
      <c r="M40" s="65">
        <f t="shared" si="28"/>
        <v>2284.7999999999993</v>
      </c>
      <c r="N40" s="64">
        <f t="shared" si="3"/>
        <v>126.93333333333329</v>
      </c>
      <c r="O40" s="66">
        <f t="shared" si="4"/>
        <v>0</v>
      </c>
      <c r="P40" s="67">
        <f t="shared" si="5"/>
        <v>-6.4000000000000483</v>
      </c>
      <c r="Q40" s="313">
        <f t="shared" si="6"/>
        <v>0.95199999999999962</v>
      </c>
      <c r="R40" s="511"/>
      <c r="S40" s="68">
        <v>0.27986111111111112</v>
      </c>
      <c r="T40" s="68">
        <v>0.3666666666666667</v>
      </c>
      <c r="U40" s="312">
        <f t="shared" si="30"/>
        <v>4.9999999999999822</v>
      </c>
      <c r="V40" s="320">
        <f t="shared" si="29"/>
        <v>125.00000000000003</v>
      </c>
      <c r="W40" s="312"/>
      <c r="X40" s="312"/>
      <c r="Y40" s="510"/>
      <c r="Z40" s="510"/>
      <c r="AA40" s="66">
        <f t="shared" si="8"/>
        <v>-115.20000000000073</v>
      </c>
      <c r="AB40" s="313">
        <f t="shared" si="9"/>
        <v>0.95199999999999974</v>
      </c>
      <c r="AC40" s="511"/>
    </row>
    <row r="41" spans="1:29">
      <c r="A41" s="532" t="s">
        <v>250</v>
      </c>
      <c r="B41" s="62" t="s">
        <v>16</v>
      </c>
      <c r="C41" s="512" t="s">
        <v>18</v>
      </c>
      <c r="D41" s="512"/>
      <c r="E41" s="62">
        <v>22.35</v>
      </c>
      <c r="F41" s="321">
        <v>1911</v>
      </c>
      <c r="G41" s="312">
        <f t="shared" si="27"/>
        <v>42710.850000000006</v>
      </c>
      <c r="H41" s="90" t="s">
        <v>5</v>
      </c>
      <c r="I41" s="319">
        <v>16</v>
      </c>
      <c r="J41" s="63">
        <v>2400</v>
      </c>
      <c r="K41" s="64">
        <f t="shared" si="1"/>
        <v>150</v>
      </c>
      <c r="L41" s="319">
        <v>16</v>
      </c>
      <c r="M41" s="65">
        <f t="shared" si="28"/>
        <v>2293.2000000000007</v>
      </c>
      <c r="N41" s="64">
        <f t="shared" si="3"/>
        <v>143.32500000000005</v>
      </c>
      <c r="O41" s="66">
        <f t="shared" si="4"/>
        <v>0</v>
      </c>
      <c r="P41" s="67">
        <f t="shared" si="5"/>
        <v>-6.6749999999999545</v>
      </c>
      <c r="Q41" s="313">
        <f t="shared" si="6"/>
        <v>0.95550000000000035</v>
      </c>
      <c r="R41" s="511"/>
      <c r="S41" s="68">
        <v>0.37222222222222223</v>
      </c>
      <c r="T41" s="68">
        <v>0.40694444444444444</v>
      </c>
      <c r="U41" s="312">
        <f t="shared" si="30"/>
        <v>7.9999999999999716</v>
      </c>
      <c r="V41" s="320">
        <f t="shared" si="29"/>
        <v>49.999999999999986</v>
      </c>
      <c r="W41" s="69"/>
      <c r="X41" s="69"/>
      <c r="Y41" s="510"/>
      <c r="Z41" s="510"/>
      <c r="AA41" s="66">
        <f t="shared" si="8"/>
        <v>-106.79999999999927</v>
      </c>
      <c r="AB41" s="313">
        <f t="shared" si="9"/>
        <v>0.95550000000000035</v>
      </c>
      <c r="AC41" s="511"/>
    </row>
    <row r="42" spans="1:29">
      <c r="A42" s="532" t="s">
        <v>250</v>
      </c>
      <c r="B42" s="62" t="s">
        <v>16</v>
      </c>
      <c r="C42" s="512" t="s">
        <v>33</v>
      </c>
      <c r="D42" s="512"/>
      <c r="E42" s="62">
        <v>24.43</v>
      </c>
      <c r="F42" s="321">
        <v>4500</v>
      </c>
      <c r="G42" s="312">
        <f t="shared" si="27"/>
        <v>109935</v>
      </c>
      <c r="H42" s="90">
        <v>2</v>
      </c>
      <c r="I42" s="319">
        <v>14</v>
      </c>
      <c r="J42" s="63">
        <v>2400</v>
      </c>
      <c r="K42" s="64">
        <f t="shared" si="1"/>
        <v>171.42857142857142</v>
      </c>
      <c r="L42" s="319">
        <v>14</v>
      </c>
      <c r="M42" s="65">
        <f t="shared" si="28"/>
        <v>2288.1355932203396</v>
      </c>
      <c r="N42" s="64">
        <f t="shared" si="3"/>
        <v>163.43825665859569</v>
      </c>
      <c r="O42" s="66">
        <f t="shared" si="4"/>
        <v>0</v>
      </c>
      <c r="P42" s="67">
        <f t="shared" si="5"/>
        <v>-7.9903147699757255</v>
      </c>
      <c r="Q42" s="313">
        <f t="shared" si="6"/>
        <v>0.95338983050847492</v>
      </c>
      <c r="R42" s="511"/>
      <c r="S42" s="68">
        <v>0.41111111111111109</v>
      </c>
      <c r="T42" s="68">
        <v>0.49305555555555552</v>
      </c>
      <c r="U42" s="312">
        <f t="shared" si="30"/>
        <v>5.9999999999999787</v>
      </c>
      <c r="V42" s="320">
        <f t="shared" si="29"/>
        <v>117.99999999999999</v>
      </c>
      <c r="W42" s="69">
        <f>T42</f>
        <v>0.49305555555555552</v>
      </c>
      <c r="X42" s="69">
        <f>S43</f>
        <v>0.53402777777777777</v>
      </c>
      <c r="Y42" s="510"/>
      <c r="Z42" s="510"/>
      <c r="AA42" s="66">
        <f t="shared" si="8"/>
        <v>-111.86440677966038</v>
      </c>
      <c r="AB42" s="313">
        <f t="shared" si="9"/>
        <v>0.95338983050847481</v>
      </c>
      <c r="AC42" s="511"/>
    </row>
    <row r="43" spans="1:29">
      <c r="A43" s="532" t="s">
        <v>250</v>
      </c>
      <c r="B43" s="62" t="s">
        <v>16</v>
      </c>
      <c r="C43" s="512" t="s">
        <v>31</v>
      </c>
      <c r="D43" s="512"/>
      <c r="E43" s="62">
        <v>26.2</v>
      </c>
      <c r="F43" s="321">
        <v>2787</v>
      </c>
      <c r="G43" s="312">
        <f t="shared" si="27"/>
        <v>73019.399999999994</v>
      </c>
      <c r="H43" s="90" t="s">
        <v>5</v>
      </c>
      <c r="I43" s="319">
        <v>18</v>
      </c>
      <c r="J43" s="63">
        <v>2400</v>
      </c>
      <c r="K43" s="64">
        <f t="shared" si="1"/>
        <v>133.33333333333334</v>
      </c>
      <c r="L43" s="319">
        <v>18</v>
      </c>
      <c r="M43" s="65">
        <f t="shared" si="28"/>
        <v>2290.6849315068475</v>
      </c>
      <c r="N43" s="64">
        <f t="shared" si="3"/>
        <v>127.26027397260265</v>
      </c>
      <c r="O43" s="66">
        <f t="shared" si="4"/>
        <v>0</v>
      </c>
      <c r="P43" s="67">
        <f t="shared" si="5"/>
        <v>-6.0730593607306957</v>
      </c>
      <c r="Q43" s="313">
        <f t="shared" si="6"/>
        <v>0.95445205479451978</v>
      </c>
      <c r="R43" s="511"/>
      <c r="S43" s="68">
        <v>0.53402777777777777</v>
      </c>
      <c r="T43" s="68">
        <v>0.58472222222222225</v>
      </c>
      <c r="U43" s="312">
        <f t="shared" si="30"/>
        <v>59.000000000000028</v>
      </c>
      <c r="V43" s="320">
        <f t="shared" si="29"/>
        <v>73.000000000000057</v>
      </c>
      <c r="W43" s="69"/>
      <c r="X43" s="69"/>
      <c r="Y43" s="510"/>
      <c r="Z43" s="510"/>
      <c r="AA43" s="66">
        <f t="shared" si="8"/>
        <v>-109.31506849315247</v>
      </c>
      <c r="AB43" s="313">
        <f t="shared" si="9"/>
        <v>0.95445205479451978</v>
      </c>
      <c r="AC43" s="511"/>
    </row>
    <row r="44" spans="1:29">
      <c r="A44" s="532" t="s">
        <v>250</v>
      </c>
      <c r="B44" s="62" t="s">
        <v>16</v>
      </c>
      <c r="C44" s="512" t="s">
        <v>33</v>
      </c>
      <c r="D44" s="512"/>
      <c r="E44" s="62">
        <v>24.43</v>
      </c>
      <c r="F44" s="321">
        <v>2980</v>
      </c>
      <c r="G44" s="312">
        <f t="shared" si="27"/>
        <v>72801.399999999994</v>
      </c>
      <c r="H44" s="90" t="s">
        <v>5</v>
      </c>
      <c r="I44" s="319">
        <v>14</v>
      </c>
      <c r="J44" s="63">
        <v>2400</v>
      </c>
      <c r="K44" s="64">
        <f t="shared" si="1"/>
        <v>171.42857142857142</v>
      </c>
      <c r="L44" s="319">
        <v>14</v>
      </c>
      <c r="M44" s="65">
        <f t="shared" si="28"/>
        <v>2292.307692307691</v>
      </c>
      <c r="N44" s="64">
        <f t="shared" si="3"/>
        <v>163.73626373626365</v>
      </c>
      <c r="O44" s="66">
        <f t="shared" si="4"/>
        <v>0</v>
      </c>
      <c r="P44" s="67">
        <f t="shared" si="5"/>
        <v>-7.6923076923077645</v>
      </c>
      <c r="Q44" s="313">
        <f t="shared" si="6"/>
        <v>0.95512820512820473</v>
      </c>
      <c r="R44" s="511"/>
      <c r="S44" s="68">
        <v>0.58819444444444446</v>
      </c>
      <c r="T44" s="68">
        <v>0.64236111111111116</v>
      </c>
      <c r="U44" s="312">
        <f t="shared" si="30"/>
        <v>4.9999999999999822</v>
      </c>
      <c r="V44" s="320">
        <f t="shared" si="29"/>
        <v>78.000000000000043</v>
      </c>
      <c r="W44" s="69"/>
      <c r="X44" s="69"/>
      <c r="Y44" s="517"/>
      <c r="Z44" s="518"/>
      <c r="AA44" s="66">
        <f t="shared" si="8"/>
        <v>-107.69230769230899</v>
      </c>
      <c r="AB44" s="313">
        <f t="shared" si="9"/>
        <v>0.95512820512820462</v>
      </c>
      <c r="AC44" s="511"/>
    </row>
    <row r="45" spans="1:29">
      <c r="A45" s="532" t="s">
        <v>250</v>
      </c>
      <c r="B45" s="71" t="s">
        <v>79</v>
      </c>
      <c r="C45" s="513"/>
      <c r="D45" s="513"/>
      <c r="E45" s="314"/>
      <c r="F45" s="71"/>
      <c r="G45" s="64"/>
      <c r="H45" s="321"/>
      <c r="I45" s="72">
        <v>16.714285714285715</v>
      </c>
      <c r="J45" s="63">
        <v>2400</v>
      </c>
      <c r="K45" s="64">
        <f t="shared" si="1"/>
        <v>143.58974358974359</v>
      </c>
      <c r="L45" s="72">
        <v>16.714285714285715</v>
      </c>
      <c r="M45" s="65">
        <f>AVERAGE(M38:M44)</f>
        <v>2289.2777799795517</v>
      </c>
      <c r="N45" s="64">
        <f t="shared" si="3"/>
        <v>136.96533726373386</v>
      </c>
      <c r="O45" s="66">
        <f t="shared" si="4"/>
        <v>0</v>
      </c>
      <c r="P45" s="67">
        <f t="shared" si="5"/>
        <v>-6.6244063260097334</v>
      </c>
      <c r="Q45" s="313">
        <f t="shared" si="6"/>
        <v>0.95386574165814653</v>
      </c>
      <c r="R45" s="511"/>
      <c r="S45" s="68"/>
      <c r="T45" s="68"/>
      <c r="U45" s="64"/>
      <c r="V45" s="320"/>
      <c r="W45" s="64"/>
      <c r="X45" s="64"/>
      <c r="Y45" s="510"/>
      <c r="Z45" s="510"/>
      <c r="AA45" s="66">
        <f t="shared" si="8"/>
        <v>-110.72222002044828</v>
      </c>
      <c r="AB45" s="313">
        <f t="shared" si="9"/>
        <v>0.95386574165814653</v>
      </c>
      <c r="AC45" s="511"/>
    </row>
    <row r="46" spans="1:29" ht="15.75" customHeight="1">
      <c r="A46" s="525" t="s">
        <v>251</v>
      </c>
      <c r="B46" s="62" t="s">
        <v>35</v>
      </c>
      <c r="C46" s="521" t="s">
        <v>36</v>
      </c>
      <c r="D46" s="522"/>
      <c r="E46" s="62">
        <v>21.13</v>
      </c>
      <c r="F46" s="321">
        <v>5433</v>
      </c>
      <c r="G46" s="312">
        <f t="shared" ref="G46:G54" si="31">E46*F46</f>
        <v>114799.29</v>
      </c>
      <c r="H46" s="90" t="s">
        <v>5</v>
      </c>
      <c r="I46" s="319">
        <v>10</v>
      </c>
      <c r="J46" s="63">
        <v>3000</v>
      </c>
      <c r="K46" s="64">
        <f t="shared" si="1"/>
        <v>300</v>
      </c>
      <c r="L46" s="319">
        <v>10</v>
      </c>
      <c r="M46" s="65">
        <f t="shared" ref="M46:M54" si="32">F46/V46*60</f>
        <v>2859.4736842105272</v>
      </c>
      <c r="N46" s="65">
        <f t="shared" si="3"/>
        <v>285.94736842105272</v>
      </c>
      <c r="O46" s="66">
        <f t="shared" si="4"/>
        <v>0</v>
      </c>
      <c r="P46" s="67">
        <f t="shared" si="5"/>
        <v>-14.052631578947285</v>
      </c>
      <c r="Q46" s="313">
        <f t="shared" si="6"/>
        <v>0.95315789473684243</v>
      </c>
      <c r="R46" s="528">
        <f>Q55</f>
        <v>0.95974469614716706</v>
      </c>
      <c r="S46" s="68">
        <v>8.3333333333333329E-2</v>
      </c>
      <c r="T46" s="68">
        <v>0.16249999999999998</v>
      </c>
      <c r="U46" s="73"/>
      <c r="V46" s="320">
        <f t="shared" ref="V46:V54" si="33">(T46-S46)*24*60</f>
        <v>113.99999999999997</v>
      </c>
      <c r="W46" s="69">
        <f>T46</f>
        <v>0.16249999999999998</v>
      </c>
      <c r="X46" s="69">
        <f>S47</f>
        <v>0.18333333333333332</v>
      </c>
      <c r="Y46" s="517"/>
      <c r="Z46" s="518"/>
      <c r="AA46" s="66">
        <f t="shared" si="8"/>
        <v>-140.52631578947285</v>
      </c>
      <c r="AB46" s="313">
        <f t="shared" si="9"/>
        <v>0.95315789473684243</v>
      </c>
      <c r="AC46" s="528">
        <f>AB55</f>
        <v>0.95974469614716695</v>
      </c>
    </row>
    <row r="47" spans="1:29" ht="15.75" customHeight="1">
      <c r="A47" s="526" t="s">
        <v>1689</v>
      </c>
      <c r="B47" s="62" t="s">
        <v>35</v>
      </c>
      <c r="C47" s="521" t="s">
        <v>37</v>
      </c>
      <c r="D47" s="522"/>
      <c r="E47" s="62">
        <v>27.17</v>
      </c>
      <c r="F47" s="321">
        <v>4300</v>
      </c>
      <c r="G47" s="312">
        <f t="shared" si="31"/>
        <v>116831.00000000001</v>
      </c>
      <c r="H47" s="90">
        <v>2</v>
      </c>
      <c r="I47" s="319">
        <v>10</v>
      </c>
      <c r="J47" s="63">
        <v>3000</v>
      </c>
      <c r="K47" s="64">
        <f t="shared" si="1"/>
        <v>300</v>
      </c>
      <c r="L47" s="319">
        <v>10</v>
      </c>
      <c r="M47" s="65">
        <f t="shared" si="32"/>
        <v>2866.6666666666665</v>
      </c>
      <c r="N47" s="65">
        <f t="shared" si="3"/>
        <v>286.66666666666663</v>
      </c>
      <c r="O47" s="66">
        <f t="shared" si="4"/>
        <v>0</v>
      </c>
      <c r="P47" s="67">
        <f t="shared" si="5"/>
        <v>-13.333333333333371</v>
      </c>
      <c r="Q47" s="313">
        <f t="shared" si="6"/>
        <v>0.95555555555555538</v>
      </c>
      <c r="R47" s="529"/>
      <c r="S47" s="68">
        <v>0.18333333333333332</v>
      </c>
      <c r="T47" s="68">
        <v>0.24583333333333332</v>
      </c>
      <c r="U47" s="312">
        <f t="shared" ref="U47:U54" si="34">(S47-T46)*24*60</f>
        <v>30.000000000000014</v>
      </c>
      <c r="V47" s="320">
        <f t="shared" si="33"/>
        <v>90</v>
      </c>
      <c r="W47" s="69"/>
      <c r="X47" s="69"/>
      <c r="Y47" s="517"/>
      <c r="Z47" s="518"/>
      <c r="AA47" s="66">
        <f t="shared" si="8"/>
        <v>-133.33333333333348</v>
      </c>
      <c r="AB47" s="313">
        <f t="shared" si="9"/>
        <v>0.95555555555555549</v>
      </c>
      <c r="AC47" s="529"/>
    </row>
    <row r="48" spans="1:29" ht="15.75" customHeight="1">
      <c r="A48" s="526" t="s">
        <v>251</v>
      </c>
      <c r="B48" s="62" t="s">
        <v>35</v>
      </c>
      <c r="C48" s="521" t="s">
        <v>38</v>
      </c>
      <c r="D48" s="522"/>
      <c r="E48" s="62">
        <v>35.119999999999997</v>
      </c>
      <c r="F48" s="321">
        <v>4496</v>
      </c>
      <c r="G48" s="312">
        <f t="shared" si="31"/>
        <v>157899.51999999999</v>
      </c>
      <c r="H48" s="90" t="s">
        <v>5</v>
      </c>
      <c r="I48" s="319">
        <v>10</v>
      </c>
      <c r="J48" s="63">
        <v>3000</v>
      </c>
      <c r="K48" s="64">
        <f t="shared" si="1"/>
        <v>300</v>
      </c>
      <c r="L48" s="319">
        <v>10</v>
      </c>
      <c r="M48" s="65">
        <f t="shared" si="32"/>
        <v>2869.7872340425538</v>
      </c>
      <c r="N48" s="65">
        <f t="shared" si="3"/>
        <v>286.97872340425539</v>
      </c>
      <c r="O48" s="66">
        <f t="shared" si="4"/>
        <v>0</v>
      </c>
      <c r="P48" s="67">
        <f t="shared" si="5"/>
        <v>-13.021276595744609</v>
      </c>
      <c r="Q48" s="313">
        <f t="shared" si="6"/>
        <v>0.95659574468085129</v>
      </c>
      <c r="R48" s="529"/>
      <c r="S48" s="68">
        <v>0.25138888888888888</v>
      </c>
      <c r="T48" s="68">
        <v>0.31666666666666665</v>
      </c>
      <c r="U48" s="312">
        <f t="shared" si="34"/>
        <v>8.0000000000000107</v>
      </c>
      <c r="V48" s="320">
        <f t="shared" si="33"/>
        <v>93.999999999999986</v>
      </c>
      <c r="W48" s="69"/>
      <c r="X48" s="69"/>
      <c r="Y48" s="517"/>
      <c r="Z48" s="518"/>
      <c r="AA48" s="66">
        <f t="shared" si="8"/>
        <v>-130.21276595744621</v>
      </c>
      <c r="AB48" s="313">
        <f t="shared" si="9"/>
        <v>0.95659574468085129</v>
      </c>
      <c r="AC48" s="529"/>
    </row>
    <row r="49" spans="1:29" ht="15.75" customHeight="1">
      <c r="A49" s="526" t="s">
        <v>1689</v>
      </c>
      <c r="B49" s="62" t="s">
        <v>35</v>
      </c>
      <c r="C49" s="521" t="s">
        <v>39</v>
      </c>
      <c r="D49" s="522"/>
      <c r="E49" s="62">
        <v>35.869999999999997</v>
      </c>
      <c r="F49" s="321">
        <v>2922</v>
      </c>
      <c r="G49" s="312">
        <f t="shared" si="31"/>
        <v>104812.14</v>
      </c>
      <c r="H49" s="90" t="s">
        <v>5</v>
      </c>
      <c r="I49" s="319">
        <v>9</v>
      </c>
      <c r="J49" s="63">
        <v>3000</v>
      </c>
      <c r="K49" s="64">
        <f t="shared" si="1"/>
        <v>333.33333333333331</v>
      </c>
      <c r="L49" s="319">
        <v>9</v>
      </c>
      <c r="M49" s="65">
        <f t="shared" si="32"/>
        <v>2874.0983606557365</v>
      </c>
      <c r="N49" s="65">
        <f t="shared" si="3"/>
        <v>319.34426229508182</v>
      </c>
      <c r="O49" s="66">
        <f t="shared" si="4"/>
        <v>0</v>
      </c>
      <c r="P49" s="67">
        <f t="shared" si="5"/>
        <v>-13.989071038251495</v>
      </c>
      <c r="Q49" s="313">
        <f t="shared" si="6"/>
        <v>0.95803278688524551</v>
      </c>
      <c r="R49" s="529"/>
      <c r="S49" s="68">
        <v>0.32222222222222219</v>
      </c>
      <c r="T49" s="68">
        <v>0.36458333333333331</v>
      </c>
      <c r="U49" s="312">
        <f t="shared" si="34"/>
        <v>7.9999999999999716</v>
      </c>
      <c r="V49" s="320">
        <f t="shared" si="33"/>
        <v>61.000000000000021</v>
      </c>
      <c r="W49" s="69"/>
      <c r="X49" s="69"/>
      <c r="Y49" s="517"/>
      <c r="Z49" s="518"/>
      <c r="AA49" s="66">
        <f t="shared" si="8"/>
        <v>-125.90163934426346</v>
      </c>
      <c r="AB49" s="313">
        <f t="shared" si="9"/>
        <v>0.95803278688524551</v>
      </c>
      <c r="AC49" s="529"/>
    </row>
    <row r="50" spans="1:29" ht="15.75" customHeight="1">
      <c r="A50" s="526" t="s">
        <v>1690</v>
      </c>
      <c r="B50" s="62" t="s">
        <v>35</v>
      </c>
      <c r="C50" s="521" t="s">
        <v>40</v>
      </c>
      <c r="D50" s="522"/>
      <c r="E50" s="62">
        <v>36.14</v>
      </c>
      <c r="F50" s="321">
        <v>1416</v>
      </c>
      <c r="G50" s="312">
        <f t="shared" si="31"/>
        <v>51174.239999999998</v>
      </c>
      <c r="H50" s="90" t="s">
        <v>5</v>
      </c>
      <c r="I50" s="319">
        <v>9</v>
      </c>
      <c r="J50" s="63">
        <v>3000</v>
      </c>
      <c r="K50" s="64">
        <f t="shared" si="1"/>
        <v>333.33333333333331</v>
      </c>
      <c r="L50" s="319">
        <v>9</v>
      </c>
      <c r="M50" s="65">
        <f t="shared" si="32"/>
        <v>2929.6551724137953</v>
      </c>
      <c r="N50" s="65">
        <f t="shared" si="3"/>
        <v>325.51724137931058</v>
      </c>
      <c r="O50" s="66">
        <f t="shared" si="4"/>
        <v>0</v>
      </c>
      <c r="P50" s="67">
        <f t="shared" si="5"/>
        <v>-7.8160919540227383</v>
      </c>
      <c r="Q50" s="313">
        <f t="shared" si="6"/>
        <v>0.97655172413793179</v>
      </c>
      <c r="R50" s="529"/>
      <c r="S50" s="68">
        <v>0.36874999999999997</v>
      </c>
      <c r="T50" s="68">
        <v>0.38888888888888884</v>
      </c>
      <c r="U50" s="312">
        <f t="shared" si="34"/>
        <v>5.9999999999999787</v>
      </c>
      <c r="V50" s="320">
        <f t="shared" si="33"/>
        <v>28.999999999999979</v>
      </c>
      <c r="W50" s="69"/>
      <c r="X50" s="69"/>
      <c r="Y50" s="517"/>
      <c r="Z50" s="518"/>
      <c r="AA50" s="66">
        <f t="shared" si="8"/>
        <v>-70.344827586204701</v>
      </c>
      <c r="AB50" s="313">
        <f t="shared" si="9"/>
        <v>0.97655172413793179</v>
      </c>
      <c r="AC50" s="529"/>
    </row>
    <row r="51" spans="1:29" ht="15.75" customHeight="1">
      <c r="A51" s="526" t="s">
        <v>1690</v>
      </c>
      <c r="B51" s="62" t="s">
        <v>35</v>
      </c>
      <c r="C51" s="521" t="s">
        <v>74</v>
      </c>
      <c r="D51" s="522"/>
      <c r="E51" s="62">
        <v>34.36</v>
      </c>
      <c r="F51" s="321">
        <v>2536</v>
      </c>
      <c r="G51" s="312">
        <f t="shared" si="31"/>
        <v>87136.959999999992</v>
      </c>
      <c r="H51" s="90" t="s">
        <v>5</v>
      </c>
      <c r="I51" s="319">
        <v>10</v>
      </c>
      <c r="J51" s="63">
        <v>3000</v>
      </c>
      <c r="K51" s="64">
        <f t="shared" si="1"/>
        <v>300</v>
      </c>
      <c r="L51" s="319">
        <v>10</v>
      </c>
      <c r="M51" s="65">
        <f t="shared" si="32"/>
        <v>2870.9433962264166</v>
      </c>
      <c r="N51" s="65">
        <f t="shared" si="3"/>
        <v>287.09433962264166</v>
      </c>
      <c r="O51" s="66">
        <f t="shared" si="4"/>
        <v>0</v>
      </c>
      <c r="P51" s="67">
        <f t="shared" si="5"/>
        <v>-12.905660377358345</v>
      </c>
      <c r="Q51" s="313">
        <f t="shared" si="6"/>
        <v>0.9569811320754722</v>
      </c>
      <c r="R51" s="529"/>
      <c r="S51" s="68">
        <v>0.39305555555555549</v>
      </c>
      <c r="T51" s="68">
        <v>0.42986111111111103</v>
      </c>
      <c r="U51" s="312">
        <f t="shared" si="34"/>
        <v>5.9999999999999787</v>
      </c>
      <c r="V51" s="320">
        <f t="shared" si="33"/>
        <v>52.999999999999972</v>
      </c>
      <c r="W51" s="69"/>
      <c r="X51" s="69"/>
      <c r="Y51" s="517"/>
      <c r="Z51" s="518"/>
      <c r="AA51" s="66">
        <f t="shared" si="8"/>
        <v>-129.05660377358345</v>
      </c>
      <c r="AB51" s="313">
        <f t="shared" si="9"/>
        <v>0.9569811320754722</v>
      </c>
      <c r="AC51" s="529"/>
    </row>
    <row r="52" spans="1:29" ht="15.75" customHeight="1">
      <c r="A52" s="526" t="s">
        <v>251</v>
      </c>
      <c r="B52" s="62" t="s">
        <v>35</v>
      </c>
      <c r="C52" s="521" t="s">
        <v>84</v>
      </c>
      <c r="D52" s="522"/>
      <c r="E52" s="62">
        <v>31</v>
      </c>
      <c r="F52" s="321">
        <v>2500</v>
      </c>
      <c r="G52" s="312">
        <f t="shared" si="31"/>
        <v>77500</v>
      </c>
      <c r="H52" s="90">
        <v>2</v>
      </c>
      <c r="I52" s="319">
        <v>13</v>
      </c>
      <c r="J52" s="63">
        <v>2000</v>
      </c>
      <c r="K52" s="64">
        <f t="shared" si="1"/>
        <v>153.84615384615384</v>
      </c>
      <c r="L52" s="319">
        <v>13</v>
      </c>
      <c r="M52" s="65">
        <f t="shared" si="32"/>
        <v>1923.0769230769222</v>
      </c>
      <c r="N52" s="65">
        <f t="shared" si="3"/>
        <v>147.92899408284018</v>
      </c>
      <c r="O52" s="66">
        <f t="shared" si="4"/>
        <v>0</v>
      </c>
      <c r="P52" s="67">
        <f t="shared" si="5"/>
        <v>-5.9171597633136628</v>
      </c>
      <c r="Q52" s="313">
        <f t="shared" si="6"/>
        <v>0.96153846153846123</v>
      </c>
      <c r="R52" s="529"/>
      <c r="S52" s="68">
        <v>0.43333333333333324</v>
      </c>
      <c r="T52" s="68">
        <v>0.48749999999999993</v>
      </c>
      <c r="U52" s="312">
        <f t="shared" si="34"/>
        <v>4.9999999999999822</v>
      </c>
      <c r="V52" s="320">
        <f t="shared" si="33"/>
        <v>78.000000000000043</v>
      </c>
      <c r="W52" s="69">
        <f>T52</f>
        <v>0.48749999999999993</v>
      </c>
      <c r="X52" s="69">
        <f>S53</f>
        <v>0.52986111111111101</v>
      </c>
      <c r="Y52" s="517"/>
      <c r="Z52" s="518"/>
      <c r="AA52" s="66">
        <f t="shared" si="8"/>
        <v>-76.923076923077815</v>
      </c>
      <c r="AB52" s="313">
        <f t="shared" si="9"/>
        <v>0.96153846153846112</v>
      </c>
      <c r="AC52" s="529"/>
    </row>
    <row r="53" spans="1:29" ht="15.75" customHeight="1">
      <c r="A53" s="526" t="s">
        <v>1691</v>
      </c>
      <c r="B53" s="62" t="s">
        <v>35</v>
      </c>
      <c r="C53" s="521" t="s">
        <v>84</v>
      </c>
      <c r="D53" s="522"/>
      <c r="E53" s="62">
        <v>31</v>
      </c>
      <c r="F53" s="321">
        <v>1804</v>
      </c>
      <c r="G53" s="312">
        <f t="shared" si="31"/>
        <v>55924</v>
      </c>
      <c r="H53" s="90" t="s">
        <v>5</v>
      </c>
      <c r="I53" s="319">
        <v>13</v>
      </c>
      <c r="J53" s="63">
        <v>2000</v>
      </c>
      <c r="K53" s="64">
        <f t="shared" si="1"/>
        <v>153.84615384615384</v>
      </c>
      <c r="L53" s="319">
        <v>13</v>
      </c>
      <c r="M53" s="65">
        <f t="shared" si="32"/>
        <v>1932.8571428571443</v>
      </c>
      <c r="N53" s="65">
        <f t="shared" si="3"/>
        <v>148.6813186813188</v>
      </c>
      <c r="O53" s="66">
        <f t="shared" si="4"/>
        <v>0</v>
      </c>
      <c r="P53" s="67">
        <f t="shared" si="5"/>
        <v>-5.1648351648350399</v>
      </c>
      <c r="Q53" s="313">
        <f t="shared" si="6"/>
        <v>0.96642857142857219</v>
      </c>
      <c r="R53" s="529"/>
      <c r="S53" s="68">
        <v>0.52986111111111101</v>
      </c>
      <c r="T53" s="68">
        <v>0.56874999999999987</v>
      </c>
      <c r="U53" s="312">
        <f t="shared" si="34"/>
        <v>60.999999999999943</v>
      </c>
      <c r="V53" s="320">
        <f t="shared" si="33"/>
        <v>55.999999999999957</v>
      </c>
      <c r="W53" s="69"/>
      <c r="X53" s="69"/>
      <c r="Y53" s="517"/>
      <c r="Z53" s="518"/>
      <c r="AA53" s="66">
        <f t="shared" si="8"/>
        <v>-67.142857142855746</v>
      </c>
      <c r="AB53" s="313">
        <f t="shared" si="9"/>
        <v>0.96642857142857208</v>
      </c>
      <c r="AC53" s="529"/>
    </row>
    <row r="54" spans="1:29" ht="15.75" customHeight="1">
      <c r="A54" s="526" t="s">
        <v>1692</v>
      </c>
      <c r="B54" s="62" t="s">
        <v>35</v>
      </c>
      <c r="C54" s="521" t="s">
        <v>37</v>
      </c>
      <c r="D54" s="522"/>
      <c r="E54" s="62">
        <v>27.17</v>
      </c>
      <c r="F54" s="321">
        <v>2437</v>
      </c>
      <c r="G54" s="312">
        <f t="shared" si="31"/>
        <v>66213.290000000008</v>
      </c>
      <c r="H54" s="90" t="s">
        <v>5</v>
      </c>
      <c r="I54" s="319">
        <v>10</v>
      </c>
      <c r="J54" s="63">
        <v>3000</v>
      </c>
      <c r="K54" s="64">
        <f t="shared" si="1"/>
        <v>300</v>
      </c>
      <c r="L54" s="319">
        <v>10</v>
      </c>
      <c r="M54" s="65">
        <f t="shared" si="32"/>
        <v>2867.0588235294131</v>
      </c>
      <c r="N54" s="65">
        <f t="shared" si="3"/>
        <v>286.70588235294133</v>
      </c>
      <c r="O54" s="66">
        <f t="shared" si="4"/>
        <v>0</v>
      </c>
      <c r="P54" s="67">
        <f t="shared" si="5"/>
        <v>-13.29411764705867</v>
      </c>
      <c r="Q54" s="313">
        <f t="shared" si="6"/>
        <v>0.95568627450980448</v>
      </c>
      <c r="R54" s="529"/>
      <c r="S54" s="68">
        <v>0.5743055555555554</v>
      </c>
      <c r="T54" s="68">
        <v>0.60972222222222205</v>
      </c>
      <c r="U54" s="312">
        <f t="shared" si="34"/>
        <v>7.9999999999999716</v>
      </c>
      <c r="V54" s="320">
        <f t="shared" si="33"/>
        <v>50.999999999999979</v>
      </c>
      <c r="W54" s="69"/>
      <c r="X54" s="69"/>
      <c r="Y54" s="517"/>
      <c r="Z54" s="518"/>
      <c r="AA54" s="66">
        <f t="shared" si="8"/>
        <v>-132.94117647058692</v>
      </c>
      <c r="AB54" s="313">
        <f t="shared" si="9"/>
        <v>0.95568627450980437</v>
      </c>
      <c r="AC54" s="529"/>
    </row>
    <row r="55" spans="1:29" ht="15.75" customHeight="1">
      <c r="A55" s="527" t="s">
        <v>1691</v>
      </c>
      <c r="B55" s="62" t="s">
        <v>79</v>
      </c>
      <c r="C55" s="508"/>
      <c r="D55" s="509"/>
      <c r="E55" s="311"/>
      <c r="F55" s="321"/>
      <c r="G55" s="312"/>
      <c r="H55" s="321"/>
      <c r="I55" s="72">
        <v>10.444444444444445</v>
      </c>
      <c r="J55" s="63">
        <v>2777.7777777777778</v>
      </c>
      <c r="K55" s="64">
        <f t="shared" si="1"/>
        <v>265.95744680851061</v>
      </c>
      <c r="L55" s="72">
        <v>10.444444444444445</v>
      </c>
      <c r="M55" s="65">
        <f>AVERAGE(M46:M54)</f>
        <v>2665.9574892976862</v>
      </c>
      <c r="N55" s="64">
        <f t="shared" si="3"/>
        <v>255.25124897531038</v>
      </c>
      <c r="O55" s="66">
        <f t="shared" si="4"/>
        <v>0</v>
      </c>
      <c r="P55" s="67">
        <f t="shared" si="5"/>
        <v>-10.706197833200235</v>
      </c>
      <c r="Q55" s="313">
        <f t="shared" si="6"/>
        <v>0.95974469614716706</v>
      </c>
      <c r="R55" s="530"/>
      <c r="S55" s="68"/>
      <c r="T55" s="68"/>
      <c r="U55" s="312"/>
      <c r="V55" s="320"/>
      <c r="W55" s="69"/>
      <c r="X55" s="69"/>
      <c r="Y55" s="517"/>
      <c r="Z55" s="518"/>
      <c r="AA55" s="66">
        <f t="shared" si="8"/>
        <v>-111.82028848009168</v>
      </c>
      <c r="AB55" s="313">
        <f t="shared" si="9"/>
        <v>0.95974469614716695</v>
      </c>
      <c r="AC55" s="530"/>
    </row>
    <row r="56" spans="1:29" ht="15.75" customHeight="1">
      <c r="A56" s="523" t="s">
        <v>1693</v>
      </c>
      <c r="B56" s="62" t="s">
        <v>10</v>
      </c>
      <c r="C56" s="512" t="s">
        <v>41</v>
      </c>
      <c r="D56" s="512"/>
      <c r="E56" s="62">
        <v>46</v>
      </c>
      <c r="F56" s="74">
        <v>2403</v>
      </c>
      <c r="G56" s="312">
        <f t="shared" ref="G56:G61" si="35">E56*F56</f>
        <v>110538</v>
      </c>
      <c r="H56" s="90" t="s">
        <v>5</v>
      </c>
      <c r="I56" s="319">
        <v>17</v>
      </c>
      <c r="J56" s="63">
        <v>2000</v>
      </c>
      <c r="K56" s="64">
        <f t="shared" si="1"/>
        <v>117.64705882352941</v>
      </c>
      <c r="L56" s="319">
        <v>17</v>
      </c>
      <c r="M56" s="65">
        <f t="shared" ref="M56:M61" si="36">F56/V56*60</f>
        <v>1922.3999999999996</v>
      </c>
      <c r="N56" s="65">
        <f t="shared" si="3"/>
        <v>113.08235294117645</v>
      </c>
      <c r="O56" s="66">
        <f t="shared" si="4"/>
        <v>0</v>
      </c>
      <c r="P56" s="67">
        <f t="shared" si="5"/>
        <v>-4.5647058823529534</v>
      </c>
      <c r="Q56" s="313">
        <f t="shared" si="6"/>
        <v>0.96119999999999994</v>
      </c>
      <c r="R56" s="511">
        <f>Q62</f>
        <v>0.95852057196876672</v>
      </c>
      <c r="S56" s="68">
        <v>0.20833333333333334</v>
      </c>
      <c r="T56" s="68">
        <v>0.26041666666666669</v>
      </c>
      <c r="U56" s="73"/>
      <c r="V56" s="320">
        <f t="shared" ref="V56:V61" si="37">(T56-S56)*24*60</f>
        <v>75.000000000000014</v>
      </c>
      <c r="W56" s="73"/>
      <c r="X56" s="73"/>
      <c r="Y56" s="510"/>
      <c r="Z56" s="510"/>
      <c r="AA56" s="66">
        <f t="shared" si="8"/>
        <v>-77.600000000000364</v>
      </c>
      <c r="AB56" s="313">
        <f t="shared" si="9"/>
        <v>0.96119999999999983</v>
      </c>
      <c r="AC56" s="511">
        <f>AB62</f>
        <v>0.95852057196876672</v>
      </c>
    </row>
    <row r="57" spans="1:29" ht="15.75" customHeight="1">
      <c r="A57" s="523" t="s">
        <v>80</v>
      </c>
      <c r="B57" s="62" t="s">
        <v>10</v>
      </c>
      <c r="C57" s="512" t="s">
        <v>42</v>
      </c>
      <c r="D57" s="512"/>
      <c r="E57" s="62">
        <v>46</v>
      </c>
      <c r="F57" s="74">
        <v>2568</v>
      </c>
      <c r="G57" s="312">
        <f t="shared" si="35"/>
        <v>118128</v>
      </c>
      <c r="H57" s="90" t="s">
        <v>5</v>
      </c>
      <c r="I57" s="319">
        <v>17</v>
      </c>
      <c r="J57" s="63">
        <v>2000</v>
      </c>
      <c r="K57" s="64">
        <f t="shared" si="1"/>
        <v>117.64705882352941</v>
      </c>
      <c r="L57" s="319">
        <v>17</v>
      </c>
      <c r="M57" s="65">
        <f t="shared" si="36"/>
        <v>1926.0000000000009</v>
      </c>
      <c r="N57" s="65">
        <f t="shared" si="3"/>
        <v>113.29411764705888</v>
      </c>
      <c r="O57" s="66">
        <f t="shared" si="4"/>
        <v>0</v>
      </c>
      <c r="P57" s="67">
        <f t="shared" si="5"/>
        <v>-4.352941176470523</v>
      </c>
      <c r="Q57" s="313">
        <f t="shared" si="6"/>
        <v>0.96300000000000052</v>
      </c>
      <c r="R57" s="511"/>
      <c r="S57" s="68">
        <v>0.2638888888888889</v>
      </c>
      <c r="T57" s="68">
        <v>0.31944444444444442</v>
      </c>
      <c r="U57" s="312">
        <f t="shared" ref="U57:U61" si="38">IF(S57=TIME(17,0,0),"",(S57-T56)*24*60)</f>
        <v>4.9999999999999822</v>
      </c>
      <c r="V57" s="320">
        <f t="shared" si="37"/>
        <v>79.999999999999957</v>
      </c>
      <c r="W57" s="69"/>
      <c r="X57" s="69"/>
      <c r="Y57" s="510"/>
      <c r="Z57" s="510"/>
      <c r="AA57" s="66">
        <f t="shared" si="8"/>
        <v>-73.999999999999091</v>
      </c>
      <c r="AB57" s="313">
        <f t="shared" si="9"/>
        <v>0.96300000000000041</v>
      </c>
      <c r="AC57" s="511"/>
    </row>
    <row r="58" spans="1:29" ht="15.75" customHeight="1">
      <c r="A58" s="523" t="s">
        <v>1693</v>
      </c>
      <c r="B58" s="62" t="s">
        <v>6</v>
      </c>
      <c r="C58" s="521" t="s">
        <v>43</v>
      </c>
      <c r="D58" s="522"/>
      <c r="E58" s="62">
        <v>55.56</v>
      </c>
      <c r="F58" s="74">
        <v>1893</v>
      </c>
      <c r="G58" s="312">
        <f t="shared" si="35"/>
        <v>105175.08</v>
      </c>
      <c r="H58" s="90" t="s">
        <v>5</v>
      </c>
      <c r="I58" s="319">
        <v>17</v>
      </c>
      <c r="J58" s="63">
        <v>2000</v>
      </c>
      <c r="K58" s="64">
        <f t="shared" si="1"/>
        <v>117.64705882352941</v>
      </c>
      <c r="L58" s="319">
        <v>17</v>
      </c>
      <c r="M58" s="65">
        <f t="shared" si="36"/>
        <v>1925.0847457627133</v>
      </c>
      <c r="N58" s="65">
        <f t="shared" si="3"/>
        <v>113.24027916251255</v>
      </c>
      <c r="O58" s="66">
        <f t="shared" si="4"/>
        <v>0</v>
      </c>
      <c r="P58" s="67">
        <f t="shared" si="5"/>
        <v>-4.4067796610168557</v>
      </c>
      <c r="Q58" s="313">
        <f t="shared" si="6"/>
        <v>0.96254237288135669</v>
      </c>
      <c r="R58" s="511"/>
      <c r="S58" s="68">
        <v>0.70833333333333337</v>
      </c>
      <c r="T58" s="68">
        <v>0.74930555555555556</v>
      </c>
      <c r="U58" s="312" t="str">
        <f t="shared" si="38"/>
        <v/>
      </c>
      <c r="V58" s="320">
        <f t="shared" si="37"/>
        <v>58.99999999999995</v>
      </c>
      <c r="W58" s="69"/>
      <c r="X58" s="69"/>
      <c r="Y58" s="309"/>
      <c r="Z58" s="310"/>
      <c r="AA58" s="66">
        <f t="shared" si="8"/>
        <v>-74.915254237286717</v>
      </c>
      <c r="AB58" s="313">
        <f t="shared" si="9"/>
        <v>0.96254237288135669</v>
      </c>
      <c r="AC58" s="511"/>
    </row>
    <row r="59" spans="1:29" ht="15.75" customHeight="1">
      <c r="A59" s="523" t="s">
        <v>1694</v>
      </c>
      <c r="B59" s="62" t="s">
        <v>6</v>
      </c>
      <c r="C59" s="315" t="s">
        <v>44</v>
      </c>
      <c r="D59" s="316"/>
      <c r="E59" s="62">
        <v>55.32</v>
      </c>
      <c r="F59" s="74">
        <v>1460</v>
      </c>
      <c r="G59" s="312">
        <f t="shared" si="35"/>
        <v>80767.199999999997</v>
      </c>
      <c r="H59" s="90" t="s">
        <v>5</v>
      </c>
      <c r="I59" s="319">
        <v>15</v>
      </c>
      <c r="J59" s="63">
        <v>2000</v>
      </c>
      <c r="K59" s="64">
        <f t="shared" si="1"/>
        <v>133.33333333333334</v>
      </c>
      <c r="L59" s="319">
        <v>15</v>
      </c>
      <c r="M59" s="65">
        <f t="shared" si="36"/>
        <v>1904.3478260869565</v>
      </c>
      <c r="N59" s="65">
        <f t="shared" si="3"/>
        <v>126.95652173913044</v>
      </c>
      <c r="O59" s="66">
        <f t="shared" si="4"/>
        <v>0</v>
      </c>
      <c r="P59" s="67">
        <f t="shared" si="5"/>
        <v>-6.3768115942029056</v>
      </c>
      <c r="Q59" s="313">
        <f t="shared" si="6"/>
        <v>0.9521739130434782</v>
      </c>
      <c r="R59" s="511"/>
      <c r="S59" s="68">
        <v>0.75486111111111109</v>
      </c>
      <c r="T59" s="68">
        <v>0.78680555555555554</v>
      </c>
      <c r="U59" s="312">
        <f t="shared" si="38"/>
        <v>7.9999999999999716</v>
      </c>
      <c r="V59" s="320">
        <f t="shared" si="37"/>
        <v>46</v>
      </c>
      <c r="W59" s="69"/>
      <c r="X59" s="69"/>
      <c r="Y59" s="309"/>
      <c r="Z59" s="310"/>
      <c r="AA59" s="66">
        <f t="shared" si="8"/>
        <v>-95.652173913043498</v>
      </c>
      <c r="AB59" s="313">
        <f t="shared" si="9"/>
        <v>0.9521739130434782</v>
      </c>
      <c r="AC59" s="511"/>
    </row>
    <row r="60" spans="1:29" ht="15.75" customHeight="1">
      <c r="A60" s="523" t="s">
        <v>1694</v>
      </c>
      <c r="B60" s="62" t="s">
        <v>6</v>
      </c>
      <c r="C60" s="315" t="s">
        <v>1462</v>
      </c>
      <c r="D60" s="316"/>
      <c r="E60" s="62">
        <v>53.68</v>
      </c>
      <c r="F60" s="74">
        <v>2200</v>
      </c>
      <c r="G60" s="312">
        <f t="shared" si="35"/>
        <v>118096</v>
      </c>
      <c r="H60" s="90">
        <v>2</v>
      </c>
      <c r="I60" s="319">
        <v>16</v>
      </c>
      <c r="J60" s="63">
        <v>1500</v>
      </c>
      <c r="K60" s="64">
        <f t="shared" si="1"/>
        <v>93.75</v>
      </c>
      <c r="L60" s="319">
        <v>16</v>
      </c>
      <c r="M60" s="65">
        <f t="shared" si="36"/>
        <v>1434.7826086956522</v>
      </c>
      <c r="N60" s="65">
        <f t="shared" si="3"/>
        <v>89.673913043478265</v>
      </c>
      <c r="O60" s="66">
        <f t="shared" si="4"/>
        <v>0</v>
      </c>
      <c r="P60" s="67">
        <f t="shared" si="5"/>
        <v>-4.0760869565217348</v>
      </c>
      <c r="Q60" s="313">
        <f t="shared" si="6"/>
        <v>0.95652173913043481</v>
      </c>
      <c r="R60" s="511"/>
      <c r="S60" s="68">
        <v>0.79027777777777775</v>
      </c>
      <c r="T60" s="68">
        <v>0.85416666666666663</v>
      </c>
      <c r="U60" s="312">
        <f t="shared" si="38"/>
        <v>4.9999999999999822</v>
      </c>
      <c r="V60" s="320">
        <f t="shared" si="37"/>
        <v>92</v>
      </c>
      <c r="W60" s="69">
        <f>T60</f>
        <v>0.85416666666666663</v>
      </c>
      <c r="X60" s="69">
        <f>S61</f>
        <v>0.89236111111111105</v>
      </c>
      <c r="Y60" s="309"/>
      <c r="Z60" s="310"/>
      <c r="AA60" s="66">
        <f t="shared" si="8"/>
        <v>-65.217391304347757</v>
      </c>
      <c r="AB60" s="313">
        <f t="shared" si="9"/>
        <v>0.95652173913043481</v>
      </c>
      <c r="AC60" s="511"/>
    </row>
    <row r="61" spans="1:29" ht="15.75" customHeight="1">
      <c r="A61" s="523" t="s">
        <v>1694</v>
      </c>
      <c r="B61" s="62" t="s">
        <v>6</v>
      </c>
      <c r="C61" s="521" t="s">
        <v>1462</v>
      </c>
      <c r="D61" s="522"/>
      <c r="E61" s="62">
        <v>53.68</v>
      </c>
      <c r="F61" s="74">
        <v>1288</v>
      </c>
      <c r="G61" s="312">
        <f t="shared" si="35"/>
        <v>69139.839999999997</v>
      </c>
      <c r="H61" s="90" t="s">
        <v>5</v>
      </c>
      <c r="I61" s="319">
        <v>16</v>
      </c>
      <c r="J61" s="63">
        <v>1500</v>
      </c>
      <c r="K61" s="64">
        <f t="shared" si="1"/>
        <v>93.75</v>
      </c>
      <c r="L61" s="319">
        <v>16</v>
      </c>
      <c r="M61" s="65">
        <f t="shared" si="36"/>
        <v>1431.111111111112</v>
      </c>
      <c r="N61" s="65">
        <f t="shared" si="3"/>
        <v>89.4444444444445</v>
      </c>
      <c r="O61" s="66">
        <f t="shared" si="4"/>
        <v>0</v>
      </c>
      <c r="P61" s="67">
        <f t="shared" si="5"/>
        <v>-4.3055555555555003</v>
      </c>
      <c r="Q61" s="313">
        <f t="shared" si="6"/>
        <v>0.95407407407407463</v>
      </c>
      <c r="R61" s="511"/>
      <c r="S61" s="68">
        <v>0.89236111111111105</v>
      </c>
      <c r="T61" s="68">
        <v>0.92986111111111103</v>
      </c>
      <c r="U61" s="312">
        <f t="shared" si="38"/>
        <v>54.999999999999964</v>
      </c>
      <c r="V61" s="320">
        <f t="shared" si="37"/>
        <v>53.999999999999972</v>
      </c>
      <c r="W61" s="69"/>
      <c r="X61" s="69"/>
      <c r="Y61" s="517"/>
      <c r="Z61" s="518"/>
      <c r="AA61" s="66">
        <f t="shared" si="8"/>
        <v>-68.888888888888005</v>
      </c>
      <c r="AB61" s="313">
        <f t="shared" si="9"/>
        <v>0.95407407407407463</v>
      </c>
      <c r="AC61" s="511"/>
    </row>
    <row r="62" spans="1:29">
      <c r="A62" s="524" t="s">
        <v>1694</v>
      </c>
      <c r="B62" s="62" t="s">
        <v>1695</v>
      </c>
      <c r="C62" s="513"/>
      <c r="D62" s="513"/>
      <c r="E62" s="314"/>
      <c r="F62" s="71"/>
      <c r="G62" s="64"/>
      <c r="H62" s="321"/>
      <c r="I62" s="72">
        <v>16.333333333333332</v>
      </c>
      <c r="J62" s="63">
        <v>1833.3333333333333</v>
      </c>
      <c r="K62" s="64">
        <f t="shared" si="1"/>
        <v>112.24489795918367</v>
      </c>
      <c r="L62" s="72">
        <v>16.333333333333332</v>
      </c>
      <c r="M62" s="65">
        <f>AVERAGE(M56:M61)</f>
        <v>1757.2877152760723</v>
      </c>
      <c r="N62" s="64">
        <f t="shared" si="3"/>
        <v>107.5890437924126</v>
      </c>
      <c r="O62" s="66">
        <f t="shared" si="4"/>
        <v>0</v>
      </c>
      <c r="P62" s="67">
        <f t="shared" si="5"/>
        <v>-4.6558541667710784</v>
      </c>
      <c r="Q62" s="313">
        <f t="shared" si="6"/>
        <v>0.95852057196876672</v>
      </c>
      <c r="R62" s="511"/>
      <c r="S62" s="75"/>
      <c r="T62" s="68"/>
      <c r="U62" s="64"/>
      <c r="V62" s="320"/>
      <c r="W62" s="64"/>
      <c r="X62" s="64"/>
      <c r="Y62" s="510"/>
      <c r="Z62" s="510"/>
      <c r="AA62" s="66">
        <f t="shared" si="8"/>
        <v>-76.045618057260981</v>
      </c>
      <c r="AB62" s="313">
        <f t="shared" si="9"/>
        <v>0.95852057196876672</v>
      </c>
      <c r="AC62" s="511"/>
    </row>
    <row r="63" spans="1:29" ht="15.75" customHeight="1">
      <c r="A63" s="519" t="s">
        <v>1696</v>
      </c>
      <c r="B63" s="321" t="s">
        <v>10</v>
      </c>
      <c r="C63" s="512" t="s">
        <v>46</v>
      </c>
      <c r="D63" s="512"/>
      <c r="E63" s="62">
        <v>26.97</v>
      </c>
      <c r="F63" s="74">
        <v>3020</v>
      </c>
      <c r="G63" s="312">
        <f t="shared" ref="G63:G66" si="39">E63*F63</f>
        <v>81449.399999999994</v>
      </c>
      <c r="H63" s="90" t="s">
        <v>5</v>
      </c>
      <c r="I63" s="319">
        <v>8</v>
      </c>
      <c r="J63" s="63">
        <v>1500</v>
      </c>
      <c r="K63" s="64">
        <f t="shared" si="1"/>
        <v>187.5</v>
      </c>
      <c r="L63" s="319">
        <v>8</v>
      </c>
      <c r="M63" s="65">
        <f t="shared" ref="M63:M66" si="40">F63/V63*60</f>
        <v>1438.0952380952383</v>
      </c>
      <c r="N63" s="64">
        <f t="shared" si="3"/>
        <v>179.76190476190479</v>
      </c>
      <c r="O63" s="66">
        <f t="shared" si="4"/>
        <v>0</v>
      </c>
      <c r="P63" s="67">
        <f t="shared" si="5"/>
        <v>-7.7380952380952124</v>
      </c>
      <c r="Q63" s="313">
        <f t="shared" si="6"/>
        <v>0.95873015873015888</v>
      </c>
      <c r="R63" s="511">
        <f>Q67</f>
        <v>0.96156847128436196</v>
      </c>
      <c r="S63" s="68">
        <v>0.20833333333333334</v>
      </c>
      <c r="T63" s="68">
        <v>0.29583333333333334</v>
      </c>
      <c r="U63" s="312"/>
      <c r="V63" s="320">
        <f t="shared" ref="V63:V66" si="41">(T63-S63)*24*60</f>
        <v>125.99999999999997</v>
      </c>
      <c r="W63" s="73"/>
      <c r="X63" s="73"/>
      <c r="Y63" s="510"/>
      <c r="Z63" s="510"/>
      <c r="AA63" s="66">
        <f t="shared" si="8"/>
        <v>-61.904761904761699</v>
      </c>
      <c r="AB63" s="313">
        <f t="shared" si="9"/>
        <v>0.95873015873015888</v>
      </c>
      <c r="AC63" s="511">
        <f>AB67</f>
        <v>0.96156847128436218</v>
      </c>
    </row>
    <row r="64" spans="1:29" ht="15.75" customHeight="1">
      <c r="A64" s="519" t="s">
        <v>1696</v>
      </c>
      <c r="B64" s="321" t="s">
        <v>35</v>
      </c>
      <c r="C64" s="512" t="s">
        <v>45</v>
      </c>
      <c r="D64" s="512"/>
      <c r="E64" s="62">
        <v>26.78</v>
      </c>
      <c r="F64" s="74">
        <v>2830</v>
      </c>
      <c r="G64" s="312">
        <f t="shared" si="39"/>
        <v>75787.400000000009</v>
      </c>
      <c r="H64" s="90" t="s">
        <v>5</v>
      </c>
      <c r="I64" s="319">
        <v>10</v>
      </c>
      <c r="J64" s="63">
        <v>3000</v>
      </c>
      <c r="K64" s="64">
        <f t="shared" si="1"/>
        <v>300</v>
      </c>
      <c r="L64" s="319">
        <v>10</v>
      </c>
      <c r="M64" s="65">
        <f t="shared" si="40"/>
        <v>2877.966101694914</v>
      </c>
      <c r="N64" s="64">
        <f t="shared" si="3"/>
        <v>287.79661016949137</v>
      </c>
      <c r="O64" s="66">
        <f t="shared" si="4"/>
        <v>0</v>
      </c>
      <c r="P64" s="67">
        <f t="shared" si="5"/>
        <v>-12.203389830508627</v>
      </c>
      <c r="Q64" s="313">
        <f t="shared" si="6"/>
        <v>0.95932203389830462</v>
      </c>
      <c r="R64" s="511"/>
      <c r="S64" s="68">
        <v>0.30069444444444443</v>
      </c>
      <c r="T64" s="68">
        <v>0.34166666666666667</v>
      </c>
      <c r="U64" s="312">
        <f t="shared" ref="U64:U66" si="42">(S64-T63)*24*60</f>
        <v>6.9999999999999751</v>
      </c>
      <c r="V64" s="320">
        <f t="shared" si="41"/>
        <v>59.000000000000028</v>
      </c>
      <c r="W64" s="312"/>
      <c r="X64" s="312"/>
      <c r="Y64" s="510"/>
      <c r="Z64" s="510"/>
      <c r="AA64" s="66">
        <f t="shared" si="8"/>
        <v>-122.03389830508604</v>
      </c>
      <c r="AB64" s="313">
        <f t="shared" si="9"/>
        <v>0.95932203389830462</v>
      </c>
      <c r="AC64" s="511"/>
    </row>
    <row r="65" spans="1:29" ht="15.75" customHeight="1">
      <c r="A65" s="519" t="s">
        <v>1697</v>
      </c>
      <c r="B65" s="321" t="s">
        <v>35</v>
      </c>
      <c r="C65" s="512" t="s">
        <v>75</v>
      </c>
      <c r="D65" s="512"/>
      <c r="E65" s="62">
        <v>37.880000000000003</v>
      </c>
      <c r="F65" s="74">
        <v>3329</v>
      </c>
      <c r="G65" s="312">
        <f t="shared" si="39"/>
        <v>126102.52</v>
      </c>
      <c r="H65" s="90" t="s">
        <v>5</v>
      </c>
      <c r="I65" s="319">
        <v>10</v>
      </c>
      <c r="J65" s="63">
        <v>3000</v>
      </c>
      <c r="K65" s="64">
        <f t="shared" si="1"/>
        <v>300</v>
      </c>
      <c r="L65" s="319">
        <v>10</v>
      </c>
      <c r="M65" s="65">
        <f t="shared" si="40"/>
        <v>2894.782608695652</v>
      </c>
      <c r="N65" s="64">
        <f t="shared" si="3"/>
        <v>289.47826086956519</v>
      </c>
      <c r="O65" s="66">
        <f t="shared" si="4"/>
        <v>0</v>
      </c>
      <c r="P65" s="67">
        <f t="shared" si="5"/>
        <v>-10.52173913043481</v>
      </c>
      <c r="Q65" s="313">
        <f t="shared" si="6"/>
        <v>0.96492753623188399</v>
      </c>
      <c r="R65" s="511"/>
      <c r="S65" s="68">
        <v>0.34652777777777777</v>
      </c>
      <c r="T65" s="68">
        <v>0.39444444444444443</v>
      </c>
      <c r="U65" s="312">
        <f t="shared" si="42"/>
        <v>6.9999999999999751</v>
      </c>
      <c r="V65" s="320">
        <f t="shared" si="41"/>
        <v>69</v>
      </c>
      <c r="W65" s="312"/>
      <c r="X65" s="312"/>
      <c r="Y65" s="510"/>
      <c r="Z65" s="510"/>
      <c r="AA65" s="66">
        <f t="shared" si="8"/>
        <v>-105.21739130434798</v>
      </c>
      <c r="AB65" s="313">
        <f t="shared" si="9"/>
        <v>0.96492753623188399</v>
      </c>
      <c r="AC65" s="511"/>
    </row>
    <row r="66" spans="1:29" ht="15.75" customHeight="1">
      <c r="A66" s="519" t="s">
        <v>1696</v>
      </c>
      <c r="B66" s="321" t="s">
        <v>35</v>
      </c>
      <c r="C66" s="512" t="s">
        <v>85</v>
      </c>
      <c r="D66" s="512"/>
      <c r="E66" s="62">
        <v>40.51</v>
      </c>
      <c r="F66" s="74">
        <v>3078</v>
      </c>
      <c r="G66" s="312">
        <f t="shared" si="39"/>
        <v>124689.78</v>
      </c>
      <c r="H66" s="90" t="s">
        <v>5</v>
      </c>
      <c r="I66" s="319">
        <v>8</v>
      </c>
      <c r="J66" s="63">
        <v>3000</v>
      </c>
      <c r="K66" s="64">
        <f t="shared" si="1"/>
        <v>375</v>
      </c>
      <c r="L66" s="319">
        <v>8</v>
      </c>
      <c r="M66" s="65">
        <f t="shared" si="40"/>
        <v>2885.6249999999991</v>
      </c>
      <c r="N66" s="64">
        <f t="shared" si="3"/>
        <v>360.70312499999989</v>
      </c>
      <c r="O66" s="66">
        <f t="shared" si="4"/>
        <v>0</v>
      </c>
      <c r="P66" s="67">
        <f t="shared" si="5"/>
        <v>-14.296875000000114</v>
      </c>
      <c r="Q66" s="313">
        <f t="shared" si="6"/>
        <v>0.9618749999999997</v>
      </c>
      <c r="R66" s="511"/>
      <c r="S66" s="68">
        <v>0.39930555555555552</v>
      </c>
      <c r="T66" s="68">
        <v>0.44374999999999998</v>
      </c>
      <c r="U66" s="312">
        <f t="shared" si="42"/>
        <v>6.9999999999999751</v>
      </c>
      <c r="V66" s="320">
        <f t="shared" si="41"/>
        <v>64.000000000000014</v>
      </c>
      <c r="W66" s="312"/>
      <c r="X66" s="312"/>
      <c r="Y66" s="510"/>
      <c r="Z66" s="510"/>
      <c r="AA66" s="66">
        <f t="shared" si="8"/>
        <v>-114.37500000000091</v>
      </c>
      <c r="AB66" s="313">
        <f t="shared" si="9"/>
        <v>0.9618749999999997</v>
      </c>
      <c r="AC66" s="511"/>
    </row>
    <row r="67" spans="1:29">
      <c r="A67" s="520" t="s">
        <v>1697</v>
      </c>
      <c r="B67" s="62" t="s">
        <v>1695</v>
      </c>
      <c r="C67" s="513"/>
      <c r="D67" s="513"/>
      <c r="E67" s="314"/>
      <c r="F67" s="71"/>
      <c r="G67" s="64"/>
      <c r="H67" s="321"/>
      <c r="I67" s="72">
        <v>9</v>
      </c>
      <c r="J67" s="63">
        <v>2625</v>
      </c>
      <c r="K67" s="64">
        <f t="shared" si="1"/>
        <v>291.66666666666669</v>
      </c>
      <c r="L67" s="72">
        <v>9</v>
      </c>
      <c r="M67" s="65">
        <f>AVERAGE(M63:M66)</f>
        <v>2524.1172371214507</v>
      </c>
      <c r="N67" s="64">
        <f t="shared" si="3"/>
        <v>280.45747079127227</v>
      </c>
      <c r="O67" s="66">
        <f t="shared" si="4"/>
        <v>0</v>
      </c>
      <c r="P67" s="67">
        <f t="shared" si="5"/>
        <v>-11.209195875394414</v>
      </c>
      <c r="Q67" s="313">
        <f t="shared" si="6"/>
        <v>0.96156847128436196</v>
      </c>
      <c r="R67" s="511"/>
      <c r="S67" s="68"/>
      <c r="T67" s="68"/>
      <c r="U67" s="64"/>
      <c r="V67" s="320"/>
      <c r="W67" s="64"/>
      <c r="X67" s="64"/>
      <c r="Y67" s="510"/>
      <c r="Z67" s="510"/>
      <c r="AA67" s="66">
        <f t="shared" si="8"/>
        <v>-100.88276287854933</v>
      </c>
      <c r="AB67" s="313">
        <f t="shared" si="9"/>
        <v>0.96156847128436218</v>
      </c>
      <c r="AC67" s="511"/>
    </row>
    <row r="68" spans="1:29" ht="15.75" customHeight="1">
      <c r="A68" s="514" t="s">
        <v>1698</v>
      </c>
      <c r="B68" s="321" t="s">
        <v>16</v>
      </c>
      <c r="C68" s="512" t="s">
        <v>48</v>
      </c>
      <c r="D68" s="512"/>
      <c r="E68" s="62">
        <v>20.2</v>
      </c>
      <c r="F68" s="321">
        <v>2392</v>
      </c>
      <c r="G68" s="312">
        <f t="shared" ref="G68:G75" si="43">E68*F68</f>
        <v>48318.400000000001</v>
      </c>
      <c r="H68" s="90" t="s">
        <v>5</v>
      </c>
      <c r="I68" s="319">
        <v>19</v>
      </c>
      <c r="J68" s="63">
        <v>2400</v>
      </c>
      <c r="K68" s="64">
        <f t="shared" si="1"/>
        <v>126.31578947368421</v>
      </c>
      <c r="L68" s="319">
        <v>19</v>
      </c>
      <c r="M68" s="65">
        <f t="shared" ref="M68:M75" si="44">F68/V68*60</f>
        <v>2314.8387096774195</v>
      </c>
      <c r="N68" s="64">
        <f t="shared" si="3"/>
        <v>121.83361629881155</v>
      </c>
      <c r="O68" s="66">
        <f t="shared" si="4"/>
        <v>0</v>
      </c>
      <c r="P68" s="67">
        <f t="shared" si="5"/>
        <v>-4.4821731748726563</v>
      </c>
      <c r="Q68" s="313">
        <f t="shared" si="6"/>
        <v>0.96451612903225814</v>
      </c>
      <c r="R68" s="511">
        <f>Q76</f>
        <v>0.95811006589116599</v>
      </c>
      <c r="S68" s="68">
        <v>8.3333333333333329E-2</v>
      </c>
      <c r="T68" s="68">
        <v>0.12638888888888888</v>
      </c>
      <c r="U68" s="73"/>
      <c r="V68" s="320">
        <f t="shared" ref="V68:V75" si="45">(T68-S68)*24*60</f>
        <v>61.999999999999993</v>
      </c>
      <c r="W68" s="69">
        <f>T68</f>
        <v>0.12638888888888888</v>
      </c>
      <c r="X68" s="69">
        <f>S69</f>
        <v>0.14513888888888887</v>
      </c>
      <c r="Y68" s="510"/>
      <c r="Z68" s="510"/>
      <c r="AA68" s="66">
        <f t="shared" si="8"/>
        <v>-85.161290322580498</v>
      </c>
      <c r="AB68" s="313">
        <f t="shared" si="9"/>
        <v>0.96451612903225814</v>
      </c>
      <c r="AC68" s="511">
        <f>AB76</f>
        <v>0.95811006589116587</v>
      </c>
    </row>
    <row r="69" spans="1:29" ht="15.75" customHeight="1">
      <c r="A69" s="515" t="s">
        <v>1699</v>
      </c>
      <c r="B69" s="321" t="s">
        <v>16</v>
      </c>
      <c r="C69" s="512" t="s">
        <v>51</v>
      </c>
      <c r="D69" s="512"/>
      <c r="E69" s="62">
        <v>24.25</v>
      </c>
      <c r="F69" s="321">
        <v>2348</v>
      </c>
      <c r="G69" s="312">
        <f t="shared" si="43"/>
        <v>56939</v>
      </c>
      <c r="H69" s="90" t="s">
        <v>5</v>
      </c>
      <c r="I69" s="319">
        <v>17</v>
      </c>
      <c r="J69" s="63">
        <v>2400</v>
      </c>
      <c r="K69" s="64">
        <f t="shared" ref="K69:K76" si="46">J69/I69</f>
        <v>141.1764705882353</v>
      </c>
      <c r="L69" s="319">
        <v>17</v>
      </c>
      <c r="M69" s="65">
        <f t="shared" si="44"/>
        <v>2309.5081967213123</v>
      </c>
      <c r="N69" s="64">
        <f t="shared" ref="N69:N76" si="47">M69/L69</f>
        <v>135.85342333654779</v>
      </c>
      <c r="O69" s="66">
        <f t="shared" ref="O69:O76" si="48">L69-I69</f>
        <v>0</v>
      </c>
      <c r="P69" s="67">
        <f t="shared" ref="P69:P76" si="49">N69-K69</f>
        <v>-5.3230472516875125</v>
      </c>
      <c r="Q69" s="313">
        <f t="shared" ref="Q69:Q76" si="50">N69/K69</f>
        <v>0.96229508196721347</v>
      </c>
      <c r="R69" s="511"/>
      <c r="S69" s="68">
        <v>0.14513888888888887</v>
      </c>
      <c r="T69" s="68">
        <v>0.18749999999999997</v>
      </c>
      <c r="U69" s="312">
        <f t="shared" ref="U69:U75" si="51">(S69-T68)*24*60</f>
        <v>26.999999999999986</v>
      </c>
      <c r="V69" s="320">
        <f t="shared" si="45"/>
        <v>60.999999999999986</v>
      </c>
      <c r="W69" s="69"/>
      <c r="X69" s="69"/>
      <c r="Y69" s="510"/>
      <c r="Z69" s="510"/>
      <c r="AA69" s="66">
        <f t="shared" ref="AA69:AA76" si="52">M69-J69</f>
        <v>-90.491803278687712</v>
      </c>
      <c r="AB69" s="313">
        <f t="shared" ref="AB69:AB76" si="53">M69/J69</f>
        <v>0.96229508196721347</v>
      </c>
      <c r="AC69" s="511"/>
    </row>
    <row r="70" spans="1:29" ht="15.75" customHeight="1">
      <c r="A70" s="515" t="s">
        <v>1698</v>
      </c>
      <c r="B70" s="321" t="s">
        <v>16</v>
      </c>
      <c r="C70" s="512" t="s">
        <v>17</v>
      </c>
      <c r="D70" s="512"/>
      <c r="E70" s="62">
        <v>24.45</v>
      </c>
      <c r="F70" s="321">
        <v>2463</v>
      </c>
      <c r="G70" s="312">
        <f t="shared" si="43"/>
        <v>60220.35</v>
      </c>
      <c r="H70" s="90" t="s">
        <v>5</v>
      </c>
      <c r="I70" s="319">
        <v>20</v>
      </c>
      <c r="J70" s="63">
        <v>2400</v>
      </c>
      <c r="K70" s="64">
        <f t="shared" si="46"/>
        <v>120</v>
      </c>
      <c r="L70" s="319">
        <v>20</v>
      </c>
      <c r="M70" s="65">
        <f t="shared" si="44"/>
        <v>2309.0624999999995</v>
      </c>
      <c r="N70" s="64">
        <f t="shared" si="47"/>
        <v>115.45312499999997</v>
      </c>
      <c r="O70" s="66">
        <f t="shared" si="48"/>
        <v>0</v>
      </c>
      <c r="P70" s="67">
        <f t="shared" si="49"/>
        <v>-4.5468750000000284</v>
      </c>
      <c r="Q70" s="313">
        <f t="shared" si="50"/>
        <v>0.96210937499999971</v>
      </c>
      <c r="R70" s="511"/>
      <c r="S70" s="68">
        <v>0.19236111111111109</v>
      </c>
      <c r="T70" s="68">
        <v>0.23680555555555555</v>
      </c>
      <c r="U70" s="312">
        <f t="shared" si="51"/>
        <v>7.0000000000000151</v>
      </c>
      <c r="V70" s="320">
        <f t="shared" si="45"/>
        <v>64.000000000000014</v>
      </c>
      <c r="W70" s="69"/>
      <c r="X70" s="69"/>
      <c r="Y70" s="510"/>
      <c r="Z70" s="510"/>
      <c r="AA70" s="66">
        <f t="shared" si="52"/>
        <v>-90.937500000000455</v>
      </c>
      <c r="AB70" s="313">
        <f t="shared" si="53"/>
        <v>0.96210937499999982</v>
      </c>
      <c r="AC70" s="511"/>
    </row>
    <row r="71" spans="1:29" ht="15.75" customHeight="1">
      <c r="A71" s="515" t="s">
        <v>1698</v>
      </c>
      <c r="B71" s="321" t="s">
        <v>16</v>
      </c>
      <c r="C71" s="512" t="s">
        <v>34</v>
      </c>
      <c r="D71" s="512"/>
      <c r="E71" s="62">
        <v>24.25</v>
      </c>
      <c r="F71" s="321">
        <v>3223</v>
      </c>
      <c r="G71" s="312">
        <f t="shared" si="43"/>
        <v>78157.75</v>
      </c>
      <c r="H71" s="90" t="s">
        <v>5</v>
      </c>
      <c r="I71" s="319">
        <v>13</v>
      </c>
      <c r="J71" s="63">
        <v>2400</v>
      </c>
      <c r="K71" s="64">
        <f t="shared" si="46"/>
        <v>184.61538461538461</v>
      </c>
      <c r="L71" s="319">
        <v>13</v>
      </c>
      <c r="M71" s="65">
        <f t="shared" si="44"/>
        <v>2302.1428571428564</v>
      </c>
      <c r="N71" s="64">
        <f t="shared" si="47"/>
        <v>177.08791208791203</v>
      </c>
      <c r="O71" s="66">
        <f t="shared" si="48"/>
        <v>0</v>
      </c>
      <c r="P71" s="67">
        <f t="shared" si="49"/>
        <v>-7.5274725274725824</v>
      </c>
      <c r="Q71" s="313">
        <f t="shared" si="50"/>
        <v>0.95922619047619018</v>
      </c>
      <c r="R71" s="511"/>
      <c r="S71" s="68">
        <v>0.24027777777777776</v>
      </c>
      <c r="T71" s="68">
        <v>0.2986111111111111</v>
      </c>
      <c r="U71" s="312">
        <f t="shared" si="51"/>
        <v>4.9999999999999822</v>
      </c>
      <c r="V71" s="320">
        <f t="shared" si="45"/>
        <v>84.000000000000028</v>
      </c>
      <c r="W71" s="69"/>
      <c r="X71" s="69"/>
      <c r="Y71" s="510"/>
      <c r="Z71" s="510"/>
      <c r="AA71" s="66">
        <f t="shared" si="52"/>
        <v>-97.857142857143572</v>
      </c>
      <c r="AB71" s="313">
        <f t="shared" si="53"/>
        <v>0.95922619047619018</v>
      </c>
      <c r="AC71" s="511"/>
    </row>
    <row r="72" spans="1:29" ht="15.75" customHeight="1">
      <c r="A72" s="515" t="s">
        <v>1698</v>
      </c>
      <c r="B72" s="321" t="s">
        <v>16</v>
      </c>
      <c r="C72" s="512" t="s">
        <v>26</v>
      </c>
      <c r="D72" s="512"/>
      <c r="E72" s="62">
        <v>20.52</v>
      </c>
      <c r="F72" s="321">
        <v>3330</v>
      </c>
      <c r="G72" s="312">
        <f t="shared" si="43"/>
        <v>68331.600000000006</v>
      </c>
      <c r="H72" s="90" t="s">
        <v>5</v>
      </c>
      <c r="I72" s="319">
        <v>18</v>
      </c>
      <c r="J72" s="63">
        <v>2400</v>
      </c>
      <c r="K72" s="64">
        <f t="shared" si="46"/>
        <v>133.33333333333334</v>
      </c>
      <c r="L72" s="319">
        <v>18</v>
      </c>
      <c r="M72" s="65">
        <f t="shared" si="44"/>
        <v>2296.5517241379307</v>
      </c>
      <c r="N72" s="64">
        <f t="shared" si="47"/>
        <v>127.5862068965517</v>
      </c>
      <c r="O72" s="66">
        <f t="shared" si="48"/>
        <v>0</v>
      </c>
      <c r="P72" s="67">
        <f t="shared" si="49"/>
        <v>-5.7471264367816417</v>
      </c>
      <c r="Q72" s="313">
        <f t="shared" si="50"/>
        <v>0.95689655172413768</v>
      </c>
      <c r="R72" s="511"/>
      <c r="S72" s="68">
        <v>0.30277777777777776</v>
      </c>
      <c r="T72" s="68">
        <v>0.36319444444444443</v>
      </c>
      <c r="U72" s="312">
        <f t="shared" si="51"/>
        <v>5.9999999999999787</v>
      </c>
      <c r="V72" s="320">
        <f t="shared" si="45"/>
        <v>87.000000000000014</v>
      </c>
      <c r="W72" s="69"/>
      <c r="X72" s="69"/>
      <c r="Y72" s="510"/>
      <c r="Z72" s="510"/>
      <c r="AA72" s="66">
        <f t="shared" si="52"/>
        <v>-103.44827586206929</v>
      </c>
      <c r="AB72" s="313">
        <f t="shared" si="53"/>
        <v>0.95689655172413779</v>
      </c>
      <c r="AC72" s="511"/>
    </row>
    <row r="73" spans="1:29" ht="15.75" customHeight="1">
      <c r="A73" s="515" t="s">
        <v>1698</v>
      </c>
      <c r="B73" s="321" t="s">
        <v>16</v>
      </c>
      <c r="C73" s="512" t="s">
        <v>49</v>
      </c>
      <c r="D73" s="512"/>
      <c r="E73" s="62">
        <v>19.02</v>
      </c>
      <c r="F73" s="321">
        <v>4500</v>
      </c>
      <c r="G73" s="312">
        <f t="shared" si="43"/>
        <v>85590</v>
      </c>
      <c r="H73" s="90">
        <v>2</v>
      </c>
      <c r="I73" s="319">
        <v>15</v>
      </c>
      <c r="J73" s="63">
        <v>2400</v>
      </c>
      <c r="K73" s="64">
        <f t="shared" si="46"/>
        <v>160</v>
      </c>
      <c r="L73" s="319">
        <v>15</v>
      </c>
      <c r="M73" s="65">
        <f t="shared" si="44"/>
        <v>2288.1355932203396</v>
      </c>
      <c r="N73" s="64">
        <f t="shared" si="47"/>
        <v>152.54237288135599</v>
      </c>
      <c r="O73" s="66">
        <f t="shared" si="48"/>
        <v>0</v>
      </c>
      <c r="P73" s="67">
        <f t="shared" si="49"/>
        <v>-7.4576271186440124</v>
      </c>
      <c r="Q73" s="313">
        <f t="shared" si="50"/>
        <v>0.95338983050847492</v>
      </c>
      <c r="R73" s="511"/>
      <c r="S73" s="68">
        <v>0.36805555555555552</v>
      </c>
      <c r="T73" s="68">
        <v>0.44999999999999996</v>
      </c>
      <c r="U73" s="312">
        <f t="shared" si="51"/>
        <v>6.9999999999999751</v>
      </c>
      <c r="V73" s="320">
        <f t="shared" si="45"/>
        <v>117.99999999999999</v>
      </c>
      <c r="W73" s="69"/>
      <c r="X73" s="69"/>
      <c r="Y73" s="510"/>
      <c r="Z73" s="510"/>
      <c r="AA73" s="66">
        <f t="shared" si="52"/>
        <v>-111.86440677966038</v>
      </c>
      <c r="AB73" s="313">
        <f t="shared" si="53"/>
        <v>0.95338983050847481</v>
      </c>
      <c r="AC73" s="511"/>
    </row>
    <row r="74" spans="1:29" ht="15.75" customHeight="1">
      <c r="A74" s="515" t="s">
        <v>1698</v>
      </c>
      <c r="B74" s="321" t="s">
        <v>16</v>
      </c>
      <c r="C74" s="512" t="s">
        <v>27</v>
      </c>
      <c r="D74" s="512"/>
      <c r="E74" s="62">
        <v>25.98</v>
      </c>
      <c r="F74" s="321">
        <v>1143</v>
      </c>
      <c r="G74" s="312">
        <f t="shared" si="43"/>
        <v>29695.14</v>
      </c>
      <c r="H74" s="90" t="s">
        <v>5</v>
      </c>
      <c r="I74" s="319">
        <v>17</v>
      </c>
      <c r="J74" s="63">
        <v>2400</v>
      </c>
      <c r="K74" s="64">
        <f t="shared" si="46"/>
        <v>141.1764705882353</v>
      </c>
      <c r="L74" s="319">
        <v>17</v>
      </c>
      <c r="M74" s="65">
        <f t="shared" si="44"/>
        <v>2286.0000000000023</v>
      </c>
      <c r="N74" s="64">
        <f t="shared" si="47"/>
        <v>134.47058823529426</v>
      </c>
      <c r="O74" s="66">
        <f t="shared" si="48"/>
        <v>0</v>
      </c>
      <c r="P74" s="67">
        <f t="shared" si="49"/>
        <v>-6.7058823529410461</v>
      </c>
      <c r="Q74" s="313">
        <f t="shared" si="50"/>
        <v>0.9525000000000009</v>
      </c>
      <c r="R74" s="511"/>
      <c r="S74" s="68">
        <v>0.45555555555555549</v>
      </c>
      <c r="T74" s="68">
        <v>0.47638888888888881</v>
      </c>
      <c r="U74" s="312">
        <f t="shared" si="51"/>
        <v>7.9999999999999716</v>
      </c>
      <c r="V74" s="320">
        <f t="shared" si="45"/>
        <v>29.999999999999972</v>
      </c>
      <c r="W74" s="69">
        <f>T74</f>
        <v>0.47638888888888881</v>
      </c>
      <c r="X74" s="69">
        <f>S75</f>
        <v>0.51736111111111094</v>
      </c>
      <c r="Y74" s="517"/>
      <c r="Z74" s="518"/>
      <c r="AA74" s="66">
        <f t="shared" si="52"/>
        <v>-113.99999999999773</v>
      </c>
      <c r="AB74" s="313">
        <f t="shared" si="53"/>
        <v>0.9525000000000009</v>
      </c>
      <c r="AC74" s="511"/>
    </row>
    <row r="75" spans="1:29" ht="15.75" customHeight="1">
      <c r="A75" s="515" t="s">
        <v>1698</v>
      </c>
      <c r="B75" s="321" t="s">
        <v>16</v>
      </c>
      <c r="C75" s="512" t="s">
        <v>49</v>
      </c>
      <c r="D75" s="512"/>
      <c r="E75" s="62">
        <v>19.02</v>
      </c>
      <c r="F75" s="321">
        <v>5075</v>
      </c>
      <c r="G75" s="312">
        <f t="shared" si="43"/>
        <v>96526.5</v>
      </c>
      <c r="H75" s="90" t="s">
        <v>5</v>
      </c>
      <c r="I75" s="319">
        <v>15</v>
      </c>
      <c r="J75" s="63">
        <v>2400</v>
      </c>
      <c r="K75" s="64">
        <f t="shared" si="46"/>
        <v>160</v>
      </c>
      <c r="L75" s="319">
        <v>15</v>
      </c>
      <c r="M75" s="65">
        <f t="shared" si="44"/>
        <v>2289.4736842105262</v>
      </c>
      <c r="N75" s="64">
        <f t="shared" si="47"/>
        <v>152.63157894736841</v>
      </c>
      <c r="O75" s="66">
        <f t="shared" si="48"/>
        <v>0</v>
      </c>
      <c r="P75" s="67">
        <f t="shared" si="49"/>
        <v>-7.3684210526315894</v>
      </c>
      <c r="Q75" s="313">
        <f t="shared" si="50"/>
        <v>0.95394736842105254</v>
      </c>
      <c r="R75" s="511"/>
      <c r="S75" s="68">
        <v>0.51736111111111094</v>
      </c>
      <c r="T75" s="68">
        <v>0.60972222222222205</v>
      </c>
      <c r="U75" s="312">
        <f t="shared" si="51"/>
        <v>58.999999999999872</v>
      </c>
      <c r="V75" s="320">
        <f t="shared" si="45"/>
        <v>133</v>
      </c>
      <c r="W75" s="69"/>
      <c r="X75" s="69"/>
      <c r="Y75" s="517"/>
      <c r="Z75" s="518"/>
      <c r="AA75" s="66">
        <f t="shared" si="52"/>
        <v>-110.52631578947376</v>
      </c>
      <c r="AB75" s="313">
        <f t="shared" si="53"/>
        <v>0.95394736842105265</v>
      </c>
      <c r="AC75" s="511"/>
    </row>
    <row r="76" spans="1:29" ht="16.5" customHeight="1">
      <c r="A76" s="516" t="s">
        <v>1699</v>
      </c>
      <c r="B76" s="62" t="s">
        <v>1695</v>
      </c>
      <c r="C76" s="508"/>
      <c r="D76" s="509"/>
      <c r="E76" s="314"/>
      <c r="F76" s="71"/>
      <c r="G76" s="64"/>
      <c r="H76" s="321"/>
      <c r="I76" s="72">
        <v>16.75</v>
      </c>
      <c r="J76" s="63">
        <v>2400</v>
      </c>
      <c r="K76" s="64">
        <f t="shared" si="46"/>
        <v>143.28358208955223</v>
      </c>
      <c r="L76" s="72">
        <v>16.75</v>
      </c>
      <c r="M76" s="65">
        <f>AVERAGE(M68:M75)</f>
        <v>2299.4641581387982</v>
      </c>
      <c r="N76" s="64">
        <f t="shared" si="47"/>
        <v>137.28144227694318</v>
      </c>
      <c r="O76" s="66">
        <f t="shared" si="48"/>
        <v>0</v>
      </c>
      <c r="P76" s="67">
        <f t="shared" si="49"/>
        <v>-6.0021398126090446</v>
      </c>
      <c r="Q76" s="313">
        <f t="shared" si="50"/>
        <v>0.95811006589116599</v>
      </c>
      <c r="R76" s="511"/>
      <c r="S76" s="68"/>
      <c r="T76" s="68"/>
      <c r="U76" s="64"/>
      <c r="V76" s="320"/>
      <c r="W76" s="64"/>
      <c r="X76" s="64"/>
      <c r="Y76" s="510"/>
      <c r="Z76" s="510"/>
      <c r="AA76" s="66">
        <f t="shared" si="52"/>
        <v>-100.53584186120179</v>
      </c>
      <c r="AB76" s="313">
        <f t="shared" si="53"/>
        <v>0.95811006589116587</v>
      </c>
      <c r="AC76" s="511"/>
    </row>
    <row r="77" spans="1:29">
      <c r="D77" s="76"/>
      <c r="E77" s="76"/>
    </row>
  </sheetData>
  <mergeCells count="199">
    <mergeCell ref="AC68:AC76"/>
    <mergeCell ref="C69:D69"/>
    <mergeCell ref="Y69:Z69"/>
    <mergeCell ref="C70:D70"/>
    <mergeCell ref="Y70:Z70"/>
    <mergeCell ref="C71:D71"/>
    <mergeCell ref="Y71:Z71"/>
    <mergeCell ref="C72:D72"/>
    <mergeCell ref="Y72:Z72"/>
    <mergeCell ref="C73:D73"/>
    <mergeCell ref="A68:A76"/>
    <mergeCell ref="C68:D68"/>
    <mergeCell ref="R68:R76"/>
    <mergeCell ref="Y68:Z68"/>
    <mergeCell ref="Y73:Z73"/>
    <mergeCell ref="C74:D74"/>
    <mergeCell ref="Y74:Z74"/>
    <mergeCell ref="A63:A67"/>
    <mergeCell ref="C63:D63"/>
    <mergeCell ref="R63:R67"/>
    <mergeCell ref="Y63:Z63"/>
    <mergeCell ref="C75:D75"/>
    <mergeCell ref="Y75:Z75"/>
    <mergeCell ref="C76:D76"/>
    <mergeCell ref="Y76:Z76"/>
    <mergeCell ref="A56:A62"/>
    <mergeCell ref="C56:D56"/>
    <mergeCell ref="R56:R62"/>
    <mergeCell ref="Y56:Z56"/>
    <mergeCell ref="AC63:AC67"/>
    <mergeCell ref="C64:D64"/>
    <mergeCell ref="Y64:Z64"/>
    <mergeCell ref="C65:D65"/>
    <mergeCell ref="Y65:Z65"/>
    <mergeCell ref="C66:D66"/>
    <mergeCell ref="AC56:AC62"/>
    <mergeCell ref="C57:D57"/>
    <mergeCell ref="Y57:Z57"/>
    <mergeCell ref="C58:D58"/>
    <mergeCell ref="C61:D61"/>
    <mergeCell ref="Y61:Z61"/>
    <mergeCell ref="C62:D62"/>
    <mergeCell ref="Y62:Z62"/>
    <mergeCell ref="Y66:Z66"/>
    <mergeCell ref="C67:D67"/>
    <mergeCell ref="Y67:Z67"/>
    <mergeCell ref="A46:A55"/>
    <mergeCell ref="C46:D46"/>
    <mergeCell ref="R46:R55"/>
    <mergeCell ref="Y46:Z46"/>
    <mergeCell ref="Y51:Z51"/>
    <mergeCell ref="C52:D52"/>
    <mergeCell ref="Y52:Z52"/>
    <mergeCell ref="C53:D53"/>
    <mergeCell ref="AC46:AC55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Y53:Z53"/>
    <mergeCell ref="C54:D54"/>
    <mergeCell ref="Y54:Z54"/>
    <mergeCell ref="C55:D55"/>
    <mergeCell ref="Y55:Z55"/>
    <mergeCell ref="A38:A45"/>
    <mergeCell ref="C38:D38"/>
    <mergeCell ref="R38:R45"/>
    <mergeCell ref="Y38:Z38"/>
    <mergeCell ref="Y43:Z43"/>
    <mergeCell ref="C44:D44"/>
    <mergeCell ref="Y44:Z44"/>
    <mergeCell ref="AC38:AC45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C45:D45"/>
    <mergeCell ref="Y45:Z45"/>
    <mergeCell ref="AC30:AC37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6:Z36"/>
    <mergeCell ref="C37:D37"/>
    <mergeCell ref="Y37:Z37"/>
    <mergeCell ref="A21:A29"/>
    <mergeCell ref="C21:D21"/>
    <mergeCell ref="R21:R29"/>
    <mergeCell ref="Y21:Z21"/>
    <mergeCell ref="C28:D28"/>
    <mergeCell ref="Y28:Z28"/>
    <mergeCell ref="C29:D29"/>
    <mergeCell ref="Y29:Z29"/>
    <mergeCell ref="A30:A37"/>
    <mergeCell ref="C30:D30"/>
    <mergeCell ref="R30:R37"/>
    <mergeCell ref="Y30:Z30"/>
    <mergeCell ref="Y35:Z35"/>
    <mergeCell ref="C36:D36"/>
    <mergeCell ref="C12:D12"/>
    <mergeCell ref="Y12:Z12"/>
    <mergeCell ref="AC21:AC29"/>
    <mergeCell ref="C22:D22"/>
    <mergeCell ref="Y22:Z22"/>
    <mergeCell ref="C23:D23"/>
    <mergeCell ref="Y23:Z23"/>
    <mergeCell ref="C24:D24"/>
    <mergeCell ref="C17:D17"/>
    <mergeCell ref="Y17:Z17"/>
    <mergeCell ref="C18:D18"/>
    <mergeCell ref="Y18:Z18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H3:H4"/>
    <mergeCell ref="I3:I4"/>
    <mergeCell ref="A13:A20"/>
    <mergeCell ref="C13:D13"/>
    <mergeCell ref="R13:R20"/>
    <mergeCell ref="Y13:Z13"/>
    <mergeCell ref="AC13:AC20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6:O73 O76 O5:O10 O12:O14 O55:O63 O20:O51">
    <cfRule type="cellIs" dxfId="1703" priority="72" operator="greaterThan">
      <formula>0</formula>
    </cfRule>
  </conditionalFormatting>
  <conditionalFormatting sqref="P5:P8 P66 AA66 P68:P73 P30:P36 P63 P10 P12:P14 P21:P28 P56:P61 P38:P51 AA5:AA63 AA68:AA76">
    <cfRule type="cellIs" dxfId="1702" priority="76" operator="lessThan">
      <formula>0</formula>
    </cfRule>
  </conditionalFormatting>
  <conditionalFormatting sqref="AB66 Q66:Q73 Q76 Q5:Q10 Q12:Q14 Q55:Q63 Q20:Q51 AB5:AB63 AB68:AB76">
    <cfRule type="cellIs" dxfId="1701" priority="73" operator="greaterThan">
      <formula>1</formula>
    </cfRule>
    <cfRule type="cellIs" dxfId="1700" priority="74" operator="lessThan">
      <formula>0.8</formula>
    </cfRule>
  </conditionalFormatting>
  <conditionalFormatting sqref="AC13:AC14 R13:R14 AC66 R66:R73 R20:R26 AC20:AC26 R76 AC5:AC10 R5:R10 R29:R51 AC29:AC51 AC55:AC63 R55:R63">
    <cfRule type="cellIs" dxfId="1699" priority="78" operator="lessThan">
      <formula>0.8</formula>
    </cfRule>
  </conditionalFormatting>
  <conditionalFormatting sqref="AC46">
    <cfRule type="cellIs" dxfId="1698" priority="80" operator="lessThan">
      <formula>0.8</formula>
    </cfRule>
  </conditionalFormatting>
  <conditionalFormatting sqref="AC21:AC26">
    <cfRule type="cellIs" dxfId="1697" priority="77" operator="lessThan">
      <formula>0.8</formula>
    </cfRule>
  </conditionalFormatting>
  <conditionalFormatting sqref="AC30">
    <cfRule type="cellIs" dxfId="1696" priority="79" operator="lessThan">
      <formula>0.8</formula>
    </cfRule>
  </conditionalFormatting>
  <conditionalFormatting sqref="AC38:AC44">
    <cfRule type="cellIs" dxfId="1695" priority="75" operator="lessThan">
      <formula>0.8</formula>
    </cfRule>
  </conditionalFormatting>
  <conditionalFormatting sqref="AA67">
    <cfRule type="cellIs" dxfId="1694" priority="71" operator="lessThan">
      <formula>0</formula>
    </cfRule>
  </conditionalFormatting>
  <conditionalFormatting sqref="AB67">
    <cfRule type="cellIs" dxfId="1693" priority="69" operator="greaterThan">
      <formula>1</formula>
    </cfRule>
    <cfRule type="cellIs" dxfId="1692" priority="70" operator="lessThan">
      <formula>0.8</formula>
    </cfRule>
  </conditionalFormatting>
  <conditionalFormatting sqref="O15:O16">
    <cfRule type="cellIs" dxfId="1691" priority="64" operator="greaterThan">
      <formula>0</formula>
    </cfRule>
  </conditionalFormatting>
  <conditionalFormatting sqref="P15:P16">
    <cfRule type="cellIs" dxfId="1690" priority="67" operator="lessThan">
      <formula>0</formula>
    </cfRule>
  </conditionalFormatting>
  <conditionalFormatting sqref="Q15:Q16">
    <cfRule type="cellIs" dxfId="1689" priority="65" operator="greaterThan">
      <formula>1</formula>
    </cfRule>
    <cfRule type="cellIs" dxfId="1688" priority="66" operator="lessThan">
      <formula>0.8</formula>
    </cfRule>
  </conditionalFormatting>
  <conditionalFormatting sqref="R15:R16 AC15:AC16">
    <cfRule type="cellIs" dxfId="1687" priority="68" operator="lessThan">
      <formula>0.8</formula>
    </cfRule>
  </conditionalFormatting>
  <conditionalFormatting sqref="O11">
    <cfRule type="cellIs" dxfId="1686" priority="60" operator="greaterThan">
      <formula>0</formula>
    </cfRule>
  </conditionalFormatting>
  <conditionalFormatting sqref="P11">
    <cfRule type="cellIs" dxfId="1685" priority="63" operator="lessThan">
      <formula>0</formula>
    </cfRule>
  </conditionalFormatting>
  <conditionalFormatting sqref="Q11">
    <cfRule type="cellIs" dxfId="1684" priority="61" operator="greaterThan">
      <formula>1</formula>
    </cfRule>
    <cfRule type="cellIs" dxfId="1683" priority="62" operator="lessThan">
      <formula>0.8</formula>
    </cfRule>
  </conditionalFormatting>
  <conditionalFormatting sqref="AC28 R28">
    <cfRule type="cellIs" dxfId="1682" priority="59" operator="lessThan">
      <formula>0.8</formula>
    </cfRule>
  </conditionalFormatting>
  <conditionalFormatting sqref="O65">
    <cfRule type="cellIs" dxfId="1681" priority="54" operator="greaterThan">
      <formula>0</formula>
    </cfRule>
  </conditionalFormatting>
  <conditionalFormatting sqref="P65 AA65">
    <cfRule type="cellIs" dxfId="1680" priority="57" operator="lessThan">
      <formula>0</formula>
    </cfRule>
  </conditionalFormatting>
  <conditionalFormatting sqref="Q65 AB65">
    <cfRule type="cellIs" dxfId="1679" priority="55" operator="greaterThan">
      <formula>1</formula>
    </cfRule>
    <cfRule type="cellIs" dxfId="1678" priority="56" operator="lessThan">
      <formula>0.8</formula>
    </cfRule>
  </conditionalFormatting>
  <conditionalFormatting sqref="R65 AC65">
    <cfRule type="cellIs" dxfId="1677" priority="58" operator="lessThan">
      <formula>0.8</formula>
    </cfRule>
  </conditionalFormatting>
  <conditionalFormatting sqref="O74">
    <cfRule type="cellIs" dxfId="1676" priority="49" operator="greaterThan">
      <formula>0</formula>
    </cfRule>
  </conditionalFormatting>
  <conditionalFormatting sqref="P74">
    <cfRule type="cellIs" dxfId="1675" priority="52" operator="lessThan">
      <formula>0</formula>
    </cfRule>
  </conditionalFormatting>
  <conditionalFormatting sqref="Q74">
    <cfRule type="cellIs" dxfId="1674" priority="50" operator="greaterThan">
      <formula>1</formula>
    </cfRule>
    <cfRule type="cellIs" dxfId="1673" priority="51" operator="lessThan">
      <formula>0.8</formula>
    </cfRule>
  </conditionalFormatting>
  <conditionalFormatting sqref="R74">
    <cfRule type="cellIs" dxfId="1672" priority="53" operator="lessThan">
      <formula>0.8</formula>
    </cfRule>
  </conditionalFormatting>
  <conditionalFormatting sqref="O17:O18">
    <cfRule type="cellIs" dxfId="1671" priority="44" operator="greaterThan">
      <formula>0</formula>
    </cfRule>
  </conditionalFormatting>
  <conditionalFormatting sqref="P17:P18">
    <cfRule type="cellIs" dxfId="1670" priority="47" operator="lessThan">
      <formula>0</formula>
    </cfRule>
  </conditionalFormatting>
  <conditionalFormatting sqref="Q17:Q18">
    <cfRule type="cellIs" dxfId="1669" priority="45" operator="greaterThan">
      <formula>1</formula>
    </cfRule>
    <cfRule type="cellIs" dxfId="1668" priority="46" operator="lessThan">
      <formula>0.8</formula>
    </cfRule>
  </conditionalFormatting>
  <conditionalFormatting sqref="R17:R18 AC17:AC18">
    <cfRule type="cellIs" dxfId="1667" priority="48" operator="lessThan">
      <formula>0.8</formula>
    </cfRule>
  </conditionalFormatting>
  <conditionalFormatting sqref="O52">
    <cfRule type="cellIs" dxfId="1666" priority="38" operator="greaterThan">
      <formula>0</formula>
    </cfRule>
  </conditionalFormatting>
  <conditionalFormatting sqref="P52">
    <cfRule type="cellIs" dxfId="1665" priority="42" operator="lessThan">
      <formula>0</formula>
    </cfRule>
  </conditionalFormatting>
  <conditionalFormatting sqref="Q52">
    <cfRule type="cellIs" dxfId="1664" priority="39" operator="greaterThan">
      <formula>1</formula>
    </cfRule>
    <cfRule type="cellIs" dxfId="1663" priority="40" operator="lessThan">
      <formula>0.8</formula>
    </cfRule>
  </conditionalFormatting>
  <conditionalFormatting sqref="R52 AC52">
    <cfRule type="cellIs" dxfId="1662" priority="43" operator="lessThan">
      <formula>0.8</formula>
    </cfRule>
  </conditionalFormatting>
  <conditionalFormatting sqref="AC52">
    <cfRule type="cellIs" dxfId="1661" priority="41" operator="lessThan">
      <formula>0.8</formula>
    </cfRule>
  </conditionalFormatting>
  <conditionalFormatting sqref="O53">
    <cfRule type="cellIs" dxfId="1660" priority="32" operator="greaterThan">
      <formula>0</formula>
    </cfRule>
  </conditionalFormatting>
  <conditionalFormatting sqref="P53">
    <cfRule type="cellIs" dxfId="1659" priority="36" operator="lessThan">
      <formula>0</formula>
    </cfRule>
  </conditionalFormatting>
  <conditionalFormatting sqref="Q53">
    <cfRule type="cellIs" dxfId="1658" priority="33" operator="greaterThan">
      <formula>1</formula>
    </cfRule>
    <cfRule type="cellIs" dxfId="1657" priority="34" operator="lessThan">
      <formula>0.8</formula>
    </cfRule>
  </conditionalFormatting>
  <conditionalFormatting sqref="R53 AC53">
    <cfRule type="cellIs" dxfId="1656" priority="37" operator="lessThan">
      <formula>0.8</formula>
    </cfRule>
  </conditionalFormatting>
  <conditionalFormatting sqref="AC53">
    <cfRule type="cellIs" dxfId="1655" priority="35" operator="lessThan">
      <formula>0.8</formula>
    </cfRule>
  </conditionalFormatting>
  <conditionalFormatting sqref="R27 AC27">
    <cfRule type="cellIs" dxfId="1654" priority="31" operator="lessThan">
      <formula>0.8</formula>
    </cfRule>
  </conditionalFormatting>
  <conditionalFormatting sqref="AC27">
    <cfRule type="cellIs" dxfId="1653" priority="30" operator="lessThan">
      <formula>0.8</formula>
    </cfRule>
  </conditionalFormatting>
  <conditionalFormatting sqref="O54">
    <cfRule type="cellIs" dxfId="1652" priority="24" operator="greaterThan">
      <formula>0</formula>
    </cfRule>
  </conditionalFormatting>
  <conditionalFormatting sqref="P54">
    <cfRule type="cellIs" dxfId="1651" priority="28" operator="lessThan">
      <formula>0</formula>
    </cfRule>
  </conditionalFormatting>
  <conditionalFormatting sqref="Q54">
    <cfRule type="cellIs" dxfId="1650" priority="25" operator="greaterThan">
      <formula>1</formula>
    </cfRule>
    <cfRule type="cellIs" dxfId="1649" priority="26" operator="lessThan">
      <formula>0.8</formula>
    </cfRule>
  </conditionalFormatting>
  <conditionalFormatting sqref="R54 AC54">
    <cfRule type="cellIs" dxfId="1648" priority="29" operator="lessThan">
      <formula>0.8</formula>
    </cfRule>
  </conditionalFormatting>
  <conditionalFormatting sqref="AC54">
    <cfRule type="cellIs" dxfId="1647" priority="27" operator="lessThan">
      <formula>0.8</formula>
    </cfRule>
  </conditionalFormatting>
  <conditionalFormatting sqref="O64">
    <cfRule type="cellIs" dxfId="1646" priority="19" operator="greaterThan">
      <formula>0</formula>
    </cfRule>
  </conditionalFormatting>
  <conditionalFormatting sqref="P64 AA64">
    <cfRule type="cellIs" dxfId="1645" priority="22" operator="lessThan">
      <formula>0</formula>
    </cfRule>
  </conditionalFormatting>
  <conditionalFormatting sqref="Q64 AB64">
    <cfRule type="cellIs" dxfId="1644" priority="20" operator="greaterThan">
      <formula>1</formula>
    </cfRule>
    <cfRule type="cellIs" dxfId="1643" priority="21" operator="lessThan">
      <formula>0.8</formula>
    </cfRule>
  </conditionalFormatting>
  <conditionalFormatting sqref="R64 AC64">
    <cfRule type="cellIs" dxfId="1642" priority="23" operator="lessThan">
      <formula>0.8</formula>
    </cfRule>
  </conditionalFormatting>
  <conditionalFormatting sqref="O19">
    <cfRule type="cellIs" dxfId="1641" priority="14" operator="greaterThan">
      <formula>0</formula>
    </cfRule>
  </conditionalFormatting>
  <conditionalFormatting sqref="P19">
    <cfRule type="cellIs" dxfId="1640" priority="17" operator="lessThan">
      <formula>0</formula>
    </cfRule>
  </conditionalFormatting>
  <conditionalFormatting sqref="Q19">
    <cfRule type="cellIs" dxfId="1639" priority="15" operator="greaterThan">
      <formula>1</formula>
    </cfRule>
    <cfRule type="cellIs" dxfId="1638" priority="16" operator="lessThan">
      <formula>0.8</formula>
    </cfRule>
  </conditionalFormatting>
  <conditionalFormatting sqref="AC19 R19">
    <cfRule type="cellIs" dxfId="1637" priority="18" operator="lessThan">
      <formula>0.8</formula>
    </cfRule>
  </conditionalFormatting>
  <conditionalFormatting sqref="P9">
    <cfRule type="cellIs" dxfId="1636" priority="13" operator="lessThan">
      <formula>0</formula>
    </cfRule>
  </conditionalFormatting>
  <conditionalFormatting sqref="P20">
    <cfRule type="cellIs" dxfId="1635" priority="12" operator="lessThan">
      <formula>0</formula>
    </cfRule>
  </conditionalFormatting>
  <conditionalFormatting sqref="P29">
    <cfRule type="cellIs" dxfId="1634" priority="11" operator="lessThan">
      <formula>0</formula>
    </cfRule>
  </conditionalFormatting>
  <conditionalFormatting sqref="P37">
    <cfRule type="cellIs" dxfId="1633" priority="10" operator="lessThan">
      <formula>0</formula>
    </cfRule>
  </conditionalFormatting>
  <conditionalFormatting sqref="P55">
    <cfRule type="cellIs" dxfId="1632" priority="9" operator="lessThan">
      <formula>0</formula>
    </cfRule>
  </conditionalFormatting>
  <conditionalFormatting sqref="P62">
    <cfRule type="cellIs" dxfId="1631" priority="8" operator="lessThan">
      <formula>0</formula>
    </cfRule>
  </conditionalFormatting>
  <conditionalFormatting sqref="P67">
    <cfRule type="cellIs" dxfId="1630" priority="7" operator="lessThan">
      <formula>0</formula>
    </cfRule>
  </conditionalFormatting>
  <conditionalFormatting sqref="P76">
    <cfRule type="cellIs" dxfId="1629" priority="6" operator="lessThan">
      <formula>0</formula>
    </cfRule>
  </conditionalFormatting>
  <conditionalFormatting sqref="O75">
    <cfRule type="cellIs" dxfId="1628" priority="1" operator="greaterThan">
      <formula>0</formula>
    </cfRule>
  </conditionalFormatting>
  <conditionalFormatting sqref="P75">
    <cfRule type="cellIs" dxfId="1627" priority="4" operator="lessThan">
      <formula>0</formula>
    </cfRule>
  </conditionalFormatting>
  <conditionalFormatting sqref="Q75">
    <cfRule type="cellIs" dxfId="1626" priority="2" operator="greaterThan">
      <formula>1</formula>
    </cfRule>
    <cfRule type="cellIs" dxfId="1625" priority="3" operator="lessThan">
      <formula>0.8</formula>
    </cfRule>
  </conditionalFormatting>
  <conditionalFormatting sqref="R75">
    <cfRule type="cellIs" dxfId="1624" priority="5" operator="lessThan">
      <formula>0.8</formula>
    </cfRule>
  </conditionalFormatting>
  <dataValidations count="1">
    <dataValidation type="list" allowBlank="1" showInputMessage="1" showErrorMessage="1" sqref="Z9 Y5:Z8 Y9:Y66 Z11:Z63 Y67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K3" sqref="K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1550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1551</v>
      </c>
      <c r="C3" s="497" t="str">
        <f>TEXT('1119 4度C'!A2,"yyyy.mm.ddaaaa")</f>
        <v>2025.11.19星期三</v>
      </c>
      <c r="D3" s="498"/>
      <c r="E3" s="4" t="s">
        <v>1552</v>
      </c>
      <c r="F3" s="499">
        <f>'1119 4度C'!D1</f>
        <v>195569</v>
      </c>
      <c r="G3" s="500"/>
      <c r="H3" s="4" t="s">
        <v>1553</v>
      </c>
      <c r="I3" s="501">
        <f>'1119 4度C'!F1</f>
        <v>6675037.1400000006</v>
      </c>
      <c r="J3" s="502"/>
      <c r="K3" s="5"/>
      <c r="L3" s="6"/>
      <c r="M3" s="7"/>
      <c r="N3" s="7"/>
    </row>
    <row r="4" spans="2:17" ht="28.5" customHeight="1">
      <c r="B4" s="503" t="s">
        <v>1554</v>
      </c>
      <c r="C4" s="485" t="s">
        <v>1555</v>
      </c>
      <c r="D4" s="486"/>
      <c r="E4" s="506" t="s">
        <v>1556</v>
      </c>
      <c r="F4" s="507"/>
      <c r="G4" s="506" t="s">
        <v>1557</v>
      </c>
      <c r="H4" s="507"/>
      <c r="I4" s="506" t="s">
        <v>1558</v>
      </c>
      <c r="J4" s="507"/>
      <c r="L4" s="7"/>
      <c r="M4" s="7"/>
      <c r="N4" s="7"/>
    </row>
    <row r="5" spans="2:17" ht="28.5" customHeight="1">
      <c r="B5" s="504"/>
      <c r="C5" s="485" t="s">
        <v>1559</v>
      </c>
      <c r="D5" s="486"/>
      <c r="E5" s="485" t="s">
        <v>1560</v>
      </c>
      <c r="F5" s="486"/>
      <c r="G5" s="487" t="s">
        <v>1561</v>
      </c>
      <c r="H5" s="488"/>
      <c r="I5" s="489" t="s">
        <v>1562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152.77320225104103</v>
      </c>
      <c r="F6" s="492">
        <f>AVERAGE(D27:O27,D13:J13)</f>
        <v>158.56266235704132</v>
      </c>
      <c r="G6" s="493">
        <f>AVERAGE(D13:J13)</f>
        <v>158.56266235704132</v>
      </c>
      <c r="H6" s="494"/>
      <c r="I6" s="493">
        <f>AVERAGE(K13:M13)</f>
        <v>139.26446200370694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146.35832233825414</v>
      </c>
      <c r="F7" s="478">
        <f>AVERAGE(D28:O28,D14:J14)</f>
        <v>152.04732980806244</v>
      </c>
      <c r="G7" s="479">
        <f>AVERAGE(D14:J14)</f>
        <v>152.04732980806244</v>
      </c>
      <c r="H7" s="480"/>
      <c r="I7" s="479">
        <f>AVERAGE(K14:M14)</f>
        <v>133.083971575368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0.95845722649897103</v>
      </c>
      <c r="F8" s="482">
        <f>AVERAGE(D15:J15,D29:O29)</f>
        <v>0.95967489562878849</v>
      </c>
      <c r="G8" s="483">
        <f>AVERAGE(D15:J15)</f>
        <v>0.95967489562878849</v>
      </c>
      <c r="H8" s="484"/>
      <c r="I8" s="483">
        <f>AVERAGE(K15:M15)</f>
        <v>0.95561599852939649</v>
      </c>
      <c r="J8" s="484"/>
      <c r="K8" s="8" t="s">
        <v>1563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1564</v>
      </c>
      <c r="C10" s="459"/>
      <c r="D10" s="460" t="s">
        <v>1565</v>
      </c>
      <c r="E10" s="461"/>
      <c r="F10" s="461"/>
      <c r="G10" s="461"/>
      <c r="H10" s="461"/>
      <c r="I10" s="461"/>
      <c r="J10" s="462"/>
      <c r="K10" s="463" t="s">
        <v>102</v>
      </c>
      <c r="L10" s="464"/>
      <c r="M10" s="465"/>
      <c r="P10" s="11"/>
      <c r="Q10" s="11"/>
    </row>
    <row r="11" spans="2:17" ht="17.25" customHeight="1">
      <c r="B11" s="466" t="s">
        <v>1566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1567</v>
      </c>
      <c r="C13" s="18" t="s">
        <v>1568</v>
      </c>
      <c r="D13" s="19">
        <f>SUMIFS('1119 4度C'!$K:$K,'1119 4度C'!$A:$A,"新豐6線",'1119 4度C'!$B:$B,"平均")</f>
        <v>137.93103448275863</v>
      </c>
      <c r="E13" s="20">
        <f>SUMIFS('1119 4度C'!$K:$K,'1119 4度C'!$A:$A,"新豐2線",'1119 4度C'!$B:$B,"平均")</f>
        <v>81.081081081081081</v>
      </c>
      <c r="F13" s="21">
        <f>SUMIFS('1119 4度C'!$K:$K,'1119 4度C'!$A:$A,"新豐5線",'1119 4度C'!$B:$B,"平均")</f>
        <v>92.741935483870961</v>
      </c>
      <c r="G13" s="21">
        <f>SUMIFS('1119 4度C'!$K:$K,'1119 4度C'!$A:$A,"新豐7線",'1119 4度C'!$B:$B,"平均")</f>
        <v>116.66666666666666</v>
      </c>
      <c r="H13" s="21">
        <f>SUMIFS('1119 4度C'!$K:$K,'1119 4度C'!$A:$A,"新豐3線",'1119 4度C'!$B:$B,"平均")</f>
        <v>265.95744680851061</v>
      </c>
      <c r="I13" s="21">
        <f>SUMIFS('1119 4度C'!$K:$K,'1119 4度C'!$A:$A,"新豐1線",'1119 4度C'!$B:$B,"平均")</f>
        <v>123.89380530973452</v>
      </c>
      <c r="J13" s="22">
        <f>SUMIFS('1119 4度C'!$K:$K,'1119 4度C'!$A:$A,"新豐10線",'1119 4度C'!$B:$B,"平均")</f>
        <v>291.66666666666669</v>
      </c>
      <c r="K13" s="23">
        <f>SUMIFS('1119 4度C'!$K:$K,'1119 4度C'!$A:$A,"新豐8線",'1119 4度C'!$B:$B,"平均")</f>
        <v>133.33333333333334</v>
      </c>
      <c r="L13" s="24">
        <f>SUMIFS('1119 4度C'!$K:$K,'1119 4度C'!$A:$A,"新豐9線",'1119 4度C'!$B:$B,"平均")</f>
        <v>141.1764705882353</v>
      </c>
      <c r="M13" s="22">
        <f>SUMIFS('1119 4度C'!$K:$K,'1119 4度C'!$A:$A,"新豐4線",'1119 4度C'!$B:$B,"平均")</f>
        <v>143.28358208955223</v>
      </c>
    </row>
    <row r="14" spans="2:17" ht="39.6" customHeight="1">
      <c r="B14" s="471"/>
      <c r="C14" s="25" t="s">
        <v>1569</v>
      </c>
      <c r="D14" s="26">
        <f>SUMIFS('1119 4度C'!$N:$N,'1119 4度C'!$A:$A,"新豐6線",'1119 4度C'!$B:$B,"平均")</f>
        <v>132.85512355158454</v>
      </c>
      <c r="E14" s="27">
        <f>SUMIFS('1119 4度C'!$N:$N,'1119 4度C'!$A:$A,"新豐2線",'1119 4度C'!$B:$B,"平均")</f>
        <v>77.785368786379919</v>
      </c>
      <c r="F14" s="27">
        <f>SUMIFS('1119 4度C'!$N:$N,'1119 4度C'!$A:$A,"新豐5線",'1119 4度C'!$B:$B,"平均")</f>
        <v>89.088190551936549</v>
      </c>
      <c r="G14" s="27">
        <f>SUMIFS('1119 4度C'!$N:$N,'1119 4度C'!$A:$A,"新豐7線",'1119 4度C'!$B:$B,"平均")</f>
        <v>112.24067725111985</v>
      </c>
      <c r="H14" s="27">
        <f>SUMIFS('1119 4度C'!$N:$N,'1119 4度C'!$A:$A,"新豐3線",'1119 4度C'!$B:$B,"平均")</f>
        <v>254.6562338322347</v>
      </c>
      <c r="I14" s="27">
        <f>SUMIFS('1119 4度C'!$N:$N,'1119 4度C'!$A:$A,"新豐1線",'1119 4度C'!$B:$B,"平均")</f>
        <v>118.77078907299544</v>
      </c>
      <c r="J14" s="28">
        <f>SUMIFS('1119 4度C'!$N:$N,'1119 4度C'!$A:$A,"新豐10線",'1119 4度C'!$B:$B,"平均")</f>
        <v>278.93492561018616</v>
      </c>
      <c r="K14" s="29">
        <f>SUMIFS('1119 4度C'!$N:$N,'1119 4度C'!$A:$A,"新豐8線",'1119 4度C'!$B:$B,"平均")</f>
        <v>127.34670676405851</v>
      </c>
      <c r="L14" s="30">
        <f>SUMIFS('1119 4度C'!$N:$N,'1119 4度C'!$A:$A,"新豐9線",'1119 4度C'!$B:$B,"平均")</f>
        <v>135.12893717736327</v>
      </c>
      <c r="M14" s="28">
        <f>SUMIFS('1119 4度C'!$N:$N,'1119 4度C'!$A:$A,"新豐4線",'1119 4度C'!$B:$B,"平均")</f>
        <v>136.7762707846822</v>
      </c>
    </row>
    <row r="15" spans="2:17" ht="40.15" customHeight="1">
      <c r="B15" s="472"/>
      <c r="C15" s="31" t="s">
        <v>1570</v>
      </c>
      <c r="D15" s="32">
        <f t="shared" ref="D15:M15" si="0">D14/D13</f>
        <v>0.96319964574898786</v>
      </c>
      <c r="E15" s="33">
        <f t="shared" si="0"/>
        <v>0.95935288169868571</v>
      </c>
      <c r="F15" s="33">
        <f t="shared" si="0"/>
        <v>0.96060309812522893</v>
      </c>
      <c r="G15" s="33">
        <f t="shared" si="0"/>
        <v>0.96206294786674162</v>
      </c>
      <c r="H15" s="33">
        <f t="shared" si="0"/>
        <v>0.95750743920920256</v>
      </c>
      <c r="I15" s="33">
        <f t="shared" si="0"/>
        <v>0.95864994037489171</v>
      </c>
      <c r="J15" s="34">
        <f t="shared" si="0"/>
        <v>0.95634831637778106</v>
      </c>
      <c r="K15" s="32">
        <f t="shared" si="0"/>
        <v>0.95510030073043872</v>
      </c>
      <c r="L15" s="33">
        <f t="shared" si="0"/>
        <v>0.95716330500632307</v>
      </c>
      <c r="M15" s="34">
        <f t="shared" si="0"/>
        <v>0.95458438985142791</v>
      </c>
    </row>
    <row r="16" spans="2:17" ht="17.25" customHeight="1">
      <c r="B16" s="473" t="s">
        <v>1571</v>
      </c>
      <c r="C16" s="35" t="s">
        <v>1572</v>
      </c>
      <c r="D16" s="49">
        <f>VLOOKUP("新豐6線",'1119 4度C'!$A:$T,19,0)</f>
        <v>0.70833333333333337</v>
      </c>
      <c r="E16" s="50">
        <f>VLOOKUP("新豐2線",'1119 4度C'!$A:$T,19,0)</f>
        <v>0.20833333333333334</v>
      </c>
      <c r="F16" s="50">
        <f>VLOOKUP("新豐5線",'1119 4度C'!$A:$T,19,0)</f>
        <v>0.125</v>
      </c>
      <c r="G16" s="50">
        <f>VLOOKUP("新豐7線",'1119 4度C'!$A:$T,19,0)</f>
        <v>0.20833333333333334</v>
      </c>
      <c r="H16" s="50">
        <f>VLOOKUP("新豐3線",'1119 4度C'!$A:$T,19,0)</f>
        <v>8.3333333333333329E-2</v>
      </c>
      <c r="I16" s="50">
        <f>VLOOKUP("新豐1線",'1119 4度C'!$A:$T,19,0)</f>
        <v>0.20833333333333334</v>
      </c>
      <c r="J16" s="51">
        <f>VLOOKUP("新豐10線",'1119 4度C'!$A:$T,19,0)</f>
        <v>0.20833333333333334</v>
      </c>
      <c r="K16" s="36">
        <f>VLOOKUP("新豐8線",'1119 4度C'!$A:$T,19,0)</f>
        <v>8.3333333333333329E-2</v>
      </c>
      <c r="L16" s="37">
        <f>VLOOKUP("新豐9線",'1119 4度C'!$A:$T,19,0)</f>
        <v>8.3333333333333329E-2</v>
      </c>
      <c r="M16" s="38">
        <f>VLOOKUP("新豐4線",'1119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LOOKUP(2,1/(('1119 4度C'!$A:$A="新豐6線")*('1119 4度C'!$T:$T&lt;&gt;"")),'1119 4度C'!$T:$T)</f>
        <v>0.94444444444444442</v>
      </c>
      <c r="E17" s="50">
        <f>LOOKUP(2,1/(('1119 4度C'!$A:$A="新豐2線")*('1119 4度C'!$T:$T&lt;&gt;"")),'1119 4度C'!$T:$T)</f>
        <v>0.44027777777777777</v>
      </c>
      <c r="F17" s="50">
        <f>LOOKUP(2,1/(('1119 4度C'!$A:$A="新豐5線")*('1119 4度C'!$T:$T&lt;&gt;"")),'1119 4度C'!$T:$T)</f>
        <v>0.96388888888888891</v>
      </c>
      <c r="G17" s="50">
        <f>LOOKUP(2,1/(('1119 4度C'!$A:$A="新豐7線")*('1119 4度C'!$T:$T&lt;&gt;"")),'1119 4度C'!$T:$T)</f>
        <v>0.92013888888888884</v>
      </c>
      <c r="H17" s="50">
        <f>LOOKUP(2,1/(('1119 4度C'!$A:$A="新豐3線")*('1119 4度C'!$T:$T&lt;&gt;"")),'1119 4度C'!$T:$T)</f>
        <v>0.63055555555555542</v>
      </c>
      <c r="I17" s="50">
        <f>LOOKUP(2,1/(('1119 4度C'!$A:$A="新豐1線")*('1119 4度C'!$T:$T&lt;&gt;"")),'1119 4度C'!$T:$T)</f>
        <v>0.98055555555555562</v>
      </c>
      <c r="J17" s="51">
        <f>LOOKUP(2,1/(('1119 4度C'!$A:$A="新豐10線")*('1119 4度C'!$T:$T&lt;&gt;"")),'1119 4度C'!$T:$T)</f>
        <v>0.45347222222222217</v>
      </c>
      <c r="K17" s="49">
        <f>LOOKUP(2,1/(('1119 4度C'!$A:$A="新豐8線")*('1119 4度C'!$T:$T&lt;&gt;"")),'1119 4度C'!$T:$T)</f>
        <v>0.72569444444444431</v>
      </c>
      <c r="L17" s="50">
        <f>LOOKUP(2,1/(('1119 4度C'!$A:$A="新豐9線")*('1119 4度C'!$T:$T&lt;&gt;"")),'1119 4度C'!$T:$T)</f>
        <v>0.74027777777777759</v>
      </c>
      <c r="M17" s="51">
        <f>LOOKUP(2,1/(('1119 4度C'!$A:$A="新豐4線")*('1119 4度C'!$T:$T&lt;&gt;"")),'1119 4度C'!$T:$T)</f>
        <v>0.64305555555555527</v>
      </c>
    </row>
    <row r="18" spans="2:13" ht="17.25" customHeight="1">
      <c r="B18" s="452" t="s">
        <v>1573</v>
      </c>
      <c r="C18" s="453"/>
      <c r="D18" s="39">
        <f>SUMIFS('1119 4度C'!$I:$I,'1119 4度C'!$A:$A,"新豐6線",'1119 4度C'!$B:$B,"平均")</f>
        <v>14.5</v>
      </c>
      <c r="E18" s="40">
        <f>SUMIFS('1119 4度C'!$I:$I,'1119 4度C'!$A:$A,"新豐2線",'1119 4度C'!$B:$B,"平均")</f>
        <v>18.5</v>
      </c>
      <c r="F18" s="40">
        <f>SUMIFS('1119 4度C'!$I:$I,'1119 4度C'!$A:$A,"新豐5線",'1119 4度C'!$B:$B,"平均")</f>
        <v>17.714285714285715</v>
      </c>
      <c r="G18" s="40">
        <f>SUMIFS('1119 4度C'!$I:$I,'1119 4度C'!$A:$A,"新豐7線",'1119 4度C'!$B:$B,"平均")</f>
        <v>16.666666666666668</v>
      </c>
      <c r="H18" s="40">
        <f>SUMIFS('1119 4度C'!$I:$I,'1119 4度C'!$A:$A,"新豐3線",'1119 4度C'!$B:$B,"平均")</f>
        <v>10.444444444444445</v>
      </c>
      <c r="I18" s="40">
        <f>SUMIFS('1119 4度C'!$I:$I,'1119 4度C'!$A:$A,"新豐1線",'1119 4度C'!$B:$B,"平均")</f>
        <v>16.142857142857142</v>
      </c>
      <c r="J18" s="41">
        <f>SUMIFS('1119 4度C'!$I:$I,'1119 4度C'!$A:$A,"新豐10線",'1119 4度C'!$B:$B,"平均")</f>
        <v>9</v>
      </c>
      <c r="K18" s="39">
        <f>SUMIFS('1119 4度C'!$I:$I,'1119 4度C'!$A:$A,"新豐8線",'1119 4度C'!$B:$B,"平均")</f>
        <v>18</v>
      </c>
      <c r="L18" s="40">
        <f>SUMIFS('1119 4度C'!$I:$I,'1119 4度C'!$A:$A,"新豐9線",'1119 4度C'!$B:$B,"平均")</f>
        <v>17</v>
      </c>
      <c r="M18" s="41">
        <f>SUMIFS('1119 4度C'!$I:$I,'1119 4度C'!$A:$A,"新豐4線",'1119 4度C'!$B:$B,"平均")</f>
        <v>16.75</v>
      </c>
    </row>
    <row r="19" spans="2:13" ht="17.25" customHeight="1">
      <c r="B19" s="452" t="s">
        <v>1574</v>
      </c>
      <c r="C19" s="453"/>
      <c r="D19" s="42" t="s">
        <v>65</v>
      </c>
      <c r="E19" s="43" t="s">
        <v>66</v>
      </c>
      <c r="F19" s="43" t="s">
        <v>1575</v>
      </c>
      <c r="G19" s="43" t="s">
        <v>1575</v>
      </c>
      <c r="H19" s="43" t="s">
        <v>67</v>
      </c>
      <c r="I19" s="43" t="s">
        <v>65</v>
      </c>
      <c r="J19" s="44" t="s">
        <v>67</v>
      </c>
      <c r="K19" s="42" t="s">
        <v>71</v>
      </c>
      <c r="L19" s="43" t="s">
        <v>1576</v>
      </c>
      <c r="M19" s="44" t="s">
        <v>1576</v>
      </c>
    </row>
    <row r="20" spans="2:13" ht="17.25" customHeight="1">
      <c r="B20" s="452" t="s">
        <v>1577</v>
      </c>
      <c r="C20" s="453"/>
      <c r="D20" s="42"/>
      <c r="E20" s="43"/>
      <c r="F20" s="43" t="s">
        <v>1578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1579</v>
      </c>
      <c r="C21" s="455"/>
      <c r="D21" s="45"/>
      <c r="E21" s="46" t="s">
        <v>116</v>
      </c>
      <c r="F21" s="456" t="s">
        <v>1580</v>
      </c>
      <c r="G21" s="457"/>
      <c r="H21" s="46" t="s">
        <v>1581</v>
      </c>
      <c r="I21" s="46" t="s">
        <v>1582</v>
      </c>
      <c r="J21" s="47" t="s">
        <v>1581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6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zoomScale="80" zoomScaleNormal="80" workbookViewId="0">
      <pane ySplit="4" topLeftCell="A43" activePane="bottomLeft" state="frozen"/>
      <selection activeCell="B24" sqref="B24"/>
      <selection pane="bottomLeft" activeCell="B24" sqref="B2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1583</v>
      </c>
      <c r="B1" s="52"/>
      <c r="C1" s="53" t="s">
        <v>1584</v>
      </c>
      <c r="D1" s="54">
        <f>SUM(F5:F80)</f>
        <v>195569</v>
      </c>
      <c r="E1" s="298" t="s">
        <v>1585</v>
      </c>
      <c r="F1" s="52">
        <f>SUM(G5:G80)</f>
        <v>6675037.1400000006</v>
      </c>
      <c r="G1" s="52" t="s">
        <v>1586</v>
      </c>
      <c r="H1" s="55">
        <f>L9+L12+L58+L66+L20+L71+L39+L48+L30+L80</f>
        <v>154.71825396825395</v>
      </c>
      <c r="I1" s="556" t="s">
        <v>123</v>
      </c>
      <c r="J1" s="556"/>
      <c r="K1" s="556"/>
      <c r="L1" s="556" t="s">
        <v>1587</v>
      </c>
      <c r="M1" s="556"/>
      <c r="N1" s="556"/>
      <c r="O1" s="556" t="s">
        <v>1588</v>
      </c>
      <c r="P1" s="556"/>
      <c r="Q1" s="556"/>
      <c r="R1" s="556"/>
      <c r="S1" s="556" t="s">
        <v>126</v>
      </c>
      <c r="T1" s="556"/>
      <c r="U1" s="556"/>
      <c r="V1" s="556"/>
      <c r="W1" s="556"/>
      <c r="X1" s="556"/>
      <c r="Y1" s="556" t="s">
        <v>1589</v>
      </c>
      <c r="Z1" s="556"/>
      <c r="AA1" s="556" t="s">
        <v>1590</v>
      </c>
      <c r="AB1" s="557"/>
      <c r="AC1" s="557"/>
    </row>
    <row r="2" spans="1:29" ht="26.25" customHeight="1">
      <c r="A2" s="57">
        <v>45980</v>
      </c>
      <c r="B2" s="58" t="s">
        <v>460</v>
      </c>
      <c r="C2" s="53" t="s">
        <v>1591</v>
      </c>
      <c r="D2" s="59">
        <f>AVERAGE(N9,N12,N58,N66,N20,N71,N30,N39,N48,N80)</f>
        <v>146.35832233825414</v>
      </c>
      <c r="E2" s="60" t="s">
        <v>0</v>
      </c>
      <c r="F2" s="61">
        <f>F1/D1</f>
        <v>34.131366116306779</v>
      </c>
      <c r="G2" s="52" t="s">
        <v>1592</v>
      </c>
      <c r="H2" s="308">
        <f>COUNT(H5:H80)</f>
        <v>14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1593</v>
      </c>
      <c r="B3" s="510" t="s">
        <v>1594</v>
      </c>
      <c r="C3" s="510" t="s">
        <v>1595</v>
      </c>
      <c r="D3" s="510"/>
      <c r="E3" s="554" t="s">
        <v>1596</v>
      </c>
      <c r="F3" s="510" t="s">
        <v>135</v>
      </c>
      <c r="G3" s="554" t="s">
        <v>1597</v>
      </c>
      <c r="H3" s="547" t="s">
        <v>1598</v>
      </c>
      <c r="I3" s="545" t="s">
        <v>1599</v>
      </c>
      <c r="J3" s="550" t="s">
        <v>1600</v>
      </c>
      <c r="K3" s="552" t="s">
        <v>1591</v>
      </c>
      <c r="L3" s="545" t="s">
        <v>138</v>
      </c>
      <c r="M3" s="550" t="s">
        <v>1600</v>
      </c>
      <c r="N3" s="552" t="s">
        <v>78</v>
      </c>
      <c r="O3" s="545" t="s">
        <v>1599</v>
      </c>
      <c r="P3" s="552" t="s">
        <v>1591</v>
      </c>
      <c r="Q3" s="551" t="s">
        <v>1601</v>
      </c>
      <c r="R3" s="523" t="s">
        <v>142</v>
      </c>
      <c r="S3" s="553" t="s">
        <v>1</v>
      </c>
      <c r="T3" s="553"/>
      <c r="U3" s="547" t="s">
        <v>2</v>
      </c>
      <c r="V3" s="547" t="s">
        <v>1602</v>
      </c>
      <c r="W3" s="510" t="s">
        <v>1603</v>
      </c>
      <c r="X3" s="510"/>
      <c r="Y3" s="548" t="s">
        <v>1604</v>
      </c>
      <c r="Z3" s="549"/>
      <c r="AA3" s="550" t="s">
        <v>1605</v>
      </c>
      <c r="AB3" s="551" t="s">
        <v>1606</v>
      </c>
      <c r="AC3" s="523" t="s">
        <v>1607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307" t="s">
        <v>3</v>
      </c>
      <c r="T4" s="307" t="s">
        <v>4</v>
      </c>
      <c r="U4" s="547"/>
      <c r="V4" s="547"/>
      <c r="W4" s="298" t="s">
        <v>1608</v>
      </c>
      <c r="X4" s="298" t="s">
        <v>1609</v>
      </c>
      <c r="Y4" s="549"/>
      <c r="Z4" s="549"/>
      <c r="AA4" s="550"/>
      <c r="AB4" s="551"/>
      <c r="AC4" s="523"/>
    </row>
    <row r="5" spans="1:29">
      <c r="A5" s="544" t="s">
        <v>1610</v>
      </c>
      <c r="B5" s="62" t="s">
        <v>6</v>
      </c>
      <c r="C5" s="546" t="s">
        <v>9</v>
      </c>
      <c r="D5" s="546"/>
      <c r="E5" s="62">
        <v>50.67</v>
      </c>
      <c r="F5" s="307">
        <v>1839</v>
      </c>
      <c r="G5" s="298">
        <f t="shared" ref="G5:G8" si="0">E5*F5</f>
        <v>93182.13</v>
      </c>
      <c r="H5" s="90" t="s">
        <v>5</v>
      </c>
      <c r="I5" s="305">
        <v>17</v>
      </c>
      <c r="J5" s="63">
        <v>2000</v>
      </c>
      <c r="K5" s="64">
        <f t="shared" ref="K5:K68" si="1">J5/I5</f>
        <v>117.64705882352941</v>
      </c>
      <c r="L5" s="305">
        <v>17</v>
      </c>
      <c r="M5" s="65">
        <f t="shared" ref="M5:M8" si="2">F5/V5*60</f>
        <v>1935.7894736842118</v>
      </c>
      <c r="N5" s="64">
        <f t="shared" ref="N5:N68" si="3">M5/L5</f>
        <v>113.86996904024775</v>
      </c>
      <c r="O5" s="66">
        <f t="shared" ref="O5:O68" si="4">L5-I5</f>
        <v>0</v>
      </c>
      <c r="P5" s="67">
        <f t="shared" ref="P5:P68" si="5">N5-K5</f>
        <v>-3.777089783281653</v>
      </c>
      <c r="Q5" s="299">
        <f t="shared" ref="Q5:Q68" si="6">N5/K5</f>
        <v>0.96789473684210592</v>
      </c>
      <c r="R5" s="511">
        <f>Q9</f>
        <v>0.96319964574898786</v>
      </c>
      <c r="S5" s="68">
        <v>0.70833333333333337</v>
      </c>
      <c r="T5" s="68">
        <v>0.74791666666666667</v>
      </c>
      <c r="U5" s="298"/>
      <c r="V5" s="306">
        <f t="shared" ref="V5:V8" si="7">(T5-S5)*24*60</f>
        <v>56.999999999999957</v>
      </c>
      <c r="W5" s="69"/>
      <c r="X5" s="70"/>
      <c r="Y5" s="510"/>
      <c r="Z5" s="510"/>
      <c r="AA5" s="66">
        <f t="shared" ref="AA5:AA68" si="8">M5-J5</f>
        <v>-64.210526315788229</v>
      </c>
      <c r="AB5" s="299">
        <f t="shared" ref="AB5:AB68" si="9">M5/J5</f>
        <v>0.96789473684210592</v>
      </c>
      <c r="AC5" s="511">
        <f>AB9</f>
        <v>0.96319964574898786</v>
      </c>
    </row>
    <row r="6" spans="1:29">
      <c r="A6" s="545" t="s">
        <v>1611</v>
      </c>
      <c r="B6" s="62" t="s">
        <v>6</v>
      </c>
      <c r="C6" s="546" t="s">
        <v>8</v>
      </c>
      <c r="D6" s="546"/>
      <c r="E6" s="62">
        <v>50.49</v>
      </c>
      <c r="F6" s="307">
        <v>2473</v>
      </c>
      <c r="G6" s="298">
        <f t="shared" si="0"/>
        <v>124861.77</v>
      </c>
      <c r="H6" s="90" t="s">
        <v>5</v>
      </c>
      <c r="I6" s="305">
        <v>15</v>
      </c>
      <c r="J6" s="63">
        <v>2000</v>
      </c>
      <c r="K6" s="64">
        <f t="shared" si="1"/>
        <v>133.33333333333334</v>
      </c>
      <c r="L6" s="305">
        <v>15</v>
      </c>
      <c r="M6" s="65">
        <f t="shared" si="2"/>
        <v>1902.3076923076912</v>
      </c>
      <c r="N6" s="64">
        <f t="shared" si="3"/>
        <v>126.82051282051275</v>
      </c>
      <c r="O6" s="66">
        <f t="shared" si="4"/>
        <v>0</v>
      </c>
      <c r="P6" s="67">
        <f t="shared" si="5"/>
        <v>-6.5128205128205963</v>
      </c>
      <c r="Q6" s="299">
        <f t="shared" si="6"/>
        <v>0.95115384615384557</v>
      </c>
      <c r="R6" s="511"/>
      <c r="S6" s="68">
        <v>0.75277777777777777</v>
      </c>
      <c r="T6" s="68">
        <v>0.80694444444444446</v>
      </c>
      <c r="U6" s="298">
        <f t="shared" ref="U6:U8" si="10">IF(S6=TIME(17,0,0),"",(S6-T5)*24*60)</f>
        <v>6.9999999999999751</v>
      </c>
      <c r="V6" s="306">
        <f t="shared" si="7"/>
        <v>78.000000000000043</v>
      </c>
      <c r="W6" s="69"/>
      <c r="X6" s="69"/>
      <c r="Y6" s="510"/>
      <c r="Z6" s="510"/>
      <c r="AA6" s="66">
        <f t="shared" si="8"/>
        <v>-97.692307692308759</v>
      </c>
      <c r="AB6" s="299">
        <f t="shared" si="9"/>
        <v>0.95115384615384557</v>
      </c>
      <c r="AC6" s="511"/>
    </row>
    <row r="7" spans="1:29">
      <c r="A7" s="545" t="s">
        <v>1612</v>
      </c>
      <c r="B7" s="62" t="s">
        <v>6</v>
      </c>
      <c r="C7" s="539" t="s">
        <v>886</v>
      </c>
      <c r="D7" s="540"/>
      <c r="E7" s="62">
        <v>57.3</v>
      </c>
      <c r="F7" s="307">
        <v>1300</v>
      </c>
      <c r="G7" s="298">
        <f t="shared" si="0"/>
        <v>74490</v>
      </c>
      <c r="H7" s="90">
        <v>2</v>
      </c>
      <c r="I7" s="305">
        <v>13</v>
      </c>
      <c r="J7" s="63">
        <v>2000</v>
      </c>
      <c r="K7" s="64">
        <f t="shared" si="1"/>
        <v>153.84615384615384</v>
      </c>
      <c r="L7" s="305">
        <v>13</v>
      </c>
      <c r="M7" s="65">
        <f t="shared" si="2"/>
        <v>1949.9999999999991</v>
      </c>
      <c r="N7" s="64">
        <f t="shared" si="3"/>
        <v>149.99999999999994</v>
      </c>
      <c r="O7" s="66">
        <f t="shared" si="4"/>
        <v>0</v>
      </c>
      <c r="P7" s="67">
        <f t="shared" si="5"/>
        <v>-3.8461538461538964</v>
      </c>
      <c r="Q7" s="299">
        <f t="shared" si="6"/>
        <v>0.97499999999999964</v>
      </c>
      <c r="R7" s="511"/>
      <c r="S7" s="68">
        <v>0.81111111111111112</v>
      </c>
      <c r="T7" s="68">
        <v>0.83888888888888891</v>
      </c>
      <c r="U7" s="298">
        <f t="shared" si="10"/>
        <v>5.9999999999999787</v>
      </c>
      <c r="V7" s="306">
        <f t="shared" si="7"/>
        <v>40.000000000000014</v>
      </c>
      <c r="W7" s="69">
        <f>T7</f>
        <v>0.83888888888888891</v>
      </c>
      <c r="X7" s="69">
        <f>S8</f>
        <v>0.87777777777777777</v>
      </c>
      <c r="Y7" s="517"/>
      <c r="Z7" s="518"/>
      <c r="AA7" s="66">
        <f t="shared" si="8"/>
        <v>-50.000000000000909</v>
      </c>
      <c r="AB7" s="299">
        <f t="shared" si="9"/>
        <v>0.97499999999999953</v>
      </c>
      <c r="AC7" s="511"/>
    </row>
    <row r="8" spans="1:29">
      <c r="A8" s="545" t="s">
        <v>1613</v>
      </c>
      <c r="B8" s="62" t="s">
        <v>6</v>
      </c>
      <c r="C8" s="539" t="s">
        <v>886</v>
      </c>
      <c r="D8" s="540"/>
      <c r="E8" s="62">
        <v>57.3</v>
      </c>
      <c r="F8" s="307">
        <v>3068</v>
      </c>
      <c r="G8" s="298">
        <f t="shared" si="0"/>
        <v>175796.4</v>
      </c>
      <c r="H8" s="90" t="s">
        <v>5</v>
      </c>
      <c r="I8" s="305">
        <v>13</v>
      </c>
      <c r="J8" s="63">
        <v>2000</v>
      </c>
      <c r="K8" s="64">
        <f t="shared" si="1"/>
        <v>153.84615384615384</v>
      </c>
      <c r="L8" s="305">
        <v>13</v>
      </c>
      <c r="M8" s="65">
        <f t="shared" si="2"/>
        <v>1917.5000000000005</v>
      </c>
      <c r="N8" s="64">
        <f t="shared" si="3"/>
        <v>147.50000000000003</v>
      </c>
      <c r="O8" s="66">
        <f t="shared" si="4"/>
        <v>0</v>
      </c>
      <c r="P8" s="67">
        <f t="shared" si="5"/>
        <v>-6.3461538461538112</v>
      </c>
      <c r="Q8" s="299">
        <f t="shared" si="6"/>
        <v>0.95875000000000021</v>
      </c>
      <c r="R8" s="511"/>
      <c r="S8" s="68">
        <v>0.87777777777777777</v>
      </c>
      <c r="T8" s="68">
        <v>0.94444444444444442</v>
      </c>
      <c r="U8" s="298">
        <f t="shared" si="10"/>
        <v>55.999999999999957</v>
      </c>
      <c r="V8" s="306">
        <f t="shared" si="7"/>
        <v>95.999999999999972</v>
      </c>
      <c r="W8" s="73"/>
      <c r="X8" s="73"/>
      <c r="Y8" s="517"/>
      <c r="Z8" s="518"/>
      <c r="AA8" s="66">
        <f t="shared" si="8"/>
        <v>-82.499999999999545</v>
      </c>
      <c r="AB8" s="299">
        <f t="shared" si="9"/>
        <v>0.95875000000000021</v>
      </c>
      <c r="AC8" s="511"/>
    </row>
    <row r="9" spans="1:29">
      <c r="A9" s="545" t="s">
        <v>1613</v>
      </c>
      <c r="B9" s="62" t="s">
        <v>1614</v>
      </c>
      <c r="C9" s="513"/>
      <c r="D9" s="513"/>
      <c r="E9" s="300"/>
      <c r="F9" s="71"/>
      <c r="G9" s="64"/>
      <c r="H9" s="307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1926.3992914979758</v>
      </c>
      <c r="N9" s="64">
        <f t="shared" si="3"/>
        <v>132.85512355158454</v>
      </c>
      <c r="O9" s="66">
        <f t="shared" si="4"/>
        <v>0</v>
      </c>
      <c r="P9" s="67">
        <f t="shared" si="5"/>
        <v>-5.0759109311740929</v>
      </c>
      <c r="Q9" s="299">
        <f t="shared" si="6"/>
        <v>0.96319964574898786</v>
      </c>
      <c r="R9" s="511"/>
      <c r="S9" s="68"/>
      <c r="T9" s="68"/>
      <c r="U9" s="298"/>
      <c r="V9" s="306"/>
      <c r="W9" s="64"/>
      <c r="X9" s="64"/>
      <c r="Y9" s="510"/>
      <c r="Z9" s="510"/>
      <c r="AA9" s="66">
        <f t="shared" si="8"/>
        <v>-73.60070850202419</v>
      </c>
      <c r="AB9" s="299">
        <f t="shared" si="9"/>
        <v>0.96319964574898786</v>
      </c>
      <c r="AC9" s="511"/>
    </row>
    <row r="10" spans="1:29" ht="15.75" customHeight="1">
      <c r="A10" s="543" t="s">
        <v>1615</v>
      </c>
      <c r="B10" s="62" t="s">
        <v>10</v>
      </c>
      <c r="C10" s="539" t="s">
        <v>12</v>
      </c>
      <c r="D10" s="540"/>
      <c r="E10" s="62">
        <v>39.36</v>
      </c>
      <c r="F10" s="307">
        <v>1665</v>
      </c>
      <c r="G10" s="298">
        <f t="shared" ref="G10:G11" si="11">E10*F10</f>
        <v>65534.400000000001</v>
      </c>
      <c r="H10" s="90" t="s">
        <v>5</v>
      </c>
      <c r="I10" s="305">
        <v>20</v>
      </c>
      <c r="J10" s="63">
        <v>1500</v>
      </c>
      <c r="K10" s="64">
        <f t="shared" si="1"/>
        <v>75</v>
      </c>
      <c r="L10" s="305">
        <v>20</v>
      </c>
      <c r="M10" s="65">
        <f t="shared" ref="M10:M11" si="12">F10/V10*60</f>
        <v>1447.8260869565227</v>
      </c>
      <c r="N10" s="64">
        <f t="shared" si="3"/>
        <v>72.391304347826136</v>
      </c>
      <c r="O10" s="66">
        <f t="shared" si="4"/>
        <v>0</v>
      </c>
      <c r="P10" s="67">
        <f t="shared" si="5"/>
        <v>-2.6086956521738642</v>
      </c>
      <c r="Q10" s="299">
        <f t="shared" si="6"/>
        <v>0.96521739130434847</v>
      </c>
      <c r="R10" s="511">
        <f>Q12</f>
        <v>0.95935288169868571</v>
      </c>
      <c r="S10" s="68">
        <v>0.20833333333333334</v>
      </c>
      <c r="T10" s="68">
        <v>0.25624999999999998</v>
      </c>
      <c r="U10" s="298"/>
      <c r="V10" s="306">
        <f t="shared" ref="V10:V11" si="13">(T10-S10)*24*60</f>
        <v>68.999999999999957</v>
      </c>
      <c r="W10" s="69"/>
      <c r="X10" s="69"/>
      <c r="Y10" s="510"/>
      <c r="Z10" s="510"/>
      <c r="AA10" s="66">
        <f t="shared" si="8"/>
        <v>-52.173913043477341</v>
      </c>
      <c r="AB10" s="299">
        <f t="shared" si="9"/>
        <v>0.96521739130434847</v>
      </c>
      <c r="AC10" s="511">
        <f>AB12</f>
        <v>0.95935288169868571</v>
      </c>
    </row>
    <row r="11" spans="1:29" ht="15.75" customHeight="1">
      <c r="A11" s="543" t="s">
        <v>1615</v>
      </c>
      <c r="B11" s="62" t="s">
        <v>10</v>
      </c>
      <c r="C11" s="539" t="s">
        <v>11</v>
      </c>
      <c r="D11" s="540"/>
      <c r="E11" s="62">
        <v>39.799999999999997</v>
      </c>
      <c r="F11" s="307">
        <v>6150</v>
      </c>
      <c r="G11" s="298">
        <f t="shared" si="11"/>
        <v>244769.99999999997</v>
      </c>
      <c r="H11" s="90" t="s">
        <v>5</v>
      </c>
      <c r="I11" s="305">
        <v>17</v>
      </c>
      <c r="J11" s="63">
        <v>1500</v>
      </c>
      <c r="K11" s="64">
        <f t="shared" si="1"/>
        <v>88.235294117647058</v>
      </c>
      <c r="L11" s="305">
        <v>17</v>
      </c>
      <c r="M11" s="65">
        <f t="shared" si="12"/>
        <v>1430.2325581395346</v>
      </c>
      <c r="N11" s="64">
        <f t="shared" si="3"/>
        <v>84.131326949384388</v>
      </c>
      <c r="O11" s="66">
        <f t="shared" si="4"/>
        <v>0</v>
      </c>
      <c r="P11" s="67">
        <f t="shared" si="5"/>
        <v>-4.1039671682626704</v>
      </c>
      <c r="Q11" s="299">
        <f t="shared" si="6"/>
        <v>0.95348837209302306</v>
      </c>
      <c r="R11" s="511"/>
      <c r="S11" s="68">
        <v>0.26111111111111107</v>
      </c>
      <c r="T11" s="68">
        <v>0.44027777777777777</v>
      </c>
      <c r="U11" s="298">
        <f t="shared" ref="U11" si="14">IF(S11=TIME(17,0,0),"",(S11-T10)*24*60)</f>
        <v>6.9999999999999751</v>
      </c>
      <c r="V11" s="306">
        <f t="shared" si="13"/>
        <v>258.00000000000006</v>
      </c>
      <c r="W11" s="69"/>
      <c r="X11" s="69"/>
      <c r="Y11" s="510"/>
      <c r="Z11" s="510"/>
      <c r="AA11" s="66">
        <f t="shared" si="8"/>
        <v>-69.767441860465397</v>
      </c>
      <c r="AB11" s="299">
        <f t="shared" si="9"/>
        <v>0.95348837209302306</v>
      </c>
      <c r="AC11" s="511"/>
    </row>
    <row r="12" spans="1:29" ht="16.5" customHeight="1">
      <c r="A12" s="543" t="s">
        <v>1616</v>
      </c>
      <c r="B12" s="62" t="s">
        <v>1617</v>
      </c>
      <c r="C12" s="513"/>
      <c r="D12" s="513"/>
      <c r="E12" s="300"/>
      <c r="F12" s="63"/>
      <c r="G12" s="65"/>
      <c r="H12" s="307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1439.0293225480286</v>
      </c>
      <c r="N12" s="64">
        <f t="shared" si="3"/>
        <v>77.785368786379919</v>
      </c>
      <c r="O12" s="66">
        <f t="shared" si="4"/>
        <v>0</v>
      </c>
      <c r="P12" s="67">
        <f t="shared" si="5"/>
        <v>-3.2957122947011612</v>
      </c>
      <c r="Q12" s="299">
        <f t="shared" si="6"/>
        <v>0.95935288169868571</v>
      </c>
      <c r="R12" s="511"/>
      <c r="S12" s="68"/>
      <c r="T12" s="68"/>
      <c r="U12" s="64"/>
      <c r="V12" s="306"/>
      <c r="W12" s="64"/>
      <c r="X12" s="64"/>
      <c r="Y12" s="510"/>
      <c r="Z12" s="510"/>
      <c r="AA12" s="66">
        <f t="shared" si="8"/>
        <v>-60.970677451971369</v>
      </c>
      <c r="AB12" s="299">
        <f t="shared" si="9"/>
        <v>0.95935288169868571</v>
      </c>
      <c r="AC12" s="511"/>
    </row>
    <row r="13" spans="1:29" ht="16.5" customHeight="1">
      <c r="A13" s="541" t="s">
        <v>1618</v>
      </c>
      <c r="B13" s="307" t="s">
        <v>13</v>
      </c>
      <c r="C13" s="533" t="s">
        <v>14</v>
      </c>
      <c r="D13" s="533"/>
      <c r="E13" s="62">
        <v>41</v>
      </c>
      <c r="F13" s="307">
        <v>2673</v>
      </c>
      <c r="G13" s="298">
        <f t="shared" ref="G13:G19" si="15">E13*F13</f>
        <v>109593</v>
      </c>
      <c r="H13" s="90" t="s">
        <v>5</v>
      </c>
      <c r="I13" s="305">
        <v>26</v>
      </c>
      <c r="J13" s="63">
        <v>1500</v>
      </c>
      <c r="K13" s="64">
        <f t="shared" si="1"/>
        <v>57.692307692307693</v>
      </c>
      <c r="L13" s="305">
        <v>26</v>
      </c>
      <c r="M13" s="65">
        <f t="shared" ref="M13:M19" si="16">F13/V13*60</f>
        <v>1431.9642857142856</v>
      </c>
      <c r="N13" s="64">
        <f t="shared" si="3"/>
        <v>55.075549450549445</v>
      </c>
      <c r="O13" s="66">
        <f t="shared" si="4"/>
        <v>0</v>
      </c>
      <c r="P13" s="67">
        <f t="shared" si="5"/>
        <v>-2.616758241758248</v>
      </c>
      <c r="Q13" s="299">
        <f t="shared" si="6"/>
        <v>0.95464285714285702</v>
      </c>
      <c r="R13" s="511">
        <f>Q20</f>
        <v>0.96060309812522893</v>
      </c>
      <c r="S13" s="68">
        <v>0.125</v>
      </c>
      <c r="T13" s="68">
        <v>0.20277777777777778</v>
      </c>
      <c r="U13" s="298"/>
      <c r="V13" s="306">
        <f t="shared" ref="V13:V19" si="17">(T13-S13)*24*60</f>
        <v>112</v>
      </c>
      <c r="W13" s="69">
        <f>T13</f>
        <v>0.20277777777777778</v>
      </c>
      <c r="X13" s="69">
        <f>S14</f>
        <v>0.22222222222222221</v>
      </c>
      <c r="Y13" s="510"/>
      <c r="Z13" s="510"/>
      <c r="AA13" s="66">
        <f t="shared" si="8"/>
        <v>-68.035714285714448</v>
      </c>
      <c r="AB13" s="299">
        <f t="shared" si="9"/>
        <v>0.95464285714285702</v>
      </c>
      <c r="AC13" s="511">
        <f>AB20</f>
        <v>0.96060309812522893</v>
      </c>
    </row>
    <row r="14" spans="1:29" ht="16.5" customHeight="1">
      <c r="A14" s="542" t="s">
        <v>1619</v>
      </c>
      <c r="B14" s="307" t="s">
        <v>10</v>
      </c>
      <c r="C14" s="533" t="s">
        <v>15</v>
      </c>
      <c r="D14" s="533"/>
      <c r="E14" s="62">
        <v>39.619999999999997</v>
      </c>
      <c r="F14" s="307">
        <v>4202</v>
      </c>
      <c r="G14" s="298">
        <f t="shared" si="15"/>
        <v>166483.24</v>
      </c>
      <c r="H14" s="90" t="s">
        <v>5</v>
      </c>
      <c r="I14" s="305">
        <v>19</v>
      </c>
      <c r="J14" s="63">
        <v>1500</v>
      </c>
      <c r="K14" s="64">
        <f t="shared" si="1"/>
        <v>78.94736842105263</v>
      </c>
      <c r="L14" s="305">
        <v>19</v>
      </c>
      <c r="M14" s="65">
        <f t="shared" si="16"/>
        <v>1432.5</v>
      </c>
      <c r="N14" s="64">
        <f t="shared" si="3"/>
        <v>75.39473684210526</v>
      </c>
      <c r="O14" s="66">
        <f t="shared" si="4"/>
        <v>0</v>
      </c>
      <c r="P14" s="67">
        <f t="shared" si="5"/>
        <v>-3.5526315789473699</v>
      </c>
      <c r="Q14" s="299">
        <f t="shared" si="6"/>
        <v>0.95499999999999996</v>
      </c>
      <c r="R14" s="511"/>
      <c r="S14" s="68">
        <v>0.22222222222222221</v>
      </c>
      <c r="T14" s="68">
        <v>0.34444444444444444</v>
      </c>
      <c r="U14" s="298">
        <f t="shared" ref="U14:U19" si="18">IF(S14=TIME(17,0,0),"",(S14-T13)*24*60)</f>
        <v>27.999999999999979</v>
      </c>
      <c r="V14" s="306">
        <f t="shared" si="17"/>
        <v>176</v>
      </c>
      <c r="W14" s="69"/>
      <c r="X14" s="69"/>
      <c r="Y14" s="510"/>
      <c r="Z14" s="510"/>
      <c r="AA14" s="66">
        <f t="shared" si="8"/>
        <v>-67.5</v>
      </c>
      <c r="AB14" s="299">
        <f t="shared" si="9"/>
        <v>0.95499999999999996</v>
      </c>
      <c r="AC14" s="511"/>
    </row>
    <row r="15" spans="1:29" ht="16.5" customHeight="1">
      <c r="A15" s="542" t="s">
        <v>1619</v>
      </c>
      <c r="B15" s="307" t="s">
        <v>77</v>
      </c>
      <c r="C15" s="533" t="s">
        <v>76</v>
      </c>
      <c r="D15" s="533"/>
      <c r="E15" s="62">
        <v>57.3</v>
      </c>
      <c r="F15" s="307">
        <v>998</v>
      </c>
      <c r="G15" s="298">
        <f t="shared" si="15"/>
        <v>57185.399999999994</v>
      </c>
      <c r="H15" s="90" t="s">
        <v>5</v>
      </c>
      <c r="I15" s="305">
        <v>16</v>
      </c>
      <c r="J15" s="63">
        <v>1500</v>
      </c>
      <c r="K15" s="64">
        <f t="shared" si="1"/>
        <v>93.75</v>
      </c>
      <c r="L15" s="305">
        <v>16</v>
      </c>
      <c r="M15" s="65">
        <f t="shared" si="16"/>
        <v>1460.4878048780483</v>
      </c>
      <c r="N15" s="64">
        <f t="shared" si="3"/>
        <v>91.280487804878021</v>
      </c>
      <c r="O15" s="66">
        <f t="shared" si="4"/>
        <v>0</v>
      </c>
      <c r="P15" s="67">
        <f t="shared" si="5"/>
        <v>-2.4695121951219789</v>
      </c>
      <c r="Q15" s="299">
        <f t="shared" si="6"/>
        <v>0.97365853658536561</v>
      </c>
      <c r="R15" s="511"/>
      <c r="S15" s="68">
        <v>0.34930555555555554</v>
      </c>
      <c r="T15" s="68">
        <v>0.37777777777777777</v>
      </c>
      <c r="U15" s="298">
        <f t="shared" si="18"/>
        <v>6.9999999999999751</v>
      </c>
      <c r="V15" s="306">
        <f t="shared" si="17"/>
        <v>41.000000000000014</v>
      </c>
      <c r="W15" s="69"/>
      <c r="X15" s="69"/>
      <c r="Y15" s="510"/>
      <c r="Z15" s="510"/>
      <c r="AA15" s="66">
        <f t="shared" si="8"/>
        <v>-39.512195121951663</v>
      </c>
      <c r="AB15" s="299">
        <f t="shared" si="9"/>
        <v>0.97365853658536561</v>
      </c>
      <c r="AC15" s="511"/>
    </row>
    <row r="16" spans="1:29" ht="16.5" customHeight="1">
      <c r="A16" s="542" t="s">
        <v>1620</v>
      </c>
      <c r="B16" s="307" t="s">
        <v>6</v>
      </c>
      <c r="C16" s="533" t="s">
        <v>890</v>
      </c>
      <c r="D16" s="533"/>
      <c r="E16" s="62">
        <v>50.98</v>
      </c>
      <c r="F16" s="307">
        <v>1300</v>
      </c>
      <c r="G16" s="298">
        <f t="shared" si="15"/>
        <v>66274</v>
      </c>
      <c r="H16" s="90">
        <v>2</v>
      </c>
      <c r="I16" s="305">
        <v>16</v>
      </c>
      <c r="J16" s="63">
        <v>2000</v>
      </c>
      <c r="K16" s="64">
        <f t="shared" si="1"/>
        <v>125</v>
      </c>
      <c r="L16" s="305">
        <v>16</v>
      </c>
      <c r="M16" s="65">
        <f t="shared" si="16"/>
        <v>1902.4390243902433</v>
      </c>
      <c r="N16" s="64">
        <f t="shared" si="3"/>
        <v>118.9024390243902</v>
      </c>
      <c r="O16" s="66">
        <f t="shared" si="4"/>
        <v>0</v>
      </c>
      <c r="P16" s="67">
        <f t="shared" si="5"/>
        <v>-6.0975609756097953</v>
      </c>
      <c r="Q16" s="299">
        <f t="shared" si="6"/>
        <v>0.95121951219512169</v>
      </c>
      <c r="R16" s="511"/>
      <c r="S16" s="68">
        <v>0.70833333333333337</v>
      </c>
      <c r="T16" s="68">
        <v>0.7368055555555556</v>
      </c>
      <c r="U16" s="298" t="str">
        <f t="shared" si="18"/>
        <v/>
      </c>
      <c r="V16" s="306">
        <f t="shared" si="17"/>
        <v>41.000000000000014</v>
      </c>
      <c r="W16" s="69"/>
      <c r="X16" s="69"/>
      <c r="Y16" s="510"/>
      <c r="Z16" s="510"/>
      <c r="AA16" s="66">
        <f t="shared" si="8"/>
        <v>-97.560975609756724</v>
      </c>
      <c r="AB16" s="299">
        <f t="shared" si="9"/>
        <v>0.95121951219512169</v>
      </c>
      <c r="AC16" s="511"/>
    </row>
    <row r="17" spans="1:29" ht="16.5" customHeight="1">
      <c r="A17" s="542" t="s">
        <v>1618</v>
      </c>
      <c r="B17" s="307" t="s">
        <v>6</v>
      </c>
      <c r="C17" s="533" t="s">
        <v>20</v>
      </c>
      <c r="D17" s="533"/>
      <c r="E17" s="62">
        <v>50.92</v>
      </c>
      <c r="F17" s="307">
        <v>1300</v>
      </c>
      <c r="G17" s="298">
        <f t="shared" si="15"/>
        <v>66196</v>
      </c>
      <c r="H17" s="90">
        <v>2</v>
      </c>
      <c r="I17" s="305">
        <v>15</v>
      </c>
      <c r="J17" s="63">
        <v>2000</v>
      </c>
      <c r="K17" s="64">
        <f t="shared" si="1"/>
        <v>133.33333333333334</v>
      </c>
      <c r="L17" s="305">
        <v>15</v>
      </c>
      <c r="M17" s="65">
        <f t="shared" si="16"/>
        <v>1949.9999999999991</v>
      </c>
      <c r="N17" s="64">
        <f t="shared" si="3"/>
        <v>129.99999999999994</v>
      </c>
      <c r="O17" s="66">
        <f t="shared" si="4"/>
        <v>0</v>
      </c>
      <c r="P17" s="67">
        <f t="shared" si="5"/>
        <v>-3.3333333333333997</v>
      </c>
      <c r="Q17" s="299">
        <f t="shared" si="6"/>
        <v>0.97499999999999953</v>
      </c>
      <c r="R17" s="511"/>
      <c r="S17" s="68">
        <v>0.74097222222222225</v>
      </c>
      <c r="T17" s="68">
        <v>0.76875000000000004</v>
      </c>
      <c r="U17" s="298">
        <f t="shared" si="18"/>
        <v>5.9999999999999787</v>
      </c>
      <c r="V17" s="306">
        <f t="shared" si="17"/>
        <v>40.000000000000014</v>
      </c>
      <c r="W17" s="69"/>
      <c r="X17" s="69"/>
      <c r="Y17" s="510"/>
      <c r="Z17" s="510"/>
      <c r="AA17" s="66">
        <f t="shared" si="8"/>
        <v>-50.000000000000909</v>
      </c>
      <c r="AB17" s="299">
        <f t="shared" si="9"/>
        <v>0.97499999999999953</v>
      </c>
      <c r="AC17" s="511"/>
    </row>
    <row r="18" spans="1:29" ht="16.5" customHeight="1">
      <c r="A18" s="542" t="s">
        <v>1618</v>
      </c>
      <c r="B18" s="307" t="s">
        <v>6</v>
      </c>
      <c r="C18" s="534" t="s">
        <v>1462</v>
      </c>
      <c r="D18" s="535"/>
      <c r="E18" s="62">
        <v>51.21</v>
      </c>
      <c r="F18" s="307">
        <v>2200</v>
      </c>
      <c r="G18" s="298">
        <f t="shared" si="15"/>
        <v>112662</v>
      </c>
      <c r="H18" s="90">
        <v>2</v>
      </c>
      <c r="I18" s="305">
        <v>16</v>
      </c>
      <c r="J18" s="63">
        <v>1500</v>
      </c>
      <c r="K18" s="64">
        <f t="shared" si="1"/>
        <v>93.75</v>
      </c>
      <c r="L18" s="305">
        <v>16</v>
      </c>
      <c r="M18" s="65">
        <f t="shared" si="16"/>
        <v>1434.7826086956522</v>
      </c>
      <c r="N18" s="64">
        <f t="shared" si="3"/>
        <v>89.673913043478265</v>
      </c>
      <c r="O18" s="66">
        <f t="shared" si="4"/>
        <v>0</v>
      </c>
      <c r="P18" s="67">
        <f t="shared" si="5"/>
        <v>-4.0760869565217348</v>
      </c>
      <c r="Q18" s="299">
        <f t="shared" si="6"/>
        <v>0.95652173913043481</v>
      </c>
      <c r="R18" s="511"/>
      <c r="S18" s="68">
        <v>0.77430555555555558</v>
      </c>
      <c r="T18" s="68">
        <v>0.83819444444444446</v>
      </c>
      <c r="U18" s="298">
        <f t="shared" si="18"/>
        <v>7.9999999999999716</v>
      </c>
      <c r="V18" s="306">
        <f t="shared" si="17"/>
        <v>92</v>
      </c>
      <c r="W18" s="69">
        <f>T18</f>
        <v>0.83819444444444446</v>
      </c>
      <c r="X18" s="69">
        <f>S19</f>
        <v>0.87638888888888888</v>
      </c>
      <c r="Y18" s="517"/>
      <c r="Z18" s="518"/>
      <c r="AA18" s="66">
        <f t="shared" si="8"/>
        <v>-65.217391304347757</v>
      </c>
      <c r="AB18" s="299">
        <f t="shared" si="9"/>
        <v>0.95652173913043481</v>
      </c>
      <c r="AC18" s="511"/>
    </row>
    <row r="19" spans="1:29" ht="16.5" customHeight="1">
      <c r="A19" s="542" t="s">
        <v>1618</v>
      </c>
      <c r="B19" s="307" t="s">
        <v>6</v>
      </c>
      <c r="C19" s="303" t="s">
        <v>1462</v>
      </c>
      <c r="D19" s="304"/>
      <c r="E19" s="62">
        <v>51.21</v>
      </c>
      <c r="F19" s="307">
        <v>3013</v>
      </c>
      <c r="G19" s="298">
        <f t="shared" si="15"/>
        <v>154295.73000000001</v>
      </c>
      <c r="H19" s="90" t="s">
        <v>5</v>
      </c>
      <c r="I19" s="305">
        <v>16</v>
      </c>
      <c r="J19" s="63">
        <v>1500</v>
      </c>
      <c r="K19" s="64">
        <f t="shared" si="1"/>
        <v>93.75</v>
      </c>
      <c r="L19" s="305">
        <v>16</v>
      </c>
      <c r="M19" s="65">
        <f t="shared" si="16"/>
        <v>1434.7619047619044</v>
      </c>
      <c r="N19" s="64">
        <f t="shared" si="3"/>
        <v>89.672619047619023</v>
      </c>
      <c r="O19" s="66">
        <f t="shared" si="4"/>
        <v>0</v>
      </c>
      <c r="P19" s="67">
        <f t="shared" si="5"/>
        <v>-4.0773809523809774</v>
      </c>
      <c r="Q19" s="299">
        <f t="shared" si="6"/>
        <v>0.9565079365079362</v>
      </c>
      <c r="R19" s="511"/>
      <c r="S19" s="68">
        <v>0.87638888888888888</v>
      </c>
      <c r="T19" s="68">
        <v>0.96388888888888891</v>
      </c>
      <c r="U19" s="298">
        <f t="shared" si="18"/>
        <v>54.999999999999964</v>
      </c>
      <c r="V19" s="306">
        <f t="shared" si="17"/>
        <v>126.00000000000003</v>
      </c>
      <c r="W19" s="69"/>
      <c r="X19" s="69"/>
      <c r="Y19" s="517"/>
      <c r="Z19" s="518"/>
      <c r="AA19" s="66">
        <f t="shared" si="8"/>
        <v>-65.238095238095639</v>
      </c>
      <c r="AB19" s="299">
        <f t="shared" si="9"/>
        <v>0.9565079365079362</v>
      </c>
      <c r="AC19" s="511"/>
    </row>
    <row r="20" spans="1:29" ht="16.5" customHeight="1">
      <c r="A20" s="542" t="s">
        <v>1619</v>
      </c>
      <c r="B20" s="62" t="s">
        <v>1614</v>
      </c>
      <c r="C20" s="513"/>
      <c r="D20" s="513"/>
      <c r="E20" s="300"/>
      <c r="F20" s="71"/>
      <c r="G20" s="64"/>
      <c r="H20" s="307"/>
      <c r="I20" s="72">
        <v>17.714285714285715</v>
      </c>
      <c r="J20" s="63">
        <v>1642.8571428571429</v>
      </c>
      <c r="K20" s="64">
        <f t="shared" si="1"/>
        <v>92.741935483870961</v>
      </c>
      <c r="L20" s="72">
        <v>17.714285714285715</v>
      </c>
      <c r="M20" s="65">
        <f>AVERAGE(M13:M19)</f>
        <v>1578.1336612057332</v>
      </c>
      <c r="N20" s="64">
        <f t="shared" si="3"/>
        <v>89.088190551936549</v>
      </c>
      <c r="O20" s="66">
        <f t="shared" si="4"/>
        <v>0</v>
      </c>
      <c r="P20" s="67">
        <f t="shared" si="5"/>
        <v>-3.653744931934412</v>
      </c>
      <c r="Q20" s="299">
        <f t="shared" si="6"/>
        <v>0.96060309812522893</v>
      </c>
      <c r="R20" s="511"/>
      <c r="S20" s="68"/>
      <c r="T20" s="68"/>
      <c r="U20" s="298"/>
      <c r="V20" s="306"/>
      <c r="W20" s="64"/>
      <c r="X20" s="64"/>
      <c r="Y20" s="510"/>
      <c r="Z20" s="510"/>
      <c r="AA20" s="66">
        <f t="shared" si="8"/>
        <v>-64.723481651409656</v>
      </c>
      <c r="AB20" s="299">
        <f t="shared" si="9"/>
        <v>0.96060309812522893</v>
      </c>
      <c r="AC20" s="511"/>
    </row>
    <row r="21" spans="1:29" ht="15.75" customHeight="1">
      <c r="A21" s="537" t="s">
        <v>1621</v>
      </c>
      <c r="B21" s="62" t="s">
        <v>13</v>
      </c>
      <c r="C21" s="533" t="s">
        <v>21</v>
      </c>
      <c r="D21" s="533"/>
      <c r="E21" s="62">
        <v>43.14</v>
      </c>
      <c r="F21" s="307">
        <v>1394</v>
      </c>
      <c r="G21" s="298">
        <f t="shared" ref="G21:G29" si="19">E21*F21</f>
        <v>60137.16</v>
      </c>
      <c r="H21" s="90" t="s">
        <v>5</v>
      </c>
      <c r="I21" s="305">
        <v>17</v>
      </c>
      <c r="J21" s="63">
        <v>2000</v>
      </c>
      <c r="K21" s="64">
        <f t="shared" si="1"/>
        <v>117.64705882352941</v>
      </c>
      <c r="L21" s="305">
        <v>17</v>
      </c>
      <c r="M21" s="65">
        <f t="shared" ref="M21:M29" si="20">F21/V21*60</f>
        <v>1945.1162790697672</v>
      </c>
      <c r="N21" s="64">
        <f t="shared" si="3"/>
        <v>114.41860465116278</v>
      </c>
      <c r="O21" s="66">
        <f t="shared" si="4"/>
        <v>0</v>
      </c>
      <c r="P21" s="67">
        <f t="shared" si="5"/>
        <v>-3.2284541723666251</v>
      </c>
      <c r="Q21" s="299">
        <f t="shared" si="6"/>
        <v>0.97255813953488368</v>
      </c>
      <c r="R21" s="511">
        <f>Q30</f>
        <v>0.96206294786674162</v>
      </c>
      <c r="S21" s="68">
        <v>0.20833333333333334</v>
      </c>
      <c r="T21" s="68">
        <v>0.23819444444444446</v>
      </c>
      <c r="U21" s="298"/>
      <c r="V21" s="306">
        <f t="shared" ref="V21:V29" si="21">(T21-S21)*24*60</f>
        <v>43.000000000000007</v>
      </c>
      <c r="W21" s="73"/>
      <c r="X21" s="73"/>
      <c r="Y21" s="510"/>
      <c r="Z21" s="510"/>
      <c r="AA21" s="66">
        <f t="shared" si="8"/>
        <v>-54.883720930232812</v>
      </c>
      <c r="AB21" s="299">
        <f t="shared" si="9"/>
        <v>0.97255813953488357</v>
      </c>
      <c r="AC21" s="511">
        <f>AB30</f>
        <v>0.96206294786674162</v>
      </c>
    </row>
    <row r="22" spans="1:29" ht="15.75" customHeight="1">
      <c r="A22" s="538" t="s">
        <v>1621</v>
      </c>
      <c r="B22" s="62" t="s">
        <v>77</v>
      </c>
      <c r="C22" s="533" t="s">
        <v>980</v>
      </c>
      <c r="D22" s="533"/>
      <c r="E22" s="62">
        <v>49.9</v>
      </c>
      <c r="F22" s="307">
        <v>2247</v>
      </c>
      <c r="G22" s="298">
        <f t="shared" si="19"/>
        <v>112125.3</v>
      </c>
      <c r="H22" s="90" t="s">
        <v>5</v>
      </c>
      <c r="I22" s="305">
        <v>19</v>
      </c>
      <c r="J22" s="63">
        <v>2000</v>
      </c>
      <c r="K22" s="64">
        <f t="shared" si="1"/>
        <v>105.26315789473684</v>
      </c>
      <c r="L22" s="305">
        <v>19</v>
      </c>
      <c r="M22" s="65">
        <f t="shared" si="20"/>
        <v>1926.0000000000005</v>
      </c>
      <c r="N22" s="64">
        <f t="shared" si="3"/>
        <v>101.3684210526316</v>
      </c>
      <c r="O22" s="66">
        <f t="shared" si="4"/>
        <v>0</v>
      </c>
      <c r="P22" s="67">
        <f t="shared" si="5"/>
        <v>-3.8947368421052317</v>
      </c>
      <c r="Q22" s="299">
        <f t="shared" si="6"/>
        <v>0.9630000000000003</v>
      </c>
      <c r="R22" s="511"/>
      <c r="S22" s="68">
        <v>0.24305555555555558</v>
      </c>
      <c r="T22" s="68">
        <v>0.29166666666666669</v>
      </c>
      <c r="U22" s="298">
        <f t="shared" ref="U22:U29" si="22">IF(S22=TIME(17,0,0),"",(S22-T21)*24*60)</f>
        <v>7.0000000000000151</v>
      </c>
      <c r="V22" s="306">
        <f t="shared" si="21"/>
        <v>69.999999999999986</v>
      </c>
      <c r="W22" s="69"/>
      <c r="X22" s="298"/>
      <c r="Y22" s="510"/>
      <c r="Z22" s="510"/>
      <c r="AA22" s="66">
        <f t="shared" si="8"/>
        <v>-73.999999999999545</v>
      </c>
      <c r="AB22" s="299">
        <f t="shared" si="9"/>
        <v>0.96300000000000019</v>
      </c>
      <c r="AC22" s="511"/>
    </row>
    <row r="23" spans="1:29" ht="15.75" customHeight="1">
      <c r="A23" s="538" t="s">
        <v>1621</v>
      </c>
      <c r="B23" s="62" t="s">
        <v>6</v>
      </c>
      <c r="C23" s="533" t="s">
        <v>22</v>
      </c>
      <c r="D23" s="533"/>
      <c r="E23" s="62">
        <v>57.73</v>
      </c>
      <c r="F23" s="307">
        <v>2864</v>
      </c>
      <c r="G23" s="298">
        <f t="shared" si="19"/>
        <v>165338.72</v>
      </c>
      <c r="H23" s="90" t="s">
        <v>5</v>
      </c>
      <c r="I23" s="305">
        <v>14</v>
      </c>
      <c r="J23" s="63">
        <v>2000</v>
      </c>
      <c r="K23" s="64">
        <f t="shared" si="1"/>
        <v>142.85714285714286</v>
      </c>
      <c r="L23" s="305">
        <v>14</v>
      </c>
      <c r="M23" s="65">
        <f t="shared" si="20"/>
        <v>1909.3333333333335</v>
      </c>
      <c r="N23" s="64">
        <f t="shared" si="3"/>
        <v>136.38095238095238</v>
      </c>
      <c r="O23" s="66">
        <f t="shared" si="4"/>
        <v>0</v>
      </c>
      <c r="P23" s="67">
        <f t="shared" si="5"/>
        <v>-6.4761904761904816</v>
      </c>
      <c r="Q23" s="299">
        <f t="shared" si="6"/>
        <v>0.95466666666666666</v>
      </c>
      <c r="R23" s="511"/>
      <c r="S23" s="68">
        <v>0.29722222222222222</v>
      </c>
      <c r="T23" s="68">
        <v>0.35972222222222222</v>
      </c>
      <c r="U23" s="298">
        <f t="shared" si="22"/>
        <v>7.9999999999999716</v>
      </c>
      <c r="V23" s="306">
        <f t="shared" si="21"/>
        <v>90</v>
      </c>
      <c r="W23" s="69"/>
      <c r="X23" s="298"/>
      <c r="Y23" s="510"/>
      <c r="Z23" s="510"/>
      <c r="AA23" s="66">
        <f t="shared" si="8"/>
        <v>-90.666666666666515</v>
      </c>
      <c r="AB23" s="299">
        <f t="shared" si="9"/>
        <v>0.95466666666666677</v>
      </c>
      <c r="AC23" s="511"/>
    </row>
    <row r="24" spans="1:29" ht="15.75" customHeight="1">
      <c r="A24" s="538" t="s">
        <v>1621</v>
      </c>
      <c r="B24" s="62" t="s">
        <v>6</v>
      </c>
      <c r="C24" s="533" t="s">
        <v>23</v>
      </c>
      <c r="D24" s="533"/>
      <c r="E24" s="62">
        <v>53.68</v>
      </c>
      <c r="F24" s="307">
        <v>1788</v>
      </c>
      <c r="G24" s="298">
        <f t="shared" si="19"/>
        <v>95979.839999999997</v>
      </c>
      <c r="H24" s="90" t="s">
        <v>5</v>
      </c>
      <c r="I24" s="305">
        <v>16</v>
      </c>
      <c r="J24" s="63">
        <v>2000</v>
      </c>
      <c r="K24" s="64">
        <f t="shared" si="1"/>
        <v>125</v>
      </c>
      <c r="L24" s="305">
        <v>16</v>
      </c>
      <c r="M24" s="65">
        <f t="shared" si="20"/>
        <v>1915.7142857142844</v>
      </c>
      <c r="N24" s="64">
        <f t="shared" si="3"/>
        <v>119.73214285714278</v>
      </c>
      <c r="O24" s="66">
        <f t="shared" si="4"/>
        <v>0</v>
      </c>
      <c r="P24" s="67">
        <f t="shared" si="5"/>
        <v>-5.2678571428572241</v>
      </c>
      <c r="Q24" s="299">
        <f t="shared" si="6"/>
        <v>0.95785714285714219</v>
      </c>
      <c r="R24" s="511"/>
      <c r="S24" s="68">
        <v>0.36388888888888887</v>
      </c>
      <c r="T24" s="68">
        <v>0.40277777777777779</v>
      </c>
      <c r="U24" s="298">
        <f t="shared" si="22"/>
        <v>5.9999999999999787</v>
      </c>
      <c r="V24" s="306">
        <f t="shared" si="21"/>
        <v>56.000000000000043</v>
      </c>
      <c r="W24" s="69"/>
      <c r="X24" s="298"/>
      <c r="Y24" s="510"/>
      <c r="Z24" s="510"/>
      <c r="AA24" s="66">
        <f t="shared" si="8"/>
        <v>-84.285714285715585</v>
      </c>
      <c r="AB24" s="299">
        <f t="shared" si="9"/>
        <v>0.95785714285714219</v>
      </c>
      <c r="AC24" s="511"/>
    </row>
    <row r="25" spans="1:29" ht="15.75" customHeight="1">
      <c r="A25" s="538" t="s">
        <v>1621</v>
      </c>
      <c r="B25" s="62" t="s">
        <v>6</v>
      </c>
      <c r="C25" s="533" t="s">
        <v>971</v>
      </c>
      <c r="D25" s="533"/>
      <c r="E25" s="62">
        <v>49.91</v>
      </c>
      <c r="F25" s="307">
        <v>1980</v>
      </c>
      <c r="G25" s="298">
        <f t="shared" si="19"/>
        <v>98821.799999999988</v>
      </c>
      <c r="H25" s="90" t="s">
        <v>5</v>
      </c>
      <c r="I25" s="305">
        <v>19</v>
      </c>
      <c r="J25" s="63">
        <v>2000</v>
      </c>
      <c r="K25" s="64">
        <f t="shared" si="1"/>
        <v>105.26315789473684</v>
      </c>
      <c r="L25" s="305">
        <v>19</v>
      </c>
      <c r="M25" s="65">
        <f t="shared" si="20"/>
        <v>1916.1290322580637</v>
      </c>
      <c r="N25" s="64">
        <f t="shared" si="3"/>
        <v>100.84889643463494</v>
      </c>
      <c r="O25" s="66">
        <f t="shared" si="4"/>
        <v>0</v>
      </c>
      <c r="P25" s="67">
        <f t="shared" si="5"/>
        <v>-4.4142614601018977</v>
      </c>
      <c r="Q25" s="299">
        <f t="shared" si="6"/>
        <v>0.95806451612903198</v>
      </c>
      <c r="R25" s="511"/>
      <c r="S25" s="68">
        <v>0.40763888888888888</v>
      </c>
      <c r="T25" s="68">
        <v>0.45069444444444445</v>
      </c>
      <c r="U25" s="298">
        <f t="shared" si="22"/>
        <v>6.9999999999999751</v>
      </c>
      <c r="V25" s="306">
        <f t="shared" si="21"/>
        <v>62.000000000000021</v>
      </c>
      <c r="W25" s="69"/>
      <c r="X25" s="298"/>
      <c r="Y25" s="510"/>
      <c r="Z25" s="510"/>
      <c r="AA25" s="66">
        <f t="shared" si="8"/>
        <v>-83.870967741936283</v>
      </c>
      <c r="AB25" s="299">
        <f t="shared" si="9"/>
        <v>0.95806451612903187</v>
      </c>
      <c r="AC25" s="511"/>
    </row>
    <row r="26" spans="1:29" ht="15.75" customHeight="1">
      <c r="A26" s="538" t="s">
        <v>1621</v>
      </c>
      <c r="B26" s="62" t="s">
        <v>6</v>
      </c>
      <c r="C26" s="533" t="s">
        <v>24</v>
      </c>
      <c r="D26" s="533"/>
      <c r="E26" s="62">
        <v>54.09</v>
      </c>
      <c r="F26" s="307">
        <v>2083</v>
      </c>
      <c r="G26" s="298">
        <f t="shared" si="19"/>
        <v>112669.47</v>
      </c>
      <c r="H26" s="90" t="s">
        <v>5</v>
      </c>
      <c r="I26" s="305">
        <v>19</v>
      </c>
      <c r="J26" s="63">
        <v>2000</v>
      </c>
      <c r="K26" s="64">
        <f t="shared" si="1"/>
        <v>105.26315789473684</v>
      </c>
      <c r="L26" s="305">
        <v>19</v>
      </c>
      <c r="M26" s="65">
        <f t="shared" si="20"/>
        <v>1922.7692307692328</v>
      </c>
      <c r="N26" s="64">
        <f t="shared" si="3"/>
        <v>101.19838056680173</v>
      </c>
      <c r="O26" s="66">
        <f t="shared" si="4"/>
        <v>0</v>
      </c>
      <c r="P26" s="67">
        <f t="shared" si="5"/>
        <v>-4.0647773279351043</v>
      </c>
      <c r="Q26" s="299">
        <f t="shared" si="6"/>
        <v>0.9613846153846165</v>
      </c>
      <c r="R26" s="511"/>
      <c r="S26" s="68">
        <v>0.70833333333333337</v>
      </c>
      <c r="T26" s="68">
        <v>0.75347222222222221</v>
      </c>
      <c r="U26" s="298" t="str">
        <f t="shared" si="22"/>
        <v/>
      </c>
      <c r="V26" s="306">
        <f t="shared" si="21"/>
        <v>64.999999999999929</v>
      </c>
      <c r="W26" s="69"/>
      <c r="X26" s="73"/>
      <c r="Y26" s="510"/>
      <c r="Z26" s="510"/>
      <c r="AA26" s="66">
        <f t="shared" si="8"/>
        <v>-77.230769230767237</v>
      </c>
      <c r="AB26" s="299">
        <f t="shared" si="9"/>
        <v>0.96138461538461639</v>
      </c>
      <c r="AC26" s="511"/>
    </row>
    <row r="27" spans="1:29" ht="15.75" customHeight="1">
      <c r="A27" s="538" t="s">
        <v>1621</v>
      </c>
      <c r="B27" s="62" t="s">
        <v>6</v>
      </c>
      <c r="C27" s="533" t="s">
        <v>82</v>
      </c>
      <c r="D27" s="533"/>
      <c r="E27" s="62">
        <v>57.73</v>
      </c>
      <c r="F27" s="307">
        <v>1992</v>
      </c>
      <c r="G27" s="298">
        <f t="shared" si="19"/>
        <v>114998.15999999999</v>
      </c>
      <c r="H27" s="90" t="s">
        <v>5</v>
      </c>
      <c r="I27" s="305">
        <v>16</v>
      </c>
      <c r="J27" s="63">
        <v>1500</v>
      </c>
      <c r="K27" s="64">
        <f t="shared" si="1"/>
        <v>93.75</v>
      </c>
      <c r="L27" s="305">
        <v>16</v>
      </c>
      <c r="M27" s="65">
        <f t="shared" si="20"/>
        <v>1439.9999999999995</v>
      </c>
      <c r="N27" s="64">
        <f t="shared" si="3"/>
        <v>89.999999999999972</v>
      </c>
      <c r="O27" s="66">
        <f t="shared" si="4"/>
        <v>0</v>
      </c>
      <c r="P27" s="67">
        <f t="shared" si="5"/>
        <v>-3.7500000000000284</v>
      </c>
      <c r="Q27" s="299">
        <f t="shared" si="6"/>
        <v>0.95999999999999974</v>
      </c>
      <c r="R27" s="511"/>
      <c r="S27" s="68">
        <v>0.7583333333333333</v>
      </c>
      <c r="T27" s="68">
        <v>0.81597222222222221</v>
      </c>
      <c r="U27" s="298">
        <f t="shared" si="22"/>
        <v>6.9999999999999751</v>
      </c>
      <c r="V27" s="306">
        <f t="shared" si="21"/>
        <v>83.000000000000028</v>
      </c>
      <c r="W27" s="69"/>
      <c r="X27" s="73"/>
      <c r="Y27" s="517"/>
      <c r="Z27" s="518"/>
      <c r="AA27" s="66">
        <f t="shared" si="8"/>
        <v>-60.000000000000455</v>
      </c>
      <c r="AB27" s="299">
        <f t="shared" si="9"/>
        <v>0.95999999999999974</v>
      </c>
      <c r="AC27" s="511"/>
    </row>
    <row r="28" spans="1:29" ht="15.75" customHeight="1">
      <c r="A28" s="538" t="s">
        <v>1621</v>
      </c>
      <c r="B28" s="62" t="s">
        <v>6</v>
      </c>
      <c r="C28" s="534" t="s">
        <v>81</v>
      </c>
      <c r="D28" s="535"/>
      <c r="E28" s="62">
        <v>50.67</v>
      </c>
      <c r="F28" s="307">
        <v>1000</v>
      </c>
      <c r="G28" s="298">
        <f t="shared" si="19"/>
        <v>50670</v>
      </c>
      <c r="H28" s="90">
        <v>2</v>
      </c>
      <c r="I28" s="305">
        <v>15</v>
      </c>
      <c r="J28" s="63">
        <v>2000</v>
      </c>
      <c r="K28" s="64">
        <f t="shared" si="1"/>
        <v>133.33333333333334</v>
      </c>
      <c r="L28" s="305">
        <v>15</v>
      </c>
      <c r="M28" s="65">
        <f t="shared" si="20"/>
        <v>1935.483870967739</v>
      </c>
      <c r="N28" s="64">
        <f t="shared" si="3"/>
        <v>129.03225806451593</v>
      </c>
      <c r="O28" s="66">
        <f t="shared" si="4"/>
        <v>0</v>
      </c>
      <c r="P28" s="67">
        <f t="shared" si="5"/>
        <v>-4.3010752688174136</v>
      </c>
      <c r="Q28" s="299">
        <f t="shared" si="6"/>
        <v>0.96774193548386944</v>
      </c>
      <c r="R28" s="511"/>
      <c r="S28" s="68">
        <v>0.8208333333333333</v>
      </c>
      <c r="T28" s="68">
        <v>0.84236111111111112</v>
      </c>
      <c r="U28" s="298">
        <f t="shared" si="22"/>
        <v>6.9999999999999751</v>
      </c>
      <c r="V28" s="306">
        <f t="shared" si="21"/>
        <v>31.00000000000005</v>
      </c>
      <c r="W28" s="69">
        <f>T28</f>
        <v>0.84236111111111112</v>
      </c>
      <c r="X28" s="69">
        <f>S29</f>
        <v>0.88263888888888886</v>
      </c>
      <c r="Y28" s="517"/>
      <c r="Z28" s="518"/>
      <c r="AA28" s="66">
        <f t="shared" si="8"/>
        <v>-64.516129032261006</v>
      </c>
      <c r="AB28" s="299">
        <f t="shared" si="9"/>
        <v>0.96774193548386944</v>
      </c>
      <c r="AC28" s="511"/>
    </row>
    <row r="29" spans="1:29" ht="15.75" customHeight="1">
      <c r="A29" s="538" t="s">
        <v>155</v>
      </c>
      <c r="B29" s="62" t="s">
        <v>6</v>
      </c>
      <c r="C29" s="534" t="s">
        <v>81</v>
      </c>
      <c r="D29" s="535"/>
      <c r="E29" s="62">
        <v>50.67</v>
      </c>
      <c r="F29" s="307">
        <v>1733</v>
      </c>
      <c r="G29" s="298">
        <f t="shared" si="19"/>
        <v>87811.11</v>
      </c>
      <c r="H29" s="90" t="s">
        <v>5</v>
      </c>
      <c r="I29" s="305">
        <v>15</v>
      </c>
      <c r="J29" s="63">
        <v>2000</v>
      </c>
      <c r="K29" s="64">
        <f t="shared" si="1"/>
        <v>133.33333333333334</v>
      </c>
      <c r="L29" s="305">
        <v>15</v>
      </c>
      <c r="M29" s="65">
        <f t="shared" si="20"/>
        <v>1925.5555555555566</v>
      </c>
      <c r="N29" s="64">
        <f t="shared" si="3"/>
        <v>128.37037037037044</v>
      </c>
      <c r="O29" s="66">
        <f t="shared" si="4"/>
        <v>0</v>
      </c>
      <c r="P29" s="67">
        <f t="shared" si="5"/>
        <v>-4.9629629629629051</v>
      </c>
      <c r="Q29" s="299">
        <f t="shared" si="6"/>
        <v>0.96277777777777818</v>
      </c>
      <c r="R29" s="511"/>
      <c r="S29" s="68">
        <v>0.88263888888888886</v>
      </c>
      <c r="T29" s="68">
        <v>0.92013888888888884</v>
      </c>
      <c r="U29" s="298">
        <f t="shared" si="22"/>
        <v>57.999999999999957</v>
      </c>
      <c r="V29" s="306">
        <f t="shared" si="21"/>
        <v>53.999999999999972</v>
      </c>
      <c r="W29" s="69"/>
      <c r="X29" s="69"/>
      <c r="Y29" s="517"/>
      <c r="Z29" s="518"/>
      <c r="AA29" s="66">
        <f t="shared" si="8"/>
        <v>-74.444444444443434</v>
      </c>
      <c r="AB29" s="299">
        <f t="shared" si="9"/>
        <v>0.96277777777777829</v>
      </c>
      <c r="AC29" s="511"/>
    </row>
    <row r="30" spans="1:29" ht="15.75" customHeight="1">
      <c r="A30" s="538" t="s">
        <v>155</v>
      </c>
      <c r="B30" s="62" t="s">
        <v>79</v>
      </c>
      <c r="C30" s="513"/>
      <c r="D30" s="513"/>
      <c r="E30" s="300"/>
      <c r="F30" s="307"/>
      <c r="G30" s="298"/>
      <c r="H30" s="307"/>
      <c r="I30" s="72">
        <v>16.666666666666668</v>
      </c>
      <c r="J30" s="63">
        <v>1944.4444444444443</v>
      </c>
      <c r="K30" s="64">
        <f t="shared" si="1"/>
        <v>116.66666666666666</v>
      </c>
      <c r="L30" s="72">
        <v>16.666666666666668</v>
      </c>
      <c r="M30" s="65">
        <f>AVERAGE(M21:M29)</f>
        <v>1870.6779541853309</v>
      </c>
      <c r="N30" s="64">
        <f t="shared" si="3"/>
        <v>112.24067725111985</v>
      </c>
      <c r="O30" s="66">
        <f t="shared" si="4"/>
        <v>0</v>
      </c>
      <c r="P30" s="67">
        <f t="shared" si="5"/>
        <v>-4.4259894155468089</v>
      </c>
      <c r="Q30" s="299">
        <f t="shared" si="6"/>
        <v>0.96206294786674162</v>
      </c>
      <c r="R30" s="511"/>
      <c r="S30" s="68"/>
      <c r="T30" s="68"/>
      <c r="U30" s="64"/>
      <c r="V30" s="306"/>
      <c r="W30" s="64"/>
      <c r="X30" s="64"/>
      <c r="Y30" s="510"/>
      <c r="Z30" s="510"/>
      <c r="AA30" s="66">
        <f t="shared" si="8"/>
        <v>-73.766490259113425</v>
      </c>
      <c r="AB30" s="299">
        <f t="shared" si="9"/>
        <v>0.96206294786674162</v>
      </c>
      <c r="AC30" s="511"/>
    </row>
    <row r="31" spans="1:29" ht="15.75" customHeight="1">
      <c r="A31" s="536" t="s">
        <v>1622</v>
      </c>
      <c r="B31" s="62" t="s">
        <v>16</v>
      </c>
      <c r="C31" s="533" t="s">
        <v>30</v>
      </c>
      <c r="D31" s="533"/>
      <c r="E31" s="62">
        <v>31.29</v>
      </c>
      <c r="F31" s="307">
        <v>4600</v>
      </c>
      <c r="G31" s="298">
        <f t="shared" ref="G31:G38" si="23">E31*F31</f>
        <v>143934</v>
      </c>
      <c r="H31" s="90">
        <v>2</v>
      </c>
      <c r="I31" s="305">
        <v>18</v>
      </c>
      <c r="J31" s="63">
        <v>2400</v>
      </c>
      <c r="K31" s="64">
        <f t="shared" si="1"/>
        <v>133.33333333333334</v>
      </c>
      <c r="L31" s="305">
        <v>18</v>
      </c>
      <c r="M31" s="65">
        <f t="shared" ref="M31:M38" si="24">F31/V31*60</f>
        <v>2280.9917355371904</v>
      </c>
      <c r="N31" s="64">
        <f t="shared" si="3"/>
        <v>126.72176308539946</v>
      </c>
      <c r="O31" s="66">
        <f t="shared" si="4"/>
        <v>0</v>
      </c>
      <c r="P31" s="67">
        <f t="shared" si="5"/>
        <v>-6.6115702479338836</v>
      </c>
      <c r="Q31" s="299">
        <f t="shared" si="6"/>
        <v>0.95041322314049592</v>
      </c>
      <c r="R31" s="511">
        <f>Q39</f>
        <v>0.95510030073043872</v>
      </c>
      <c r="S31" s="68">
        <v>8.3333333333333329E-2</v>
      </c>
      <c r="T31" s="68">
        <v>0.1673611111111111</v>
      </c>
      <c r="U31" s="298"/>
      <c r="V31" s="306">
        <f t="shared" ref="V31:V38" si="25">(T31-S31)*24*60</f>
        <v>121</v>
      </c>
      <c r="W31" s="69">
        <f>T31</f>
        <v>0.1673611111111111</v>
      </c>
      <c r="X31" s="69">
        <f>S32</f>
        <v>0.18680555555555553</v>
      </c>
      <c r="Y31" s="510"/>
      <c r="Z31" s="510"/>
      <c r="AA31" s="66">
        <f t="shared" si="8"/>
        <v>-119.00826446280962</v>
      </c>
      <c r="AB31" s="299">
        <f t="shared" si="9"/>
        <v>0.95041322314049603</v>
      </c>
      <c r="AC31" s="511">
        <f>AB39</f>
        <v>0.95510030073043883</v>
      </c>
    </row>
    <row r="32" spans="1:29" ht="15.75" customHeight="1">
      <c r="A32" s="536" t="s">
        <v>1622</v>
      </c>
      <c r="B32" s="62" t="s">
        <v>16</v>
      </c>
      <c r="C32" s="533" t="s">
        <v>28</v>
      </c>
      <c r="D32" s="533"/>
      <c r="E32" s="62">
        <v>26.18</v>
      </c>
      <c r="F32" s="307">
        <v>3378</v>
      </c>
      <c r="G32" s="298">
        <f t="shared" si="23"/>
        <v>88436.04</v>
      </c>
      <c r="H32" s="90" t="s">
        <v>5</v>
      </c>
      <c r="I32" s="305">
        <v>19</v>
      </c>
      <c r="J32" s="63">
        <v>2400</v>
      </c>
      <c r="K32" s="64">
        <f t="shared" si="1"/>
        <v>126.31578947368421</v>
      </c>
      <c r="L32" s="305">
        <v>19</v>
      </c>
      <c r="M32" s="65">
        <f t="shared" si="24"/>
        <v>2303.181818181818</v>
      </c>
      <c r="N32" s="64">
        <f t="shared" si="3"/>
        <v>121.2200956937799</v>
      </c>
      <c r="O32" s="66">
        <f t="shared" si="4"/>
        <v>0</v>
      </c>
      <c r="P32" s="67">
        <f t="shared" si="5"/>
        <v>-5.0956937799043089</v>
      </c>
      <c r="Q32" s="299">
        <f t="shared" si="6"/>
        <v>0.95965909090909085</v>
      </c>
      <c r="R32" s="511"/>
      <c r="S32" s="68">
        <v>0.18680555555555553</v>
      </c>
      <c r="T32" s="68">
        <v>0.24791666666666665</v>
      </c>
      <c r="U32" s="298">
        <f t="shared" ref="U32:U38" si="26">(S32-T31)*24*60</f>
        <v>27.999999999999979</v>
      </c>
      <c r="V32" s="306">
        <f t="shared" si="25"/>
        <v>88</v>
      </c>
      <c r="W32" s="69"/>
      <c r="X32" s="69"/>
      <c r="Y32" s="510"/>
      <c r="Z32" s="510"/>
      <c r="AA32" s="66">
        <f t="shared" si="8"/>
        <v>-96.818181818181984</v>
      </c>
      <c r="AB32" s="299">
        <f t="shared" si="9"/>
        <v>0.95965909090909085</v>
      </c>
      <c r="AC32" s="511"/>
    </row>
    <row r="33" spans="1:29" ht="15.75" customHeight="1">
      <c r="A33" s="536" t="s">
        <v>1622</v>
      </c>
      <c r="B33" s="62" t="s">
        <v>16</v>
      </c>
      <c r="C33" s="533" t="s">
        <v>25</v>
      </c>
      <c r="D33" s="533"/>
      <c r="E33" s="62">
        <v>26.2</v>
      </c>
      <c r="F33" s="307">
        <v>3800</v>
      </c>
      <c r="G33" s="298">
        <f t="shared" si="23"/>
        <v>99560</v>
      </c>
      <c r="H33" s="90">
        <v>2</v>
      </c>
      <c r="I33" s="305">
        <v>20</v>
      </c>
      <c r="J33" s="63">
        <v>2400</v>
      </c>
      <c r="K33" s="64">
        <f t="shared" si="1"/>
        <v>120</v>
      </c>
      <c r="L33" s="305">
        <v>20</v>
      </c>
      <c r="M33" s="65">
        <f t="shared" si="24"/>
        <v>2280.0000000000009</v>
      </c>
      <c r="N33" s="64">
        <f t="shared" si="3"/>
        <v>114.00000000000004</v>
      </c>
      <c r="O33" s="66">
        <f t="shared" si="4"/>
        <v>0</v>
      </c>
      <c r="P33" s="67">
        <f t="shared" si="5"/>
        <v>-5.9999999999999574</v>
      </c>
      <c r="Q33" s="299">
        <f t="shared" si="6"/>
        <v>0.9500000000000004</v>
      </c>
      <c r="R33" s="511"/>
      <c r="S33" s="68">
        <v>0.25208333333333333</v>
      </c>
      <c r="T33" s="68">
        <v>0.32152777777777775</v>
      </c>
      <c r="U33" s="298">
        <f t="shared" si="26"/>
        <v>6.0000000000000187</v>
      </c>
      <c r="V33" s="306">
        <f t="shared" si="25"/>
        <v>99.999999999999972</v>
      </c>
      <c r="W33" s="69"/>
      <c r="X33" s="69"/>
      <c r="Y33" s="510"/>
      <c r="Z33" s="510"/>
      <c r="AA33" s="66">
        <f t="shared" si="8"/>
        <v>-119.99999999999909</v>
      </c>
      <c r="AB33" s="299">
        <f t="shared" si="9"/>
        <v>0.9500000000000004</v>
      </c>
      <c r="AC33" s="511"/>
    </row>
    <row r="34" spans="1:29" ht="15.75" customHeight="1">
      <c r="A34" s="536" t="s">
        <v>1622</v>
      </c>
      <c r="B34" s="62" t="s">
        <v>16</v>
      </c>
      <c r="C34" s="533" t="s">
        <v>83</v>
      </c>
      <c r="D34" s="533"/>
      <c r="E34" s="62">
        <v>25.99</v>
      </c>
      <c r="F34" s="307">
        <v>3600</v>
      </c>
      <c r="G34" s="298">
        <f t="shared" si="23"/>
        <v>93564</v>
      </c>
      <c r="H34" s="90">
        <v>2</v>
      </c>
      <c r="I34" s="305">
        <v>14</v>
      </c>
      <c r="J34" s="63">
        <v>2400</v>
      </c>
      <c r="K34" s="64">
        <f t="shared" si="1"/>
        <v>171.42857142857142</v>
      </c>
      <c r="L34" s="305">
        <v>14</v>
      </c>
      <c r="M34" s="65">
        <f t="shared" si="24"/>
        <v>2297.872340425532</v>
      </c>
      <c r="N34" s="64">
        <f t="shared" si="3"/>
        <v>164.13373860182372</v>
      </c>
      <c r="O34" s="66">
        <f t="shared" si="4"/>
        <v>0</v>
      </c>
      <c r="P34" s="67">
        <f t="shared" si="5"/>
        <v>-7.2948328267476938</v>
      </c>
      <c r="Q34" s="299">
        <f t="shared" si="6"/>
        <v>0.95744680851063846</v>
      </c>
      <c r="R34" s="511"/>
      <c r="S34" s="68">
        <v>0.32638888888888884</v>
      </c>
      <c r="T34" s="68">
        <v>0.39166666666666661</v>
      </c>
      <c r="U34" s="298">
        <f t="shared" si="26"/>
        <v>6.9999999999999751</v>
      </c>
      <c r="V34" s="306">
        <f t="shared" si="25"/>
        <v>93.999999999999986</v>
      </c>
      <c r="W34" s="69"/>
      <c r="X34" s="69"/>
      <c r="Y34" s="510"/>
      <c r="Z34" s="510"/>
      <c r="AA34" s="66">
        <f t="shared" si="8"/>
        <v>-102.127659574468</v>
      </c>
      <c r="AB34" s="299">
        <f t="shared" si="9"/>
        <v>0.95744680851063835</v>
      </c>
      <c r="AC34" s="511"/>
    </row>
    <row r="35" spans="1:29" ht="15.75" customHeight="1">
      <c r="A35" s="536" t="s">
        <v>1622</v>
      </c>
      <c r="B35" s="62" t="s">
        <v>16</v>
      </c>
      <c r="C35" s="533" t="s">
        <v>982</v>
      </c>
      <c r="D35" s="533"/>
      <c r="E35" s="62">
        <v>25.98</v>
      </c>
      <c r="F35" s="307">
        <v>5647</v>
      </c>
      <c r="G35" s="298">
        <f t="shared" si="23"/>
        <v>146709.06</v>
      </c>
      <c r="H35" s="90" t="s">
        <v>5</v>
      </c>
      <c r="I35" s="305">
        <v>21</v>
      </c>
      <c r="J35" s="63">
        <v>2400</v>
      </c>
      <c r="K35" s="64">
        <f t="shared" si="1"/>
        <v>114.28571428571429</v>
      </c>
      <c r="L35" s="305">
        <v>21</v>
      </c>
      <c r="M35" s="65">
        <f t="shared" si="24"/>
        <v>2289.3243243243237</v>
      </c>
      <c r="N35" s="64">
        <f t="shared" si="3"/>
        <v>109.01544401544399</v>
      </c>
      <c r="O35" s="66">
        <f t="shared" si="4"/>
        <v>0</v>
      </c>
      <c r="P35" s="67">
        <f t="shared" si="5"/>
        <v>-5.2702702702703021</v>
      </c>
      <c r="Q35" s="299">
        <f t="shared" si="6"/>
        <v>0.95388513513513484</v>
      </c>
      <c r="R35" s="511"/>
      <c r="S35" s="68">
        <v>0.39583333333333326</v>
      </c>
      <c r="T35" s="68">
        <v>0.49861111111111106</v>
      </c>
      <c r="U35" s="298">
        <f t="shared" si="26"/>
        <v>5.9999999999999787</v>
      </c>
      <c r="V35" s="306">
        <f t="shared" si="25"/>
        <v>148.00000000000003</v>
      </c>
      <c r="W35" s="69">
        <f>T35</f>
        <v>0.49861111111111106</v>
      </c>
      <c r="X35" s="69">
        <f>S36</f>
        <v>0.54027777777777775</v>
      </c>
      <c r="Y35" s="510"/>
      <c r="Z35" s="510"/>
      <c r="AA35" s="66">
        <f t="shared" si="8"/>
        <v>-110.6756756756763</v>
      </c>
      <c r="AB35" s="299">
        <f t="shared" si="9"/>
        <v>0.95388513513513484</v>
      </c>
      <c r="AC35" s="511"/>
    </row>
    <row r="36" spans="1:29" ht="15.75" customHeight="1">
      <c r="A36" s="536" t="s">
        <v>1622</v>
      </c>
      <c r="B36" s="62" t="s">
        <v>16</v>
      </c>
      <c r="C36" s="533" t="s">
        <v>30</v>
      </c>
      <c r="D36" s="533"/>
      <c r="E36" s="62">
        <v>31.29</v>
      </c>
      <c r="F36" s="307">
        <v>5138</v>
      </c>
      <c r="G36" s="298">
        <f t="shared" si="23"/>
        <v>160768.01999999999</v>
      </c>
      <c r="H36" s="90" t="s">
        <v>5</v>
      </c>
      <c r="I36" s="305">
        <v>18</v>
      </c>
      <c r="J36" s="63">
        <v>2400</v>
      </c>
      <c r="K36" s="64">
        <f t="shared" si="1"/>
        <v>133.33333333333334</v>
      </c>
      <c r="L36" s="305">
        <v>18</v>
      </c>
      <c r="M36" s="65">
        <f t="shared" si="24"/>
        <v>2283.5555555555552</v>
      </c>
      <c r="N36" s="64">
        <f t="shared" si="3"/>
        <v>126.86419753086417</v>
      </c>
      <c r="O36" s="66">
        <f t="shared" si="4"/>
        <v>0</v>
      </c>
      <c r="P36" s="67">
        <f t="shared" si="5"/>
        <v>-6.4691358024691681</v>
      </c>
      <c r="Q36" s="299">
        <f t="shared" si="6"/>
        <v>0.95148148148148126</v>
      </c>
      <c r="R36" s="511"/>
      <c r="S36" s="68">
        <v>0.54027777777777775</v>
      </c>
      <c r="T36" s="68">
        <v>0.63402777777777775</v>
      </c>
      <c r="U36" s="298">
        <f t="shared" si="26"/>
        <v>60.000000000000028</v>
      </c>
      <c r="V36" s="306">
        <f t="shared" si="25"/>
        <v>135</v>
      </c>
      <c r="W36" s="69"/>
      <c r="X36" s="69"/>
      <c r="Y36" s="510"/>
      <c r="Z36" s="510"/>
      <c r="AA36" s="66">
        <f t="shared" si="8"/>
        <v>-116.4444444444448</v>
      </c>
      <c r="AB36" s="299">
        <f t="shared" si="9"/>
        <v>0.95148148148148137</v>
      </c>
      <c r="AC36" s="511"/>
    </row>
    <row r="37" spans="1:29" ht="15.75" customHeight="1">
      <c r="A37" s="536" t="s">
        <v>1622</v>
      </c>
      <c r="B37" s="62" t="s">
        <v>16</v>
      </c>
      <c r="C37" s="533" t="s">
        <v>25</v>
      </c>
      <c r="D37" s="533"/>
      <c r="E37" s="62">
        <v>26.2</v>
      </c>
      <c r="F37" s="307">
        <v>2319</v>
      </c>
      <c r="G37" s="298">
        <f t="shared" si="23"/>
        <v>60757.799999999996</v>
      </c>
      <c r="H37" s="90" t="s">
        <v>5</v>
      </c>
      <c r="I37" s="305">
        <v>20</v>
      </c>
      <c r="J37" s="63">
        <v>2400</v>
      </c>
      <c r="K37" s="64">
        <f t="shared" si="1"/>
        <v>120</v>
      </c>
      <c r="L37" s="305">
        <v>20</v>
      </c>
      <c r="M37" s="65">
        <f t="shared" si="24"/>
        <v>2319.0000000000018</v>
      </c>
      <c r="N37" s="64">
        <f t="shared" si="3"/>
        <v>115.95000000000009</v>
      </c>
      <c r="O37" s="66">
        <f t="shared" si="4"/>
        <v>0</v>
      </c>
      <c r="P37" s="67">
        <f t="shared" si="5"/>
        <v>-4.0499999999999119</v>
      </c>
      <c r="Q37" s="299">
        <f t="shared" si="6"/>
        <v>0.96625000000000072</v>
      </c>
      <c r="R37" s="511"/>
      <c r="S37" s="68">
        <v>0.6381944444444444</v>
      </c>
      <c r="T37" s="68">
        <v>0.67986111111111103</v>
      </c>
      <c r="U37" s="298">
        <f t="shared" si="26"/>
        <v>5.9999999999999787</v>
      </c>
      <c r="V37" s="306">
        <f t="shared" si="25"/>
        <v>59.999999999999943</v>
      </c>
      <c r="W37" s="69"/>
      <c r="X37" s="69"/>
      <c r="Y37" s="510"/>
      <c r="Z37" s="510"/>
      <c r="AA37" s="66">
        <f t="shared" si="8"/>
        <v>-80.999999999998181</v>
      </c>
      <c r="AB37" s="299">
        <f t="shared" si="9"/>
        <v>0.96625000000000072</v>
      </c>
      <c r="AC37" s="511"/>
    </row>
    <row r="38" spans="1:29" ht="15.75" customHeight="1">
      <c r="A38" s="536" t="s">
        <v>1622</v>
      </c>
      <c r="B38" s="62" t="s">
        <v>16</v>
      </c>
      <c r="C38" s="533" t="s">
        <v>83</v>
      </c>
      <c r="D38" s="533"/>
      <c r="E38" s="62">
        <v>25.99</v>
      </c>
      <c r="F38" s="307">
        <v>2284</v>
      </c>
      <c r="G38" s="298">
        <f t="shared" si="23"/>
        <v>59361.159999999996</v>
      </c>
      <c r="H38" s="90" t="s">
        <v>5</v>
      </c>
      <c r="I38" s="305">
        <v>14</v>
      </c>
      <c r="J38" s="63">
        <v>2400</v>
      </c>
      <c r="K38" s="64">
        <f t="shared" si="1"/>
        <v>171.42857142857142</v>
      </c>
      <c r="L38" s="305">
        <v>14</v>
      </c>
      <c r="M38" s="65">
        <f t="shared" si="24"/>
        <v>2284.0000000000023</v>
      </c>
      <c r="N38" s="64">
        <f t="shared" si="3"/>
        <v>163.14285714285731</v>
      </c>
      <c r="O38" s="66">
        <f t="shared" si="4"/>
        <v>0</v>
      </c>
      <c r="P38" s="67">
        <f t="shared" si="5"/>
        <v>-8.2857142857141071</v>
      </c>
      <c r="Q38" s="299">
        <f t="shared" si="6"/>
        <v>0.95166666666666766</v>
      </c>
      <c r="R38" s="511"/>
      <c r="S38" s="68">
        <v>0.68402777777777768</v>
      </c>
      <c r="T38" s="68">
        <v>0.72569444444444431</v>
      </c>
      <c r="U38" s="298">
        <f t="shared" si="26"/>
        <v>5.9999999999999787</v>
      </c>
      <c r="V38" s="306">
        <f t="shared" si="25"/>
        <v>59.999999999999943</v>
      </c>
      <c r="W38" s="69"/>
      <c r="X38" s="69"/>
      <c r="Y38" s="510"/>
      <c r="Z38" s="510"/>
      <c r="AA38" s="66">
        <f t="shared" si="8"/>
        <v>-115.99999999999773</v>
      </c>
      <c r="AB38" s="299">
        <f t="shared" si="9"/>
        <v>0.95166666666666766</v>
      </c>
      <c r="AC38" s="511"/>
    </row>
    <row r="39" spans="1:29" ht="15.75" customHeight="1">
      <c r="A39" s="536" t="s">
        <v>1622</v>
      </c>
      <c r="B39" s="62" t="s">
        <v>1614</v>
      </c>
      <c r="C39" s="513"/>
      <c r="D39" s="513"/>
      <c r="E39" s="300"/>
      <c r="F39" s="307"/>
      <c r="G39" s="298"/>
      <c r="H39" s="307"/>
      <c r="I39" s="72">
        <v>18</v>
      </c>
      <c r="J39" s="63">
        <v>2400</v>
      </c>
      <c r="K39" s="64">
        <f t="shared" si="1"/>
        <v>133.33333333333334</v>
      </c>
      <c r="L39" s="72">
        <v>18</v>
      </c>
      <c r="M39" s="65">
        <f>AVERAGE(M31:M38)</f>
        <v>2292.2407217530531</v>
      </c>
      <c r="N39" s="64">
        <f t="shared" si="3"/>
        <v>127.34670676405851</v>
      </c>
      <c r="O39" s="66">
        <f t="shared" si="4"/>
        <v>0</v>
      </c>
      <c r="P39" s="67">
        <f t="shared" si="5"/>
        <v>-5.9866265692748328</v>
      </c>
      <c r="Q39" s="299">
        <f t="shared" si="6"/>
        <v>0.95510030073043872</v>
      </c>
      <c r="R39" s="511"/>
      <c r="S39" s="68"/>
      <c r="T39" s="68"/>
      <c r="U39" s="298"/>
      <c r="V39" s="306"/>
      <c r="W39" s="298"/>
      <c r="X39" s="298"/>
      <c r="Y39" s="510"/>
      <c r="Z39" s="510"/>
      <c r="AA39" s="66">
        <f t="shared" si="8"/>
        <v>-107.75927824694691</v>
      </c>
      <c r="AB39" s="299">
        <f t="shared" si="9"/>
        <v>0.95510030073043883</v>
      </c>
      <c r="AC39" s="511"/>
    </row>
    <row r="40" spans="1:29" ht="15.75" customHeight="1">
      <c r="A40" s="531" t="s">
        <v>1623</v>
      </c>
      <c r="B40" s="62" t="s">
        <v>16</v>
      </c>
      <c r="C40" s="512" t="s">
        <v>31</v>
      </c>
      <c r="D40" s="512"/>
      <c r="E40" s="62">
        <v>26.2</v>
      </c>
      <c r="F40" s="307">
        <v>3500</v>
      </c>
      <c r="G40" s="298">
        <f t="shared" ref="G40:G47" si="27">E40*F40</f>
        <v>91700</v>
      </c>
      <c r="H40" s="90">
        <v>2</v>
      </c>
      <c r="I40" s="305">
        <v>18</v>
      </c>
      <c r="J40" s="63">
        <v>2400</v>
      </c>
      <c r="K40" s="64">
        <f t="shared" si="1"/>
        <v>133.33333333333334</v>
      </c>
      <c r="L40" s="305">
        <v>18</v>
      </c>
      <c r="M40" s="65">
        <f t="shared" ref="M40:M47" si="28">F40/V40*60</f>
        <v>2307.6923076923085</v>
      </c>
      <c r="N40" s="64">
        <f t="shared" si="3"/>
        <v>128.20512820512826</v>
      </c>
      <c r="O40" s="66">
        <f t="shared" si="4"/>
        <v>0</v>
      </c>
      <c r="P40" s="67">
        <f t="shared" si="5"/>
        <v>-5.1282051282050816</v>
      </c>
      <c r="Q40" s="299">
        <f t="shared" si="6"/>
        <v>0.9615384615384619</v>
      </c>
      <c r="R40" s="511">
        <f>Q48</f>
        <v>0.95716330500632307</v>
      </c>
      <c r="S40" s="68">
        <v>8.3333333333333329E-2</v>
      </c>
      <c r="T40" s="68">
        <v>0.14652777777777776</v>
      </c>
      <c r="U40" s="298"/>
      <c r="V40" s="306">
        <f t="shared" ref="V40:V47" si="29">(T40-S40)*24*60</f>
        <v>90.999999999999972</v>
      </c>
      <c r="W40" s="73">
        <f>T40</f>
        <v>0.14652777777777776</v>
      </c>
      <c r="X40" s="73">
        <f>S41</f>
        <v>0.16597222222222222</v>
      </c>
      <c r="Y40" s="510"/>
      <c r="Z40" s="510"/>
      <c r="AA40" s="66">
        <f t="shared" si="8"/>
        <v>-92.307692307691468</v>
      </c>
      <c r="AB40" s="299">
        <f t="shared" si="9"/>
        <v>0.9615384615384619</v>
      </c>
      <c r="AC40" s="511">
        <f>AB48</f>
        <v>0.95716330500632318</v>
      </c>
    </row>
    <row r="41" spans="1:29" ht="15.75" customHeight="1">
      <c r="A41" s="531" t="s">
        <v>1623</v>
      </c>
      <c r="B41" s="62" t="s">
        <v>16</v>
      </c>
      <c r="C41" s="512" t="s">
        <v>32</v>
      </c>
      <c r="D41" s="512"/>
      <c r="E41" s="62">
        <v>26.39</v>
      </c>
      <c r="F41" s="307">
        <v>4700</v>
      </c>
      <c r="G41" s="298">
        <f t="shared" si="27"/>
        <v>124033</v>
      </c>
      <c r="H41" s="90">
        <v>2</v>
      </c>
      <c r="I41" s="305">
        <v>19</v>
      </c>
      <c r="J41" s="63">
        <v>2400</v>
      </c>
      <c r="K41" s="64">
        <f t="shared" si="1"/>
        <v>126.31578947368421</v>
      </c>
      <c r="L41" s="305">
        <v>19</v>
      </c>
      <c r="M41" s="65">
        <f t="shared" si="28"/>
        <v>2292.6829268292686</v>
      </c>
      <c r="N41" s="64">
        <f t="shared" si="3"/>
        <v>120.66752246469835</v>
      </c>
      <c r="O41" s="66">
        <f t="shared" si="4"/>
        <v>0</v>
      </c>
      <c r="P41" s="67">
        <f t="shared" si="5"/>
        <v>-5.6482670089858544</v>
      </c>
      <c r="Q41" s="299">
        <f t="shared" si="6"/>
        <v>0.9552845528455286</v>
      </c>
      <c r="R41" s="511"/>
      <c r="S41" s="68">
        <v>0.16597222222222222</v>
      </c>
      <c r="T41" s="68">
        <v>0.25138888888888888</v>
      </c>
      <c r="U41" s="298">
        <f t="shared" ref="U41:U47" si="30">(S41-T40)*24*60</f>
        <v>28.000000000000021</v>
      </c>
      <c r="V41" s="306">
        <f t="shared" si="29"/>
        <v>122.99999999999999</v>
      </c>
      <c r="W41" s="298"/>
      <c r="X41" s="298"/>
      <c r="Y41" s="510"/>
      <c r="Z41" s="510"/>
      <c r="AA41" s="66">
        <f t="shared" si="8"/>
        <v>-107.31707317073142</v>
      </c>
      <c r="AB41" s="299">
        <f t="shared" si="9"/>
        <v>0.9552845528455286</v>
      </c>
      <c r="AC41" s="511"/>
    </row>
    <row r="42" spans="1:29">
      <c r="A42" s="532" t="s">
        <v>1623</v>
      </c>
      <c r="B42" s="62" t="s">
        <v>16</v>
      </c>
      <c r="C42" s="512" t="s">
        <v>50</v>
      </c>
      <c r="D42" s="512"/>
      <c r="E42" s="62">
        <v>20.52</v>
      </c>
      <c r="F42" s="307">
        <v>5152</v>
      </c>
      <c r="G42" s="298">
        <f t="shared" si="27"/>
        <v>105719.03999999999</v>
      </c>
      <c r="H42" s="90" t="s">
        <v>5</v>
      </c>
      <c r="I42" s="305">
        <v>18</v>
      </c>
      <c r="J42" s="63">
        <v>2400</v>
      </c>
      <c r="K42" s="64">
        <f t="shared" si="1"/>
        <v>133.33333333333334</v>
      </c>
      <c r="L42" s="305">
        <v>18</v>
      </c>
      <c r="M42" s="65">
        <f t="shared" si="28"/>
        <v>2289.7777777777778</v>
      </c>
      <c r="N42" s="64">
        <f t="shared" si="3"/>
        <v>127.20987654320987</v>
      </c>
      <c r="O42" s="66">
        <f t="shared" si="4"/>
        <v>0</v>
      </c>
      <c r="P42" s="67">
        <f t="shared" si="5"/>
        <v>-6.1234567901234698</v>
      </c>
      <c r="Q42" s="299">
        <f t="shared" si="6"/>
        <v>0.95407407407407396</v>
      </c>
      <c r="R42" s="511"/>
      <c r="S42" s="68">
        <v>0.25624999999999998</v>
      </c>
      <c r="T42" s="68">
        <v>0.35</v>
      </c>
      <c r="U42" s="298">
        <f t="shared" si="30"/>
        <v>6.9999999999999751</v>
      </c>
      <c r="V42" s="306">
        <f t="shared" si="29"/>
        <v>135</v>
      </c>
      <c r="W42" s="298"/>
      <c r="X42" s="298"/>
      <c r="Y42" s="510"/>
      <c r="Z42" s="510"/>
      <c r="AA42" s="66">
        <f t="shared" si="8"/>
        <v>-110.22222222222217</v>
      </c>
      <c r="AB42" s="299">
        <f t="shared" si="9"/>
        <v>0.95407407407407407</v>
      </c>
      <c r="AC42" s="511"/>
    </row>
    <row r="43" spans="1:29">
      <c r="A43" s="532" t="s">
        <v>1623</v>
      </c>
      <c r="B43" s="62" t="s">
        <v>16</v>
      </c>
      <c r="C43" s="512" t="s">
        <v>18</v>
      </c>
      <c r="D43" s="512"/>
      <c r="E43" s="62">
        <v>22.35</v>
      </c>
      <c r="F43" s="307">
        <v>2033</v>
      </c>
      <c r="G43" s="298">
        <f t="shared" si="27"/>
        <v>45437.55</v>
      </c>
      <c r="H43" s="90" t="s">
        <v>5</v>
      </c>
      <c r="I43" s="305">
        <v>16</v>
      </c>
      <c r="J43" s="63">
        <v>2400</v>
      </c>
      <c r="K43" s="64">
        <f t="shared" si="1"/>
        <v>150</v>
      </c>
      <c r="L43" s="305">
        <v>16</v>
      </c>
      <c r="M43" s="65">
        <f t="shared" si="28"/>
        <v>2301.5094339622656</v>
      </c>
      <c r="N43" s="64">
        <f t="shared" si="3"/>
        <v>143.8443396226416</v>
      </c>
      <c r="O43" s="66">
        <f t="shared" si="4"/>
        <v>0</v>
      </c>
      <c r="P43" s="67">
        <f t="shared" si="5"/>
        <v>-6.1556603773584015</v>
      </c>
      <c r="Q43" s="299">
        <f t="shared" si="6"/>
        <v>0.95896226415094399</v>
      </c>
      <c r="R43" s="511"/>
      <c r="S43" s="68">
        <v>0.35486111111111107</v>
      </c>
      <c r="T43" s="68">
        <v>0.39166666666666661</v>
      </c>
      <c r="U43" s="298">
        <f t="shared" si="30"/>
        <v>6.9999999999999751</v>
      </c>
      <c r="V43" s="306">
        <f t="shared" si="29"/>
        <v>52.999999999999972</v>
      </c>
      <c r="W43" s="69"/>
      <c r="X43" s="69"/>
      <c r="Y43" s="510"/>
      <c r="Z43" s="510"/>
      <c r="AA43" s="66">
        <f t="shared" si="8"/>
        <v>-98.490566037734425</v>
      </c>
      <c r="AB43" s="299">
        <f t="shared" si="9"/>
        <v>0.95896226415094399</v>
      </c>
      <c r="AC43" s="511"/>
    </row>
    <row r="44" spans="1:29">
      <c r="A44" s="532" t="s">
        <v>1623</v>
      </c>
      <c r="B44" s="62" t="s">
        <v>16</v>
      </c>
      <c r="C44" s="512" t="s">
        <v>33</v>
      </c>
      <c r="D44" s="512"/>
      <c r="E44" s="62">
        <v>24.43</v>
      </c>
      <c r="F44" s="307">
        <v>5500</v>
      </c>
      <c r="G44" s="298">
        <f t="shared" si="27"/>
        <v>134365</v>
      </c>
      <c r="H44" s="90">
        <v>2</v>
      </c>
      <c r="I44" s="305">
        <v>14</v>
      </c>
      <c r="J44" s="63">
        <v>2400</v>
      </c>
      <c r="K44" s="64">
        <f t="shared" si="1"/>
        <v>171.42857142857142</v>
      </c>
      <c r="L44" s="305">
        <v>14</v>
      </c>
      <c r="M44" s="65">
        <f t="shared" si="28"/>
        <v>2291.666666666667</v>
      </c>
      <c r="N44" s="64">
        <f t="shared" si="3"/>
        <v>163.6904761904762</v>
      </c>
      <c r="O44" s="66">
        <f t="shared" si="4"/>
        <v>0</v>
      </c>
      <c r="P44" s="67">
        <f t="shared" si="5"/>
        <v>-7.7380952380952124</v>
      </c>
      <c r="Q44" s="299">
        <f t="shared" si="6"/>
        <v>0.95486111111111127</v>
      </c>
      <c r="R44" s="511"/>
      <c r="S44" s="68">
        <v>0.39513888888888882</v>
      </c>
      <c r="T44" s="68">
        <v>0.4951388888888888</v>
      </c>
      <c r="U44" s="298">
        <f t="shared" si="30"/>
        <v>4.9999999999999822</v>
      </c>
      <c r="V44" s="306">
        <f t="shared" si="29"/>
        <v>143.99999999999997</v>
      </c>
      <c r="W44" s="69">
        <f>T44</f>
        <v>0.4951388888888888</v>
      </c>
      <c r="X44" s="69">
        <f>S45</f>
        <v>0.53402777777777766</v>
      </c>
      <c r="Y44" s="510"/>
      <c r="Z44" s="510"/>
      <c r="AA44" s="66">
        <f t="shared" si="8"/>
        <v>-108.33333333333303</v>
      </c>
      <c r="AB44" s="299">
        <f t="shared" si="9"/>
        <v>0.95486111111111127</v>
      </c>
      <c r="AC44" s="511"/>
    </row>
    <row r="45" spans="1:29">
      <c r="A45" s="532" t="s">
        <v>1623</v>
      </c>
      <c r="B45" s="62" t="s">
        <v>16</v>
      </c>
      <c r="C45" s="512" t="s">
        <v>31</v>
      </c>
      <c r="D45" s="512"/>
      <c r="E45" s="62">
        <v>26.2</v>
      </c>
      <c r="F45" s="307">
        <v>4311</v>
      </c>
      <c r="G45" s="298">
        <f t="shared" si="27"/>
        <v>112948.2</v>
      </c>
      <c r="H45" s="90" t="s">
        <v>5</v>
      </c>
      <c r="I45" s="305">
        <v>18</v>
      </c>
      <c r="J45" s="63">
        <v>2400</v>
      </c>
      <c r="K45" s="64">
        <f t="shared" si="1"/>
        <v>133.33333333333334</v>
      </c>
      <c r="L45" s="305">
        <v>18</v>
      </c>
      <c r="M45" s="65">
        <f t="shared" si="28"/>
        <v>2289.026548672568</v>
      </c>
      <c r="N45" s="64">
        <f t="shared" si="3"/>
        <v>127.16814159292045</v>
      </c>
      <c r="O45" s="66">
        <f t="shared" si="4"/>
        <v>0</v>
      </c>
      <c r="P45" s="67">
        <f t="shared" si="5"/>
        <v>-6.1651917404128938</v>
      </c>
      <c r="Q45" s="299">
        <f t="shared" si="6"/>
        <v>0.95376106194690335</v>
      </c>
      <c r="R45" s="511"/>
      <c r="S45" s="68">
        <v>0.53402777777777766</v>
      </c>
      <c r="T45" s="68">
        <v>0.61249999999999982</v>
      </c>
      <c r="U45" s="298">
        <f t="shared" si="30"/>
        <v>55.999999999999957</v>
      </c>
      <c r="V45" s="306">
        <f t="shared" si="29"/>
        <v>112.99999999999991</v>
      </c>
      <c r="W45" s="69"/>
      <c r="X45" s="69"/>
      <c r="Y45" s="510"/>
      <c r="Z45" s="510"/>
      <c r="AA45" s="66">
        <f t="shared" si="8"/>
        <v>-110.97345132743203</v>
      </c>
      <c r="AB45" s="299">
        <f t="shared" si="9"/>
        <v>0.95376106194690335</v>
      </c>
      <c r="AC45" s="511"/>
    </row>
    <row r="46" spans="1:29">
      <c r="A46" s="532" t="s">
        <v>1623</v>
      </c>
      <c r="B46" s="62" t="s">
        <v>16</v>
      </c>
      <c r="C46" s="512" t="s">
        <v>33</v>
      </c>
      <c r="D46" s="512"/>
      <c r="E46" s="62">
        <v>24.43</v>
      </c>
      <c r="F46" s="307">
        <v>3669</v>
      </c>
      <c r="G46" s="298">
        <f t="shared" si="27"/>
        <v>89633.67</v>
      </c>
      <c r="H46" s="90" t="s">
        <v>5</v>
      </c>
      <c r="I46" s="305">
        <v>14</v>
      </c>
      <c r="J46" s="63">
        <v>2400</v>
      </c>
      <c r="K46" s="64">
        <f t="shared" si="1"/>
        <v>171.42857142857142</v>
      </c>
      <c r="L46" s="305">
        <v>14</v>
      </c>
      <c r="M46" s="65">
        <f t="shared" si="28"/>
        <v>2293.1250000000009</v>
      </c>
      <c r="N46" s="64">
        <f t="shared" si="3"/>
        <v>163.79464285714292</v>
      </c>
      <c r="O46" s="66">
        <f t="shared" si="4"/>
        <v>0</v>
      </c>
      <c r="P46" s="67">
        <f t="shared" si="5"/>
        <v>-7.6339285714284983</v>
      </c>
      <c r="Q46" s="299">
        <f t="shared" si="6"/>
        <v>0.95546875000000042</v>
      </c>
      <c r="R46" s="511"/>
      <c r="S46" s="68">
        <v>0.61736111111111092</v>
      </c>
      <c r="T46" s="68">
        <v>0.68402777777777757</v>
      </c>
      <c r="U46" s="298">
        <f t="shared" si="30"/>
        <v>6.9999999999999751</v>
      </c>
      <c r="V46" s="306">
        <f t="shared" si="29"/>
        <v>95.999999999999972</v>
      </c>
      <c r="W46" s="69"/>
      <c r="X46" s="69"/>
      <c r="Y46" s="517"/>
      <c r="Z46" s="518"/>
      <c r="AA46" s="66">
        <f t="shared" si="8"/>
        <v>-106.87499999999909</v>
      </c>
      <c r="AB46" s="299">
        <f t="shared" si="9"/>
        <v>0.95546875000000042</v>
      </c>
      <c r="AC46" s="511"/>
    </row>
    <row r="47" spans="1:29">
      <c r="A47" s="532" t="s">
        <v>1623</v>
      </c>
      <c r="B47" s="62" t="s">
        <v>16</v>
      </c>
      <c r="C47" s="512" t="s">
        <v>32</v>
      </c>
      <c r="D47" s="512"/>
      <c r="E47" s="62">
        <v>26.39</v>
      </c>
      <c r="F47" s="307">
        <v>2813</v>
      </c>
      <c r="G47" s="298">
        <f t="shared" si="27"/>
        <v>74235.070000000007</v>
      </c>
      <c r="H47" s="90" t="s">
        <v>5</v>
      </c>
      <c r="I47" s="305">
        <v>19</v>
      </c>
      <c r="J47" s="63">
        <v>2400</v>
      </c>
      <c r="K47" s="64">
        <f t="shared" si="1"/>
        <v>126.31578947368421</v>
      </c>
      <c r="L47" s="305">
        <v>19</v>
      </c>
      <c r="M47" s="65">
        <f t="shared" si="28"/>
        <v>2312.0547945205462</v>
      </c>
      <c r="N47" s="64">
        <f t="shared" si="3"/>
        <v>121.6870944484498</v>
      </c>
      <c r="O47" s="66">
        <f t="shared" si="4"/>
        <v>0</v>
      </c>
      <c r="P47" s="67">
        <f t="shared" si="5"/>
        <v>-4.628695025234407</v>
      </c>
      <c r="Q47" s="299">
        <f t="shared" si="6"/>
        <v>0.96335616438356098</v>
      </c>
      <c r="R47" s="511"/>
      <c r="S47" s="68">
        <v>0.6895833333333331</v>
      </c>
      <c r="T47" s="68">
        <v>0.74027777777777759</v>
      </c>
      <c r="U47" s="298">
        <f t="shared" si="30"/>
        <v>7.9999999999999716</v>
      </c>
      <c r="V47" s="306">
        <f t="shared" si="29"/>
        <v>73.000000000000057</v>
      </c>
      <c r="W47" s="69"/>
      <c r="X47" s="69"/>
      <c r="Y47" s="517"/>
      <c r="Z47" s="518"/>
      <c r="AA47" s="66">
        <f t="shared" si="8"/>
        <v>-87.945205479453762</v>
      </c>
      <c r="AB47" s="299">
        <f t="shared" si="9"/>
        <v>0.96335616438356098</v>
      </c>
      <c r="AC47" s="511"/>
    </row>
    <row r="48" spans="1:29">
      <c r="A48" s="532" t="s">
        <v>1623</v>
      </c>
      <c r="B48" s="71" t="s">
        <v>1614</v>
      </c>
      <c r="C48" s="513"/>
      <c r="D48" s="513"/>
      <c r="E48" s="300"/>
      <c r="F48" s="71"/>
      <c r="G48" s="64"/>
      <c r="H48" s="307"/>
      <c r="I48" s="72">
        <v>17</v>
      </c>
      <c r="J48" s="63">
        <v>2400</v>
      </c>
      <c r="K48" s="64">
        <f t="shared" si="1"/>
        <v>141.1764705882353</v>
      </c>
      <c r="L48" s="72">
        <v>17</v>
      </c>
      <c r="M48" s="65">
        <f>AVERAGE(M40:M47)</f>
        <v>2297.1919320151756</v>
      </c>
      <c r="N48" s="64">
        <f t="shared" si="3"/>
        <v>135.12893717736327</v>
      </c>
      <c r="O48" s="66">
        <f t="shared" si="4"/>
        <v>0</v>
      </c>
      <c r="P48" s="67">
        <f t="shared" si="5"/>
        <v>-6.0475334108720347</v>
      </c>
      <c r="Q48" s="299">
        <f t="shared" si="6"/>
        <v>0.95716330500632307</v>
      </c>
      <c r="R48" s="511"/>
      <c r="S48" s="68"/>
      <c r="T48" s="68"/>
      <c r="U48" s="64"/>
      <c r="V48" s="306"/>
      <c r="W48" s="64"/>
      <c r="X48" s="64"/>
      <c r="Y48" s="510"/>
      <c r="Z48" s="510"/>
      <c r="AA48" s="66">
        <f t="shared" si="8"/>
        <v>-102.80806798482445</v>
      </c>
      <c r="AB48" s="299">
        <f t="shared" si="9"/>
        <v>0.95716330500632318</v>
      </c>
      <c r="AC48" s="511"/>
    </row>
    <row r="49" spans="1:29" ht="15.75" customHeight="1">
      <c r="A49" s="525" t="s">
        <v>1624</v>
      </c>
      <c r="B49" s="62" t="s">
        <v>35</v>
      </c>
      <c r="C49" s="521" t="s">
        <v>36</v>
      </c>
      <c r="D49" s="522"/>
      <c r="E49" s="62">
        <v>21.13</v>
      </c>
      <c r="F49" s="307">
        <v>5575</v>
      </c>
      <c r="G49" s="298">
        <f t="shared" ref="G49:G57" si="31">E49*F49</f>
        <v>117799.75</v>
      </c>
      <c r="H49" s="90" t="s">
        <v>5</v>
      </c>
      <c r="I49" s="305">
        <v>10</v>
      </c>
      <c r="J49" s="63">
        <v>3000</v>
      </c>
      <c r="K49" s="64">
        <f t="shared" si="1"/>
        <v>300</v>
      </c>
      <c r="L49" s="305">
        <v>10</v>
      </c>
      <c r="M49" s="65">
        <f t="shared" ref="M49:M57" si="32">F49/V49*60</f>
        <v>2858.9743589743589</v>
      </c>
      <c r="N49" s="65">
        <f t="shared" si="3"/>
        <v>285.89743589743591</v>
      </c>
      <c r="O49" s="66">
        <f t="shared" si="4"/>
        <v>0</v>
      </c>
      <c r="P49" s="67">
        <f t="shared" si="5"/>
        <v>-14.102564102564088</v>
      </c>
      <c r="Q49" s="299">
        <f t="shared" si="6"/>
        <v>0.95299145299145305</v>
      </c>
      <c r="R49" s="528">
        <f>Q58</f>
        <v>0.95750743920920256</v>
      </c>
      <c r="S49" s="68">
        <v>8.3333333333333329E-2</v>
      </c>
      <c r="T49" s="68">
        <v>0.16458333333333333</v>
      </c>
      <c r="U49" s="73"/>
      <c r="V49" s="306">
        <f t="shared" ref="V49:V57" si="33">(T49-S49)*24*60</f>
        <v>117.00000000000001</v>
      </c>
      <c r="W49" s="69">
        <f>T49</f>
        <v>0.16458333333333333</v>
      </c>
      <c r="X49" s="69">
        <f>S50</f>
        <v>0.18472222222222223</v>
      </c>
      <c r="Y49" s="517"/>
      <c r="Z49" s="518"/>
      <c r="AA49" s="66">
        <f t="shared" si="8"/>
        <v>-141.02564102564111</v>
      </c>
      <c r="AB49" s="299">
        <f t="shared" si="9"/>
        <v>0.95299145299145294</v>
      </c>
      <c r="AC49" s="528">
        <f>AB58</f>
        <v>0.95750743920920245</v>
      </c>
    </row>
    <row r="50" spans="1:29" ht="15.75" customHeight="1">
      <c r="A50" s="526" t="s">
        <v>1624</v>
      </c>
      <c r="B50" s="62" t="s">
        <v>35</v>
      </c>
      <c r="C50" s="521" t="s">
        <v>37</v>
      </c>
      <c r="D50" s="522"/>
      <c r="E50" s="62">
        <v>27.17</v>
      </c>
      <c r="F50" s="307">
        <v>4300</v>
      </c>
      <c r="G50" s="298">
        <f t="shared" si="31"/>
        <v>116831.00000000001</v>
      </c>
      <c r="H50" s="90">
        <v>2</v>
      </c>
      <c r="I50" s="305">
        <v>10</v>
      </c>
      <c r="J50" s="63">
        <v>3000</v>
      </c>
      <c r="K50" s="64">
        <f t="shared" si="1"/>
        <v>300</v>
      </c>
      <c r="L50" s="305">
        <v>10</v>
      </c>
      <c r="M50" s="65">
        <f t="shared" si="32"/>
        <v>2866.6666666666665</v>
      </c>
      <c r="N50" s="65">
        <f t="shared" si="3"/>
        <v>286.66666666666663</v>
      </c>
      <c r="O50" s="66">
        <f t="shared" si="4"/>
        <v>0</v>
      </c>
      <c r="P50" s="67">
        <f t="shared" si="5"/>
        <v>-13.333333333333371</v>
      </c>
      <c r="Q50" s="299">
        <f t="shared" si="6"/>
        <v>0.95555555555555538</v>
      </c>
      <c r="R50" s="529"/>
      <c r="S50" s="68">
        <v>0.18472222222222223</v>
      </c>
      <c r="T50" s="68">
        <v>0.24722222222222223</v>
      </c>
      <c r="U50" s="298">
        <f t="shared" ref="U50:U57" si="34">(S50-T49)*24*60</f>
        <v>29.000000000000018</v>
      </c>
      <c r="V50" s="306">
        <f t="shared" si="33"/>
        <v>90</v>
      </c>
      <c r="W50" s="69"/>
      <c r="X50" s="69"/>
      <c r="Y50" s="517"/>
      <c r="Z50" s="518"/>
      <c r="AA50" s="66">
        <f t="shared" si="8"/>
        <v>-133.33333333333348</v>
      </c>
      <c r="AB50" s="299">
        <f t="shared" si="9"/>
        <v>0.95555555555555549</v>
      </c>
      <c r="AC50" s="529"/>
    </row>
    <row r="51" spans="1:29" ht="15.75" customHeight="1">
      <c r="A51" s="526" t="s">
        <v>1624</v>
      </c>
      <c r="B51" s="62" t="s">
        <v>35</v>
      </c>
      <c r="C51" s="521" t="s">
        <v>38</v>
      </c>
      <c r="D51" s="522"/>
      <c r="E51" s="62">
        <v>35.119999999999997</v>
      </c>
      <c r="F51" s="307">
        <v>4707</v>
      </c>
      <c r="G51" s="298">
        <f t="shared" si="31"/>
        <v>165309.84</v>
      </c>
      <c r="H51" s="90" t="s">
        <v>5</v>
      </c>
      <c r="I51" s="305">
        <v>10</v>
      </c>
      <c r="J51" s="63">
        <v>3000</v>
      </c>
      <c r="K51" s="64">
        <f t="shared" si="1"/>
        <v>300</v>
      </c>
      <c r="L51" s="305">
        <v>10</v>
      </c>
      <c r="M51" s="65">
        <f t="shared" si="32"/>
        <v>2852.7272727272739</v>
      </c>
      <c r="N51" s="65">
        <f t="shared" si="3"/>
        <v>285.27272727272737</v>
      </c>
      <c r="O51" s="66">
        <f t="shared" si="4"/>
        <v>0</v>
      </c>
      <c r="P51" s="67">
        <f t="shared" si="5"/>
        <v>-14.727272727272634</v>
      </c>
      <c r="Q51" s="299">
        <f t="shared" si="6"/>
        <v>0.95090909090909126</v>
      </c>
      <c r="R51" s="529"/>
      <c r="S51" s="68">
        <v>0.25069444444444444</v>
      </c>
      <c r="T51" s="68">
        <v>0.31944444444444442</v>
      </c>
      <c r="U51" s="298">
        <f t="shared" si="34"/>
        <v>4.9999999999999822</v>
      </c>
      <c r="V51" s="306">
        <f t="shared" si="33"/>
        <v>98.999999999999972</v>
      </c>
      <c r="W51" s="69"/>
      <c r="X51" s="69"/>
      <c r="Y51" s="517"/>
      <c r="Z51" s="518"/>
      <c r="AA51" s="66">
        <f t="shared" si="8"/>
        <v>-147.27272727272612</v>
      </c>
      <c r="AB51" s="299">
        <f t="shared" si="9"/>
        <v>0.95090909090909126</v>
      </c>
      <c r="AC51" s="529"/>
    </row>
    <row r="52" spans="1:29" ht="15.75" customHeight="1">
      <c r="A52" s="526" t="s">
        <v>1624</v>
      </c>
      <c r="B52" s="62" t="s">
        <v>35</v>
      </c>
      <c r="C52" s="521" t="s">
        <v>39</v>
      </c>
      <c r="D52" s="522"/>
      <c r="E52" s="62">
        <v>35.869999999999997</v>
      </c>
      <c r="F52" s="307">
        <v>3021</v>
      </c>
      <c r="G52" s="298">
        <f t="shared" si="31"/>
        <v>108363.26999999999</v>
      </c>
      <c r="H52" s="90" t="s">
        <v>5</v>
      </c>
      <c r="I52" s="305">
        <v>9</v>
      </c>
      <c r="J52" s="63">
        <v>3000</v>
      </c>
      <c r="K52" s="64">
        <f t="shared" si="1"/>
        <v>333.33333333333331</v>
      </c>
      <c r="L52" s="305">
        <v>9</v>
      </c>
      <c r="M52" s="65">
        <f t="shared" si="32"/>
        <v>2877.1428571428564</v>
      </c>
      <c r="N52" s="65">
        <f t="shared" si="3"/>
        <v>319.68253968253958</v>
      </c>
      <c r="O52" s="66">
        <f t="shared" si="4"/>
        <v>0</v>
      </c>
      <c r="P52" s="67">
        <f t="shared" si="5"/>
        <v>-13.65079365079373</v>
      </c>
      <c r="Q52" s="299">
        <f t="shared" si="6"/>
        <v>0.95904761904761882</v>
      </c>
      <c r="R52" s="529"/>
      <c r="S52" s="68">
        <v>0.32499999999999996</v>
      </c>
      <c r="T52" s="68">
        <v>0.36874999999999997</v>
      </c>
      <c r="U52" s="298">
        <f t="shared" si="34"/>
        <v>7.9999999999999716</v>
      </c>
      <c r="V52" s="306">
        <f t="shared" si="33"/>
        <v>63.000000000000014</v>
      </c>
      <c r="W52" s="69"/>
      <c r="X52" s="69"/>
      <c r="Y52" s="517"/>
      <c r="Z52" s="518"/>
      <c r="AA52" s="66">
        <f t="shared" si="8"/>
        <v>-122.85714285714357</v>
      </c>
      <c r="AB52" s="299">
        <f t="shared" si="9"/>
        <v>0.95904761904761882</v>
      </c>
      <c r="AC52" s="529"/>
    </row>
    <row r="53" spans="1:29" ht="15.75" customHeight="1">
      <c r="A53" s="526" t="s">
        <v>1624</v>
      </c>
      <c r="B53" s="62" t="s">
        <v>35</v>
      </c>
      <c r="C53" s="521" t="s">
        <v>40</v>
      </c>
      <c r="D53" s="522"/>
      <c r="E53" s="62">
        <v>36.14</v>
      </c>
      <c r="F53" s="307">
        <v>1506</v>
      </c>
      <c r="G53" s="298">
        <f t="shared" si="31"/>
        <v>54426.840000000004</v>
      </c>
      <c r="H53" s="90" t="s">
        <v>5</v>
      </c>
      <c r="I53" s="305">
        <v>9</v>
      </c>
      <c r="J53" s="63">
        <v>3000</v>
      </c>
      <c r="K53" s="64">
        <f t="shared" si="1"/>
        <v>333.33333333333331</v>
      </c>
      <c r="L53" s="305">
        <v>9</v>
      </c>
      <c r="M53" s="65">
        <f t="shared" si="32"/>
        <v>2914.8387096774222</v>
      </c>
      <c r="N53" s="65">
        <f t="shared" si="3"/>
        <v>323.87096774193583</v>
      </c>
      <c r="O53" s="66">
        <f t="shared" si="4"/>
        <v>0</v>
      </c>
      <c r="P53" s="67">
        <f t="shared" si="5"/>
        <v>-9.4623655913974858</v>
      </c>
      <c r="Q53" s="299">
        <f t="shared" si="6"/>
        <v>0.97161290322580751</v>
      </c>
      <c r="R53" s="529"/>
      <c r="S53" s="68">
        <v>0.37291666666666662</v>
      </c>
      <c r="T53" s="68">
        <v>0.39444444444444438</v>
      </c>
      <c r="U53" s="298">
        <f t="shared" si="34"/>
        <v>5.9999999999999787</v>
      </c>
      <c r="V53" s="306">
        <f t="shared" si="33"/>
        <v>30.999999999999972</v>
      </c>
      <c r="W53" s="69"/>
      <c r="X53" s="69"/>
      <c r="Y53" s="517"/>
      <c r="Z53" s="518"/>
      <c r="AA53" s="66">
        <f t="shared" si="8"/>
        <v>-85.16129032257777</v>
      </c>
      <c r="AB53" s="299">
        <f t="shared" si="9"/>
        <v>0.9716129032258074</v>
      </c>
      <c r="AC53" s="529"/>
    </row>
    <row r="54" spans="1:29" ht="15.75" customHeight="1">
      <c r="A54" s="526" t="s">
        <v>1624</v>
      </c>
      <c r="B54" s="62" t="s">
        <v>35</v>
      </c>
      <c r="C54" s="521" t="s">
        <v>74</v>
      </c>
      <c r="D54" s="522"/>
      <c r="E54" s="62">
        <v>34.36</v>
      </c>
      <c r="F54" s="307">
        <v>2628</v>
      </c>
      <c r="G54" s="298">
        <f t="shared" si="31"/>
        <v>90298.08</v>
      </c>
      <c r="H54" s="90" t="s">
        <v>5</v>
      </c>
      <c r="I54" s="305">
        <v>10</v>
      </c>
      <c r="J54" s="63">
        <v>3000</v>
      </c>
      <c r="K54" s="64">
        <f t="shared" si="1"/>
        <v>300</v>
      </c>
      <c r="L54" s="305">
        <v>10</v>
      </c>
      <c r="M54" s="65">
        <f t="shared" si="32"/>
        <v>2866.9090909090928</v>
      </c>
      <c r="N54" s="65">
        <f t="shared" si="3"/>
        <v>286.69090909090926</v>
      </c>
      <c r="O54" s="66">
        <f t="shared" si="4"/>
        <v>0</v>
      </c>
      <c r="P54" s="67">
        <f t="shared" si="5"/>
        <v>-13.309090909090742</v>
      </c>
      <c r="Q54" s="299">
        <f t="shared" si="6"/>
        <v>0.95563636363636417</v>
      </c>
      <c r="R54" s="529"/>
      <c r="S54" s="68">
        <v>0.39861111111111103</v>
      </c>
      <c r="T54" s="68">
        <v>0.43680555555555545</v>
      </c>
      <c r="U54" s="298">
        <f t="shared" si="34"/>
        <v>5.9999999999999787</v>
      </c>
      <c r="V54" s="306">
        <f t="shared" si="33"/>
        <v>54.999999999999964</v>
      </c>
      <c r="W54" s="69"/>
      <c r="X54" s="69"/>
      <c r="Y54" s="517"/>
      <c r="Z54" s="518"/>
      <c r="AA54" s="66">
        <f t="shared" si="8"/>
        <v>-133.09090909090719</v>
      </c>
      <c r="AB54" s="299">
        <f t="shared" si="9"/>
        <v>0.95563636363636428</v>
      </c>
      <c r="AC54" s="529"/>
    </row>
    <row r="55" spans="1:29" ht="15.75" customHeight="1">
      <c r="A55" s="526" t="s">
        <v>1624</v>
      </c>
      <c r="B55" s="62" t="s">
        <v>35</v>
      </c>
      <c r="C55" s="521" t="s">
        <v>84</v>
      </c>
      <c r="D55" s="522"/>
      <c r="E55" s="62">
        <v>31</v>
      </c>
      <c r="F55" s="307">
        <v>2500</v>
      </c>
      <c r="G55" s="298">
        <f t="shared" si="31"/>
        <v>77500</v>
      </c>
      <c r="H55" s="90">
        <v>2</v>
      </c>
      <c r="I55" s="305">
        <v>13</v>
      </c>
      <c r="J55" s="63">
        <v>2000</v>
      </c>
      <c r="K55" s="64">
        <f t="shared" si="1"/>
        <v>153.84615384615384</v>
      </c>
      <c r="L55" s="305">
        <v>13</v>
      </c>
      <c r="M55" s="65">
        <f t="shared" si="32"/>
        <v>1923.0769230769222</v>
      </c>
      <c r="N55" s="65">
        <f t="shared" si="3"/>
        <v>147.92899408284018</v>
      </c>
      <c r="O55" s="66">
        <f t="shared" si="4"/>
        <v>0</v>
      </c>
      <c r="P55" s="67">
        <f t="shared" si="5"/>
        <v>-5.9171597633136628</v>
      </c>
      <c r="Q55" s="299">
        <f t="shared" si="6"/>
        <v>0.96153846153846123</v>
      </c>
      <c r="R55" s="529"/>
      <c r="S55" s="68">
        <v>0.4409722222222221</v>
      </c>
      <c r="T55" s="68">
        <v>0.4951388888888888</v>
      </c>
      <c r="U55" s="298">
        <f t="shared" si="34"/>
        <v>5.9999999999999787</v>
      </c>
      <c r="V55" s="306">
        <f t="shared" si="33"/>
        <v>78.000000000000043</v>
      </c>
      <c r="W55" s="69">
        <f>T55</f>
        <v>0.4951388888888888</v>
      </c>
      <c r="X55" s="69">
        <f>S56</f>
        <v>0.53402777777777766</v>
      </c>
      <c r="Y55" s="517"/>
      <c r="Z55" s="518"/>
      <c r="AA55" s="66">
        <f t="shared" si="8"/>
        <v>-76.923076923077815</v>
      </c>
      <c r="AB55" s="299">
        <f t="shared" si="9"/>
        <v>0.96153846153846112</v>
      </c>
      <c r="AC55" s="529"/>
    </row>
    <row r="56" spans="1:29" ht="15.75" customHeight="1">
      <c r="A56" s="526" t="s">
        <v>1624</v>
      </c>
      <c r="B56" s="62" t="s">
        <v>35</v>
      </c>
      <c r="C56" s="521" t="s">
        <v>84</v>
      </c>
      <c r="D56" s="522"/>
      <c r="E56" s="62">
        <v>31</v>
      </c>
      <c r="F56" s="307">
        <v>2324</v>
      </c>
      <c r="G56" s="298">
        <f t="shared" si="31"/>
        <v>72044</v>
      </c>
      <c r="H56" s="90" t="s">
        <v>5</v>
      </c>
      <c r="I56" s="305">
        <v>13</v>
      </c>
      <c r="J56" s="63">
        <v>2000</v>
      </c>
      <c r="K56" s="64">
        <f t="shared" si="1"/>
        <v>153.84615384615384</v>
      </c>
      <c r="L56" s="305">
        <v>13</v>
      </c>
      <c r="M56" s="65">
        <f t="shared" si="32"/>
        <v>1910.1369863013683</v>
      </c>
      <c r="N56" s="65">
        <f t="shared" si="3"/>
        <v>146.93361433087449</v>
      </c>
      <c r="O56" s="66">
        <f t="shared" si="4"/>
        <v>0</v>
      </c>
      <c r="P56" s="67">
        <f t="shared" si="5"/>
        <v>-6.9125395152793487</v>
      </c>
      <c r="Q56" s="299">
        <f t="shared" si="6"/>
        <v>0.95506849315068421</v>
      </c>
      <c r="R56" s="529"/>
      <c r="S56" s="68">
        <v>0.53402777777777766</v>
      </c>
      <c r="T56" s="68">
        <v>0.58472222222222214</v>
      </c>
      <c r="U56" s="298">
        <f t="shared" si="34"/>
        <v>55.999999999999957</v>
      </c>
      <c r="V56" s="306">
        <f t="shared" si="33"/>
        <v>73.000000000000057</v>
      </c>
      <c r="W56" s="69"/>
      <c r="X56" s="69"/>
      <c r="Y56" s="517"/>
      <c r="Z56" s="518"/>
      <c r="AA56" s="66">
        <f t="shared" si="8"/>
        <v>-89.863013698631676</v>
      </c>
      <c r="AB56" s="299">
        <f t="shared" si="9"/>
        <v>0.95506849315068421</v>
      </c>
      <c r="AC56" s="529"/>
    </row>
    <row r="57" spans="1:29" ht="15.75" customHeight="1">
      <c r="A57" s="526" t="s">
        <v>1624</v>
      </c>
      <c r="B57" s="62" t="s">
        <v>35</v>
      </c>
      <c r="C57" s="521" t="s">
        <v>37</v>
      </c>
      <c r="D57" s="522"/>
      <c r="E57" s="62">
        <v>27.17</v>
      </c>
      <c r="F57" s="307">
        <v>2915</v>
      </c>
      <c r="G57" s="298">
        <f t="shared" si="31"/>
        <v>79200.55</v>
      </c>
      <c r="H57" s="90" t="s">
        <v>5</v>
      </c>
      <c r="I57" s="305">
        <v>10</v>
      </c>
      <c r="J57" s="63">
        <v>3000</v>
      </c>
      <c r="K57" s="64">
        <f t="shared" si="1"/>
        <v>300</v>
      </c>
      <c r="L57" s="305">
        <v>10</v>
      </c>
      <c r="M57" s="65">
        <f t="shared" si="32"/>
        <v>2867.2131147541013</v>
      </c>
      <c r="N57" s="65">
        <f t="shared" si="3"/>
        <v>286.72131147541012</v>
      </c>
      <c r="O57" s="66">
        <f t="shared" si="4"/>
        <v>0</v>
      </c>
      <c r="P57" s="67">
        <f t="shared" si="5"/>
        <v>-13.278688524589882</v>
      </c>
      <c r="Q57" s="299">
        <f t="shared" si="6"/>
        <v>0.95573770491803378</v>
      </c>
      <c r="R57" s="529"/>
      <c r="S57" s="68">
        <v>0.58819444444444435</v>
      </c>
      <c r="T57" s="68">
        <v>0.63055555555555542</v>
      </c>
      <c r="U57" s="298">
        <f t="shared" si="34"/>
        <v>4.9999999999999822</v>
      </c>
      <c r="V57" s="306">
        <f t="shared" si="33"/>
        <v>60.999999999999943</v>
      </c>
      <c r="W57" s="69"/>
      <c r="X57" s="69"/>
      <c r="Y57" s="517"/>
      <c r="Z57" s="518"/>
      <c r="AA57" s="66">
        <f t="shared" si="8"/>
        <v>-132.7868852458987</v>
      </c>
      <c r="AB57" s="299">
        <f t="shared" si="9"/>
        <v>0.95573770491803378</v>
      </c>
      <c r="AC57" s="529"/>
    </row>
    <row r="58" spans="1:29" ht="15.75" customHeight="1">
      <c r="A58" s="527" t="s">
        <v>1624</v>
      </c>
      <c r="B58" s="62" t="s">
        <v>1614</v>
      </c>
      <c r="C58" s="508"/>
      <c r="D58" s="509"/>
      <c r="E58" s="297"/>
      <c r="F58" s="307"/>
      <c r="G58" s="298"/>
      <c r="H58" s="307"/>
      <c r="I58" s="72">
        <v>10.444444444444445</v>
      </c>
      <c r="J58" s="63">
        <v>2777.7777777777778</v>
      </c>
      <c r="K58" s="64">
        <f t="shared" si="1"/>
        <v>265.95744680851061</v>
      </c>
      <c r="L58" s="72">
        <v>10.444444444444445</v>
      </c>
      <c r="M58" s="65">
        <f>AVERAGE(M49:M57)</f>
        <v>2659.7428866922291</v>
      </c>
      <c r="N58" s="64">
        <f t="shared" si="3"/>
        <v>254.6562338322347</v>
      </c>
      <c r="O58" s="66">
        <f t="shared" si="4"/>
        <v>0</v>
      </c>
      <c r="P58" s="67">
        <f t="shared" si="5"/>
        <v>-11.301212976275906</v>
      </c>
      <c r="Q58" s="299">
        <f t="shared" si="6"/>
        <v>0.95750743920920256</v>
      </c>
      <c r="R58" s="530"/>
      <c r="S58" s="68"/>
      <c r="T58" s="68"/>
      <c r="U58" s="298"/>
      <c r="V58" s="306"/>
      <c r="W58" s="69"/>
      <c r="X58" s="69"/>
      <c r="Y58" s="517"/>
      <c r="Z58" s="518"/>
      <c r="AA58" s="66">
        <f t="shared" si="8"/>
        <v>-118.03489108554868</v>
      </c>
      <c r="AB58" s="299">
        <f t="shared" si="9"/>
        <v>0.95750743920920245</v>
      </c>
      <c r="AC58" s="530"/>
    </row>
    <row r="59" spans="1:29" ht="15.75" customHeight="1">
      <c r="A59" s="523" t="s">
        <v>1625</v>
      </c>
      <c r="B59" s="62" t="s">
        <v>10</v>
      </c>
      <c r="C59" s="512" t="s">
        <v>41</v>
      </c>
      <c r="D59" s="512"/>
      <c r="E59" s="62">
        <v>46</v>
      </c>
      <c r="F59" s="74">
        <v>2464</v>
      </c>
      <c r="G59" s="298">
        <f t="shared" ref="G59:G65" si="35">E59*F59</f>
        <v>113344</v>
      </c>
      <c r="H59" s="90" t="s">
        <v>5</v>
      </c>
      <c r="I59" s="305">
        <v>17</v>
      </c>
      <c r="J59" s="63">
        <v>2000</v>
      </c>
      <c r="K59" s="64">
        <f t="shared" si="1"/>
        <v>117.64705882352941</v>
      </c>
      <c r="L59" s="305">
        <v>17</v>
      </c>
      <c r="M59" s="65">
        <f t="shared" ref="M59:M65" si="36">F59/V59*60</f>
        <v>1920</v>
      </c>
      <c r="N59" s="65">
        <f t="shared" si="3"/>
        <v>112.94117647058823</v>
      </c>
      <c r="O59" s="66">
        <f t="shared" si="4"/>
        <v>0</v>
      </c>
      <c r="P59" s="67">
        <f t="shared" si="5"/>
        <v>-4.705882352941174</v>
      </c>
      <c r="Q59" s="299">
        <f t="shared" si="6"/>
        <v>0.96</v>
      </c>
      <c r="R59" s="511">
        <f>Q66</f>
        <v>0.95864994037489171</v>
      </c>
      <c r="S59" s="68">
        <v>0.20833333333333334</v>
      </c>
      <c r="T59" s="68">
        <v>0.26180555555555557</v>
      </c>
      <c r="U59" s="73"/>
      <c r="V59" s="306">
        <f t="shared" ref="V59:V65" si="37">(T59-S59)*24*60</f>
        <v>77</v>
      </c>
      <c r="W59" s="73"/>
      <c r="X59" s="73"/>
      <c r="Y59" s="510"/>
      <c r="Z59" s="510"/>
      <c r="AA59" s="66">
        <f t="shared" si="8"/>
        <v>-80</v>
      </c>
      <c r="AB59" s="299">
        <f t="shared" si="9"/>
        <v>0.96</v>
      </c>
      <c r="AC59" s="511">
        <f>AB66</f>
        <v>0.95864994037489182</v>
      </c>
    </row>
    <row r="60" spans="1:29" ht="15.75" customHeight="1">
      <c r="A60" s="523" t="s">
        <v>1625</v>
      </c>
      <c r="B60" s="62" t="s">
        <v>10</v>
      </c>
      <c r="C60" s="512" t="s">
        <v>42</v>
      </c>
      <c r="D60" s="512"/>
      <c r="E60" s="62">
        <v>46</v>
      </c>
      <c r="F60" s="74">
        <v>2667</v>
      </c>
      <c r="G60" s="298">
        <f t="shared" si="35"/>
        <v>122682</v>
      </c>
      <c r="H60" s="90" t="s">
        <v>5</v>
      </c>
      <c r="I60" s="305">
        <v>17</v>
      </c>
      <c r="J60" s="63">
        <v>2000</v>
      </c>
      <c r="K60" s="64">
        <f t="shared" si="1"/>
        <v>117.64705882352941</v>
      </c>
      <c r="L60" s="305">
        <v>17</v>
      </c>
      <c r="M60" s="65">
        <f t="shared" si="36"/>
        <v>1904.9999999999993</v>
      </c>
      <c r="N60" s="65">
        <f t="shared" si="3"/>
        <v>112.05882352941173</v>
      </c>
      <c r="O60" s="66">
        <f t="shared" si="4"/>
        <v>0</v>
      </c>
      <c r="P60" s="67">
        <f t="shared" si="5"/>
        <v>-5.5882352941176805</v>
      </c>
      <c r="Q60" s="299">
        <f t="shared" si="6"/>
        <v>0.95249999999999968</v>
      </c>
      <c r="R60" s="511"/>
      <c r="S60" s="68">
        <v>0.26527777777777778</v>
      </c>
      <c r="T60" s="68">
        <v>0.32361111111111113</v>
      </c>
      <c r="U60" s="298">
        <f t="shared" ref="U60:U65" si="38">IF(S60=TIME(17,0,0),"",(S60-T59)*24*60)</f>
        <v>4.9999999999999822</v>
      </c>
      <c r="V60" s="306">
        <f t="shared" si="37"/>
        <v>84.000000000000028</v>
      </c>
      <c r="W60" s="69"/>
      <c r="X60" s="69"/>
      <c r="Y60" s="510"/>
      <c r="Z60" s="510"/>
      <c r="AA60" s="66">
        <f t="shared" si="8"/>
        <v>-95.000000000000682</v>
      </c>
      <c r="AB60" s="299">
        <f t="shared" si="9"/>
        <v>0.95249999999999968</v>
      </c>
      <c r="AC60" s="511"/>
    </row>
    <row r="61" spans="1:29" ht="15.75" customHeight="1">
      <c r="A61" s="523" t="s">
        <v>1625</v>
      </c>
      <c r="B61" s="62" t="s">
        <v>6</v>
      </c>
      <c r="C61" s="521" t="s">
        <v>43</v>
      </c>
      <c r="D61" s="522"/>
      <c r="E61" s="62">
        <v>55.56</v>
      </c>
      <c r="F61" s="74">
        <v>2266</v>
      </c>
      <c r="G61" s="298">
        <f t="shared" si="35"/>
        <v>125898.96</v>
      </c>
      <c r="H61" s="90" t="s">
        <v>5</v>
      </c>
      <c r="I61" s="305">
        <v>17</v>
      </c>
      <c r="J61" s="63">
        <v>2000</v>
      </c>
      <c r="K61" s="64">
        <f t="shared" si="1"/>
        <v>117.64705882352941</v>
      </c>
      <c r="L61" s="305">
        <v>17</v>
      </c>
      <c r="M61" s="65">
        <f t="shared" si="36"/>
        <v>1914.9295774647869</v>
      </c>
      <c r="N61" s="65">
        <f t="shared" si="3"/>
        <v>112.64291632145806</v>
      </c>
      <c r="O61" s="66">
        <f t="shared" si="4"/>
        <v>0</v>
      </c>
      <c r="P61" s="67">
        <f t="shared" si="5"/>
        <v>-5.0041425020713461</v>
      </c>
      <c r="Q61" s="299">
        <f t="shared" si="6"/>
        <v>0.9574647887323936</v>
      </c>
      <c r="R61" s="511"/>
      <c r="S61" s="68">
        <v>0.70833333333333337</v>
      </c>
      <c r="T61" s="68">
        <v>0.75763888888888897</v>
      </c>
      <c r="U61" s="298" t="str">
        <f t="shared" si="38"/>
        <v/>
      </c>
      <c r="V61" s="306">
        <f t="shared" si="37"/>
        <v>71.000000000000071</v>
      </c>
      <c r="W61" s="69"/>
      <c r="X61" s="69"/>
      <c r="Y61" s="295"/>
      <c r="Z61" s="296"/>
      <c r="AA61" s="66">
        <f t="shared" si="8"/>
        <v>-85.070422535213083</v>
      </c>
      <c r="AB61" s="299">
        <f t="shared" si="9"/>
        <v>0.95746478873239349</v>
      </c>
      <c r="AC61" s="511"/>
    </row>
    <row r="62" spans="1:29" ht="15.75" customHeight="1">
      <c r="A62" s="523" t="s">
        <v>1625</v>
      </c>
      <c r="B62" s="62" t="s">
        <v>6</v>
      </c>
      <c r="C62" s="301" t="s">
        <v>44</v>
      </c>
      <c r="D62" s="302"/>
      <c r="E62" s="62">
        <v>55.32</v>
      </c>
      <c r="F62" s="74">
        <v>1692</v>
      </c>
      <c r="G62" s="298">
        <f t="shared" si="35"/>
        <v>93601.44</v>
      </c>
      <c r="H62" s="90" t="s">
        <v>5</v>
      </c>
      <c r="I62" s="305">
        <v>15</v>
      </c>
      <c r="J62" s="63">
        <v>2000</v>
      </c>
      <c r="K62" s="64">
        <f t="shared" si="1"/>
        <v>133.33333333333334</v>
      </c>
      <c r="L62" s="305">
        <v>15</v>
      </c>
      <c r="M62" s="65">
        <f t="shared" si="36"/>
        <v>1915.4716981132085</v>
      </c>
      <c r="N62" s="65">
        <f t="shared" si="3"/>
        <v>127.69811320754724</v>
      </c>
      <c r="O62" s="66">
        <f t="shared" si="4"/>
        <v>0</v>
      </c>
      <c r="P62" s="67">
        <f t="shared" si="5"/>
        <v>-5.6352201257861054</v>
      </c>
      <c r="Q62" s="299">
        <f t="shared" si="6"/>
        <v>0.95773584905660425</v>
      </c>
      <c r="R62" s="511"/>
      <c r="S62" s="68">
        <v>0.76180555555555562</v>
      </c>
      <c r="T62" s="68">
        <v>0.79861111111111116</v>
      </c>
      <c r="U62" s="298">
        <f t="shared" si="38"/>
        <v>5.9999999999999787</v>
      </c>
      <c r="V62" s="306">
        <f t="shared" si="37"/>
        <v>52.999999999999972</v>
      </c>
      <c r="W62" s="69"/>
      <c r="X62" s="69"/>
      <c r="Y62" s="295"/>
      <c r="Z62" s="296"/>
      <c r="AA62" s="66">
        <f t="shared" si="8"/>
        <v>-84.528301886791496</v>
      </c>
      <c r="AB62" s="299">
        <f t="shared" si="9"/>
        <v>0.95773584905660425</v>
      </c>
      <c r="AC62" s="511"/>
    </row>
    <row r="63" spans="1:29" ht="15.75" customHeight="1">
      <c r="A63" s="523" t="s">
        <v>1625</v>
      </c>
      <c r="B63" s="62" t="s">
        <v>6</v>
      </c>
      <c r="C63" s="301" t="s">
        <v>7</v>
      </c>
      <c r="D63" s="302"/>
      <c r="E63" s="62">
        <v>46.93</v>
      </c>
      <c r="F63" s="74">
        <v>1344</v>
      </c>
      <c r="G63" s="298">
        <f t="shared" si="35"/>
        <v>63073.919999999998</v>
      </c>
      <c r="H63" s="90" t="s">
        <v>5</v>
      </c>
      <c r="I63" s="305">
        <v>16</v>
      </c>
      <c r="J63" s="63">
        <v>2000</v>
      </c>
      <c r="K63" s="64">
        <f t="shared" si="1"/>
        <v>125</v>
      </c>
      <c r="L63" s="305">
        <v>16</v>
      </c>
      <c r="M63" s="65">
        <f t="shared" si="36"/>
        <v>1919.9999999999993</v>
      </c>
      <c r="N63" s="65">
        <f t="shared" si="3"/>
        <v>119.99999999999996</v>
      </c>
      <c r="O63" s="66">
        <f t="shared" si="4"/>
        <v>0</v>
      </c>
      <c r="P63" s="67">
        <f t="shared" si="5"/>
        <v>-5.0000000000000426</v>
      </c>
      <c r="Q63" s="299">
        <f t="shared" si="6"/>
        <v>0.95999999999999963</v>
      </c>
      <c r="R63" s="511"/>
      <c r="S63" s="68">
        <v>0.8041666666666667</v>
      </c>
      <c r="T63" s="68">
        <v>0.83333333333333337</v>
      </c>
      <c r="U63" s="298">
        <f t="shared" si="38"/>
        <v>7.9999999999999716</v>
      </c>
      <c r="V63" s="306">
        <f t="shared" si="37"/>
        <v>42.000000000000014</v>
      </c>
      <c r="W63" s="69">
        <f>T63</f>
        <v>0.83333333333333337</v>
      </c>
      <c r="X63" s="69">
        <f>S64</f>
        <v>0.87361111111111112</v>
      </c>
      <c r="Y63" s="295"/>
      <c r="Z63" s="296"/>
      <c r="AA63" s="66">
        <f t="shared" si="8"/>
        <v>-80.000000000000682</v>
      </c>
      <c r="AB63" s="299">
        <f t="shared" si="9"/>
        <v>0.95999999999999963</v>
      </c>
      <c r="AC63" s="511"/>
    </row>
    <row r="64" spans="1:29" ht="15.75" customHeight="1">
      <c r="A64" s="523" t="s">
        <v>1625</v>
      </c>
      <c r="B64" s="62" t="s">
        <v>6</v>
      </c>
      <c r="C64" s="521" t="s">
        <v>890</v>
      </c>
      <c r="D64" s="522"/>
      <c r="E64" s="62">
        <v>50.98</v>
      </c>
      <c r="F64" s="74">
        <v>2373</v>
      </c>
      <c r="G64" s="298">
        <f t="shared" si="35"/>
        <v>120975.54</v>
      </c>
      <c r="H64" s="90" t="s">
        <v>5</v>
      </c>
      <c r="I64" s="305">
        <v>16</v>
      </c>
      <c r="J64" s="63">
        <v>2000</v>
      </c>
      <c r="K64" s="64">
        <f t="shared" si="1"/>
        <v>125</v>
      </c>
      <c r="L64" s="305">
        <v>16</v>
      </c>
      <c r="M64" s="65">
        <f t="shared" si="36"/>
        <v>1924.0540540540526</v>
      </c>
      <c r="N64" s="65">
        <f t="shared" si="3"/>
        <v>120.25337837837829</v>
      </c>
      <c r="O64" s="66">
        <f t="shared" si="4"/>
        <v>0</v>
      </c>
      <c r="P64" s="67">
        <f t="shared" si="5"/>
        <v>-4.7466216216217134</v>
      </c>
      <c r="Q64" s="299">
        <f t="shared" si="6"/>
        <v>0.96202702702702625</v>
      </c>
      <c r="R64" s="511"/>
      <c r="S64" s="68">
        <v>0.87361111111111112</v>
      </c>
      <c r="T64" s="68">
        <v>0.92500000000000004</v>
      </c>
      <c r="U64" s="298">
        <f t="shared" si="38"/>
        <v>57.999999999999957</v>
      </c>
      <c r="V64" s="306">
        <f t="shared" si="37"/>
        <v>74.000000000000057</v>
      </c>
      <c r="W64" s="69"/>
      <c r="X64" s="69"/>
      <c r="Y64" s="517"/>
      <c r="Z64" s="518"/>
      <c r="AA64" s="66">
        <f t="shared" si="8"/>
        <v>-75.945945945947415</v>
      </c>
      <c r="AB64" s="299">
        <f t="shared" si="9"/>
        <v>0.96202702702702625</v>
      </c>
      <c r="AC64" s="511"/>
    </row>
    <row r="65" spans="1:29" ht="15.75" customHeight="1">
      <c r="A65" s="523" t="s">
        <v>1625</v>
      </c>
      <c r="B65" s="62" t="s">
        <v>6</v>
      </c>
      <c r="C65" s="521" t="s">
        <v>20</v>
      </c>
      <c r="D65" s="522"/>
      <c r="E65" s="62">
        <v>50.92</v>
      </c>
      <c r="F65" s="74">
        <v>2338</v>
      </c>
      <c r="G65" s="298">
        <f t="shared" si="35"/>
        <v>119050.96</v>
      </c>
      <c r="H65" s="90" t="s">
        <v>5</v>
      </c>
      <c r="I65" s="305">
        <v>15</v>
      </c>
      <c r="J65" s="63">
        <v>2000</v>
      </c>
      <c r="K65" s="64">
        <f t="shared" si="1"/>
        <v>133.33333333333334</v>
      </c>
      <c r="L65" s="305">
        <v>15</v>
      </c>
      <c r="M65" s="65">
        <f t="shared" si="36"/>
        <v>1921.6438356164369</v>
      </c>
      <c r="N65" s="65">
        <f t="shared" si="3"/>
        <v>128.1095890410958</v>
      </c>
      <c r="O65" s="66">
        <f t="shared" si="4"/>
        <v>0</v>
      </c>
      <c r="P65" s="67">
        <f t="shared" si="5"/>
        <v>-5.2237442922375408</v>
      </c>
      <c r="Q65" s="299">
        <f t="shared" si="6"/>
        <v>0.96082191780821846</v>
      </c>
      <c r="R65" s="511"/>
      <c r="S65" s="68">
        <v>0.92986111111111114</v>
      </c>
      <c r="T65" s="68">
        <v>0.98055555555555562</v>
      </c>
      <c r="U65" s="298">
        <f t="shared" si="38"/>
        <v>6.9999999999999751</v>
      </c>
      <c r="V65" s="306">
        <f t="shared" si="37"/>
        <v>73.000000000000057</v>
      </c>
      <c r="W65" s="69"/>
      <c r="X65" s="69"/>
      <c r="Y65" s="517"/>
      <c r="Z65" s="518"/>
      <c r="AA65" s="66">
        <f t="shared" si="8"/>
        <v>-78.356164383563055</v>
      </c>
      <c r="AB65" s="299">
        <f t="shared" si="9"/>
        <v>0.96082191780821846</v>
      </c>
      <c r="AC65" s="511"/>
    </row>
    <row r="66" spans="1:29">
      <c r="A66" s="524" t="s">
        <v>1625</v>
      </c>
      <c r="B66" s="62" t="s">
        <v>1614</v>
      </c>
      <c r="C66" s="513"/>
      <c r="D66" s="513"/>
      <c r="E66" s="300"/>
      <c r="F66" s="71"/>
      <c r="G66" s="64"/>
      <c r="H66" s="307"/>
      <c r="I66" s="72">
        <v>16.142857142857142</v>
      </c>
      <c r="J66" s="63">
        <v>2000</v>
      </c>
      <c r="K66" s="64">
        <f t="shared" si="1"/>
        <v>123.89380530973452</v>
      </c>
      <c r="L66" s="72">
        <v>16.142857142857142</v>
      </c>
      <c r="M66" s="65">
        <f>AVERAGE(M59:M65)</f>
        <v>1917.2998807497836</v>
      </c>
      <c r="N66" s="64">
        <f t="shared" si="3"/>
        <v>118.77078907299544</v>
      </c>
      <c r="O66" s="66">
        <f t="shared" si="4"/>
        <v>0</v>
      </c>
      <c r="P66" s="67">
        <f t="shared" si="5"/>
        <v>-5.1230162367390761</v>
      </c>
      <c r="Q66" s="299">
        <f t="shared" si="6"/>
        <v>0.95864994037489171</v>
      </c>
      <c r="R66" s="511"/>
      <c r="S66" s="75"/>
      <c r="T66" s="68"/>
      <c r="U66" s="64"/>
      <c r="V66" s="306"/>
      <c r="W66" s="64"/>
      <c r="X66" s="64"/>
      <c r="Y66" s="510"/>
      <c r="Z66" s="510"/>
      <c r="AA66" s="66">
        <f t="shared" si="8"/>
        <v>-82.700119250216403</v>
      </c>
      <c r="AB66" s="299">
        <f t="shared" si="9"/>
        <v>0.95864994037489182</v>
      </c>
      <c r="AC66" s="511"/>
    </row>
    <row r="67" spans="1:29" ht="15.75" customHeight="1">
      <c r="A67" s="519" t="s">
        <v>1626</v>
      </c>
      <c r="B67" s="307" t="s">
        <v>10</v>
      </c>
      <c r="C67" s="512" t="s">
        <v>46</v>
      </c>
      <c r="D67" s="512"/>
      <c r="E67" s="62">
        <v>26.97</v>
      </c>
      <c r="F67" s="74">
        <v>2983</v>
      </c>
      <c r="G67" s="298">
        <f t="shared" ref="G67:G70" si="39">E67*F67</f>
        <v>80451.509999999995</v>
      </c>
      <c r="H67" s="90" t="s">
        <v>5</v>
      </c>
      <c r="I67" s="305">
        <v>8</v>
      </c>
      <c r="J67" s="63">
        <v>1500</v>
      </c>
      <c r="K67" s="64">
        <f t="shared" si="1"/>
        <v>187.5</v>
      </c>
      <c r="L67" s="305">
        <v>8</v>
      </c>
      <c r="M67" s="65">
        <f t="shared" ref="M67:M70" si="40">F67/V67*60</f>
        <v>1431.8400000000001</v>
      </c>
      <c r="N67" s="64">
        <f t="shared" si="3"/>
        <v>178.98000000000002</v>
      </c>
      <c r="O67" s="66">
        <f t="shared" si="4"/>
        <v>0</v>
      </c>
      <c r="P67" s="67">
        <f t="shared" si="5"/>
        <v>-8.5199999999999818</v>
      </c>
      <c r="Q67" s="299">
        <f t="shared" si="6"/>
        <v>0.95456000000000008</v>
      </c>
      <c r="R67" s="511">
        <f>Q71</f>
        <v>0.95634831637778106</v>
      </c>
      <c r="S67" s="68">
        <v>0.20833333333333334</v>
      </c>
      <c r="T67" s="68">
        <v>0.2951388888888889</v>
      </c>
      <c r="U67" s="298"/>
      <c r="V67" s="306">
        <f t="shared" ref="V67:V70" si="41">(T67-S67)*24*60</f>
        <v>124.99999999999999</v>
      </c>
      <c r="W67" s="73"/>
      <c r="X67" s="73"/>
      <c r="Y67" s="510"/>
      <c r="Z67" s="510"/>
      <c r="AA67" s="66">
        <f t="shared" si="8"/>
        <v>-68.159999999999854</v>
      </c>
      <c r="AB67" s="299">
        <f t="shared" si="9"/>
        <v>0.95456000000000008</v>
      </c>
      <c r="AC67" s="511">
        <f>AB71</f>
        <v>0.95634831637778106</v>
      </c>
    </row>
    <row r="68" spans="1:29" ht="15.75" customHeight="1">
      <c r="A68" s="519" t="s">
        <v>1626</v>
      </c>
      <c r="B68" s="307" t="s">
        <v>35</v>
      </c>
      <c r="C68" s="512" t="s">
        <v>45</v>
      </c>
      <c r="D68" s="512"/>
      <c r="E68" s="62">
        <v>26.78</v>
      </c>
      <c r="F68" s="74">
        <v>3189</v>
      </c>
      <c r="G68" s="298">
        <f t="shared" si="39"/>
        <v>85401.42</v>
      </c>
      <c r="H68" s="90" t="s">
        <v>5</v>
      </c>
      <c r="I68" s="305">
        <v>10</v>
      </c>
      <c r="J68" s="63">
        <v>3000</v>
      </c>
      <c r="K68" s="64">
        <f t="shared" si="1"/>
        <v>300</v>
      </c>
      <c r="L68" s="305">
        <v>10</v>
      </c>
      <c r="M68" s="65">
        <f t="shared" si="40"/>
        <v>2855.8208955223881</v>
      </c>
      <c r="N68" s="64">
        <f t="shared" si="3"/>
        <v>285.58208955223881</v>
      </c>
      <c r="O68" s="66">
        <f t="shared" si="4"/>
        <v>0</v>
      </c>
      <c r="P68" s="67">
        <f t="shared" si="5"/>
        <v>-14.417910447761187</v>
      </c>
      <c r="Q68" s="299">
        <f t="shared" si="6"/>
        <v>0.95194029850746276</v>
      </c>
      <c r="R68" s="511"/>
      <c r="S68" s="68">
        <v>0.2986111111111111</v>
      </c>
      <c r="T68" s="68">
        <v>0.34513888888888888</v>
      </c>
      <c r="U68" s="298">
        <f t="shared" ref="U68:U70" si="42">(S68-T67)*24*60</f>
        <v>4.9999999999999822</v>
      </c>
      <c r="V68" s="306">
        <f t="shared" si="41"/>
        <v>67</v>
      </c>
      <c r="W68" s="298"/>
      <c r="X68" s="298"/>
      <c r="Y68" s="510"/>
      <c r="Z68" s="510"/>
      <c r="AA68" s="66">
        <f t="shared" si="8"/>
        <v>-144.17910447761187</v>
      </c>
      <c r="AB68" s="299">
        <f t="shared" si="9"/>
        <v>0.95194029850746276</v>
      </c>
      <c r="AC68" s="511"/>
    </row>
    <row r="69" spans="1:29" ht="15.75" customHeight="1">
      <c r="A69" s="519" t="s">
        <v>1626</v>
      </c>
      <c r="B69" s="307" t="s">
        <v>35</v>
      </c>
      <c r="C69" s="512" t="s">
        <v>75</v>
      </c>
      <c r="D69" s="512"/>
      <c r="E69" s="62">
        <v>37.880000000000003</v>
      </c>
      <c r="F69" s="74">
        <v>3484</v>
      </c>
      <c r="G69" s="298">
        <f t="shared" si="39"/>
        <v>131973.92000000001</v>
      </c>
      <c r="H69" s="90" t="s">
        <v>5</v>
      </c>
      <c r="I69" s="305">
        <v>10</v>
      </c>
      <c r="J69" s="63">
        <v>3000</v>
      </c>
      <c r="K69" s="64">
        <f t="shared" ref="K69:K80" si="43">J69/I69</f>
        <v>300</v>
      </c>
      <c r="L69" s="305">
        <v>10</v>
      </c>
      <c r="M69" s="65">
        <f t="shared" si="40"/>
        <v>2863.5616438356169</v>
      </c>
      <c r="N69" s="64">
        <f t="shared" ref="N69:N80" si="44">M69/L69</f>
        <v>286.35616438356169</v>
      </c>
      <c r="O69" s="66">
        <f t="shared" ref="O69:O80" si="45">L69-I69</f>
        <v>0</v>
      </c>
      <c r="P69" s="67">
        <f t="shared" ref="P69:P80" si="46">N69-K69</f>
        <v>-13.643835616438309</v>
      </c>
      <c r="Q69" s="299">
        <f t="shared" ref="Q69:Q80" si="47">N69/K69</f>
        <v>0.95452054794520569</v>
      </c>
      <c r="R69" s="511"/>
      <c r="S69" s="68">
        <v>0.35069444444444442</v>
      </c>
      <c r="T69" s="68">
        <v>0.40138888888888885</v>
      </c>
      <c r="U69" s="298">
        <f t="shared" si="42"/>
        <v>7.9999999999999716</v>
      </c>
      <c r="V69" s="306">
        <f t="shared" si="41"/>
        <v>72.999999999999986</v>
      </c>
      <c r="W69" s="298"/>
      <c r="X69" s="298"/>
      <c r="Y69" s="510"/>
      <c r="Z69" s="510"/>
      <c r="AA69" s="66">
        <f t="shared" ref="AA69:AA80" si="48">M69-J69</f>
        <v>-136.43835616438309</v>
      </c>
      <c r="AB69" s="299">
        <f t="shared" ref="AB69:AB80" si="49">M69/J69</f>
        <v>0.95452054794520569</v>
      </c>
      <c r="AC69" s="511"/>
    </row>
    <row r="70" spans="1:29" ht="15.75" customHeight="1">
      <c r="A70" s="519" t="s">
        <v>1626</v>
      </c>
      <c r="B70" s="307" t="s">
        <v>35</v>
      </c>
      <c r="C70" s="512" t="s">
        <v>85</v>
      </c>
      <c r="D70" s="512"/>
      <c r="E70" s="62">
        <v>40.51</v>
      </c>
      <c r="F70" s="74">
        <v>3324</v>
      </c>
      <c r="G70" s="298">
        <f t="shared" si="39"/>
        <v>134655.24</v>
      </c>
      <c r="H70" s="90" t="s">
        <v>5</v>
      </c>
      <c r="I70" s="305">
        <v>8</v>
      </c>
      <c r="J70" s="63">
        <v>3000</v>
      </c>
      <c r="K70" s="64">
        <f t="shared" si="43"/>
        <v>375</v>
      </c>
      <c r="L70" s="305">
        <v>8</v>
      </c>
      <c r="M70" s="65">
        <f t="shared" si="40"/>
        <v>2890.4347826086955</v>
      </c>
      <c r="N70" s="64">
        <f t="shared" si="44"/>
        <v>361.30434782608694</v>
      </c>
      <c r="O70" s="66">
        <f t="shared" si="45"/>
        <v>0</v>
      </c>
      <c r="P70" s="67">
        <f t="shared" si="46"/>
        <v>-13.695652173913061</v>
      </c>
      <c r="Q70" s="299">
        <f t="shared" si="47"/>
        <v>0.96347826086956512</v>
      </c>
      <c r="R70" s="511"/>
      <c r="S70" s="68">
        <v>0.4055555555555555</v>
      </c>
      <c r="T70" s="68">
        <v>0.45347222222222217</v>
      </c>
      <c r="U70" s="298">
        <f t="shared" si="42"/>
        <v>5.9999999999999787</v>
      </c>
      <c r="V70" s="306">
        <f t="shared" si="41"/>
        <v>69</v>
      </c>
      <c r="W70" s="298"/>
      <c r="X70" s="298"/>
      <c r="Y70" s="510"/>
      <c r="Z70" s="510"/>
      <c r="AA70" s="66">
        <f t="shared" si="48"/>
        <v>-109.56521739130449</v>
      </c>
      <c r="AB70" s="299">
        <f t="shared" si="49"/>
        <v>0.96347826086956512</v>
      </c>
      <c r="AC70" s="511"/>
    </row>
    <row r="71" spans="1:29">
      <c r="A71" s="520" t="s">
        <v>1626</v>
      </c>
      <c r="B71" s="62" t="s">
        <v>1614</v>
      </c>
      <c r="C71" s="513"/>
      <c r="D71" s="513"/>
      <c r="E71" s="300"/>
      <c r="F71" s="71"/>
      <c r="G71" s="64"/>
      <c r="H71" s="307"/>
      <c r="I71" s="72">
        <v>9</v>
      </c>
      <c r="J71" s="63">
        <v>2625</v>
      </c>
      <c r="K71" s="64">
        <f t="shared" si="43"/>
        <v>291.66666666666669</v>
      </c>
      <c r="L71" s="72">
        <v>9</v>
      </c>
      <c r="M71" s="65">
        <f>AVERAGE(M67:M70)</f>
        <v>2510.4143304916752</v>
      </c>
      <c r="N71" s="64">
        <f t="shared" si="44"/>
        <v>278.93492561018616</v>
      </c>
      <c r="O71" s="66">
        <f t="shared" si="45"/>
        <v>0</v>
      </c>
      <c r="P71" s="67">
        <f t="shared" si="46"/>
        <v>-12.73174105648053</v>
      </c>
      <c r="Q71" s="299">
        <f t="shared" si="47"/>
        <v>0.95634831637778106</v>
      </c>
      <c r="R71" s="511"/>
      <c r="S71" s="68"/>
      <c r="T71" s="68"/>
      <c r="U71" s="64"/>
      <c r="V71" s="306"/>
      <c r="W71" s="64"/>
      <c r="X71" s="64"/>
      <c r="Y71" s="510"/>
      <c r="Z71" s="510"/>
      <c r="AA71" s="66">
        <f t="shared" si="48"/>
        <v>-114.58566950832483</v>
      </c>
      <c r="AB71" s="299">
        <f t="shared" si="49"/>
        <v>0.95634831637778106</v>
      </c>
      <c r="AC71" s="511"/>
    </row>
    <row r="72" spans="1:29" ht="15.75" customHeight="1">
      <c r="A72" s="514" t="s">
        <v>1627</v>
      </c>
      <c r="B72" s="307" t="s">
        <v>16</v>
      </c>
      <c r="C72" s="512" t="s">
        <v>48</v>
      </c>
      <c r="D72" s="512"/>
      <c r="E72" s="62">
        <v>20.2</v>
      </c>
      <c r="F72" s="307">
        <v>2556</v>
      </c>
      <c r="G72" s="298">
        <f t="shared" ref="G72:G79" si="50">E72*F72</f>
        <v>51631.199999999997</v>
      </c>
      <c r="H72" s="90" t="s">
        <v>5</v>
      </c>
      <c r="I72" s="305">
        <v>19</v>
      </c>
      <c r="J72" s="63">
        <v>2400</v>
      </c>
      <c r="K72" s="64">
        <f t="shared" si="43"/>
        <v>126.31578947368421</v>
      </c>
      <c r="L72" s="305">
        <v>19</v>
      </c>
      <c r="M72" s="65">
        <f t="shared" ref="M72:M79" si="51">F72/V72*60</f>
        <v>2288.9552238805982</v>
      </c>
      <c r="N72" s="64">
        <f t="shared" si="44"/>
        <v>120.47132757266306</v>
      </c>
      <c r="O72" s="66">
        <f t="shared" si="45"/>
        <v>0</v>
      </c>
      <c r="P72" s="67">
        <f t="shared" si="46"/>
        <v>-5.8444619010211483</v>
      </c>
      <c r="Q72" s="299">
        <f t="shared" si="47"/>
        <v>0.95373134328358256</v>
      </c>
      <c r="R72" s="511">
        <f>Q80</f>
        <v>0.95458438985142791</v>
      </c>
      <c r="S72" s="68">
        <v>8.3333333333333329E-2</v>
      </c>
      <c r="T72" s="68">
        <v>0.12986111111111109</v>
      </c>
      <c r="U72" s="73"/>
      <c r="V72" s="306">
        <f t="shared" ref="V72:V79" si="52">(T72-S72)*24*60</f>
        <v>66.999999999999972</v>
      </c>
      <c r="W72" s="69">
        <f>T72</f>
        <v>0.12986111111111109</v>
      </c>
      <c r="X72" s="69">
        <f>S73</f>
        <v>0.14930555555555552</v>
      </c>
      <c r="Y72" s="510"/>
      <c r="Z72" s="510"/>
      <c r="AA72" s="66">
        <f t="shared" si="48"/>
        <v>-111.04477611940183</v>
      </c>
      <c r="AB72" s="299">
        <f t="shared" si="49"/>
        <v>0.95373134328358256</v>
      </c>
      <c r="AC72" s="511">
        <f>AB80</f>
        <v>0.95458438985142779</v>
      </c>
    </row>
    <row r="73" spans="1:29" ht="15.75" customHeight="1">
      <c r="A73" s="515" t="s">
        <v>1627</v>
      </c>
      <c r="B73" s="307" t="s">
        <v>16</v>
      </c>
      <c r="C73" s="512" t="s">
        <v>51</v>
      </c>
      <c r="D73" s="512"/>
      <c r="E73" s="62">
        <v>24.25</v>
      </c>
      <c r="F73" s="307">
        <v>2420</v>
      </c>
      <c r="G73" s="298">
        <f t="shared" si="50"/>
        <v>58685</v>
      </c>
      <c r="H73" s="90" t="s">
        <v>5</v>
      </c>
      <c r="I73" s="305">
        <v>17</v>
      </c>
      <c r="J73" s="63">
        <v>2400</v>
      </c>
      <c r="K73" s="64">
        <f t="shared" si="43"/>
        <v>141.1764705882353</v>
      </c>
      <c r="L73" s="305">
        <v>17</v>
      </c>
      <c r="M73" s="65">
        <f t="shared" si="51"/>
        <v>2304.7619047619041</v>
      </c>
      <c r="N73" s="64">
        <f t="shared" si="44"/>
        <v>135.57422969187672</v>
      </c>
      <c r="O73" s="66">
        <f t="shared" si="45"/>
        <v>0</v>
      </c>
      <c r="P73" s="67">
        <f t="shared" si="46"/>
        <v>-5.6022408963585804</v>
      </c>
      <c r="Q73" s="299">
        <f t="shared" si="47"/>
        <v>0.96031746031746001</v>
      </c>
      <c r="R73" s="511"/>
      <c r="S73" s="68">
        <v>0.14930555555555552</v>
      </c>
      <c r="T73" s="68">
        <v>0.19305555555555554</v>
      </c>
      <c r="U73" s="298">
        <f t="shared" ref="U73:U79" si="53">(S73-T72)*24*60</f>
        <v>27.999999999999979</v>
      </c>
      <c r="V73" s="306">
        <f t="shared" si="52"/>
        <v>63.000000000000014</v>
      </c>
      <c r="W73" s="69"/>
      <c r="X73" s="69"/>
      <c r="Y73" s="510"/>
      <c r="Z73" s="510"/>
      <c r="AA73" s="66">
        <f t="shared" si="48"/>
        <v>-95.238095238095866</v>
      </c>
      <c r="AB73" s="299">
        <f t="shared" si="49"/>
        <v>0.96031746031746001</v>
      </c>
      <c r="AC73" s="511"/>
    </row>
    <row r="74" spans="1:29" ht="15.75" customHeight="1">
      <c r="A74" s="515" t="s">
        <v>1627</v>
      </c>
      <c r="B74" s="307" t="s">
        <v>16</v>
      </c>
      <c r="C74" s="512" t="s">
        <v>17</v>
      </c>
      <c r="D74" s="512"/>
      <c r="E74" s="62">
        <v>24.45</v>
      </c>
      <c r="F74" s="307">
        <v>2667</v>
      </c>
      <c r="G74" s="298">
        <f t="shared" si="50"/>
        <v>65208.15</v>
      </c>
      <c r="H74" s="90" t="s">
        <v>5</v>
      </c>
      <c r="I74" s="305">
        <v>20</v>
      </c>
      <c r="J74" s="63">
        <v>2400</v>
      </c>
      <c r="K74" s="64">
        <f t="shared" si="43"/>
        <v>120</v>
      </c>
      <c r="L74" s="305">
        <v>20</v>
      </c>
      <c r="M74" s="65">
        <f t="shared" si="51"/>
        <v>2286.0000000000005</v>
      </c>
      <c r="N74" s="64">
        <f t="shared" si="44"/>
        <v>114.30000000000003</v>
      </c>
      <c r="O74" s="66">
        <f t="shared" si="45"/>
        <v>0</v>
      </c>
      <c r="P74" s="67">
        <f t="shared" si="46"/>
        <v>-5.6999999999999744</v>
      </c>
      <c r="Q74" s="299">
        <f t="shared" si="47"/>
        <v>0.95250000000000024</v>
      </c>
      <c r="R74" s="511"/>
      <c r="S74" s="68">
        <v>0.19652777777777775</v>
      </c>
      <c r="T74" s="68">
        <v>0.24513888888888885</v>
      </c>
      <c r="U74" s="298">
        <f t="shared" si="53"/>
        <v>4.9999999999999822</v>
      </c>
      <c r="V74" s="306">
        <f t="shared" si="52"/>
        <v>69.999999999999986</v>
      </c>
      <c r="W74" s="69"/>
      <c r="X74" s="69"/>
      <c r="Y74" s="510"/>
      <c r="Z74" s="510"/>
      <c r="AA74" s="66">
        <f t="shared" si="48"/>
        <v>-113.99999999999955</v>
      </c>
      <c r="AB74" s="299">
        <f t="shared" si="49"/>
        <v>0.95250000000000024</v>
      </c>
      <c r="AC74" s="511"/>
    </row>
    <row r="75" spans="1:29" ht="15.75" customHeight="1">
      <c r="A75" s="515" t="s">
        <v>1627</v>
      </c>
      <c r="B75" s="307" t="s">
        <v>16</v>
      </c>
      <c r="C75" s="512" t="s">
        <v>34</v>
      </c>
      <c r="D75" s="512"/>
      <c r="E75" s="62">
        <v>24.25</v>
      </c>
      <c r="F75" s="307">
        <v>3325</v>
      </c>
      <c r="G75" s="298">
        <f t="shared" si="50"/>
        <v>80631.25</v>
      </c>
      <c r="H75" s="90" t="s">
        <v>5</v>
      </c>
      <c r="I75" s="305">
        <v>13</v>
      </c>
      <c r="J75" s="63">
        <v>2400</v>
      </c>
      <c r="K75" s="64">
        <f t="shared" si="43"/>
        <v>184.61538461538461</v>
      </c>
      <c r="L75" s="305">
        <v>13</v>
      </c>
      <c r="M75" s="65">
        <f t="shared" si="51"/>
        <v>2293.1034482758628</v>
      </c>
      <c r="N75" s="64">
        <f t="shared" si="44"/>
        <v>176.39257294429714</v>
      </c>
      <c r="O75" s="66">
        <f t="shared" si="45"/>
        <v>0</v>
      </c>
      <c r="P75" s="67">
        <f t="shared" si="46"/>
        <v>-8.2228116710874701</v>
      </c>
      <c r="Q75" s="299">
        <f t="shared" si="47"/>
        <v>0.95545977011494287</v>
      </c>
      <c r="R75" s="511"/>
      <c r="S75" s="68">
        <v>0.24999999999999997</v>
      </c>
      <c r="T75" s="68">
        <v>0.31041666666666662</v>
      </c>
      <c r="U75" s="298">
        <f t="shared" si="53"/>
        <v>7.0000000000000151</v>
      </c>
      <c r="V75" s="306">
        <f t="shared" si="52"/>
        <v>86.999999999999972</v>
      </c>
      <c r="W75" s="69"/>
      <c r="X75" s="69"/>
      <c r="Y75" s="510"/>
      <c r="Z75" s="510"/>
      <c r="AA75" s="66">
        <f t="shared" si="48"/>
        <v>-106.89655172413723</v>
      </c>
      <c r="AB75" s="299">
        <f t="shared" si="49"/>
        <v>0.95545977011494287</v>
      </c>
      <c r="AC75" s="511"/>
    </row>
    <row r="76" spans="1:29" ht="15.75" customHeight="1">
      <c r="A76" s="515" t="s">
        <v>1627</v>
      </c>
      <c r="B76" s="307" t="s">
        <v>16</v>
      </c>
      <c r="C76" s="512" t="s">
        <v>26</v>
      </c>
      <c r="D76" s="512"/>
      <c r="E76" s="62">
        <v>20.52</v>
      </c>
      <c r="F76" s="307">
        <v>3702</v>
      </c>
      <c r="G76" s="298">
        <f t="shared" si="50"/>
        <v>75965.039999999994</v>
      </c>
      <c r="H76" s="90" t="s">
        <v>5</v>
      </c>
      <c r="I76" s="305">
        <v>18</v>
      </c>
      <c r="J76" s="63">
        <v>2400</v>
      </c>
      <c r="K76" s="64">
        <f t="shared" si="43"/>
        <v>133.33333333333334</v>
      </c>
      <c r="L76" s="305">
        <v>18</v>
      </c>
      <c r="M76" s="65">
        <f t="shared" si="51"/>
        <v>2289.8969072164955</v>
      </c>
      <c r="N76" s="64">
        <f t="shared" si="44"/>
        <v>127.21649484536086</v>
      </c>
      <c r="O76" s="66">
        <f t="shared" si="45"/>
        <v>0</v>
      </c>
      <c r="P76" s="67">
        <f t="shared" si="46"/>
        <v>-6.1168384879724869</v>
      </c>
      <c r="Q76" s="299">
        <f t="shared" si="47"/>
        <v>0.95412371134020635</v>
      </c>
      <c r="R76" s="511"/>
      <c r="S76" s="68">
        <v>0.31388888888888883</v>
      </c>
      <c r="T76" s="68">
        <v>0.38124999999999992</v>
      </c>
      <c r="U76" s="298">
        <f t="shared" si="53"/>
        <v>4.9999999999999822</v>
      </c>
      <c r="V76" s="306">
        <f t="shared" si="52"/>
        <v>96.999999999999972</v>
      </c>
      <c r="W76" s="69"/>
      <c r="X76" s="69"/>
      <c r="Y76" s="510"/>
      <c r="Z76" s="510"/>
      <c r="AA76" s="66">
        <f t="shared" si="48"/>
        <v>-110.10309278350451</v>
      </c>
      <c r="AB76" s="299">
        <f t="shared" si="49"/>
        <v>0.95412371134020646</v>
      </c>
      <c r="AC76" s="511"/>
    </row>
    <row r="77" spans="1:29" ht="15.75" customHeight="1">
      <c r="A77" s="515" t="s">
        <v>1627</v>
      </c>
      <c r="B77" s="307" t="s">
        <v>16</v>
      </c>
      <c r="C77" s="512" t="s">
        <v>49</v>
      </c>
      <c r="D77" s="512"/>
      <c r="E77" s="62">
        <v>19.02</v>
      </c>
      <c r="F77" s="307">
        <v>4500</v>
      </c>
      <c r="G77" s="298">
        <f t="shared" si="50"/>
        <v>85590</v>
      </c>
      <c r="H77" s="90">
        <v>2</v>
      </c>
      <c r="I77" s="305">
        <v>15</v>
      </c>
      <c r="J77" s="63">
        <v>2400</v>
      </c>
      <c r="K77" s="64">
        <f t="shared" si="43"/>
        <v>160</v>
      </c>
      <c r="L77" s="305">
        <v>15</v>
      </c>
      <c r="M77" s="65">
        <f t="shared" si="51"/>
        <v>2288.1355932203396</v>
      </c>
      <c r="N77" s="64">
        <f t="shared" si="44"/>
        <v>152.54237288135599</v>
      </c>
      <c r="O77" s="66">
        <f t="shared" si="45"/>
        <v>0</v>
      </c>
      <c r="P77" s="67">
        <f t="shared" si="46"/>
        <v>-7.4576271186440124</v>
      </c>
      <c r="Q77" s="299">
        <f t="shared" si="47"/>
        <v>0.95338983050847492</v>
      </c>
      <c r="R77" s="511"/>
      <c r="S77" s="68">
        <v>0.38680555555555546</v>
      </c>
      <c r="T77" s="68">
        <v>0.46874999999999989</v>
      </c>
      <c r="U77" s="298">
        <f t="shared" si="53"/>
        <v>7.9999999999999716</v>
      </c>
      <c r="V77" s="306">
        <f t="shared" si="52"/>
        <v>117.99999999999999</v>
      </c>
      <c r="W77" s="69"/>
      <c r="X77" s="69"/>
      <c r="Y77" s="510"/>
      <c r="Z77" s="510"/>
      <c r="AA77" s="66">
        <f t="shared" si="48"/>
        <v>-111.86440677966038</v>
      </c>
      <c r="AB77" s="299">
        <f t="shared" si="49"/>
        <v>0.95338983050847481</v>
      </c>
      <c r="AC77" s="511"/>
    </row>
    <row r="78" spans="1:29" ht="15.75" customHeight="1">
      <c r="A78" s="515" t="s">
        <v>1627</v>
      </c>
      <c r="B78" s="307" t="s">
        <v>16</v>
      </c>
      <c r="C78" s="512" t="s">
        <v>27</v>
      </c>
      <c r="D78" s="512"/>
      <c r="E78" s="62">
        <v>25.98</v>
      </c>
      <c r="F78" s="307">
        <v>1221</v>
      </c>
      <c r="G78" s="298">
        <f t="shared" si="50"/>
        <v>31721.58</v>
      </c>
      <c r="H78" s="90" t="s">
        <v>5</v>
      </c>
      <c r="I78" s="305">
        <v>17</v>
      </c>
      <c r="J78" s="63">
        <v>2400</v>
      </c>
      <c r="K78" s="64">
        <f t="shared" si="43"/>
        <v>141.1764705882353</v>
      </c>
      <c r="L78" s="305">
        <v>17</v>
      </c>
      <c r="M78" s="65">
        <f t="shared" si="51"/>
        <v>2289.3750000000027</v>
      </c>
      <c r="N78" s="64">
        <f t="shared" si="44"/>
        <v>134.66911764705898</v>
      </c>
      <c r="O78" s="66">
        <f t="shared" si="45"/>
        <v>0</v>
      </c>
      <c r="P78" s="67">
        <f t="shared" si="46"/>
        <v>-6.5073529411763218</v>
      </c>
      <c r="Q78" s="299">
        <f t="shared" si="47"/>
        <v>0.95390625000000107</v>
      </c>
      <c r="R78" s="511"/>
      <c r="S78" s="68">
        <v>0.4722222222222221</v>
      </c>
      <c r="T78" s="68">
        <v>0.4944444444444443</v>
      </c>
      <c r="U78" s="298">
        <f t="shared" si="53"/>
        <v>4.9999999999999822</v>
      </c>
      <c r="V78" s="306">
        <f t="shared" si="52"/>
        <v>31.999999999999964</v>
      </c>
      <c r="W78" s="69">
        <f>T78</f>
        <v>0.4944444444444443</v>
      </c>
      <c r="X78" s="69">
        <f>S79</f>
        <v>0.53611111111111087</v>
      </c>
      <c r="Y78" s="517"/>
      <c r="Z78" s="518"/>
      <c r="AA78" s="66">
        <f t="shared" si="48"/>
        <v>-110.62499999999727</v>
      </c>
      <c r="AB78" s="299">
        <f t="shared" si="49"/>
        <v>0.95390625000000118</v>
      </c>
      <c r="AC78" s="511"/>
    </row>
    <row r="79" spans="1:29" ht="15.75" customHeight="1">
      <c r="A79" s="515" t="s">
        <v>254</v>
      </c>
      <c r="B79" s="307" t="s">
        <v>16</v>
      </c>
      <c r="C79" s="512" t="s">
        <v>49</v>
      </c>
      <c r="D79" s="512"/>
      <c r="E79" s="62">
        <v>19.02</v>
      </c>
      <c r="F79" s="307">
        <v>5872</v>
      </c>
      <c r="G79" s="298">
        <f t="shared" si="50"/>
        <v>111685.44</v>
      </c>
      <c r="H79" s="90" t="s">
        <v>5</v>
      </c>
      <c r="I79" s="305">
        <v>15</v>
      </c>
      <c r="J79" s="63">
        <v>2400</v>
      </c>
      <c r="K79" s="64">
        <f t="shared" si="43"/>
        <v>160</v>
      </c>
      <c r="L79" s="305">
        <v>15</v>
      </c>
      <c r="M79" s="65">
        <f t="shared" si="51"/>
        <v>2287.7922077922085</v>
      </c>
      <c r="N79" s="64">
        <f t="shared" si="44"/>
        <v>152.51948051948057</v>
      </c>
      <c r="O79" s="66">
        <f t="shared" si="45"/>
        <v>0</v>
      </c>
      <c r="P79" s="67">
        <f t="shared" si="46"/>
        <v>-7.4805194805194333</v>
      </c>
      <c r="Q79" s="299">
        <f t="shared" si="47"/>
        <v>0.95324675324675356</v>
      </c>
      <c r="R79" s="511"/>
      <c r="S79" s="68">
        <v>0.53611111111111087</v>
      </c>
      <c r="T79" s="68">
        <v>0.64305555555555527</v>
      </c>
      <c r="U79" s="298">
        <f t="shared" si="53"/>
        <v>59.999999999999865</v>
      </c>
      <c r="V79" s="306">
        <f t="shared" si="52"/>
        <v>153.99999999999994</v>
      </c>
      <c r="W79" s="69"/>
      <c r="X79" s="69"/>
      <c r="Y79" s="517"/>
      <c r="Z79" s="518"/>
      <c r="AA79" s="66">
        <f t="shared" si="48"/>
        <v>-112.2077922077915</v>
      </c>
      <c r="AB79" s="299">
        <f t="shared" si="49"/>
        <v>0.95324675324675356</v>
      </c>
      <c r="AC79" s="511"/>
    </row>
    <row r="80" spans="1:29" ht="16.5" customHeight="1">
      <c r="A80" s="516" t="s">
        <v>254</v>
      </c>
      <c r="B80" s="62" t="s">
        <v>79</v>
      </c>
      <c r="C80" s="508"/>
      <c r="D80" s="509"/>
      <c r="E80" s="300"/>
      <c r="F80" s="71"/>
      <c r="G80" s="64"/>
      <c r="H80" s="307"/>
      <c r="I80" s="72">
        <v>16.75</v>
      </c>
      <c r="J80" s="63">
        <v>2400</v>
      </c>
      <c r="K80" s="64">
        <f t="shared" si="43"/>
        <v>143.28358208955223</v>
      </c>
      <c r="L80" s="72">
        <v>16.75</v>
      </c>
      <c r="M80" s="65">
        <f>AVERAGE(M72:M79)</f>
        <v>2291.0025356434267</v>
      </c>
      <c r="N80" s="64">
        <f t="shared" si="44"/>
        <v>136.7762707846822</v>
      </c>
      <c r="O80" s="66">
        <f t="shared" si="45"/>
        <v>0</v>
      </c>
      <c r="P80" s="67">
        <f t="shared" si="46"/>
        <v>-6.5073113048700293</v>
      </c>
      <c r="Q80" s="299">
        <f t="shared" si="47"/>
        <v>0.95458438985142791</v>
      </c>
      <c r="R80" s="511"/>
      <c r="S80" s="68"/>
      <c r="T80" s="68"/>
      <c r="U80" s="64"/>
      <c r="V80" s="306"/>
      <c r="W80" s="64"/>
      <c r="X80" s="64"/>
      <c r="Y80" s="510"/>
      <c r="Z80" s="510"/>
      <c r="AA80" s="66">
        <f t="shared" si="48"/>
        <v>-108.99746435657335</v>
      </c>
      <c r="AB80" s="299">
        <f t="shared" si="49"/>
        <v>0.95458438985142779</v>
      </c>
      <c r="AC80" s="511"/>
    </row>
    <row r="81" spans="4:5">
      <c r="D81" s="76"/>
      <c r="E81" s="76"/>
    </row>
  </sheetData>
  <mergeCells count="207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A13:A20"/>
    <mergeCell ref="C13:D13"/>
    <mergeCell ref="R13:R20"/>
    <mergeCell ref="Y13:Z13"/>
    <mergeCell ref="AC13:AC20"/>
    <mergeCell ref="C17:D17"/>
    <mergeCell ref="Y17:Z17"/>
    <mergeCell ref="C18:D18"/>
    <mergeCell ref="Y18:Z18"/>
    <mergeCell ref="Y19:Z19"/>
    <mergeCell ref="C20:D20"/>
    <mergeCell ref="Y20:Z20"/>
    <mergeCell ref="C14:D14"/>
    <mergeCell ref="Y14:Z14"/>
    <mergeCell ref="C15:D15"/>
    <mergeCell ref="Y15:Z15"/>
    <mergeCell ref="C16:D16"/>
    <mergeCell ref="Y16:Z16"/>
    <mergeCell ref="Y26:Z26"/>
    <mergeCell ref="C27:D27"/>
    <mergeCell ref="Y27:Z27"/>
    <mergeCell ref="A21:A30"/>
    <mergeCell ref="C21:D21"/>
    <mergeCell ref="R21:R30"/>
    <mergeCell ref="Y21:Z21"/>
    <mergeCell ref="C22:D22"/>
    <mergeCell ref="Y22:Z22"/>
    <mergeCell ref="C23:D23"/>
    <mergeCell ref="Y23:Z23"/>
    <mergeCell ref="C24:D24"/>
    <mergeCell ref="AC31:AC39"/>
    <mergeCell ref="C32:D32"/>
    <mergeCell ref="Y32:Z32"/>
    <mergeCell ref="C33:D33"/>
    <mergeCell ref="Y33:Z33"/>
    <mergeCell ref="C34:D34"/>
    <mergeCell ref="C28:D28"/>
    <mergeCell ref="Y28:Z28"/>
    <mergeCell ref="C29:D29"/>
    <mergeCell ref="Y29:Z29"/>
    <mergeCell ref="C30:D30"/>
    <mergeCell ref="Y30:Z30"/>
    <mergeCell ref="AC21:AC30"/>
    <mergeCell ref="Y34:Z34"/>
    <mergeCell ref="C35:D35"/>
    <mergeCell ref="Y35:Z35"/>
    <mergeCell ref="C36:D36"/>
    <mergeCell ref="Y36:Z36"/>
    <mergeCell ref="C37:D37"/>
    <mergeCell ref="Y37:Z37"/>
    <mergeCell ref="Y24:Z24"/>
    <mergeCell ref="C25:D25"/>
    <mergeCell ref="Y25:Z25"/>
    <mergeCell ref="C26:D26"/>
    <mergeCell ref="A31:A39"/>
    <mergeCell ref="C31:D31"/>
    <mergeCell ref="R31:R39"/>
    <mergeCell ref="Y31:Z31"/>
    <mergeCell ref="C38:D38"/>
    <mergeCell ref="Y38:Z38"/>
    <mergeCell ref="C39:D39"/>
    <mergeCell ref="Y39:Z39"/>
    <mergeCell ref="A40:A48"/>
    <mergeCell ref="C40:D40"/>
    <mergeCell ref="R40:R48"/>
    <mergeCell ref="Y40:Z40"/>
    <mergeCell ref="Y45:Z45"/>
    <mergeCell ref="C46:D46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C47:D47"/>
    <mergeCell ref="Y47:Z47"/>
    <mergeCell ref="C48:D48"/>
    <mergeCell ref="Y48:Z48"/>
    <mergeCell ref="AC49:AC58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58:D58"/>
    <mergeCell ref="Y58:Z58"/>
    <mergeCell ref="A59:A66"/>
    <mergeCell ref="C59:D59"/>
    <mergeCell ref="R59:R66"/>
    <mergeCell ref="Y59:Z59"/>
    <mergeCell ref="C55:D55"/>
    <mergeCell ref="Y55:Z55"/>
    <mergeCell ref="C56:D56"/>
    <mergeCell ref="Y56:Z56"/>
    <mergeCell ref="C57:D57"/>
    <mergeCell ref="Y57:Z57"/>
    <mergeCell ref="A49:A58"/>
    <mergeCell ref="C49:D49"/>
    <mergeCell ref="R49:R58"/>
    <mergeCell ref="Y49:Z49"/>
    <mergeCell ref="Y54:Z54"/>
    <mergeCell ref="AC67:AC71"/>
    <mergeCell ref="C68:D68"/>
    <mergeCell ref="Y68:Z68"/>
    <mergeCell ref="C69:D69"/>
    <mergeCell ref="Y69:Z69"/>
    <mergeCell ref="C70:D70"/>
    <mergeCell ref="AC59:AC66"/>
    <mergeCell ref="C60:D60"/>
    <mergeCell ref="Y60:Z60"/>
    <mergeCell ref="C61:D61"/>
    <mergeCell ref="C64:D64"/>
    <mergeCell ref="Y64:Z64"/>
    <mergeCell ref="C65:D65"/>
    <mergeCell ref="Y65:Z65"/>
    <mergeCell ref="C66:D66"/>
    <mergeCell ref="Y66:Z66"/>
    <mergeCell ref="Y70:Z70"/>
    <mergeCell ref="C71:D71"/>
    <mergeCell ref="Y71:Z71"/>
    <mergeCell ref="A72:A80"/>
    <mergeCell ref="C72:D72"/>
    <mergeCell ref="R72:R80"/>
    <mergeCell ref="Y72:Z72"/>
    <mergeCell ref="Y77:Z77"/>
    <mergeCell ref="C78:D78"/>
    <mergeCell ref="Y78:Z78"/>
    <mergeCell ref="A67:A71"/>
    <mergeCell ref="C67:D67"/>
    <mergeCell ref="R67:R71"/>
    <mergeCell ref="Y67:Z67"/>
    <mergeCell ref="C79:D79"/>
    <mergeCell ref="Y79:Z79"/>
    <mergeCell ref="C80:D80"/>
    <mergeCell ref="Y80:Z80"/>
    <mergeCell ref="AC72:AC80"/>
    <mergeCell ref="C73:D73"/>
    <mergeCell ref="Y73:Z73"/>
    <mergeCell ref="C74:D74"/>
    <mergeCell ref="Y74:Z74"/>
    <mergeCell ref="C75:D75"/>
    <mergeCell ref="Y75:Z75"/>
    <mergeCell ref="C76:D76"/>
    <mergeCell ref="Y76:Z76"/>
    <mergeCell ref="C77:D77"/>
  </mergeCells>
  <phoneticPr fontId="3" type="noConversion"/>
  <conditionalFormatting sqref="O70:O77 O66:O67 O80 O5:O10 O12:O14 O58:O64 O20:O54">
    <cfRule type="cellIs" dxfId="1622" priority="78" operator="greaterThan">
      <formula>0</formula>
    </cfRule>
  </conditionalFormatting>
  <conditionalFormatting sqref="P5:P8 P70 AA70 P72:P77 P31:P38 P67 P10 P12:P14 P21:P29 P59:P64 P40:P54 AA5:AA67 AA72:AA80">
    <cfRule type="cellIs" dxfId="1621" priority="82" operator="lessThan">
      <formula>0</formula>
    </cfRule>
  </conditionalFormatting>
  <conditionalFormatting sqref="AB70 Q70:Q77 Q66:Q67 Q80 Q5:Q10 Q12:Q14 Q58:Q64 Q20:Q54 AB5:AB67 AB72:AB80">
    <cfRule type="cellIs" dxfId="1620" priority="79" operator="greaterThan">
      <formula>1</formula>
    </cfRule>
    <cfRule type="cellIs" dxfId="1619" priority="80" operator="lessThan">
      <formula>0.8</formula>
    </cfRule>
  </conditionalFormatting>
  <conditionalFormatting sqref="AC13:AC14 R13:R14 AC70 R70:R77 R20:R26 AC20:AC26 AC66:AC67 R66:R67 R80 AC5:AC10 R5:R10 R30:R54 AC30:AC54 AC58:AC64 R58:R64">
    <cfRule type="cellIs" dxfId="1618" priority="84" operator="lessThan">
      <formula>0.8</formula>
    </cfRule>
  </conditionalFormatting>
  <conditionalFormatting sqref="AC49">
    <cfRule type="cellIs" dxfId="1617" priority="86" operator="lessThan">
      <formula>0.8</formula>
    </cfRule>
  </conditionalFormatting>
  <conditionalFormatting sqref="AC21:AC26">
    <cfRule type="cellIs" dxfId="1616" priority="83" operator="lessThan">
      <formula>0.8</formula>
    </cfRule>
  </conditionalFormatting>
  <conditionalFormatting sqref="AC31">
    <cfRule type="cellIs" dxfId="1615" priority="85" operator="lessThan">
      <formula>0.8</formula>
    </cfRule>
  </conditionalFormatting>
  <conditionalFormatting sqref="AC40:AC47">
    <cfRule type="cellIs" dxfId="1614" priority="81" operator="lessThan">
      <formula>0.8</formula>
    </cfRule>
  </conditionalFormatting>
  <conditionalFormatting sqref="AA71">
    <cfRule type="cellIs" dxfId="1613" priority="77" operator="lessThan">
      <formula>0</formula>
    </cfRule>
  </conditionalFormatting>
  <conditionalFormatting sqref="AB71">
    <cfRule type="cellIs" dxfId="1612" priority="75" operator="greaterThan">
      <formula>1</formula>
    </cfRule>
    <cfRule type="cellIs" dxfId="1611" priority="76" operator="lessThan">
      <formula>0.8</formula>
    </cfRule>
  </conditionalFormatting>
  <conditionalFormatting sqref="O15:O16">
    <cfRule type="cellIs" dxfId="1610" priority="70" operator="greaterThan">
      <formula>0</formula>
    </cfRule>
  </conditionalFormatting>
  <conditionalFormatting sqref="P15:P16">
    <cfRule type="cellIs" dxfId="1609" priority="73" operator="lessThan">
      <formula>0</formula>
    </cfRule>
  </conditionalFormatting>
  <conditionalFormatting sqref="Q15:Q16">
    <cfRule type="cellIs" dxfId="1608" priority="71" operator="greaterThan">
      <formula>1</formula>
    </cfRule>
    <cfRule type="cellIs" dxfId="1607" priority="72" operator="lessThan">
      <formula>0.8</formula>
    </cfRule>
  </conditionalFormatting>
  <conditionalFormatting sqref="R15:R16 AC15:AC16">
    <cfRule type="cellIs" dxfId="1606" priority="74" operator="lessThan">
      <formula>0.8</formula>
    </cfRule>
  </conditionalFormatting>
  <conditionalFormatting sqref="O11">
    <cfRule type="cellIs" dxfId="1605" priority="66" operator="greaterThan">
      <formula>0</formula>
    </cfRule>
  </conditionalFormatting>
  <conditionalFormatting sqref="P11">
    <cfRule type="cellIs" dxfId="1604" priority="69" operator="lessThan">
      <formula>0</formula>
    </cfRule>
  </conditionalFormatting>
  <conditionalFormatting sqref="Q11">
    <cfRule type="cellIs" dxfId="1603" priority="67" operator="greaterThan">
      <formula>1</formula>
    </cfRule>
    <cfRule type="cellIs" dxfId="1602" priority="68" operator="lessThan">
      <formula>0.8</formula>
    </cfRule>
  </conditionalFormatting>
  <conditionalFormatting sqref="O65">
    <cfRule type="cellIs" dxfId="1601" priority="61" operator="greaterThan">
      <formula>0</formula>
    </cfRule>
  </conditionalFormatting>
  <conditionalFormatting sqref="P65">
    <cfRule type="cellIs" dxfId="1600" priority="64" operator="lessThan">
      <formula>0</formula>
    </cfRule>
  </conditionalFormatting>
  <conditionalFormatting sqref="Q65">
    <cfRule type="cellIs" dxfId="1599" priority="62" operator="greaterThan">
      <formula>1</formula>
    </cfRule>
    <cfRule type="cellIs" dxfId="1598" priority="63" operator="lessThan">
      <formula>0.8</formula>
    </cfRule>
  </conditionalFormatting>
  <conditionalFormatting sqref="R65 AC65">
    <cfRule type="cellIs" dxfId="1597" priority="65" operator="lessThan">
      <formula>0.8</formula>
    </cfRule>
  </conditionalFormatting>
  <conditionalFormatting sqref="AC28 R28">
    <cfRule type="cellIs" dxfId="1596" priority="60" operator="lessThan">
      <formula>0.8</formula>
    </cfRule>
  </conditionalFormatting>
  <conditionalFormatting sqref="O69">
    <cfRule type="cellIs" dxfId="1595" priority="55" operator="greaterThan">
      <formula>0</formula>
    </cfRule>
  </conditionalFormatting>
  <conditionalFormatting sqref="P69 AA69">
    <cfRule type="cellIs" dxfId="1594" priority="58" operator="lessThan">
      <formula>0</formula>
    </cfRule>
  </conditionalFormatting>
  <conditionalFormatting sqref="Q69 AB69">
    <cfRule type="cellIs" dxfId="1593" priority="56" operator="greaterThan">
      <formula>1</formula>
    </cfRule>
    <cfRule type="cellIs" dxfId="1592" priority="57" operator="lessThan">
      <formula>0.8</formula>
    </cfRule>
  </conditionalFormatting>
  <conditionalFormatting sqref="R69 AC69">
    <cfRule type="cellIs" dxfId="1591" priority="59" operator="lessThan">
      <formula>0.8</formula>
    </cfRule>
  </conditionalFormatting>
  <conditionalFormatting sqref="O78">
    <cfRule type="cellIs" dxfId="1590" priority="50" operator="greaterThan">
      <formula>0</formula>
    </cfRule>
  </conditionalFormatting>
  <conditionalFormatting sqref="P78">
    <cfRule type="cellIs" dxfId="1589" priority="53" operator="lessThan">
      <formula>0</formula>
    </cfRule>
  </conditionalFormatting>
  <conditionalFormatting sqref="Q78">
    <cfRule type="cellIs" dxfId="1588" priority="51" operator="greaterThan">
      <formula>1</formula>
    </cfRule>
    <cfRule type="cellIs" dxfId="1587" priority="52" operator="lessThan">
      <formula>0.8</formula>
    </cfRule>
  </conditionalFormatting>
  <conditionalFormatting sqref="R78">
    <cfRule type="cellIs" dxfId="1586" priority="54" operator="lessThan">
      <formula>0.8</formula>
    </cfRule>
  </conditionalFormatting>
  <conditionalFormatting sqref="O17:O18">
    <cfRule type="cellIs" dxfId="1585" priority="45" operator="greaterThan">
      <formula>0</formula>
    </cfRule>
  </conditionalFormatting>
  <conditionalFormatting sqref="P17:P18">
    <cfRule type="cellIs" dxfId="1584" priority="48" operator="lessThan">
      <formula>0</formula>
    </cfRule>
  </conditionalFormatting>
  <conditionalFormatting sqref="Q17:Q18">
    <cfRule type="cellIs" dxfId="1583" priority="46" operator="greaterThan">
      <formula>1</formula>
    </cfRule>
    <cfRule type="cellIs" dxfId="1582" priority="47" operator="lessThan">
      <formula>0.8</formula>
    </cfRule>
  </conditionalFormatting>
  <conditionalFormatting sqref="R17:R18 AC17:AC18">
    <cfRule type="cellIs" dxfId="1581" priority="49" operator="lessThan">
      <formula>0.8</formula>
    </cfRule>
  </conditionalFormatting>
  <conditionalFormatting sqref="O55">
    <cfRule type="cellIs" dxfId="1580" priority="39" operator="greaterThan">
      <formula>0</formula>
    </cfRule>
  </conditionalFormatting>
  <conditionalFormatting sqref="P55">
    <cfRule type="cellIs" dxfId="1579" priority="43" operator="lessThan">
      <formula>0</formula>
    </cfRule>
  </conditionalFormatting>
  <conditionalFormatting sqref="Q55">
    <cfRule type="cellIs" dxfId="1578" priority="40" operator="greaterThan">
      <formula>1</formula>
    </cfRule>
    <cfRule type="cellIs" dxfId="1577" priority="41" operator="lessThan">
      <formula>0.8</formula>
    </cfRule>
  </conditionalFormatting>
  <conditionalFormatting sqref="R55 AC55">
    <cfRule type="cellIs" dxfId="1576" priority="44" operator="lessThan">
      <formula>0.8</formula>
    </cfRule>
  </conditionalFormatting>
  <conditionalFormatting sqref="AC55">
    <cfRule type="cellIs" dxfId="1575" priority="42" operator="lessThan">
      <formula>0.8</formula>
    </cfRule>
  </conditionalFormatting>
  <conditionalFormatting sqref="O56">
    <cfRule type="cellIs" dxfId="1574" priority="33" operator="greaterThan">
      <formula>0</formula>
    </cfRule>
  </conditionalFormatting>
  <conditionalFormatting sqref="P56">
    <cfRule type="cellIs" dxfId="1573" priority="37" operator="lessThan">
      <formula>0</formula>
    </cfRule>
  </conditionalFormatting>
  <conditionalFormatting sqref="Q56">
    <cfRule type="cellIs" dxfId="1572" priority="34" operator="greaterThan">
      <formula>1</formula>
    </cfRule>
    <cfRule type="cellIs" dxfId="1571" priority="35" operator="lessThan">
      <formula>0.8</formula>
    </cfRule>
  </conditionalFormatting>
  <conditionalFormatting sqref="R56 AC56">
    <cfRule type="cellIs" dxfId="1570" priority="38" operator="lessThan">
      <formula>0.8</formula>
    </cfRule>
  </conditionalFormatting>
  <conditionalFormatting sqref="AC56">
    <cfRule type="cellIs" dxfId="1569" priority="36" operator="lessThan">
      <formula>0.8</formula>
    </cfRule>
  </conditionalFormatting>
  <conditionalFormatting sqref="AC29 R29">
    <cfRule type="cellIs" dxfId="1568" priority="32" operator="lessThan">
      <formula>0.8</formula>
    </cfRule>
  </conditionalFormatting>
  <conditionalFormatting sqref="R27 AC27">
    <cfRule type="cellIs" dxfId="1567" priority="31" operator="lessThan">
      <formula>0.8</formula>
    </cfRule>
  </conditionalFormatting>
  <conditionalFormatting sqref="AC27">
    <cfRule type="cellIs" dxfId="1566" priority="30" operator="lessThan">
      <formula>0.8</formula>
    </cfRule>
  </conditionalFormatting>
  <conditionalFormatting sqref="O57">
    <cfRule type="cellIs" dxfId="1565" priority="24" operator="greaterThan">
      <formula>0</formula>
    </cfRule>
  </conditionalFormatting>
  <conditionalFormatting sqref="P57">
    <cfRule type="cellIs" dxfId="1564" priority="28" operator="lessThan">
      <formula>0</formula>
    </cfRule>
  </conditionalFormatting>
  <conditionalFormatting sqref="Q57">
    <cfRule type="cellIs" dxfId="1563" priority="25" operator="greaterThan">
      <formula>1</formula>
    </cfRule>
    <cfRule type="cellIs" dxfId="1562" priority="26" operator="lessThan">
      <formula>0.8</formula>
    </cfRule>
  </conditionalFormatting>
  <conditionalFormatting sqref="R57 AC57">
    <cfRule type="cellIs" dxfId="1561" priority="29" operator="lessThan">
      <formula>0.8</formula>
    </cfRule>
  </conditionalFormatting>
  <conditionalFormatting sqref="AC57">
    <cfRule type="cellIs" dxfId="1560" priority="27" operator="lessThan">
      <formula>0.8</formula>
    </cfRule>
  </conditionalFormatting>
  <conditionalFormatting sqref="O68">
    <cfRule type="cellIs" dxfId="1559" priority="19" operator="greaterThan">
      <formula>0</formula>
    </cfRule>
  </conditionalFormatting>
  <conditionalFormatting sqref="P68 AA68">
    <cfRule type="cellIs" dxfId="1558" priority="22" operator="lessThan">
      <formula>0</formula>
    </cfRule>
  </conditionalFormatting>
  <conditionalFormatting sqref="Q68 AB68">
    <cfRule type="cellIs" dxfId="1557" priority="20" operator="greaterThan">
      <formula>1</formula>
    </cfRule>
    <cfRule type="cellIs" dxfId="1556" priority="21" operator="lessThan">
      <formula>0.8</formula>
    </cfRule>
  </conditionalFormatting>
  <conditionalFormatting sqref="R68 AC68">
    <cfRule type="cellIs" dxfId="1555" priority="23" operator="lessThan">
      <formula>0.8</formula>
    </cfRule>
  </conditionalFormatting>
  <conditionalFormatting sqref="O19">
    <cfRule type="cellIs" dxfId="1554" priority="14" operator="greaterThan">
      <formula>0</formula>
    </cfRule>
  </conditionalFormatting>
  <conditionalFormatting sqref="P19">
    <cfRule type="cellIs" dxfId="1553" priority="17" operator="lessThan">
      <formula>0</formula>
    </cfRule>
  </conditionalFormatting>
  <conditionalFormatting sqref="Q19">
    <cfRule type="cellIs" dxfId="1552" priority="15" operator="greaterThan">
      <formula>1</formula>
    </cfRule>
    <cfRule type="cellIs" dxfId="1551" priority="16" operator="lessThan">
      <formula>0.8</formula>
    </cfRule>
  </conditionalFormatting>
  <conditionalFormatting sqref="AC19 R19">
    <cfRule type="cellIs" dxfId="1550" priority="18" operator="lessThan">
      <formula>0.8</formula>
    </cfRule>
  </conditionalFormatting>
  <conditionalFormatting sqref="P9">
    <cfRule type="cellIs" dxfId="1549" priority="13" operator="lessThan">
      <formula>0</formula>
    </cfRule>
  </conditionalFormatting>
  <conditionalFormatting sqref="P20">
    <cfRule type="cellIs" dxfId="1548" priority="12" operator="lessThan">
      <formula>0</formula>
    </cfRule>
  </conditionalFormatting>
  <conditionalFormatting sqref="P30">
    <cfRule type="cellIs" dxfId="1547" priority="11" operator="lessThan">
      <formula>0</formula>
    </cfRule>
  </conditionalFormatting>
  <conditionalFormatting sqref="P39">
    <cfRule type="cellIs" dxfId="1546" priority="10" operator="lessThan">
      <formula>0</formula>
    </cfRule>
  </conditionalFormatting>
  <conditionalFormatting sqref="P58">
    <cfRule type="cellIs" dxfId="1545" priority="9" operator="lessThan">
      <formula>0</formula>
    </cfRule>
  </conditionalFormatting>
  <conditionalFormatting sqref="P66">
    <cfRule type="cellIs" dxfId="1544" priority="8" operator="lessThan">
      <formula>0</formula>
    </cfRule>
  </conditionalFormatting>
  <conditionalFormatting sqref="P71">
    <cfRule type="cellIs" dxfId="1543" priority="7" operator="lessThan">
      <formula>0</formula>
    </cfRule>
  </conditionalFormatting>
  <conditionalFormatting sqref="P80">
    <cfRule type="cellIs" dxfId="1542" priority="6" operator="lessThan">
      <formula>0</formula>
    </cfRule>
  </conditionalFormatting>
  <conditionalFormatting sqref="O79">
    <cfRule type="cellIs" dxfId="1541" priority="1" operator="greaterThan">
      <formula>0</formula>
    </cfRule>
  </conditionalFormatting>
  <conditionalFormatting sqref="P79">
    <cfRule type="cellIs" dxfId="1540" priority="4" operator="lessThan">
      <formula>0</formula>
    </cfRule>
  </conditionalFormatting>
  <conditionalFormatting sqref="Q79">
    <cfRule type="cellIs" dxfId="1539" priority="2" operator="greaterThan">
      <formula>1</formula>
    </cfRule>
    <cfRule type="cellIs" dxfId="1538" priority="3" operator="lessThan">
      <formula>0.8</formula>
    </cfRule>
  </conditionalFormatting>
  <conditionalFormatting sqref="R79">
    <cfRule type="cellIs" dxfId="1537" priority="5" operator="lessThan">
      <formula>0.8</formula>
    </cfRule>
  </conditionalFormatting>
  <dataValidations count="1">
    <dataValidation type="list" allowBlank="1" showInputMessage="1" showErrorMessage="1" sqref="Z9 Y5:Z8 Y9:Y70 Z11:Z67 Y71:Z8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1478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1479</v>
      </c>
      <c r="C3" s="497" t="str">
        <f>TEXT('1118 4度C'!A2,"yyyy.mm.ddaaaa")</f>
        <v>2025.11.18星期二</v>
      </c>
      <c r="D3" s="498"/>
      <c r="E3" s="4" t="s">
        <v>1480</v>
      </c>
      <c r="F3" s="499">
        <f>'1118 4度C'!D1</f>
        <v>199953</v>
      </c>
      <c r="G3" s="500"/>
      <c r="H3" s="4" t="s">
        <v>1481</v>
      </c>
      <c r="I3" s="501">
        <f>'1118 4度C'!F1</f>
        <v>6841505.1499999976</v>
      </c>
      <c r="J3" s="502"/>
      <c r="K3" s="5"/>
      <c r="L3" s="6"/>
      <c r="M3" s="7"/>
      <c r="N3" s="7"/>
    </row>
    <row r="4" spans="2:17" ht="28.5" customHeight="1">
      <c r="B4" s="503" t="s">
        <v>1482</v>
      </c>
      <c r="C4" s="485" t="s">
        <v>92</v>
      </c>
      <c r="D4" s="486"/>
      <c r="E4" s="506" t="s">
        <v>1483</v>
      </c>
      <c r="F4" s="507"/>
      <c r="G4" s="506" t="s">
        <v>1484</v>
      </c>
      <c r="H4" s="507"/>
      <c r="I4" s="506" t="s">
        <v>1485</v>
      </c>
      <c r="J4" s="507"/>
      <c r="L4" s="7"/>
      <c r="M4" s="7"/>
      <c r="N4" s="7"/>
    </row>
    <row r="5" spans="2:17" ht="28.5" customHeight="1">
      <c r="B5" s="504"/>
      <c r="C5" s="485" t="s">
        <v>1486</v>
      </c>
      <c r="D5" s="486"/>
      <c r="E5" s="485" t="s">
        <v>1487</v>
      </c>
      <c r="F5" s="486"/>
      <c r="G5" s="487" t="s">
        <v>1488</v>
      </c>
      <c r="H5" s="488"/>
      <c r="I5" s="489" t="s">
        <v>1489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152.77320225104103</v>
      </c>
      <c r="F6" s="492">
        <f>AVERAGE(D27:O27,D13:J13)</f>
        <v>158.56266235704132</v>
      </c>
      <c r="G6" s="493">
        <f>AVERAGE(D13:J13)</f>
        <v>158.56266235704132</v>
      </c>
      <c r="H6" s="494"/>
      <c r="I6" s="493">
        <f>AVERAGE(K13:M13)</f>
        <v>139.26446200370694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146.27070628808485</v>
      </c>
      <c r="F7" s="478">
        <f>AVERAGE(D28:O28,D14:J14)</f>
        <v>151.85114251601743</v>
      </c>
      <c r="G7" s="479">
        <f>AVERAGE(D14:J14)</f>
        <v>151.85114251601743</v>
      </c>
      <c r="H7" s="480"/>
      <c r="I7" s="479">
        <f>AVERAGE(K14:M14)</f>
        <v>133.2496884229088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0.9576605289029777</v>
      </c>
      <c r="F8" s="482">
        <f>AVERAGE(D15:J15,D29:O29)</f>
        <v>0.9580339791113518</v>
      </c>
      <c r="G8" s="483">
        <f>AVERAGE(D15:J15)</f>
        <v>0.9580339791113518</v>
      </c>
      <c r="H8" s="484"/>
      <c r="I8" s="483">
        <f>AVERAGE(K15:M15)</f>
        <v>0.95678914508343793</v>
      </c>
      <c r="J8" s="484"/>
      <c r="K8" s="8" t="s">
        <v>68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1490</v>
      </c>
      <c r="C10" s="459"/>
      <c r="D10" s="460" t="s">
        <v>1491</v>
      </c>
      <c r="E10" s="461"/>
      <c r="F10" s="461"/>
      <c r="G10" s="461"/>
      <c r="H10" s="461"/>
      <c r="I10" s="461"/>
      <c r="J10" s="462"/>
      <c r="K10" s="463" t="s">
        <v>1492</v>
      </c>
      <c r="L10" s="464"/>
      <c r="M10" s="465"/>
      <c r="P10" s="11"/>
      <c r="Q10" s="11"/>
    </row>
    <row r="11" spans="2:17" ht="17.25" customHeight="1">
      <c r="B11" s="466" t="s">
        <v>103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1493</v>
      </c>
      <c r="C13" s="18" t="s">
        <v>1494</v>
      </c>
      <c r="D13" s="19">
        <f>SUMIFS('1118 4度C'!$K:$K,'1118 4度C'!$A:$A,"新豐6線",'1118 4度C'!$B:$B,"平均")</f>
        <v>137.93103448275863</v>
      </c>
      <c r="E13" s="20">
        <f>SUMIFS('1118 4度C'!$K:$K,'1118 4度C'!$A:$A,"新豐2線",'1118 4度C'!$B:$B,"平均")</f>
        <v>81.081081081081081</v>
      </c>
      <c r="F13" s="21">
        <f>SUMIFS('1118 4度C'!$K:$K,'1118 4度C'!$A:$A,"新豐5線",'1118 4度C'!$B:$B,"平均")</f>
        <v>92.741935483870961</v>
      </c>
      <c r="G13" s="21">
        <f>SUMIFS('1118 4度C'!$K:$K,'1118 4度C'!$A:$A,"新豐7線",'1118 4度C'!$B:$B,"平均")</f>
        <v>116.66666666666666</v>
      </c>
      <c r="H13" s="21">
        <f>SUMIFS('1118 4度C'!$K:$K,'1118 4度C'!$A:$A,"新豐3線",'1118 4度C'!$B:$B,"平均")</f>
        <v>265.95744680851061</v>
      </c>
      <c r="I13" s="21">
        <f>SUMIFS('1118 4度C'!$K:$K,'1118 4度C'!$A:$A,"新豐1線",'1118 4度C'!$B:$B,"平均")</f>
        <v>123.89380530973452</v>
      </c>
      <c r="J13" s="22">
        <f>SUMIFS('1118 4度C'!$K:$K,'1118 4度C'!$A:$A,"新豐10線",'1118 4度C'!$B:$B,"平均")</f>
        <v>291.66666666666669</v>
      </c>
      <c r="K13" s="23">
        <f>SUMIFS('1118 4度C'!$K:$K,'1118 4度C'!$A:$A,"新豐8線",'1118 4度C'!$B:$B,"平均")</f>
        <v>133.33333333333334</v>
      </c>
      <c r="L13" s="24">
        <f>SUMIFS('1118 4度C'!$K:$K,'1118 4度C'!$A:$A,"新豐9線",'1118 4度C'!$B:$B,"平均")</f>
        <v>141.1764705882353</v>
      </c>
      <c r="M13" s="22">
        <f>SUMIFS('1118 4度C'!$K:$K,'1118 4度C'!$A:$A,"新豐4線",'1118 4度C'!$B:$B,"平均")</f>
        <v>143.28358208955223</v>
      </c>
    </row>
    <row r="14" spans="2:17" ht="39.6" customHeight="1">
      <c r="B14" s="471"/>
      <c r="C14" s="25" t="s">
        <v>1495</v>
      </c>
      <c r="D14" s="26">
        <f>SUMIFS('1118 4度C'!$N:$N,'1118 4度C'!$A:$A,"新豐6線",'1118 4度C'!$B:$B,"平均")</f>
        <v>131.84704959283914</v>
      </c>
      <c r="E14" s="27">
        <f>SUMIFS('1118 4度C'!$N:$N,'1118 4度C'!$A:$A,"新豐2線",'1118 4度C'!$B:$B,"平均")</f>
        <v>77.73491058940121</v>
      </c>
      <c r="F14" s="27">
        <f>SUMIFS('1118 4度C'!$N:$N,'1118 4度C'!$A:$A,"新豐5線",'1118 4度C'!$B:$B,"平均")</f>
        <v>88.893221092525579</v>
      </c>
      <c r="G14" s="27">
        <f>SUMIFS('1118 4度C'!$N:$N,'1118 4度C'!$A:$A,"新豐7線",'1118 4度C'!$B:$B,"平均")</f>
        <v>112.192265937448</v>
      </c>
      <c r="H14" s="27">
        <f>SUMIFS('1118 4度C'!$N:$N,'1118 4度C'!$A:$A,"新豐3線",'1118 4度C'!$B:$B,"平均")</f>
        <v>254.91676976786283</v>
      </c>
      <c r="I14" s="27">
        <f>SUMIFS('1118 4度C'!$N:$N,'1118 4度C'!$A:$A,"新豐1線",'1118 4度C'!$B:$B,"平均")</f>
        <v>118.58127566782512</v>
      </c>
      <c r="J14" s="28">
        <f>SUMIFS('1118 4度C'!$N:$N,'1118 4度C'!$A:$A,"新豐10線",'1118 4度C'!$B:$B,"平均")</f>
        <v>278.79250496422014</v>
      </c>
      <c r="K14" s="29">
        <f>SUMIFS('1118 4度C'!$N:$N,'1118 4度C'!$A:$A,"新豐8線",'1118 4度C'!$B:$B,"平均")</f>
        <v>127.48248380678017</v>
      </c>
      <c r="L14" s="30">
        <f>SUMIFS('1118 4度C'!$N:$N,'1118 4度C'!$A:$A,"新豐9線",'1118 4度C'!$B:$B,"平均")</f>
        <v>134.92758636444211</v>
      </c>
      <c r="M14" s="28">
        <f>SUMIFS('1118 4度C'!$N:$N,'1118 4度C'!$A:$A,"新豐4線",'1118 4度C'!$B:$B,"平均")</f>
        <v>137.33899509750418</v>
      </c>
    </row>
    <row r="15" spans="2:17" ht="40.15" customHeight="1">
      <c r="B15" s="472"/>
      <c r="C15" s="31" t="s">
        <v>1496</v>
      </c>
      <c r="D15" s="32">
        <f t="shared" ref="D15:M15" si="0">D14/D13</f>
        <v>0.95589110954808365</v>
      </c>
      <c r="E15" s="33">
        <f t="shared" si="0"/>
        <v>0.95873056393594824</v>
      </c>
      <c r="F15" s="33">
        <f t="shared" si="0"/>
        <v>0.9585008187367976</v>
      </c>
      <c r="G15" s="33">
        <f t="shared" si="0"/>
        <v>0.96164799374955434</v>
      </c>
      <c r="H15" s="33">
        <f t="shared" si="0"/>
        <v>0.9584870543271643</v>
      </c>
      <c r="I15" s="33">
        <f t="shared" si="0"/>
        <v>0.95712029646173136</v>
      </c>
      <c r="J15" s="34">
        <f t="shared" si="0"/>
        <v>0.95586001702018331</v>
      </c>
      <c r="K15" s="32">
        <f t="shared" si="0"/>
        <v>0.95611862855085117</v>
      </c>
      <c r="L15" s="33">
        <f t="shared" si="0"/>
        <v>0.9557370700814648</v>
      </c>
      <c r="M15" s="34">
        <f t="shared" si="0"/>
        <v>0.95851173661799804</v>
      </c>
    </row>
    <row r="16" spans="2:17" ht="17.25" customHeight="1">
      <c r="B16" s="473" t="s">
        <v>1497</v>
      </c>
      <c r="C16" s="35" t="s">
        <v>1498</v>
      </c>
      <c r="D16" s="49">
        <f>VLOOKUP("新豐6線",'1118 4度C'!$A:$T,19,0)</f>
        <v>0.70833333333333337</v>
      </c>
      <c r="E16" s="50">
        <f>VLOOKUP("新豐2線",'1118 4度C'!$A:$T,19,0)</f>
        <v>0.20833333333333334</v>
      </c>
      <c r="F16" s="50">
        <f>VLOOKUP("新豐5線",'1118 4度C'!$A:$T,19,0)</f>
        <v>0.125</v>
      </c>
      <c r="G16" s="50">
        <f>VLOOKUP("新豐7線",'1118 4度C'!$A:$T,19,0)</f>
        <v>0.20833333333333334</v>
      </c>
      <c r="H16" s="50">
        <f>VLOOKUP("新豐3線",'1118 4度C'!$A:$T,19,0)</f>
        <v>8.3333333333333329E-2</v>
      </c>
      <c r="I16" s="50">
        <f>VLOOKUP("新豐1線",'1118 4度C'!$A:$T,19,0)</f>
        <v>0.20833333333333334</v>
      </c>
      <c r="J16" s="51">
        <f>VLOOKUP("新豐10線",'1118 4度C'!$A:$T,19,0)</f>
        <v>0.20833333333333334</v>
      </c>
      <c r="K16" s="36">
        <f>VLOOKUP("新豐8線",'1118 4度C'!$A:$T,19,0)</f>
        <v>8.3333333333333329E-2</v>
      </c>
      <c r="L16" s="37">
        <f>VLOOKUP("新豐9線",'1118 4度C'!$A:$T,19,0)</f>
        <v>8.3333333333333329E-2</v>
      </c>
      <c r="M16" s="38">
        <f>VLOOKUP("新豐4線",'1118 4度C'!$A:$T,19,0)</f>
        <v>8.3333333333333329E-2</v>
      </c>
    </row>
    <row r="17" spans="2:13" ht="17.25" customHeight="1">
      <c r="B17" s="474"/>
      <c r="C17" s="35" t="s">
        <v>1499</v>
      </c>
      <c r="D17" s="36">
        <f>LOOKUP(2,1/(('1118 4度C'!$A:$A="新豐6線")*('1118 4度C'!$T:$T&lt;&gt;"")),'1118 4度C'!$T:$T)</f>
        <v>0.94652777777777775</v>
      </c>
      <c r="E17" s="50">
        <f>LOOKUP(2,1/(('1118 4度C'!$A:$A="新豐2線")*('1118 4度C'!$T:$T&lt;&gt;"")),'1118 4度C'!$T:$T)</f>
        <v>0.44999999999999996</v>
      </c>
      <c r="F17" s="50">
        <f>LOOKUP(2,1/(('1118 4度C'!$A:$A="新豐5線")*('1118 4度C'!$T:$T&lt;&gt;"")),'1118 4度C'!$T:$T)</f>
        <v>0.98611111111111116</v>
      </c>
      <c r="G17" s="50">
        <f>LOOKUP(2,1/(('1118 4度C'!$A:$A="新豐7線")*('1118 4度C'!$T:$T&lt;&gt;"")),'1118 4度C'!$T:$T)</f>
        <v>0.92847222222222225</v>
      </c>
      <c r="H17" s="50">
        <f>LOOKUP(2,1/(('1118 4度C'!$A:$A="新豐3線")*('1118 4度C'!$T:$T&lt;&gt;"")),'1118 4度C'!$T:$T)</f>
        <v>0.6416666666666665</v>
      </c>
      <c r="I17" s="50">
        <f>LOOKUP(2,1/(('1118 4度C'!$A:$A="新豐1線")*('1118 4度C'!$T:$T&lt;&gt;"")),'1118 4度C'!$T:$T)</f>
        <v>0.99930555555555556</v>
      </c>
      <c r="J17" s="51">
        <f>LOOKUP(2,1/(('1118 4度C'!$A:$A="新豐10線")*('1118 4度C'!$T:$T&lt;&gt;"")),'1118 4度C'!$T:$T)</f>
        <v>0.44999999999999996</v>
      </c>
      <c r="K17" s="49">
        <f>LOOKUP(2,1/(('1118 4度C'!$A:$A="新豐8線")*('1118 4度C'!$T:$T&lt;&gt;"")),'1118 4度C'!$T:$T)</f>
        <v>0.72847222222222197</v>
      </c>
      <c r="L17" s="50">
        <f>LOOKUP(2,1/(('1118 4度C'!$A:$A="新豐9線")*('1118 4度C'!$T:$T&lt;&gt;"")),'1118 4度C'!$T:$T)</f>
        <v>0.75069444444444433</v>
      </c>
      <c r="M17" s="51">
        <f>LOOKUP(2,1/(('1118 4度C'!$A:$A="新豐4線")*('1118 4度C'!$T:$T&lt;&gt;"")),'1118 4度C'!$T:$T)</f>
        <v>0.66527777777777763</v>
      </c>
    </row>
    <row r="18" spans="2:13" ht="17.25" customHeight="1">
      <c r="B18" s="452" t="s">
        <v>1500</v>
      </c>
      <c r="C18" s="453"/>
      <c r="D18" s="39">
        <f>SUMIFS('1118 4度C'!$I:$I,'1118 4度C'!$A:$A,"新豐6線",'1118 4度C'!$B:$B,"平均")</f>
        <v>14.5</v>
      </c>
      <c r="E18" s="40">
        <f>SUMIFS('1118 4度C'!$I:$I,'1118 4度C'!$A:$A,"新豐2線",'1118 4度C'!$B:$B,"平均")</f>
        <v>18.5</v>
      </c>
      <c r="F18" s="40">
        <f>SUMIFS('1118 4度C'!$I:$I,'1118 4度C'!$A:$A,"新豐5線",'1118 4度C'!$B:$B,"平均")</f>
        <v>17.714285714285715</v>
      </c>
      <c r="G18" s="40">
        <f>SUMIFS('1118 4度C'!$I:$I,'1118 4度C'!$A:$A,"新豐7線",'1118 4度C'!$B:$B,"平均")</f>
        <v>16.666666666666668</v>
      </c>
      <c r="H18" s="40">
        <f>SUMIFS('1118 4度C'!$I:$I,'1118 4度C'!$A:$A,"新豐3線",'1118 4度C'!$B:$B,"平均")</f>
        <v>10.444444444444445</v>
      </c>
      <c r="I18" s="40">
        <f>SUMIFS('1118 4度C'!$I:$I,'1118 4度C'!$A:$A,"新豐1線",'1118 4度C'!$B:$B,"平均")</f>
        <v>16.142857142857142</v>
      </c>
      <c r="J18" s="41">
        <f>SUMIFS('1118 4度C'!$I:$I,'1118 4度C'!$A:$A,"新豐10線",'1118 4度C'!$B:$B,"平均")</f>
        <v>9</v>
      </c>
      <c r="K18" s="39">
        <f>SUMIFS('1118 4度C'!$I:$I,'1118 4度C'!$A:$A,"新豐8線",'1118 4度C'!$B:$B,"平均")</f>
        <v>18</v>
      </c>
      <c r="L18" s="40">
        <f>SUMIFS('1118 4度C'!$I:$I,'1118 4度C'!$A:$A,"新豐9線",'1118 4度C'!$B:$B,"平均")</f>
        <v>17</v>
      </c>
      <c r="M18" s="41">
        <f>SUMIFS('1118 4度C'!$I:$I,'1118 4度C'!$A:$A,"新豐4線",'1118 4度C'!$B:$B,"平均")</f>
        <v>16.75</v>
      </c>
    </row>
    <row r="19" spans="2:13" ht="17.25" customHeight="1">
      <c r="B19" s="452" t="s">
        <v>1501</v>
      </c>
      <c r="C19" s="453"/>
      <c r="D19" s="42" t="s">
        <v>65</v>
      </c>
      <c r="E19" s="43" t="s">
        <v>66</v>
      </c>
      <c r="F19" s="43" t="s">
        <v>1502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1503</v>
      </c>
      <c r="L19" s="43" t="s">
        <v>1503</v>
      </c>
      <c r="M19" s="44" t="s">
        <v>1503</v>
      </c>
    </row>
    <row r="20" spans="2:13" ht="17.25" customHeight="1">
      <c r="B20" s="452" t="s">
        <v>1504</v>
      </c>
      <c r="C20" s="453"/>
      <c r="D20" s="42"/>
      <c r="E20" s="43"/>
      <c r="F20" s="43" t="s">
        <v>1505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1506</v>
      </c>
      <c r="C21" s="455"/>
      <c r="D21" s="45"/>
      <c r="E21" s="46" t="s">
        <v>1507</v>
      </c>
      <c r="F21" s="456" t="s">
        <v>1508</v>
      </c>
      <c r="G21" s="457"/>
      <c r="H21" s="46" t="s">
        <v>1509</v>
      </c>
      <c r="I21" s="46" t="s">
        <v>1510</v>
      </c>
      <c r="J21" s="47" t="s">
        <v>1511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1"/>
  <sheetViews>
    <sheetView zoomScale="80" zoomScaleNormal="80" workbookViewId="0">
      <pane ySplit="4" topLeftCell="A38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1512</v>
      </c>
      <c r="B1" s="52"/>
      <c r="C1" s="53" t="s">
        <v>1513</v>
      </c>
      <c r="D1" s="54">
        <f>SUM(F5:F80)</f>
        <v>199953</v>
      </c>
      <c r="E1" s="284" t="s">
        <v>1514</v>
      </c>
      <c r="F1" s="52">
        <f>SUM(G5:G80)</f>
        <v>6841505.1499999976</v>
      </c>
      <c r="G1" s="52" t="s">
        <v>1515</v>
      </c>
      <c r="H1" s="55">
        <f>L9+L12+L58+L66+L20+L71+L39+L48+L30+L80</f>
        <v>154.71825396825395</v>
      </c>
      <c r="I1" s="556" t="s">
        <v>1516</v>
      </c>
      <c r="J1" s="556"/>
      <c r="K1" s="556"/>
      <c r="L1" s="556" t="s">
        <v>124</v>
      </c>
      <c r="M1" s="556"/>
      <c r="N1" s="556"/>
      <c r="O1" s="556" t="s">
        <v>1517</v>
      </c>
      <c r="P1" s="556"/>
      <c r="Q1" s="556"/>
      <c r="R1" s="556"/>
      <c r="S1" s="556" t="s">
        <v>1518</v>
      </c>
      <c r="T1" s="556"/>
      <c r="U1" s="556"/>
      <c r="V1" s="556"/>
      <c r="W1" s="556"/>
      <c r="X1" s="556"/>
      <c r="Y1" s="556" t="s">
        <v>1519</v>
      </c>
      <c r="Z1" s="556"/>
      <c r="AA1" s="556" t="s">
        <v>128</v>
      </c>
      <c r="AB1" s="557"/>
      <c r="AC1" s="557"/>
    </row>
    <row r="2" spans="1:29" ht="26.25" customHeight="1">
      <c r="A2" s="57">
        <v>45979</v>
      </c>
      <c r="B2" s="58" t="s">
        <v>387</v>
      </c>
      <c r="C2" s="53" t="s">
        <v>1493</v>
      </c>
      <c r="D2" s="59">
        <f>AVERAGE(N9,N12,N58,N66,N20,N71,N30,N39,N48,N80)</f>
        <v>146.27070628808485</v>
      </c>
      <c r="E2" s="60" t="s">
        <v>0</v>
      </c>
      <c r="F2" s="61">
        <f>F1/D1</f>
        <v>34.215566408105893</v>
      </c>
      <c r="G2" s="52" t="s">
        <v>130</v>
      </c>
      <c r="H2" s="294">
        <f>COUNT(H5:H80)</f>
        <v>14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693</v>
      </c>
      <c r="B3" s="510" t="s">
        <v>1520</v>
      </c>
      <c r="C3" s="510" t="s">
        <v>1521</v>
      </c>
      <c r="D3" s="510"/>
      <c r="E3" s="554" t="s">
        <v>1522</v>
      </c>
      <c r="F3" s="510" t="s">
        <v>1523</v>
      </c>
      <c r="G3" s="554" t="s">
        <v>628</v>
      </c>
      <c r="H3" s="547" t="s">
        <v>221</v>
      </c>
      <c r="I3" s="545" t="s">
        <v>1524</v>
      </c>
      <c r="J3" s="550" t="s">
        <v>1525</v>
      </c>
      <c r="K3" s="552" t="s">
        <v>1493</v>
      </c>
      <c r="L3" s="545" t="s">
        <v>312</v>
      </c>
      <c r="M3" s="550" t="s">
        <v>1525</v>
      </c>
      <c r="N3" s="552" t="s">
        <v>78</v>
      </c>
      <c r="O3" s="545" t="s">
        <v>312</v>
      </c>
      <c r="P3" s="552" t="s">
        <v>1493</v>
      </c>
      <c r="Q3" s="551" t="s">
        <v>1526</v>
      </c>
      <c r="R3" s="523" t="s">
        <v>1527</v>
      </c>
      <c r="S3" s="553" t="s">
        <v>1</v>
      </c>
      <c r="T3" s="553"/>
      <c r="U3" s="547" t="s">
        <v>2</v>
      </c>
      <c r="V3" s="547" t="s">
        <v>1528</v>
      </c>
      <c r="W3" s="510" t="s">
        <v>1529</v>
      </c>
      <c r="X3" s="510"/>
      <c r="Y3" s="548" t="s">
        <v>1530</v>
      </c>
      <c r="Z3" s="549"/>
      <c r="AA3" s="550" t="s">
        <v>1525</v>
      </c>
      <c r="AB3" s="551" t="s">
        <v>1526</v>
      </c>
      <c r="AC3" s="523" t="s">
        <v>1527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93" t="s">
        <v>3</v>
      </c>
      <c r="T4" s="293" t="s">
        <v>4</v>
      </c>
      <c r="U4" s="547"/>
      <c r="V4" s="547"/>
      <c r="W4" s="284" t="s">
        <v>1531</v>
      </c>
      <c r="X4" s="284" t="s">
        <v>1532</v>
      </c>
      <c r="Y4" s="549"/>
      <c r="Z4" s="549"/>
      <c r="AA4" s="550"/>
      <c r="AB4" s="551"/>
      <c r="AC4" s="523"/>
    </row>
    <row r="5" spans="1:29">
      <c r="A5" s="544" t="s">
        <v>1533</v>
      </c>
      <c r="B5" s="62" t="s">
        <v>6</v>
      </c>
      <c r="C5" s="546" t="s">
        <v>9</v>
      </c>
      <c r="D5" s="546"/>
      <c r="E5" s="62">
        <v>50.67</v>
      </c>
      <c r="F5" s="293">
        <v>1944</v>
      </c>
      <c r="G5" s="284">
        <f t="shared" ref="G5:G8" si="0">E5*F5</f>
        <v>98502.48000000001</v>
      </c>
      <c r="H5" s="90" t="s">
        <v>5</v>
      </c>
      <c r="I5" s="291">
        <v>17</v>
      </c>
      <c r="J5" s="63">
        <v>2000</v>
      </c>
      <c r="K5" s="64">
        <f t="shared" ref="K5:K68" si="1">J5/I5</f>
        <v>117.64705882352941</v>
      </c>
      <c r="L5" s="291">
        <v>17</v>
      </c>
      <c r="M5" s="65">
        <f t="shared" ref="M5:M8" si="2">F5/V5*60</f>
        <v>1912.1311475409855</v>
      </c>
      <c r="N5" s="64">
        <f t="shared" ref="N5:N68" si="3">M5/L5</f>
        <v>112.47830279652855</v>
      </c>
      <c r="O5" s="66">
        <f t="shared" ref="O5:O68" si="4">L5-I5</f>
        <v>0</v>
      </c>
      <c r="P5" s="67">
        <f t="shared" ref="P5:P68" si="5">N5-K5</f>
        <v>-5.1687560270008532</v>
      </c>
      <c r="Q5" s="285">
        <f t="shared" ref="Q5:Q68" si="6">N5/K5</f>
        <v>0.95606557377049273</v>
      </c>
      <c r="R5" s="511">
        <f>Q9</f>
        <v>0.95589110954808365</v>
      </c>
      <c r="S5" s="68">
        <v>0.70833333333333337</v>
      </c>
      <c r="T5" s="68">
        <v>0.75069444444444444</v>
      </c>
      <c r="U5" s="284"/>
      <c r="V5" s="292">
        <f t="shared" ref="V5:V8" si="7">(T5-S5)*24*60</f>
        <v>60.999999999999943</v>
      </c>
      <c r="W5" s="69"/>
      <c r="X5" s="70"/>
      <c r="Y5" s="510"/>
      <c r="Z5" s="510"/>
      <c r="AA5" s="66">
        <f t="shared" ref="AA5:AA68" si="8">M5-J5</f>
        <v>-87.868852459014533</v>
      </c>
      <c r="AB5" s="285">
        <f t="shared" ref="AB5:AB68" si="9">M5/J5</f>
        <v>0.95606557377049273</v>
      </c>
      <c r="AC5" s="511">
        <f>AB9</f>
        <v>0.95589110954808365</v>
      </c>
    </row>
    <row r="6" spans="1:29">
      <c r="A6" s="545" t="s">
        <v>1534</v>
      </c>
      <c r="B6" s="62" t="s">
        <v>6</v>
      </c>
      <c r="C6" s="546" t="s">
        <v>8</v>
      </c>
      <c r="D6" s="546"/>
      <c r="E6" s="62">
        <v>50.49</v>
      </c>
      <c r="F6" s="293">
        <v>2497</v>
      </c>
      <c r="G6" s="284">
        <f t="shared" si="0"/>
        <v>126073.53</v>
      </c>
      <c r="H6" s="90" t="s">
        <v>5</v>
      </c>
      <c r="I6" s="291">
        <v>15</v>
      </c>
      <c r="J6" s="63">
        <v>2000</v>
      </c>
      <c r="K6" s="64">
        <f t="shared" si="1"/>
        <v>133.33333333333334</v>
      </c>
      <c r="L6" s="291">
        <v>15</v>
      </c>
      <c r="M6" s="65">
        <f t="shared" si="2"/>
        <v>1920.7692307692298</v>
      </c>
      <c r="N6" s="64">
        <f t="shared" si="3"/>
        <v>128.05128205128199</v>
      </c>
      <c r="O6" s="66">
        <f t="shared" si="4"/>
        <v>0</v>
      </c>
      <c r="P6" s="67">
        <f t="shared" si="5"/>
        <v>-5.2820512820513557</v>
      </c>
      <c r="Q6" s="285">
        <f t="shared" si="6"/>
        <v>0.96038461538461484</v>
      </c>
      <c r="R6" s="511"/>
      <c r="S6" s="68">
        <v>0.75486111111111109</v>
      </c>
      <c r="T6" s="68">
        <v>0.80902777777777779</v>
      </c>
      <c r="U6" s="284">
        <f t="shared" ref="U6:U8" si="10">IF(S6=TIME(17,0,0),"",(S6-T5)*24*60)</f>
        <v>5.9999999999999787</v>
      </c>
      <c r="V6" s="292">
        <f t="shared" si="7"/>
        <v>78.000000000000043</v>
      </c>
      <c r="W6" s="69"/>
      <c r="X6" s="69"/>
      <c r="Y6" s="510"/>
      <c r="Z6" s="510"/>
      <c r="AA6" s="66">
        <f t="shared" si="8"/>
        <v>-79.230769230770193</v>
      </c>
      <c r="AB6" s="285">
        <f t="shared" si="9"/>
        <v>0.96038461538461495</v>
      </c>
      <c r="AC6" s="511"/>
    </row>
    <row r="7" spans="1:29">
      <c r="A7" s="545" t="s">
        <v>1534</v>
      </c>
      <c r="B7" s="62" t="s">
        <v>6</v>
      </c>
      <c r="C7" s="539" t="s">
        <v>886</v>
      </c>
      <c r="D7" s="540"/>
      <c r="E7" s="62">
        <v>57.3</v>
      </c>
      <c r="F7" s="293">
        <v>1300</v>
      </c>
      <c r="G7" s="284">
        <f t="shared" si="0"/>
        <v>74490</v>
      </c>
      <c r="H7" s="90">
        <v>2</v>
      </c>
      <c r="I7" s="291">
        <v>13</v>
      </c>
      <c r="J7" s="63">
        <v>2000</v>
      </c>
      <c r="K7" s="64">
        <f t="shared" si="1"/>
        <v>153.84615384615384</v>
      </c>
      <c r="L7" s="291">
        <v>13</v>
      </c>
      <c r="M7" s="65">
        <f t="shared" si="2"/>
        <v>1902.4390243902433</v>
      </c>
      <c r="N7" s="64">
        <f t="shared" si="3"/>
        <v>146.34146341463409</v>
      </c>
      <c r="O7" s="66">
        <f t="shared" si="4"/>
        <v>0</v>
      </c>
      <c r="P7" s="67">
        <f t="shared" si="5"/>
        <v>-7.504690431519748</v>
      </c>
      <c r="Q7" s="285">
        <f t="shared" si="6"/>
        <v>0.95121951219512169</v>
      </c>
      <c r="R7" s="511"/>
      <c r="S7" s="68">
        <v>0.8125</v>
      </c>
      <c r="T7" s="68">
        <v>0.84097222222222223</v>
      </c>
      <c r="U7" s="284">
        <f t="shared" si="10"/>
        <v>4.9999999999999822</v>
      </c>
      <c r="V7" s="292">
        <f t="shared" si="7"/>
        <v>41.000000000000014</v>
      </c>
      <c r="W7" s="69">
        <f>T7</f>
        <v>0.84097222222222223</v>
      </c>
      <c r="X7" s="69">
        <f>S8</f>
        <v>0.88055555555555554</v>
      </c>
      <c r="Y7" s="517"/>
      <c r="Z7" s="518"/>
      <c r="AA7" s="66">
        <f t="shared" si="8"/>
        <v>-97.560975609756724</v>
      </c>
      <c r="AB7" s="285">
        <f t="shared" si="9"/>
        <v>0.95121951219512169</v>
      </c>
      <c r="AC7" s="511"/>
    </row>
    <row r="8" spans="1:29">
      <c r="A8" s="545" t="s">
        <v>1533</v>
      </c>
      <c r="B8" s="62" t="s">
        <v>6</v>
      </c>
      <c r="C8" s="539" t="s">
        <v>886</v>
      </c>
      <c r="D8" s="540"/>
      <c r="E8" s="62">
        <v>57.3</v>
      </c>
      <c r="F8" s="293">
        <v>3027</v>
      </c>
      <c r="G8" s="284">
        <f t="shared" si="0"/>
        <v>173447.1</v>
      </c>
      <c r="H8" s="90" t="s">
        <v>5</v>
      </c>
      <c r="I8" s="291">
        <v>13</v>
      </c>
      <c r="J8" s="63">
        <v>2000</v>
      </c>
      <c r="K8" s="64">
        <f t="shared" si="1"/>
        <v>153.84615384615384</v>
      </c>
      <c r="L8" s="291">
        <v>13</v>
      </c>
      <c r="M8" s="65">
        <f t="shared" si="2"/>
        <v>1911.7894736842109</v>
      </c>
      <c r="N8" s="64">
        <f t="shared" si="3"/>
        <v>147.0607287449393</v>
      </c>
      <c r="O8" s="66">
        <f t="shared" si="4"/>
        <v>0</v>
      </c>
      <c r="P8" s="67">
        <f t="shared" si="5"/>
        <v>-6.7854251012145426</v>
      </c>
      <c r="Q8" s="285">
        <f t="shared" si="6"/>
        <v>0.95589473684210546</v>
      </c>
      <c r="R8" s="511"/>
      <c r="S8" s="68">
        <v>0.88055555555555554</v>
      </c>
      <c r="T8" s="68">
        <v>0.94652777777777775</v>
      </c>
      <c r="U8" s="284">
        <f t="shared" si="10"/>
        <v>56.999999999999957</v>
      </c>
      <c r="V8" s="292">
        <f t="shared" si="7"/>
        <v>94.999999999999986</v>
      </c>
      <c r="W8" s="73"/>
      <c r="X8" s="73"/>
      <c r="Y8" s="517"/>
      <c r="Z8" s="518"/>
      <c r="AA8" s="66">
        <f t="shared" si="8"/>
        <v>-88.210526315789139</v>
      </c>
      <c r="AB8" s="285">
        <f t="shared" si="9"/>
        <v>0.95589473684210546</v>
      </c>
      <c r="AC8" s="511"/>
    </row>
    <row r="9" spans="1:29">
      <c r="A9" s="545" t="s">
        <v>1534</v>
      </c>
      <c r="B9" s="62" t="s">
        <v>79</v>
      </c>
      <c r="C9" s="513"/>
      <c r="D9" s="513"/>
      <c r="E9" s="286"/>
      <c r="F9" s="71"/>
      <c r="G9" s="64"/>
      <c r="H9" s="293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1911.7822190961674</v>
      </c>
      <c r="N9" s="64">
        <f t="shared" si="3"/>
        <v>131.84704959283914</v>
      </c>
      <c r="O9" s="66">
        <f t="shared" si="4"/>
        <v>0</v>
      </c>
      <c r="P9" s="67">
        <f t="shared" si="5"/>
        <v>-6.0839848899194919</v>
      </c>
      <c r="Q9" s="285">
        <f t="shared" si="6"/>
        <v>0.95589110954808365</v>
      </c>
      <c r="R9" s="511"/>
      <c r="S9" s="68"/>
      <c r="T9" s="68"/>
      <c r="U9" s="284"/>
      <c r="V9" s="292"/>
      <c r="W9" s="64"/>
      <c r="X9" s="64"/>
      <c r="Y9" s="510"/>
      <c r="Z9" s="510"/>
      <c r="AA9" s="66">
        <f t="shared" si="8"/>
        <v>-88.21778090383259</v>
      </c>
      <c r="AB9" s="285">
        <f t="shared" si="9"/>
        <v>0.95589110954808365</v>
      </c>
      <c r="AC9" s="511"/>
    </row>
    <row r="10" spans="1:29" ht="15.75" customHeight="1">
      <c r="A10" s="543" t="s">
        <v>1535</v>
      </c>
      <c r="B10" s="62" t="s">
        <v>10</v>
      </c>
      <c r="C10" s="539" t="s">
        <v>12</v>
      </c>
      <c r="D10" s="540"/>
      <c r="E10" s="62">
        <v>39.36</v>
      </c>
      <c r="F10" s="293">
        <v>1497</v>
      </c>
      <c r="G10" s="284">
        <f t="shared" ref="G10:G11" si="11">E10*F10</f>
        <v>58921.919999999998</v>
      </c>
      <c r="H10" s="90" t="s">
        <v>5</v>
      </c>
      <c r="I10" s="291">
        <v>20</v>
      </c>
      <c r="J10" s="63">
        <v>1500</v>
      </c>
      <c r="K10" s="64">
        <f t="shared" si="1"/>
        <v>75</v>
      </c>
      <c r="L10" s="291">
        <v>20</v>
      </c>
      <c r="M10" s="65">
        <f t="shared" ref="M10:M11" si="12">F10/V10*60</f>
        <v>1448.7096774193553</v>
      </c>
      <c r="N10" s="64">
        <f t="shared" si="3"/>
        <v>72.435483870967772</v>
      </c>
      <c r="O10" s="66">
        <f t="shared" si="4"/>
        <v>0</v>
      </c>
      <c r="P10" s="67">
        <f t="shared" si="5"/>
        <v>-2.5645161290322278</v>
      </c>
      <c r="Q10" s="285">
        <f t="shared" si="6"/>
        <v>0.96580645161290368</v>
      </c>
      <c r="R10" s="511">
        <f>Q12</f>
        <v>0.95873056393594824</v>
      </c>
      <c r="S10" s="68">
        <v>0.20833333333333334</v>
      </c>
      <c r="T10" s="68">
        <v>0.25138888888888888</v>
      </c>
      <c r="U10" s="284"/>
      <c r="V10" s="292">
        <f t="shared" ref="V10:V11" si="13">(T10-S10)*24*60</f>
        <v>61.999999999999979</v>
      </c>
      <c r="W10" s="69"/>
      <c r="X10" s="69"/>
      <c r="Y10" s="510"/>
      <c r="Z10" s="510"/>
      <c r="AA10" s="66">
        <f t="shared" si="8"/>
        <v>-51.29032258064467</v>
      </c>
      <c r="AB10" s="285">
        <f t="shared" si="9"/>
        <v>0.96580645161290357</v>
      </c>
      <c r="AC10" s="511">
        <f>AB12</f>
        <v>0.95873056393594813</v>
      </c>
    </row>
    <row r="11" spans="1:29" ht="15.75" customHeight="1">
      <c r="A11" s="543" t="s">
        <v>1536</v>
      </c>
      <c r="B11" s="62" t="s">
        <v>10</v>
      </c>
      <c r="C11" s="539" t="s">
        <v>11</v>
      </c>
      <c r="D11" s="540"/>
      <c r="E11" s="62">
        <v>39.799999999999997</v>
      </c>
      <c r="F11" s="293">
        <v>6614</v>
      </c>
      <c r="G11" s="284">
        <f t="shared" si="11"/>
        <v>263237.19999999995</v>
      </c>
      <c r="H11" s="90" t="s">
        <v>5</v>
      </c>
      <c r="I11" s="291">
        <v>17</v>
      </c>
      <c r="J11" s="63">
        <v>1500</v>
      </c>
      <c r="K11" s="64">
        <f t="shared" si="1"/>
        <v>88.235294117647058</v>
      </c>
      <c r="L11" s="291">
        <v>17</v>
      </c>
      <c r="M11" s="65">
        <f t="shared" si="12"/>
        <v>1427.4820143884892</v>
      </c>
      <c r="N11" s="64">
        <f t="shared" si="3"/>
        <v>83.96953025814642</v>
      </c>
      <c r="O11" s="66">
        <f t="shared" si="4"/>
        <v>0</v>
      </c>
      <c r="P11" s="67">
        <f t="shared" si="5"/>
        <v>-4.2657638595006375</v>
      </c>
      <c r="Q11" s="285">
        <f t="shared" si="6"/>
        <v>0.9516546762589928</v>
      </c>
      <c r="R11" s="511"/>
      <c r="S11" s="68">
        <v>0.25694444444444442</v>
      </c>
      <c r="T11" s="68">
        <v>0.44999999999999996</v>
      </c>
      <c r="U11" s="284">
        <f t="shared" ref="U11" si="14">IF(S11=TIME(17,0,0),"",(S11-T10)*24*60)</f>
        <v>7.9999999999999716</v>
      </c>
      <c r="V11" s="292">
        <f t="shared" si="13"/>
        <v>278</v>
      </c>
      <c r="W11" s="69"/>
      <c r="X11" s="69"/>
      <c r="Y11" s="510"/>
      <c r="Z11" s="510"/>
      <c r="AA11" s="66">
        <f t="shared" si="8"/>
        <v>-72.517985611510767</v>
      </c>
      <c r="AB11" s="285">
        <f t="shared" si="9"/>
        <v>0.9516546762589928</v>
      </c>
      <c r="AC11" s="511"/>
    </row>
    <row r="12" spans="1:29" ht="16.5" customHeight="1">
      <c r="A12" s="543" t="s">
        <v>1535</v>
      </c>
      <c r="B12" s="62" t="s">
        <v>1537</v>
      </c>
      <c r="C12" s="513"/>
      <c r="D12" s="513"/>
      <c r="E12" s="286"/>
      <c r="F12" s="63"/>
      <c r="G12" s="65"/>
      <c r="H12" s="293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1438.0958459039223</v>
      </c>
      <c r="N12" s="64">
        <f t="shared" si="3"/>
        <v>77.73491058940121</v>
      </c>
      <c r="O12" s="66">
        <f t="shared" si="4"/>
        <v>0</v>
      </c>
      <c r="P12" s="67">
        <f t="shared" si="5"/>
        <v>-3.3461704916798709</v>
      </c>
      <c r="Q12" s="285">
        <f t="shared" si="6"/>
        <v>0.95873056393594824</v>
      </c>
      <c r="R12" s="511"/>
      <c r="S12" s="68"/>
      <c r="T12" s="68"/>
      <c r="U12" s="64"/>
      <c r="V12" s="292"/>
      <c r="W12" s="64"/>
      <c r="X12" s="64"/>
      <c r="Y12" s="510"/>
      <c r="Z12" s="510"/>
      <c r="AA12" s="66">
        <f t="shared" si="8"/>
        <v>-61.904154096077718</v>
      </c>
      <c r="AB12" s="285">
        <f t="shared" si="9"/>
        <v>0.95873056393594813</v>
      </c>
      <c r="AC12" s="511"/>
    </row>
    <row r="13" spans="1:29" ht="16.5" customHeight="1">
      <c r="A13" s="541" t="s">
        <v>1538</v>
      </c>
      <c r="B13" s="293" t="s">
        <v>13</v>
      </c>
      <c r="C13" s="533" t="s">
        <v>14</v>
      </c>
      <c r="D13" s="533"/>
      <c r="E13" s="62">
        <v>41</v>
      </c>
      <c r="F13" s="293">
        <v>2577</v>
      </c>
      <c r="G13" s="284">
        <f t="shared" ref="G13:G19" si="15">E13*F13</f>
        <v>105657</v>
      </c>
      <c r="H13" s="90" t="s">
        <v>5</v>
      </c>
      <c r="I13" s="291">
        <v>26</v>
      </c>
      <c r="J13" s="63">
        <v>1500</v>
      </c>
      <c r="K13" s="64">
        <f t="shared" si="1"/>
        <v>57.692307692307693</v>
      </c>
      <c r="L13" s="291">
        <v>26</v>
      </c>
      <c r="M13" s="65">
        <f t="shared" ref="M13:M19" si="16">F13/V13*60</f>
        <v>1431.6666666666665</v>
      </c>
      <c r="N13" s="64">
        <f t="shared" si="3"/>
        <v>55.064102564102555</v>
      </c>
      <c r="O13" s="66">
        <f t="shared" si="4"/>
        <v>0</v>
      </c>
      <c r="P13" s="67">
        <f t="shared" si="5"/>
        <v>-2.6282051282051384</v>
      </c>
      <c r="Q13" s="285">
        <f t="shared" si="6"/>
        <v>0.95444444444444432</v>
      </c>
      <c r="R13" s="511">
        <f>Q20</f>
        <v>0.9585008187367976</v>
      </c>
      <c r="S13" s="68">
        <v>0.125</v>
      </c>
      <c r="T13" s="68">
        <v>0.2</v>
      </c>
      <c r="U13" s="284"/>
      <c r="V13" s="292">
        <f t="shared" ref="V13:V19" si="17">(T13-S13)*24*60</f>
        <v>108.00000000000001</v>
      </c>
      <c r="W13" s="69">
        <f>T13</f>
        <v>0.2</v>
      </c>
      <c r="X13" s="69">
        <f>S14</f>
        <v>0.22083333333333335</v>
      </c>
      <c r="Y13" s="510"/>
      <c r="Z13" s="510"/>
      <c r="AA13" s="66">
        <f t="shared" si="8"/>
        <v>-68.333333333333485</v>
      </c>
      <c r="AB13" s="285">
        <f t="shared" si="9"/>
        <v>0.95444444444444432</v>
      </c>
      <c r="AC13" s="511">
        <f>AB20</f>
        <v>0.95850081873679749</v>
      </c>
    </row>
    <row r="14" spans="1:29" ht="16.5" customHeight="1">
      <c r="A14" s="542" t="s">
        <v>1538</v>
      </c>
      <c r="B14" s="293" t="s">
        <v>10</v>
      </c>
      <c r="C14" s="533" t="s">
        <v>15</v>
      </c>
      <c r="D14" s="533"/>
      <c r="E14" s="62">
        <v>39.619999999999997</v>
      </c>
      <c r="F14" s="293">
        <v>4090</v>
      </c>
      <c r="G14" s="284">
        <f t="shared" si="15"/>
        <v>162045.79999999999</v>
      </c>
      <c r="H14" s="90" t="s">
        <v>5</v>
      </c>
      <c r="I14" s="291">
        <v>19</v>
      </c>
      <c r="J14" s="63">
        <v>1500</v>
      </c>
      <c r="K14" s="64">
        <f t="shared" si="1"/>
        <v>78.94736842105263</v>
      </c>
      <c r="L14" s="291">
        <v>19</v>
      </c>
      <c r="M14" s="65">
        <f t="shared" si="16"/>
        <v>1426.7441860465119</v>
      </c>
      <c r="N14" s="64">
        <f t="shared" si="3"/>
        <v>75.091799265605886</v>
      </c>
      <c r="O14" s="66">
        <f t="shared" si="4"/>
        <v>0</v>
      </c>
      <c r="P14" s="67">
        <f t="shared" si="5"/>
        <v>-3.8555691554467444</v>
      </c>
      <c r="Q14" s="285">
        <f t="shared" si="6"/>
        <v>0.95116279069767462</v>
      </c>
      <c r="R14" s="511"/>
      <c r="S14" s="68">
        <v>0.22083333333333335</v>
      </c>
      <c r="T14" s="68">
        <v>0.34027777777777779</v>
      </c>
      <c r="U14" s="284">
        <f t="shared" ref="U14:U19" si="18">IF(S14=TIME(17,0,0),"",(S14-T13)*24*60)</f>
        <v>30.000000000000014</v>
      </c>
      <c r="V14" s="292">
        <f t="shared" si="17"/>
        <v>171.99999999999997</v>
      </c>
      <c r="W14" s="69"/>
      <c r="X14" s="69"/>
      <c r="Y14" s="510"/>
      <c r="Z14" s="510"/>
      <c r="AA14" s="66">
        <f t="shared" si="8"/>
        <v>-73.255813953488087</v>
      </c>
      <c r="AB14" s="285">
        <f t="shared" si="9"/>
        <v>0.95116279069767462</v>
      </c>
      <c r="AC14" s="511"/>
    </row>
    <row r="15" spans="1:29" ht="16.5" customHeight="1">
      <c r="A15" s="542" t="s">
        <v>1538</v>
      </c>
      <c r="B15" s="293" t="s">
        <v>77</v>
      </c>
      <c r="C15" s="533" t="s">
        <v>76</v>
      </c>
      <c r="D15" s="533"/>
      <c r="E15" s="62">
        <v>57.3</v>
      </c>
      <c r="F15" s="293">
        <v>1055</v>
      </c>
      <c r="G15" s="284">
        <f t="shared" si="15"/>
        <v>60451.5</v>
      </c>
      <c r="H15" s="90" t="s">
        <v>5</v>
      </c>
      <c r="I15" s="291">
        <v>16</v>
      </c>
      <c r="J15" s="63">
        <v>1500</v>
      </c>
      <c r="K15" s="64">
        <f t="shared" si="1"/>
        <v>93.75</v>
      </c>
      <c r="L15" s="291">
        <v>16</v>
      </c>
      <c r="M15" s="65">
        <f t="shared" si="16"/>
        <v>1438.6363636363635</v>
      </c>
      <c r="N15" s="64">
        <f t="shared" si="3"/>
        <v>89.91477272727272</v>
      </c>
      <c r="O15" s="66">
        <f t="shared" si="4"/>
        <v>0</v>
      </c>
      <c r="P15" s="67">
        <f t="shared" si="5"/>
        <v>-3.8352272727272805</v>
      </c>
      <c r="Q15" s="285">
        <f t="shared" si="6"/>
        <v>0.95909090909090899</v>
      </c>
      <c r="R15" s="511"/>
      <c r="S15" s="68">
        <v>0.34444444444444444</v>
      </c>
      <c r="T15" s="68">
        <v>0.375</v>
      </c>
      <c r="U15" s="284">
        <f t="shared" si="18"/>
        <v>5.9999999999999787</v>
      </c>
      <c r="V15" s="292">
        <f t="shared" si="17"/>
        <v>44</v>
      </c>
      <c r="W15" s="69"/>
      <c r="X15" s="69"/>
      <c r="Y15" s="510"/>
      <c r="Z15" s="510"/>
      <c r="AA15" s="66">
        <f t="shared" si="8"/>
        <v>-61.363636363636488</v>
      </c>
      <c r="AB15" s="285">
        <f t="shared" si="9"/>
        <v>0.95909090909090899</v>
      </c>
      <c r="AC15" s="511"/>
    </row>
    <row r="16" spans="1:29" ht="16.5" customHeight="1">
      <c r="A16" s="542" t="s">
        <v>1538</v>
      </c>
      <c r="B16" s="293" t="s">
        <v>6</v>
      </c>
      <c r="C16" s="533" t="s">
        <v>890</v>
      </c>
      <c r="D16" s="533"/>
      <c r="E16" s="62">
        <v>50.98</v>
      </c>
      <c r="F16" s="293">
        <v>1300</v>
      </c>
      <c r="G16" s="284">
        <f t="shared" si="15"/>
        <v>66274</v>
      </c>
      <c r="H16" s="90">
        <v>2</v>
      </c>
      <c r="I16" s="291">
        <v>16</v>
      </c>
      <c r="J16" s="63">
        <v>2000</v>
      </c>
      <c r="K16" s="64">
        <f t="shared" si="1"/>
        <v>125</v>
      </c>
      <c r="L16" s="291">
        <v>16</v>
      </c>
      <c r="M16" s="65">
        <f t="shared" si="16"/>
        <v>1902.4390243902433</v>
      </c>
      <c r="N16" s="64">
        <f t="shared" si="3"/>
        <v>118.9024390243902</v>
      </c>
      <c r="O16" s="66">
        <f t="shared" si="4"/>
        <v>0</v>
      </c>
      <c r="P16" s="67">
        <f t="shared" si="5"/>
        <v>-6.0975609756097953</v>
      </c>
      <c r="Q16" s="285">
        <f t="shared" si="6"/>
        <v>0.95121951219512169</v>
      </c>
      <c r="R16" s="511"/>
      <c r="S16" s="68">
        <v>0.70833333333333337</v>
      </c>
      <c r="T16" s="68">
        <v>0.7368055555555556</v>
      </c>
      <c r="U16" s="284" t="str">
        <f t="shared" si="18"/>
        <v/>
      </c>
      <c r="V16" s="292">
        <f t="shared" si="17"/>
        <v>41.000000000000014</v>
      </c>
      <c r="W16" s="69"/>
      <c r="X16" s="69"/>
      <c r="Y16" s="510"/>
      <c r="Z16" s="510"/>
      <c r="AA16" s="66">
        <f t="shared" si="8"/>
        <v>-97.560975609756724</v>
      </c>
      <c r="AB16" s="285">
        <f t="shared" si="9"/>
        <v>0.95121951219512169</v>
      </c>
      <c r="AC16" s="511"/>
    </row>
    <row r="17" spans="1:29" ht="16.5" customHeight="1">
      <c r="A17" s="542" t="s">
        <v>1538</v>
      </c>
      <c r="B17" s="293" t="s">
        <v>6</v>
      </c>
      <c r="C17" s="533" t="s">
        <v>20</v>
      </c>
      <c r="D17" s="533"/>
      <c r="E17" s="62">
        <v>50.92</v>
      </c>
      <c r="F17" s="293">
        <v>1300</v>
      </c>
      <c r="G17" s="284">
        <f t="shared" si="15"/>
        <v>66196</v>
      </c>
      <c r="H17" s="90">
        <v>2</v>
      </c>
      <c r="I17" s="291">
        <v>15</v>
      </c>
      <c r="J17" s="63">
        <v>2000</v>
      </c>
      <c r="K17" s="64">
        <f t="shared" si="1"/>
        <v>133.33333333333334</v>
      </c>
      <c r="L17" s="291">
        <v>15</v>
      </c>
      <c r="M17" s="65">
        <f t="shared" si="16"/>
        <v>1949.9999999999991</v>
      </c>
      <c r="N17" s="64">
        <f t="shared" si="3"/>
        <v>129.99999999999994</v>
      </c>
      <c r="O17" s="66">
        <f t="shared" si="4"/>
        <v>0</v>
      </c>
      <c r="P17" s="67">
        <f t="shared" si="5"/>
        <v>-3.3333333333333997</v>
      </c>
      <c r="Q17" s="285">
        <f t="shared" si="6"/>
        <v>0.97499999999999953</v>
      </c>
      <c r="R17" s="511"/>
      <c r="S17" s="68">
        <v>0.74097222222222225</v>
      </c>
      <c r="T17" s="68">
        <v>0.76875000000000004</v>
      </c>
      <c r="U17" s="284">
        <f t="shared" si="18"/>
        <v>5.9999999999999787</v>
      </c>
      <c r="V17" s="292">
        <f t="shared" si="17"/>
        <v>40.000000000000014</v>
      </c>
      <c r="W17" s="69"/>
      <c r="X17" s="69"/>
      <c r="Y17" s="510"/>
      <c r="Z17" s="510"/>
      <c r="AA17" s="66">
        <f t="shared" si="8"/>
        <v>-50.000000000000909</v>
      </c>
      <c r="AB17" s="285">
        <f t="shared" si="9"/>
        <v>0.97499999999999953</v>
      </c>
      <c r="AC17" s="511"/>
    </row>
    <row r="18" spans="1:29" ht="16.5" customHeight="1">
      <c r="A18" s="542" t="s">
        <v>1538</v>
      </c>
      <c r="B18" s="293" t="s">
        <v>6</v>
      </c>
      <c r="C18" s="534" t="s">
        <v>1462</v>
      </c>
      <c r="D18" s="535"/>
      <c r="E18" s="62">
        <v>51.21</v>
      </c>
      <c r="F18" s="293">
        <v>2200</v>
      </c>
      <c r="G18" s="284">
        <f t="shared" si="15"/>
        <v>112662</v>
      </c>
      <c r="H18" s="90">
        <v>2</v>
      </c>
      <c r="I18" s="291">
        <v>16</v>
      </c>
      <c r="J18" s="63">
        <v>1500</v>
      </c>
      <c r="K18" s="64">
        <f t="shared" si="1"/>
        <v>93.75</v>
      </c>
      <c r="L18" s="291">
        <v>16</v>
      </c>
      <c r="M18" s="65">
        <f t="shared" si="16"/>
        <v>1434.7826086956522</v>
      </c>
      <c r="N18" s="64">
        <f t="shared" si="3"/>
        <v>89.673913043478265</v>
      </c>
      <c r="O18" s="66">
        <f t="shared" si="4"/>
        <v>0</v>
      </c>
      <c r="P18" s="67">
        <f t="shared" si="5"/>
        <v>-4.0760869565217348</v>
      </c>
      <c r="Q18" s="285">
        <f t="shared" si="6"/>
        <v>0.95652173913043481</v>
      </c>
      <c r="R18" s="511"/>
      <c r="S18" s="68">
        <v>0.77361111111111114</v>
      </c>
      <c r="T18" s="68">
        <v>0.83750000000000002</v>
      </c>
      <c r="U18" s="284">
        <f t="shared" si="18"/>
        <v>6.9999999999999751</v>
      </c>
      <c r="V18" s="292">
        <f t="shared" si="17"/>
        <v>92</v>
      </c>
      <c r="W18" s="69">
        <f>T18</f>
        <v>0.83750000000000002</v>
      </c>
      <c r="X18" s="69">
        <f>S19</f>
        <v>0.87569444444444444</v>
      </c>
      <c r="Y18" s="517"/>
      <c r="Z18" s="518"/>
      <c r="AA18" s="66">
        <f t="shared" si="8"/>
        <v>-65.217391304347757</v>
      </c>
      <c r="AB18" s="285">
        <f t="shared" si="9"/>
        <v>0.95652173913043481</v>
      </c>
      <c r="AC18" s="511"/>
    </row>
    <row r="19" spans="1:29" ht="16.5" customHeight="1">
      <c r="A19" s="542" t="s">
        <v>1539</v>
      </c>
      <c r="B19" s="293" t="s">
        <v>6</v>
      </c>
      <c r="C19" s="289" t="s">
        <v>1462</v>
      </c>
      <c r="D19" s="290"/>
      <c r="E19" s="62">
        <v>51.21</v>
      </c>
      <c r="F19" s="293">
        <v>3812</v>
      </c>
      <c r="G19" s="284">
        <f t="shared" si="15"/>
        <v>195212.52</v>
      </c>
      <c r="H19" s="90" t="s">
        <v>5</v>
      </c>
      <c r="I19" s="291">
        <v>16</v>
      </c>
      <c r="J19" s="63">
        <v>1500</v>
      </c>
      <c r="K19" s="64">
        <f t="shared" si="1"/>
        <v>93.75</v>
      </c>
      <c r="L19" s="291">
        <v>16</v>
      </c>
      <c r="M19" s="65">
        <f t="shared" si="16"/>
        <v>1438.4905660377351</v>
      </c>
      <c r="N19" s="64">
        <f t="shared" si="3"/>
        <v>89.905660377358444</v>
      </c>
      <c r="O19" s="66">
        <f t="shared" si="4"/>
        <v>0</v>
      </c>
      <c r="P19" s="67">
        <f t="shared" si="5"/>
        <v>-3.8443396226415558</v>
      </c>
      <c r="Q19" s="285">
        <f t="shared" si="6"/>
        <v>0.95899371069182338</v>
      </c>
      <c r="R19" s="511"/>
      <c r="S19" s="68">
        <v>0.87569444444444444</v>
      </c>
      <c r="T19" s="68">
        <v>0.98611111111111116</v>
      </c>
      <c r="U19" s="284">
        <f t="shared" si="18"/>
        <v>54.999999999999964</v>
      </c>
      <c r="V19" s="292">
        <f t="shared" si="17"/>
        <v>159.00000000000009</v>
      </c>
      <c r="W19" s="69"/>
      <c r="X19" s="69"/>
      <c r="Y19" s="517"/>
      <c r="Z19" s="518"/>
      <c r="AA19" s="66">
        <f t="shared" si="8"/>
        <v>-61.509433962264893</v>
      </c>
      <c r="AB19" s="285">
        <f t="shared" si="9"/>
        <v>0.95899371069182338</v>
      </c>
      <c r="AC19" s="511"/>
    </row>
    <row r="20" spans="1:29" ht="16.5" customHeight="1">
      <c r="A20" s="542" t="s">
        <v>1540</v>
      </c>
      <c r="B20" s="62" t="s">
        <v>1541</v>
      </c>
      <c r="C20" s="513"/>
      <c r="D20" s="513"/>
      <c r="E20" s="286"/>
      <c r="F20" s="71"/>
      <c r="G20" s="64"/>
      <c r="H20" s="293"/>
      <c r="I20" s="72">
        <v>17.714285714285715</v>
      </c>
      <c r="J20" s="63">
        <v>1642.8571428571429</v>
      </c>
      <c r="K20" s="64">
        <f t="shared" si="1"/>
        <v>92.741935483870961</v>
      </c>
      <c r="L20" s="72">
        <v>17.714285714285715</v>
      </c>
      <c r="M20" s="65">
        <f>AVERAGE(M13:M19)</f>
        <v>1574.6799164961674</v>
      </c>
      <c r="N20" s="64">
        <f t="shared" si="3"/>
        <v>88.893221092525579</v>
      </c>
      <c r="O20" s="66">
        <f t="shared" si="4"/>
        <v>0</v>
      </c>
      <c r="P20" s="67">
        <f t="shared" si="5"/>
        <v>-3.8487143913453821</v>
      </c>
      <c r="Q20" s="285">
        <f t="shared" si="6"/>
        <v>0.9585008187367976</v>
      </c>
      <c r="R20" s="511"/>
      <c r="S20" s="68"/>
      <c r="T20" s="68"/>
      <c r="U20" s="284"/>
      <c r="V20" s="292"/>
      <c r="W20" s="64"/>
      <c r="X20" s="64"/>
      <c r="Y20" s="510"/>
      <c r="Z20" s="510"/>
      <c r="AA20" s="66">
        <f t="shared" si="8"/>
        <v>-68.17722636097551</v>
      </c>
      <c r="AB20" s="285">
        <f t="shared" si="9"/>
        <v>0.95850081873679749</v>
      </c>
      <c r="AC20" s="511"/>
    </row>
    <row r="21" spans="1:29" ht="15.75" customHeight="1">
      <c r="A21" s="537" t="s">
        <v>1542</v>
      </c>
      <c r="B21" s="62" t="s">
        <v>13</v>
      </c>
      <c r="C21" s="533" t="s">
        <v>21</v>
      </c>
      <c r="D21" s="533"/>
      <c r="E21" s="62">
        <v>43.14</v>
      </c>
      <c r="F21" s="293">
        <v>1357</v>
      </c>
      <c r="G21" s="284">
        <f t="shared" ref="G21:G29" si="19">E21*F21</f>
        <v>58540.98</v>
      </c>
      <c r="H21" s="90" t="s">
        <v>5</v>
      </c>
      <c r="I21" s="291">
        <v>17</v>
      </c>
      <c r="J21" s="63">
        <v>2000</v>
      </c>
      <c r="K21" s="64">
        <f t="shared" si="1"/>
        <v>117.64705882352941</v>
      </c>
      <c r="L21" s="291">
        <v>17</v>
      </c>
      <c r="M21" s="65">
        <f t="shared" ref="M21:M29" si="20">F21/V21*60</f>
        <v>1938.5714285714278</v>
      </c>
      <c r="N21" s="64">
        <f t="shared" si="3"/>
        <v>114.03361344537811</v>
      </c>
      <c r="O21" s="66">
        <f t="shared" si="4"/>
        <v>0</v>
      </c>
      <c r="P21" s="67">
        <f t="shared" si="5"/>
        <v>-3.6134453781512974</v>
      </c>
      <c r="Q21" s="285">
        <f t="shared" si="6"/>
        <v>0.96928571428571397</v>
      </c>
      <c r="R21" s="511">
        <f>Q30</f>
        <v>0.96164799374955434</v>
      </c>
      <c r="S21" s="68">
        <v>0.20833333333333334</v>
      </c>
      <c r="T21" s="68">
        <v>0.23750000000000002</v>
      </c>
      <c r="U21" s="284"/>
      <c r="V21" s="292">
        <f t="shared" ref="V21:V29" si="21">(T21-S21)*24*60</f>
        <v>42.000000000000014</v>
      </c>
      <c r="W21" s="73"/>
      <c r="X21" s="73"/>
      <c r="Y21" s="510"/>
      <c r="Z21" s="510"/>
      <c r="AA21" s="66">
        <f t="shared" si="8"/>
        <v>-61.428571428572241</v>
      </c>
      <c r="AB21" s="285">
        <f t="shared" si="9"/>
        <v>0.96928571428571386</v>
      </c>
      <c r="AC21" s="511">
        <f>AB30</f>
        <v>0.96164799374955434</v>
      </c>
    </row>
    <row r="22" spans="1:29" ht="15.75" customHeight="1">
      <c r="A22" s="538" t="s">
        <v>1542</v>
      </c>
      <c r="B22" s="62" t="s">
        <v>77</v>
      </c>
      <c r="C22" s="533" t="s">
        <v>980</v>
      </c>
      <c r="D22" s="533"/>
      <c r="E22" s="62">
        <v>49.9</v>
      </c>
      <c r="F22" s="293">
        <v>2290</v>
      </c>
      <c r="G22" s="284">
        <f t="shared" si="19"/>
        <v>114271</v>
      </c>
      <c r="H22" s="90" t="s">
        <v>5</v>
      </c>
      <c r="I22" s="291">
        <v>19</v>
      </c>
      <c r="J22" s="63">
        <v>2000</v>
      </c>
      <c r="K22" s="64">
        <f t="shared" si="1"/>
        <v>105.26315789473684</v>
      </c>
      <c r="L22" s="291">
        <v>19</v>
      </c>
      <c r="M22" s="65">
        <f t="shared" si="20"/>
        <v>1908.3333333333337</v>
      </c>
      <c r="N22" s="64">
        <f t="shared" si="3"/>
        <v>100.4385964912281</v>
      </c>
      <c r="O22" s="66">
        <f t="shared" si="4"/>
        <v>0</v>
      </c>
      <c r="P22" s="67">
        <f t="shared" si="5"/>
        <v>-4.8245614035087385</v>
      </c>
      <c r="Q22" s="285">
        <f t="shared" si="6"/>
        <v>0.95416666666666694</v>
      </c>
      <c r="R22" s="511"/>
      <c r="S22" s="68">
        <v>0.24236111111111114</v>
      </c>
      <c r="T22" s="68">
        <v>0.29236111111111113</v>
      </c>
      <c r="U22" s="284">
        <f t="shared" ref="U22:U29" si="22">IF(S22=TIME(17,0,0),"",(S22-T21)*24*60)</f>
        <v>7.0000000000000151</v>
      </c>
      <c r="V22" s="292">
        <f t="shared" si="21"/>
        <v>71.999999999999986</v>
      </c>
      <c r="W22" s="69"/>
      <c r="X22" s="284"/>
      <c r="Y22" s="510"/>
      <c r="Z22" s="510"/>
      <c r="AA22" s="66">
        <f t="shared" si="8"/>
        <v>-91.666666666666288</v>
      </c>
      <c r="AB22" s="285">
        <f t="shared" si="9"/>
        <v>0.95416666666666683</v>
      </c>
      <c r="AC22" s="511"/>
    </row>
    <row r="23" spans="1:29" ht="15.75" customHeight="1">
      <c r="A23" s="538" t="s">
        <v>1542</v>
      </c>
      <c r="B23" s="62" t="s">
        <v>6</v>
      </c>
      <c r="C23" s="533" t="s">
        <v>22</v>
      </c>
      <c r="D23" s="533"/>
      <c r="E23" s="62">
        <v>57.73</v>
      </c>
      <c r="F23" s="293">
        <v>2842</v>
      </c>
      <c r="G23" s="284">
        <f t="shared" si="19"/>
        <v>164068.66</v>
      </c>
      <c r="H23" s="90" t="s">
        <v>5</v>
      </c>
      <c r="I23" s="291">
        <v>14</v>
      </c>
      <c r="J23" s="63">
        <v>2000</v>
      </c>
      <c r="K23" s="64">
        <f t="shared" si="1"/>
        <v>142.85714285714286</v>
      </c>
      <c r="L23" s="291">
        <v>14</v>
      </c>
      <c r="M23" s="65">
        <f t="shared" si="20"/>
        <v>1915.9550561797753</v>
      </c>
      <c r="N23" s="64">
        <f t="shared" si="3"/>
        <v>136.85393258426967</v>
      </c>
      <c r="O23" s="66">
        <f t="shared" si="4"/>
        <v>0</v>
      </c>
      <c r="P23" s="67">
        <f t="shared" si="5"/>
        <v>-6.00321027287319</v>
      </c>
      <c r="Q23" s="285">
        <f t="shared" si="6"/>
        <v>0.95797752808988768</v>
      </c>
      <c r="R23" s="511"/>
      <c r="S23" s="68">
        <v>0.29791666666666666</v>
      </c>
      <c r="T23" s="68">
        <v>0.35972222222222222</v>
      </c>
      <c r="U23" s="284">
        <f t="shared" si="22"/>
        <v>7.9999999999999716</v>
      </c>
      <c r="V23" s="292">
        <f t="shared" si="21"/>
        <v>89</v>
      </c>
      <c r="W23" s="69"/>
      <c r="X23" s="284"/>
      <c r="Y23" s="510"/>
      <c r="Z23" s="510"/>
      <c r="AA23" s="66">
        <f t="shared" si="8"/>
        <v>-84.044943820224717</v>
      </c>
      <c r="AB23" s="285">
        <f t="shared" si="9"/>
        <v>0.95797752808988768</v>
      </c>
      <c r="AC23" s="511"/>
    </row>
    <row r="24" spans="1:29" ht="15.75" customHeight="1">
      <c r="A24" s="538" t="s">
        <v>1542</v>
      </c>
      <c r="B24" s="62" t="s">
        <v>6</v>
      </c>
      <c r="C24" s="533" t="s">
        <v>23</v>
      </c>
      <c r="D24" s="533"/>
      <c r="E24" s="62">
        <v>53.68</v>
      </c>
      <c r="F24" s="293">
        <v>1769</v>
      </c>
      <c r="G24" s="284">
        <f t="shared" si="19"/>
        <v>94959.92</v>
      </c>
      <c r="H24" s="90" t="s">
        <v>5</v>
      </c>
      <c r="I24" s="291">
        <v>16</v>
      </c>
      <c r="J24" s="63">
        <v>2000</v>
      </c>
      <c r="K24" s="64">
        <f t="shared" si="1"/>
        <v>125</v>
      </c>
      <c r="L24" s="291">
        <v>16</v>
      </c>
      <c r="M24" s="65">
        <f t="shared" si="20"/>
        <v>1929.8181818181831</v>
      </c>
      <c r="N24" s="64">
        <f t="shared" si="3"/>
        <v>120.61363636363645</v>
      </c>
      <c r="O24" s="66">
        <f t="shared" si="4"/>
        <v>0</v>
      </c>
      <c r="P24" s="67">
        <f t="shared" si="5"/>
        <v>-4.386363636363555</v>
      </c>
      <c r="Q24" s="285">
        <f t="shared" si="6"/>
        <v>0.9649090909090916</v>
      </c>
      <c r="R24" s="511"/>
      <c r="S24" s="68">
        <v>0.36388888888888887</v>
      </c>
      <c r="T24" s="68">
        <v>0.40208333333333329</v>
      </c>
      <c r="U24" s="284">
        <f t="shared" si="22"/>
        <v>5.9999999999999787</v>
      </c>
      <c r="V24" s="292">
        <f t="shared" si="21"/>
        <v>54.999999999999964</v>
      </c>
      <c r="W24" s="69"/>
      <c r="X24" s="284"/>
      <c r="Y24" s="510"/>
      <c r="Z24" s="510"/>
      <c r="AA24" s="66">
        <f t="shared" si="8"/>
        <v>-70.18181818181688</v>
      </c>
      <c r="AB24" s="285">
        <f t="shared" si="9"/>
        <v>0.9649090909090916</v>
      </c>
      <c r="AC24" s="511"/>
    </row>
    <row r="25" spans="1:29" ht="15.75" customHeight="1">
      <c r="A25" s="538" t="s">
        <v>157</v>
      </c>
      <c r="B25" s="62" t="s">
        <v>6</v>
      </c>
      <c r="C25" s="533" t="s">
        <v>971</v>
      </c>
      <c r="D25" s="533"/>
      <c r="E25" s="62">
        <v>49.91</v>
      </c>
      <c r="F25" s="293">
        <v>1886</v>
      </c>
      <c r="G25" s="284">
        <f t="shared" si="19"/>
        <v>94130.26</v>
      </c>
      <c r="H25" s="90" t="s">
        <v>5</v>
      </c>
      <c r="I25" s="291">
        <v>19</v>
      </c>
      <c r="J25" s="63">
        <v>2000</v>
      </c>
      <c r="K25" s="64">
        <f t="shared" si="1"/>
        <v>105.26315789473684</v>
      </c>
      <c r="L25" s="291">
        <v>19</v>
      </c>
      <c r="M25" s="65">
        <f t="shared" si="20"/>
        <v>1917.9661016949144</v>
      </c>
      <c r="N25" s="64">
        <f t="shared" si="3"/>
        <v>100.94558429973233</v>
      </c>
      <c r="O25" s="66">
        <f t="shared" si="4"/>
        <v>0</v>
      </c>
      <c r="P25" s="67">
        <f t="shared" si="5"/>
        <v>-4.3175735950045038</v>
      </c>
      <c r="Q25" s="285">
        <f t="shared" si="6"/>
        <v>0.95898305084745716</v>
      </c>
      <c r="R25" s="511"/>
      <c r="S25" s="68">
        <v>0.40694444444444439</v>
      </c>
      <c r="T25" s="68">
        <v>0.44791666666666663</v>
      </c>
      <c r="U25" s="284">
        <f t="shared" si="22"/>
        <v>6.9999999999999751</v>
      </c>
      <c r="V25" s="292">
        <f t="shared" si="21"/>
        <v>59.000000000000028</v>
      </c>
      <c r="W25" s="69"/>
      <c r="X25" s="284"/>
      <c r="Y25" s="510"/>
      <c r="Z25" s="510"/>
      <c r="AA25" s="66">
        <f t="shared" si="8"/>
        <v>-82.033898305085586</v>
      </c>
      <c r="AB25" s="285">
        <f t="shared" si="9"/>
        <v>0.95898305084745716</v>
      </c>
      <c r="AC25" s="511"/>
    </row>
    <row r="26" spans="1:29" ht="15.75" customHeight="1">
      <c r="A26" s="538" t="s">
        <v>1542</v>
      </c>
      <c r="B26" s="62" t="s">
        <v>6</v>
      </c>
      <c r="C26" s="533" t="s">
        <v>24</v>
      </c>
      <c r="D26" s="533"/>
      <c r="E26" s="62">
        <v>54.09</v>
      </c>
      <c r="F26" s="293">
        <v>2264</v>
      </c>
      <c r="G26" s="284">
        <f t="shared" si="19"/>
        <v>122459.76000000001</v>
      </c>
      <c r="H26" s="90" t="s">
        <v>5</v>
      </c>
      <c r="I26" s="291">
        <v>19</v>
      </c>
      <c r="J26" s="63">
        <v>2000</v>
      </c>
      <c r="K26" s="64">
        <f t="shared" si="1"/>
        <v>105.26315789473684</v>
      </c>
      <c r="L26" s="291">
        <v>19</v>
      </c>
      <c r="M26" s="65">
        <f t="shared" si="20"/>
        <v>1913.2394366197163</v>
      </c>
      <c r="N26" s="64">
        <f t="shared" si="3"/>
        <v>100.69681245366928</v>
      </c>
      <c r="O26" s="66">
        <f t="shared" si="4"/>
        <v>0</v>
      </c>
      <c r="P26" s="67">
        <f t="shared" si="5"/>
        <v>-4.5663454410675541</v>
      </c>
      <c r="Q26" s="285">
        <f t="shared" si="6"/>
        <v>0.95661971830985826</v>
      </c>
      <c r="R26" s="511"/>
      <c r="S26" s="68">
        <v>0.70833333333333337</v>
      </c>
      <c r="T26" s="68">
        <v>0.75763888888888897</v>
      </c>
      <c r="U26" s="284" t="str">
        <f t="shared" si="22"/>
        <v/>
      </c>
      <c r="V26" s="292">
        <f t="shared" si="21"/>
        <v>71.000000000000071</v>
      </c>
      <c r="W26" s="69"/>
      <c r="X26" s="73"/>
      <c r="Y26" s="510"/>
      <c r="Z26" s="510"/>
      <c r="AA26" s="66">
        <f t="shared" si="8"/>
        <v>-86.760563380283656</v>
      </c>
      <c r="AB26" s="285">
        <f t="shared" si="9"/>
        <v>0.95661971830985815</v>
      </c>
      <c r="AC26" s="511"/>
    </row>
    <row r="27" spans="1:29" ht="15.75" customHeight="1">
      <c r="A27" s="538" t="s">
        <v>157</v>
      </c>
      <c r="B27" s="62" t="s">
        <v>6</v>
      </c>
      <c r="C27" s="533" t="s">
        <v>82</v>
      </c>
      <c r="D27" s="533"/>
      <c r="E27" s="62">
        <v>57.73</v>
      </c>
      <c r="F27" s="293">
        <v>2141</v>
      </c>
      <c r="G27" s="284">
        <f t="shared" si="19"/>
        <v>123599.93</v>
      </c>
      <c r="H27" s="90" t="s">
        <v>5</v>
      </c>
      <c r="I27" s="291">
        <v>16</v>
      </c>
      <c r="J27" s="63">
        <v>1500</v>
      </c>
      <c r="K27" s="64">
        <f t="shared" si="1"/>
        <v>93.75</v>
      </c>
      <c r="L27" s="291">
        <v>16</v>
      </c>
      <c r="M27" s="65">
        <f t="shared" si="20"/>
        <v>1443.370786516854</v>
      </c>
      <c r="N27" s="64">
        <f t="shared" si="3"/>
        <v>90.210674157303373</v>
      </c>
      <c r="O27" s="66">
        <f t="shared" si="4"/>
        <v>0</v>
      </c>
      <c r="P27" s="67">
        <f t="shared" si="5"/>
        <v>-3.539325842696627</v>
      </c>
      <c r="Q27" s="285">
        <f t="shared" si="6"/>
        <v>0.96224719101123601</v>
      </c>
      <c r="R27" s="511"/>
      <c r="S27" s="68">
        <v>0.76111111111111118</v>
      </c>
      <c r="T27" s="68">
        <v>0.82291666666666674</v>
      </c>
      <c r="U27" s="284">
        <f t="shared" si="22"/>
        <v>4.9999999999999822</v>
      </c>
      <c r="V27" s="292">
        <f t="shared" si="21"/>
        <v>89</v>
      </c>
      <c r="W27" s="69"/>
      <c r="X27" s="73"/>
      <c r="Y27" s="517"/>
      <c r="Z27" s="518"/>
      <c r="AA27" s="66">
        <f t="shared" si="8"/>
        <v>-56.629213483146032</v>
      </c>
      <c r="AB27" s="285">
        <f t="shared" si="9"/>
        <v>0.96224719101123601</v>
      </c>
      <c r="AC27" s="511"/>
    </row>
    <row r="28" spans="1:29" ht="15.75" customHeight="1">
      <c r="A28" s="538" t="s">
        <v>1542</v>
      </c>
      <c r="B28" s="62" t="s">
        <v>6</v>
      </c>
      <c r="C28" s="534" t="s">
        <v>81</v>
      </c>
      <c r="D28" s="535"/>
      <c r="E28" s="62">
        <v>50.67</v>
      </c>
      <c r="F28" s="293">
        <v>1000</v>
      </c>
      <c r="G28" s="284">
        <f t="shared" si="19"/>
        <v>50670</v>
      </c>
      <c r="H28" s="90">
        <v>2</v>
      </c>
      <c r="I28" s="291">
        <v>15</v>
      </c>
      <c r="J28" s="63">
        <v>2000</v>
      </c>
      <c r="K28" s="64">
        <f t="shared" si="1"/>
        <v>133.33333333333334</v>
      </c>
      <c r="L28" s="291">
        <v>15</v>
      </c>
      <c r="M28" s="65">
        <f t="shared" si="20"/>
        <v>1935.483870967739</v>
      </c>
      <c r="N28" s="64">
        <f t="shared" si="3"/>
        <v>129.03225806451593</v>
      </c>
      <c r="O28" s="66">
        <f t="shared" si="4"/>
        <v>0</v>
      </c>
      <c r="P28" s="67">
        <f t="shared" si="5"/>
        <v>-4.3010752688174136</v>
      </c>
      <c r="Q28" s="285">
        <f t="shared" si="6"/>
        <v>0.96774193548386944</v>
      </c>
      <c r="R28" s="511"/>
      <c r="S28" s="68">
        <v>0.82638888888888895</v>
      </c>
      <c r="T28" s="68">
        <v>0.84791666666666676</v>
      </c>
      <c r="U28" s="284">
        <f t="shared" si="22"/>
        <v>4.9999999999999822</v>
      </c>
      <c r="V28" s="292">
        <f t="shared" si="21"/>
        <v>31.00000000000005</v>
      </c>
      <c r="W28" s="69">
        <f>T28</f>
        <v>0.84791666666666676</v>
      </c>
      <c r="X28" s="69">
        <f>S29</f>
        <v>0.88750000000000007</v>
      </c>
      <c r="Y28" s="517"/>
      <c r="Z28" s="518"/>
      <c r="AA28" s="66">
        <f t="shared" si="8"/>
        <v>-64.516129032261006</v>
      </c>
      <c r="AB28" s="285">
        <f t="shared" si="9"/>
        <v>0.96774193548386944</v>
      </c>
      <c r="AC28" s="511"/>
    </row>
    <row r="29" spans="1:29" ht="15.75" customHeight="1">
      <c r="A29" s="538" t="s">
        <v>1543</v>
      </c>
      <c r="B29" s="62" t="s">
        <v>6</v>
      </c>
      <c r="C29" s="534" t="s">
        <v>81</v>
      </c>
      <c r="D29" s="535"/>
      <c r="E29" s="62">
        <v>50.67</v>
      </c>
      <c r="F29" s="293">
        <v>1894</v>
      </c>
      <c r="G29" s="284">
        <f t="shared" si="19"/>
        <v>95968.98000000001</v>
      </c>
      <c r="H29" s="90" t="s">
        <v>5</v>
      </c>
      <c r="I29" s="291">
        <v>15</v>
      </c>
      <c r="J29" s="63">
        <v>2000</v>
      </c>
      <c r="K29" s="64">
        <f t="shared" si="1"/>
        <v>133.33333333333334</v>
      </c>
      <c r="L29" s="291">
        <v>15</v>
      </c>
      <c r="M29" s="65">
        <f t="shared" si="20"/>
        <v>1926.1016949152558</v>
      </c>
      <c r="N29" s="64">
        <f t="shared" si="3"/>
        <v>128.40677966101705</v>
      </c>
      <c r="O29" s="66">
        <f t="shared" si="4"/>
        <v>0</v>
      </c>
      <c r="P29" s="67">
        <f t="shared" si="5"/>
        <v>-4.9265536723162882</v>
      </c>
      <c r="Q29" s="285">
        <f t="shared" si="6"/>
        <v>0.96305084745762781</v>
      </c>
      <c r="R29" s="511"/>
      <c r="S29" s="68">
        <v>0.88750000000000007</v>
      </c>
      <c r="T29" s="68">
        <v>0.92847222222222225</v>
      </c>
      <c r="U29" s="284">
        <f t="shared" si="22"/>
        <v>56.999999999999957</v>
      </c>
      <c r="V29" s="292">
        <f t="shared" si="21"/>
        <v>58.99999999999995</v>
      </c>
      <c r="W29" s="69"/>
      <c r="X29" s="69"/>
      <c r="Y29" s="517"/>
      <c r="Z29" s="518"/>
      <c r="AA29" s="66">
        <f t="shared" si="8"/>
        <v>-73.898305084744152</v>
      </c>
      <c r="AB29" s="285">
        <f t="shared" si="9"/>
        <v>0.96305084745762792</v>
      </c>
      <c r="AC29" s="511"/>
    </row>
    <row r="30" spans="1:29" ht="15.75" customHeight="1">
      <c r="A30" s="538" t="s">
        <v>1543</v>
      </c>
      <c r="B30" s="62" t="s">
        <v>79</v>
      </c>
      <c r="C30" s="513"/>
      <c r="D30" s="513"/>
      <c r="E30" s="286"/>
      <c r="F30" s="293"/>
      <c r="G30" s="284"/>
      <c r="H30" s="293"/>
      <c r="I30" s="72">
        <v>16.666666666666668</v>
      </c>
      <c r="J30" s="63">
        <v>1944.4444444444443</v>
      </c>
      <c r="K30" s="64">
        <f t="shared" si="1"/>
        <v>116.66666666666666</v>
      </c>
      <c r="L30" s="72">
        <v>16.666666666666668</v>
      </c>
      <c r="M30" s="65">
        <f>AVERAGE(M21:M29)</f>
        <v>1869.8710989574668</v>
      </c>
      <c r="N30" s="64">
        <f t="shared" si="3"/>
        <v>112.192265937448</v>
      </c>
      <c r="O30" s="66">
        <f t="shared" si="4"/>
        <v>0</v>
      </c>
      <c r="P30" s="67">
        <f t="shared" si="5"/>
        <v>-4.4744007292186581</v>
      </c>
      <c r="Q30" s="285">
        <f t="shared" si="6"/>
        <v>0.96164799374955434</v>
      </c>
      <c r="R30" s="511"/>
      <c r="S30" s="68"/>
      <c r="T30" s="68"/>
      <c r="U30" s="64"/>
      <c r="V30" s="292"/>
      <c r="W30" s="64"/>
      <c r="X30" s="64"/>
      <c r="Y30" s="510"/>
      <c r="Z30" s="510"/>
      <c r="AA30" s="66">
        <f t="shared" si="8"/>
        <v>-74.573345486977587</v>
      </c>
      <c r="AB30" s="285">
        <f t="shared" si="9"/>
        <v>0.96164799374955434</v>
      </c>
      <c r="AC30" s="511"/>
    </row>
    <row r="31" spans="1:29" ht="15.75" customHeight="1">
      <c r="A31" s="536" t="s">
        <v>1544</v>
      </c>
      <c r="B31" s="62" t="s">
        <v>16</v>
      </c>
      <c r="C31" s="533" t="s">
        <v>30</v>
      </c>
      <c r="D31" s="533"/>
      <c r="E31" s="62">
        <v>31.29</v>
      </c>
      <c r="F31" s="293">
        <v>4600</v>
      </c>
      <c r="G31" s="284">
        <f t="shared" ref="G31:G38" si="23">E31*F31</f>
        <v>143934</v>
      </c>
      <c r="H31" s="90">
        <v>2</v>
      </c>
      <c r="I31" s="291">
        <v>18</v>
      </c>
      <c r="J31" s="63">
        <v>2400</v>
      </c>
      <c r="K31" s="64">
        <f t="shared" si="1"/>
        <v>133.33333333333334</v>
      </c>
      <c r="L31" s="291">
        <v>18</v>
      </c>
      <c r="M31" s="65">
        <f t="shared" ref="M31:M38" si="24">F31/V31*60</f>
        <v>2300</v>
      </c>
      <c r="N31" s="64">
        <f t="shared" si="3"/>
        <v>127.77777777777777</v>
      </c>
      <c r="O31" s="66">
        <f t="shared" si="4"/>
        <v>0</v>
      </c>
      <c r="P31" s="67">
        <f t="shared" si="5"/>
        <v>-5.5555555555555713</v>
      </c>
      <c r="Q31" s="285">
        <f t="shared" si="6"/>
        <v>0.95833333333333326</v>
      </c>
      <c r="R31" s="511">
        <f>Q39</f>
        <v>0.95611862855085117</v>
      </c>
      <c r="S31" s="68">
        <v>8.3333333333333329E-2</v>
      </c>
      <c r="T31" s="68">
        <v>0.16666666666666666</v>
      </c>
      <c r="U31" s="284"/>
      <c r="V31" s="292">
        <f t="shared" ref="V31:V38" si="25">(T31-S31)*24*60</f>
        <v>120</v>
      </c>
      <c r="W31" s="69">
        <f>T31</f>
        <v>0.16666666666666666</v>
      </c>
      <c r="X31" s="69">
        <f>S32</f>
        <v>0.1847222222222222</v>
      </c>
      <c r="Y31" s="510"/>
      <c r="Z31" s="510"/>
      <c r="AA31" s="66">
        <f t="shared" si="8"/>
        <v>-100</v>
      </c>
      <c r="AB31" s="285">
        <f t="shared" si="9"/>
        <v>0.95833333333333337</v>
      </c>
      <c r="AC31" s="511">
        <f>AB39</f>
        <v>0.95611862855085117</v>
      </c>
    </row>
    <row r="32" spans="1:29" ht="15.75" customHeight="1">
      <c r="A32" s="536" t="s">
        <v>1544</v>
      </c>
      <c r="B32" s="62" t="s">
        <v>16</v>
      </c>
      <c r="C32" s="533" t="s">
        <v>28</v>
      </c>
      <c r="D32" s="533"/>
      <c r="E32" s="62">
        <v>26.18</v>
      </c>
      <c r="F32" s="293">
        <v>3372</v>
      </c>
      <c r="G32" s="284">
        <f t="shared" si="23"/>
        <v>88278.959999999992</v>
      </c>
      <c r="H32" s="90" t="s">
        <v>5</v>
      </c>
      <c r="I32" s="291">
        <v>19</v>
      </c>
      <c r="J32" s="63">
        <v>2400</v>
      </c>
      <c r="K32" s="64">
        <f t="shared" si="1"/>
        <v>126.31578947368421</v>
      </c>
      <c r="L32" s="291">
        <v>19</v>
      </c>
      <c r="M32" s="65">
        <f t="shared" si="24"/>
        <v>2299.090909090909</v>
      </c>
      <c r="N32" s="64">
        <f t="shared" si="3"/>
        <v>121.00478468899522</v>
      </c>
      <c r="O32" s="66">
        <f t="shared" si="4"/>
        <v>0</v>
      </c>
      <c r="P32" s="67">
        <f t="shared" si="5"/>
        <v>-5.3110047846889898</v>
      </c>
      <c r="Q32" s="285">
        <f t="shared" si="6"/>
        <v>0.9579545454545455</v>
      </c>
      <c r="R32" s="511"/>
      <c r="S32" s="68">
        <v>0.1847222222222222</v>
      </c>
      <c r="T32" s="68">
        <v>0.24583333333333332</v>
      </c>
      <c r="U32" s="284">
        <f t="shared" ref="U32:U38" si="26">(S32-T31)*24*60</f>
        <v>25.999999999999986</v>
      </c>
      <c r="V32" s="292">
        <f t="shared" si="25"/>
        <v>88</v>
      </c>
      <c r="W32" s="69"/>
      <c r="X32" s="69"/>
      <c r="Y32" s="510"/>
      <c r="Z32" s="510"/>
      <c r="AA32" s="66">
        <f t="shared" si="8"/>
        <v>-100.90909090909099</v>
      </c>
      <c r="AB32" s="285">
        <f t="shared" si="9"/>
        <v>0.95795454545454539</v>
      </c>
      <c r="AC32" s="511"/>
    </row>
    <row r="33" spans="1:29" ht="15.75" customHeight="1">
      <c r="A33" s="536" t="s">
        <v>1544</v>
      </c>
      <c r="B33" s="62" t="s">
        <v>16</v>
      </c>
      <c r="C33" s="533" t="s">
        <v>25</v>
      </c>
      <c r="D33" s="533"/>
      <c r="E33" s="62">
        <v>26.2</v>
      </c>
      <c r="F33" s="293">
        <v>3800</v>
      </c>
      <c r="G33" s="284">
        <f t="shared" si="23"/>
        <v>99560</v>
      </c>
      <c r="H33" s="90">
        <v>2</v>
      </c>
      <c r="I33" s="291">
        <v>20</v>
      </c>
      <c r="J33" s="63">
        <v>2400</v>
      </c>
      <c r="K33" s="64">
        <f t="shared" si="1"/>
        <v>120</v>
      </c>
      <c r="L33" s="291">
        <v>20</v>
      </c>
      <c r="M33" s="65">
        <f t="shared" si="24"/>
        <v>2303.0303030303039</v>
      </c>
      <c r="N33" s="64">
        <f t="shared" si="3"/>
        <v>115.1515151515152</v>
      </c>
      <c r="O33" s="66">
        <f t="shared" si="4"/>
        <v>0</v>
      </c>
      <c r="P33" s="67">
        <f t="shared" si="5"/>
        <v>-4.8484848484848015</v>
      </c>
      <c r="Q33" s="285">
        <f t="shared" si="6"/>
        <v>0.95959595959596</v>
      </c>
      <c r="R33" s="511"/>
      <c r="S33" s="68">
        <v>0.25</v>
      </c>
      <c r="T33" s="68">
        <v>0.31874999999999998</v>
      </c>
      <c r="U33" s="284">
        <f t="shared" si="26"/>
        <v>6.0000000000000187</v>
      </c>
      <c r="V33" s="292">
        <f t="shared" si="25"/>
        <v>98.999999999999972</v>
      </c>
      <c r="W33" s="69"/>
      <c r="X33" s="69"/>
      <c r="Y33" s="510"/>
      <c r="Z33" s="510"/>
      <c r="AA33" s="66">
        <f t="shared" si="8"/>
        <v>-96.969696969696088</v>
      </c>
      <c r="AB33" s="285">
        <f t="shared" si="9"/>
        <v>0.95959595959596</v>
      </c>
      <c r="AC33" s="511"/>
    </row>
    <row r="34" spans="1:29" ht="15.75" customHeight="1">
      <c r="A34" s="536" t="s">
        <v>1544</v>
      </c>
      <c r="B34" s="62" t="s">
        <v>16</v>
      </c>
      <c r="C34" s="533" t="s">
        <v>83</v>
      </c>
      <c r="D34" s="533"/>
      <c r="E34" s="62">
        <v>25.99</v>
      </c>
      <c r="F34" s="293">
        <v>3600</v>
      </c>
      <c r="G34" s="284">
        <f t="shared" si="23"/>
        <v>93564</v>
      </c>
      <c r="H34" s="90">
        <v>2</v>
      </c>
      <c r="I34" s="291">
        <v>14</v>
      </c>
      <c r="J34" s="63">
        <v>2400</v>
      </c>
      <c r="K34" s="64">
        <f t="shared" si="1"/>
        <v>171.42857142857142</v>
      </c>
      <c r="L34" s="291">
        <v>14</v>
      </c>
      <c r="M34" s="65">
        <f t="shared" si="24"/>
        <v>2297.872340425532</v>
      </c>
      <c r="N34" s="64">
        <f t="shared" si="3"/>
        <v>164.13373860182372</v>
      </c>
      <c r="O34" s="66">
        <f t="shared" si="4"/>
        <v>0</v>
      </c>
      <c r="P34" s="67">
        <f t="shared" si="5"/>
        <v>-7.2948328267476938</v>
      </c>
      <c r="Q34" s="285">
        <f t="shared" si="6"/>
        <v>0.95744680851063846</v>
      </c>
      <c r="R34" s="511"/>
      <c r="S34" s="68">
        <v>0.32430555555555551</v>
      </c>
      <c r="T34" s="68">
        <v>0.38958333333333328</v>
      </c>
      <c r="U34" s="284">
        <f t="shared" si="26"/>
        <v>7.9999999999999716</v>
      </c>
      <c r="V34" s="292">
        <f t="shared" si="25"/>
        <v>93.999999999999986</v>
      </c>
      <c r="W34" s="69"/>
      <c r="X34" s="69"/>
      <c r="Y34" s="510"/>
      <c r="Z34" s="510"/>
      <c r="AA34" s="66">
        <f t="shared" si="8"/>
        <v>-102.127659574468</v>
      </c>
      <c r="AB34" s="285">
        <f t="shared" si="9"/>
        <v>0.95744680851063835</v>
      </c>
      <c r="AC34" s="511"/>
    </row>
    <row r="35" spans="1:29" ht="15.75" customHeight="1">
      <c r="A35" s="536" t="s">
        <v>1544</v>
      </c>
      <c r="B35" s="62" t="s">
        <v>16</v>
      </c>
      <c r="C35" s="533" t="s">
        <v>982</v>
      </c>
      <c r="D35" s="533"/>
      <c r="E35" s="62">
        <v>25.98</v>
      </c>
      <c r="F35" s="293">
        <v>4781</v>
      </c>
      <c r="G35" s="284">
        <f t="shared" si="23"/>
        <v>124210.38</v>
      </c>
      <c r="H35" s="90" t="s">
        <v>5</v>
      </c>
      <c r="I35" s="291">
        <v>21</v>
      </c>
      <c r="J35" s="63">
        <v>2400</v>
      </c>
      <c r="K35" s="64">
        <f t="shared" si="1"/>
        <v>114.28571428571429</v>
      </c>
      <c r="L35" s="291">
        <v>21</v>
      </c>
      <c r="M35" s="65">
        <f t="shared" si="24"/>
        <v>2294.8799999999992</v>
      </c>
      <c r="N35" s="64">
        <f t="shared" si="3"/>
        <v>109.27999999999996</v>
      </c>
      <c r="O35" s="66">
        <f t="shared" si="4"/>
        <v>0</v>
      </c>
      <c r="P35" s="67">
        <f t="shared" si="5"/>
        <v>-5.0057142857143333</v>
      </c>
      <c r="Q35" s="285">
        <f t="shared" si="6"/>
        <v>0.95619999999999961</v>
      </c>
      <c r="R35" s="511"/>
      <c r="S35" s="68">
        <v>0.39513888888888882</v>
      </c>
      <c r="T35" s="68">
        <v>0.4819444444444444</v>
      </c>
      <c r="U35" s="284">
        <f t="shared" si="26"/>
        <v>7.9999999999999716</v>
      </c>
      <c r="V35" s="292">
        <f t="shared" si="25"/>
        <v>125.00000000000003</v>
      </c>
      <c r="W35" s="69">
        <f>T35</f>
        <v>0.4819444444444444</v>
      </c>
      <c r="X35" s="69">
        <f>S36</f>
        <v>0.52361111111111103</v>
      </c>
      <c r="Y35" s="510"/>
      <c r="Z35" s="510"/>
      <c r="AA35" s="66">
        <f t="shared" si="8"/>
        <v>-105.1200000000008</v>
      </c>
      <c r="AB35" s="285">
        <f t="shared" si="9"/>
        <v>0.95619999999999972</v>
      </c>
      <c r="AC35" s="511"/>
    </row>
    <row r="36" spans="1:29" ht="15.75" customHeight="1">
      <c r="A36" s="536" t="s">
        <v>1544</v>
      </c>
      <c r="B36" s="62" t="s">
        <v>16</v>
      </c>
      <c r="C36" s="533" t="s">
        <v>30</v>
      </c>
      <c r="D36" s="533"/>
      <c r="E36" s="62">
        <v>31.29</v>
      </c>
      <c r="F36" s="293">
        <v>6002</v>
      </c>
      <c r="G36" s="284">
        <f t="shared" si="23"/>
        <v>187802.58</v>
      </c>
      <c r="H36" s="90" t="s">
        <v>5</v>
      </c>
      <c r="I36" s="291">
        <v>18</v>
      </c>
      <c r="J36" s="63">
        <v>2400</v>
      </c>
      <c r="K36" s="64">
        <f t="shared" si="1"/>
        <v>133.33333333333334</v>
      </c>
      <c r="L36" s="291">
        <v>18</v>
      </c>
      <c r="M36" s="65">
        <f t="shared" si="24"/>
        <v>2293.7579617834408</v>
      </c>
      <c r="N36" s="64">
        <f t="shared" si="3"/>
        <v>127.43099787685782</v>
      </c>
      <c r="O36" s="66">
        <f t="shared" si="4"/>
        <v>0</v>
      </c>
      <c r="P36" s="67">
        <f t="shared" si="5"/>
        <v>-5.9023354564755266</v>
      </c>
      <c r="Q36" s="285">
        <f t="shared" si="6"/>
        <v>0.95573248407643352</v>
      </c>
      <c r="R36" s="511"/>
      <c r="S36" s="68">
        <v>0.52361111111111103</v>
      </c>
      <c r="T36" s="68">
        <v>0.63263888888888875</v>
      </c>
      <c r="U36" s="284">
        <f t="shared" si="26"/>
        <v>59.999999999999943</v>
      </c>
      <c r="V36" s="292">
        <f t="shared" si="25"/>
        <v>156.99999999999991</v>
      </c>
      <c r="W36" s="69"/>
      <c r="X36" s="69"/>
      <c r="Y36" s="510"/>
      <c r="Z36" s="510"/>
      <c r="AA36" s="66">
        <f t="shared" si="8"/>
        <v>-106.24203821655919</v>
      </c>
      <c r="AB36" s="285">
        <f t="shared" si="9"/>
        <v>0.95573248407643363</v>
      </c>
      <c r="AC36" s="511"/>
    </row>
    <row r="37" spans="1:29" ht="15.75" customHeight="1">
      <c r="A37" s="536" t="s">
        <v>1544</v>
      </c>
      <c r="B37" s="62" t="s">
        <v>16</v>
      </c>
      <c r="C37" s="533" t="s">
        <v>25</v>
      </c>
      <c r="D37" s="533"/>
      <c r="E37" s="62">
        <v>26.2</v>
      </c>
      <c r="F37" s="293">
        <v>2472</v>
      </c>
      <c r="G37" s="284">
        <f t="shared" si="23"/>
        <v>64766.400000000001</v>
      </c>
      <c r="H37" s="90" t="s">
        <v>5</v>
      </c>
      <c r="I37" s="291">
        <v>20</v>
      </c>
      <c r="J37" s="63">
        <v>2400</v>
      </c>
      <c r="K37" s="64">
        <f t="shared" si="1"/>
        <v>120</v>
      </c>
      <c r="L37" s="291">
        <v>20</v>
      </c>
      <c r="M37" s="65">
        <f t="shared" si="24"/>
        <v>2281.8461538461565</v>
      </c>
      <c r="N37" s="64">
        <f t="shared" si="3"/>
        <v>114.09230769230783</v>
      </c>
      <c r="O37" s="66">
        <f t="shared" si="4"/>
        <v>0</v>
      </c>
      <c r="P37" s="67">
        <f t="shared" si="5"/>
        <v>-5.907692307692173</v>
      </c>
      <c r="Q37" s="285">
        <f t="shared" si="6"/>
        <v>0.95076923076923192</v>
      </c>
      <c r="R37" s="511"/>
      <c r="S37" s="68">
        <v>0.63611111111111096</v>
      </c>
      <c r="T37" s="68">
        <v>0.6812499999999998</v>
      </c>
      <c r="U37" s="284">
        <f t="shared" si="26"/>
        <v>4.9999999999999822</v>
      </c>
      <c r="V37" s="292">
        <f t="shared" si="25"/>
        <v>64.999999999999929</v>
      </c>
      <c r="W37" s="69"/>
      <c r="X37" s="69"/>
      <c r="Y37" s="510"/>
      <c r="Z37" s="510"/>
      <c r="AA37" s="66">
        <f t="shared" si="8"/>
        <v>-118.15384615384346</v>
      </c>
      <c r="AB37" s="285">
        <f t="shared" si="9"/>
        <v>0.95076923076923192</v>
      </c>
      <c r="AC37" s="511"/>
    </row>
    <row r="38" spans="1:29" ht="15.75" customHeight="1">
      <c r="A38" s="536" t="s">
        <v>1544</v>
      </c>
      <c r="B38" s="62" t="s">
        <v>16</v>
      </c>
      <c r="C38" s="533" t="s">
        <v>83</v>
      </c>
      <c r="D38" s="533"/>
      <c r="E38" s="62">
        <v>25.99</v>
      </c>
      <c r="F38" s="293">
        <v>2287</v>
      </c>
      <c r="G38" s="284">
        <f t="shared" si="23"/>
        <v>59439.13</v>
      </c>
      <c r="H38" s="90" t="s">
        <v>5</v>
      </c>
      <c r="I38" s="291">
        <v>14</v>
      </c>
      <c r="J38" s="63">
        <v>2400</v>
      </c>
      <c r="K38" s="64">
        <f t="shared" si="1"/>
        <v>171.42857142857142</v>
      </c>
      <c r="L38" s="291">
        <v>14</v>
      </c>
      <c r="M38" s="65">
        <f t="shared" si="24"/>
        <v>2287.0000000000023</v>
      </c>
      <c r="N38" s="64">
        <f t="shared" si="3"/>
        <v>163.35714285714303</v>
      </c>
      <c r="O38" s="66">
        <f t="shared" si="4"/>
        <v>0</v>
      </c>
      <c r="P38" s="67">
        <f t="shared" si="5"/>
        <v>-8.0714285714283847</v>
      </c>
      <c r="Q38" s="285">
        <f t="shared" si="6"/>
        <v>0.95291666666666774</v>
      </c>
      <c r="R38" s="511"/>
      <c r="S38" s="68">
        <v>0.68680555555555534</v>
      </c>
      <c r="T38" s="68">
        <v>0.72847222222222197</v>
      </c>
      <c r="U38" s="284">
        <f t="shared" si="26"/>
        <v>7.9999999999999716</v>
      </c>
      <c r="V38" s="292">
        <f t="shared" si="25"/>
        <v>59.999999999999943</v>
      </c>
      <c r="W38" s="69"/>
      <c r="X38" s="69"/>
      <c r="Y38" s="510"/>
      <c r="Z38" s="510"/>
      <c r="AA38" s="66">
        <f t="shared" si="8"/>
        <v>-112.99999999999773</v>
      </c>
      <c r="AB38" s="285">
        <f t="shared" si="9"/>
        <v>0.95291666666666763</v>
      </c>
      <c r="AC38" s="511"/>
    </row>
    <row r="39" spans="1:29" ht="15.75" customHeight="1">
      <c r="A39" s="536" t="s">
        <v>1544</v>
      </c>
      <c r="B39" s="62" t="s">
        <v>1541</v>
      </c>
      <c r="C39" s="513"/>
      <c r="D39" s="513"/>
      <c r="E39" s="286"/>
      <c r="F39" s="293"/>
      <c r="G39" s="284"/>
      <c r="H39" s="293"/>
      <c r="I39" s="72">
        <v>18</v>
      </c>
      <c r="J39" s="63">
        <v>2400</v>
      </c>
      <c r="K39" s="64">
        <f t="shared" si="1"/>
        <v>133.33333333333334</v>
      </c>
      <c r="L39" s="72">
        <v>18</v>
      </c>
      <c r="M39" s="65">
        <f>AVERAGE(M31:M38)</f>
        <v>2294.6847085220429</v>
      </c>
      <c r="N39" s="64">
        <f t="shared" si="3"/>
        <v>127.48248380678017</v>
      </c>
      <c r="O39" s="66">
        <f t="shared" si="4"/>
        <v>0</v>
      </c>
      <c r="P39" s="67">
        <f t="shared" si="5"/>
        <v>-5.8508495265531764</v>
      </c>
      <c r="Q39" s="285">
        <f t="shared" si="6"/>
        <v>0.95611862855085117</v>
      </c>
      <c r="R39" s="511"/>
      <c r="S39" s="68"/>
      <c r="T39" s="68"/>
      <c r="U39" s="284"/>
      <c r="V39" s="292"/>
      <c r="W39" s="284"/>
      <c r="X39" s="284"/>
      <c r="Y39" s="510"/>
      <c r="Z39" s="510"/>
      <c r="AA39" s="66">
        <f t="shared" si="8"/>
        <v>-105.31529147795709</v>
      </c>
      <c r="AB39" s="285">
        <f t="shared" si="9"/>
        <v>0.95611862855085117</v>
      </c>
      <c r="AC39" s="511"/>
    </row>
    <row r="40" spans="1:29" ht="15.75" customHeight="1">
      <c r="A40" s="531" t="s">
        <v>1545</v>
      </c>
      <c r="B40" s="62" t="s">
        <v>16</v>
      </c>
      <c r="C40" s="512" t="s">
        <v>31</v>
      </c>
      <c r="D40" s="512"/>
      <c r="E40" s="62">
        <v>26.2</v>
      </c>
      <c r="F40" s="293">
        <v>3500</v>
      </c>
      <c r="G40" s="284">
        <f t="shared" ref="G40:G47" si="27">E40*F40</f>
        <v>91700</v>
      </c>
      <c r="H40" s="90">
        <v>2</v>
      </c>
      <c r="I40" s="291">
        <v>18</v>
      </c>
      <c r="J40" s="63">
        <v>2400</v>
      </c>
      <c r="K40" s="64">
        <f t="shared" si="1"/>
        <v>133.33333333333334</v>
      </c>
      <c r="L40" s="291">
        <v>18</v>
      </c>
      <c r="M40" s="65">
        <f t="shared" ref="M40:M47" si="28">F40/V40*60</f>
        <v>2282.608695652174</v>
      </c>
      <c r="N40" s="64">
        <f t="shared" si="3"/>
        <v>126.81159420289856</v>
      </c>
      <c r="O40" s="66">
        <f t="shared" si="4"/>
        <v>0</v>
      </c>
      <c r="P40" s="67">
        <f t="shared" si="5"/>
        <v>-6.5217391304347814</v>
      </c>
      <c r="Q40" s="285">
        <f t="shared" si="6"/>
        <v>0.95108695652173914</v>
      </c>
      <c r="R40" s="511">
        <f>Q48</f>
        <v>0.9557370700814648</v>
      </c>
      <c r="S40" s="68">
        <v>8.3333333333333329E-2</v>
      </c>
      <c r="T40" s="68">
        <v>0.14722222222222223</v>
      </c>
      <c r="U40" s="284"/>
      <c r="V40" s="292">
        <f t="shared" ref="V40:V47" si="29">(T40-S40)*24*60</f>
        <v>92.000000000000014</v>
      </c>
      <c r="W40" s="73">
        <f>T40</f>
        <v>0.14722222222222223</v>
      </c>
      <c r="X40" s="73">
        <f>S41</f>
        <v>0.16597222222222222</v>
      </c>
      <c r="Y40" s="510"/>
      <c r="Z40" s="510"/>
      <c r="AA40" s="66">
        <f t="shared" si="8"/>
        <v>-117.39130434782601</v>
      </c>
      <c r="AB40" s="285">
        <f t="shared" si="9"/>
        <v>0.95108695652173914</v>
      </c>
      <c r="AC40" s="511">
        <f>AB48</f>
        <v>0.95573707008146491</v>
      </c>
    </row>
    <row r="41" spans="1:29" ht="15.75" customHeight="1">
      <c r="A41" s="531" t="s">
        <v>1545</v>
      </c>
      <c r="B41" s="62" t="s">
        <v>16</v>
      </c>
      <c r="C41" s="512" t="s">
        <v>32</v>
      </c>
      <c r="D41" s="512"/>
      <c r="E41" s="62">
        <v>26.39</v>
      </c>
      <c r="F41" s="293">
        <v>4700</v>
      </c>
      <c r="G41" s="284">
        <f t="shared" si="27"/>
        <v>124033</v>
      </c>
      <c r="H41" s="90">
        <v>2</v>
      </c>
      <c r="I41" s="291">
        <v>19</v>
      </c>
      <c r="J41" s="63">
        <v>2400</v>
      </c>
      <c r="K41" s="64">
        <f t="shared" si="1"/>
        <v>126.31578947368421</v>
      </c>
      <c r="L41" s="291">
        <v>19</v>
      </c>
      <c r="M41" s="65">
        <f t="shared" si="28"/>
        <v>2292.6829268292686</v>
      </c>
      <c r="N41" s="64">
        <f t="shared" si="3"/>
        <v>120.66752246469835</v>
      </c>
      <c r="O41" s="66">
        <f t="shared" si="4"/>
        <v>0</v>
      </c>
      <c r="P41" s="67">
        <f t="shared" si="5"/>
        <v>-5.6482670089858544</v>
      </c>
      <c r="Q41" s="285">
        <f t="shared" si="6"/>
        <v>0.9552845528455286</v>
      </c>
      <c r="R41" s="511"/>
      <c r="S41" s="68">
        <v>0.16597222222222222</v>
      </c>
      <c r="T41" s="68">
        <v>0.25138888888888888</v>
      </c>
      <c r="U41" s="284">
        <f t="shared" ref="U41:U47" si="30">(S41-T40)*24*60</f>
        <v>26.999999999999986</v>
      </c>
      <c r="V41" s="292">
        <f t="shared" si="29"/>
        <v>122.99999999999999</v>
      </c>
      <c r="W41" s="284"/>
      <c r="X41" s="284"/>
      <c r="Y41" s="510"/>
      <c r="Z41" s="510"/>
      <c r="AA41" s="66">
        <f t="shared" si="8"/>
        <v>-107.31707317073142</v>
      </c>
      <c r="AB41" s="285">
        <f t="shared" si="9"/>
        <v>0.9552845528455286</v>
      </c>
      <c r="AC41" s="511"/>
    </row>
    <row r="42" spans="1:29">
      <c r="A42" s="532" t="s">
        <v>1545</v>
      </c>
      <c r="B42" s="62" t="s">
        <v>16</v>
      </c>
      <c r="C42" s="512" t="s">
        <v>50</v>
      </c>
      <c r="D42" s="512"/>
      <c r="E42" s="62">
        <v>20.52</v>
      </c>
      <c r="F42" s="293">
        <v>5365</v>
      </c>
      <c r="G42" s="284">
        <f t="shared" si="27"/>
        <v>110089.8</v>
      </c>
      <c r="H42" s="90" t="s">
        <v>5</v>
      </c>
      <c r="I42" s="291">
        <v>18</v>
      </c>
      <c r="J42" s="63">
        <v>2400</v>
      </c>
      <c r="K42" s="64">
        <f t="shared" si="1"/>
        <v>133.33333333333334</v>
      </c>
      <c r="L42" s="291">
        <v>18</v>
      </c>
      <c r="M42" s="65">
        <f t="shared" si="28"/>
        <v>2282.9787234042556</v>
      </c>
      <c r="N42" s="64">
        <f t="shared" si="3"/>
        <v>126.83215130023642</v>
      </c>
      <c r="O42" s="66">
        <f t="shared" si="4"/>
        <v>0</v>
      </c>
      <c r="P42" s="67">
        <f t="shared" si="5"/>
        <v>-6.5011820330969243</v>
      </c>
      <c r="Q42" s="285">
        <f t="shared" si="6"/>
        <v>0.95124113475177308</v>
      </c>
      <c r="R42" s="511"/>
      <c r="S42" s="68">
        <v>0.25555555555555554</v>
      </c>
      <c r="T42" s="68">
        <v>0.35347222222222219</v>
      </c>
      <c r="U42" s="284">
        <f t="shared" si="30"/>
        <v>5.9999999999999787</v>
      </c>
      <c r="V42" s="292">
        <f t="shared" si="29"/>
        <v>140.99999999999997</v>
      </c>
      <c r="W42" s="284"/>
      <c r="X42" s="284"/>
      <c r="Y42" s="510"/>
      <c r="Z42" s="510"/>
      <c r="AA42" s="66">
        <f t="shared" si="8"/>
        <v>-117.02127659574444</v>
      </c>
      <c r="AB42" s="285">
        <f t="shared" si="9"/>
        <v>0.95124113475177319</v>
      </c>
      <c r="AC42" s="511"/>
    </row>
    <row r="43" spans="1:29">
      <c r="A43" s="532" t="s">
        <v>1545</v>
      </c>
      <c r="B43" s="62" t="s">
        <v>16</v>
      </c>
      <c r="C43" s="512" t="s">
        <v>18</v>
      </c>
      <c r="D43" s="512"/>
      <c r="E43" s="62">
        <v>22.35</v>
      </c>
      <c r="F43" s="293">
        <v>2075</v>
      </c>
      <c r="G43" s="284">
        <f t="shared" si="27"/>
        <v>46376.25</v>
      </c>
      <c r="H43" s="90" t="s">
        <v>5</v>
      </c>
      <c r="I43" s="291">
        <v>16</v>
      </c>
      <c r="J43" s="63">
        <v>2400</v>
      </c>
      <c r="K43" s="64">
        <f t="shared" si="1"/>
        <v>150</v>
      </c>
      <c r="L43" s="291">
        <v>16</v>
      </c>
      <c r="M43" s="65">
        <f t="shared" si="28"/>
        <v>2305.5555555555566</v>
      </c>
      <c r="N43" s="64">
        <f t="shared" si="3"/>
        <v>144.09722222222229</v>
      </c>
      <c r="O43" s="66">
        <f t="shared" si="4"/>
        <v>0</v>
      </c>
      <c r="P43" s="67">
        <f t="shared" si="5"/>
        <v>-5.9027777777777146</v>
      </c>
      <c r="Q43" s="285">
        <f t="shared" si="6"/>
        <v>0.96064814814814858</v>
      </c>
      <c r="R43" s="511"/>
      <c r="S43" s="68">
        <v>0.35833333333333328</v>
      </c>
      <c r="T43" s="68">
        <v>0.39583333333333326</v>
      </c>
      <c r="U43" s="284">
        <f t="shared" si="30"/>
        <v>6.9999999999999751</v>
      </c>
      <c r="V43" s="292">
        <f t="shared" si="29"/>
        <v>53.999999999999972</v>
      </c>
      <c r="W43" s="69"/>
      <c r="X43" s="69"/>
      <c r="Y43" s="510"/>
      <c r="Z43" s="510"/>
      <c r="AA43" s="66">
        <f t="shared" si="8"/>
        <v>-94.444444444443434</v>
      </c>
      <c r="AB43" s="285">
        <f t="shared" si="9"/>
        <v>0.96064814814814858</v>
      </c>
      <c r="AC43" s="511"/>
    </row>
    <row r="44" spans="1:29">
      <c r="A44" s="532" t="s">
        <v>1545</v>
      </c>
      <c r="B44" s="62" t="s">
        <v>16</v>
      </c>
      <c r="C44" s="512" t="s">
        <v>33</v>
      </c>
      <c r="D44" s="512"/>
      <c r="E44" s="62">
        <v>24.43</v>
      </c>
      <c r="F44" s="293">
        <v>5500</v>
      </c>
      <c r="G44" s="284">
        <f t="shared" si="27"/>
        <v>134365</v>
      </c>
      <c r="H44" s="90">
        <v>2</v>
      </c>
      <c r="I44" s="291">
        <v>14</v>
      </c>
      <c r="J44" s="63">
        <v>2400</v>
      </c>
      <c r="K44" s="64">
        <f t="shared" si="1"/>
        <v>171.42857142857142</v>
      </c>
      <c r="L44" s="291">
        <v>14</v>
      </c>
      <c r="M44" s="65">
        <f t="shared" si="28"/>
        <v>2291.666666666667</v>
      </c>
      <c r="N44" s="64">
        <f t="shared" si="3"/>
        <v>163.6904761904762</v>
      </c>
      <c r="O44" s="66">
        <f t="shared" si="4"/>
        <v>0</v>
      </c>
      <c r="P44" s="67">
        <f t="shared" si="5"/>
        <v>-7.7380952380952124</v>
      </c>
      <c r="Q44" s="285">
        <f t="shared" si="6"/>
        <v>0.95486111111111127</v>
      </c>
      <c r="R44" s="511"/>
      <c r="S44" s="68">
        <v>0.39930555555555547</v>
      </c>
      <c r="T44" s="68">
        <v>0.49930555555555545</v>
      </c>
      <c r="U44" s="284">
        <f t="shared" si="30"/>
        <v>4.9999999999999822</v>
      </c>
      <c r="V44" s="292">
        <f t="shared" si="29"/>
        <v>143.99999999999997</v>
      </c>
      <c r="W44" s="69">
        <f>T44</f>
        <v>0.49930555555555545</v>
      </c>
      <c r="X44" s="69">
        <f>S45</f>
        <v>0.54166666666666652</v>
      </c>
      <c r="Y44" s="510"/>
      <c r="Z44" s="510"/>
      <c r="AA44" s="66">
        <f t="shared" si="8"/>
        <v>-108.33333333333303</v>
      </c>
      <c r="AB44" s="285">
        <f t="shared" si="9"/>
        <v>0.95486111111111127</v>
      </c>
      <c r="AC44" s="511"/>
    </row>
    <row r="45" spans="1:29">
      <c r="A45" s="532" t="s">
        <v>1545</v>
      </c>
      <c r="B45" s="62" t="s">
        <v>16</v>
      </c>
      <c r="C45" s="512" t="s">
        <v>31</v>
      </c>
      <c r="D45" s="512"/>
      <c r="E45" s="62">
        <v>26.2</v>
      </c>
      <c r="F45" s="293">
        <v>4457</v>
      </c>
      <c r="G45" s="284">
        <f t="shared" si="27"/>
        <v>116773.4</v>
      </c>
      <c r="H45" s="90" t="s">
        <v>5</v>
      </c>
      <c r="I45" s="291">
        <v>18</v>
      </c>
      <c r="J45" s="63">
        <v>2400</v>
      </c>
      <c r="K45" s="64">
        <f t="shared" si="1"/>
        <v>133.33333333333334</v>
      </c>
      <c r="L45" s="291">
        <v>18</v>
      </c>
      <c r="M45" s="65">
        <f t="shared" si="28"/>
        <v>2285.6410256410245</v>
      </c>
      <c r="N45" s="64">
        <f t="shared" si="3"/>
        <v>126.98005698005691</v>
      </c>
      <c r="O45" s="66">
        <f t="shared" si="4"/>
        <v>0</v>
      </c>
      <c r="P45" s="67">
        <f t="shared" si="5"/>
        <v>-6.3532763532764278</v>
      </c>
      <c r="Q45" s="285">
        <f t="shared" si="6"/>
        <v>0.95235042735042674</v>
      </c>
      <c r="R45" s="511"/>
      <c r="S45" s="68">
        <v>0.54166666666666652</v>
      </c>
      <c r="T45" s="68">
        <v>0.62291666666666656</v>
      </c>
      <c r="U45" s="284">
        <f t="shared" si="30"/>
        <v>60.999999999999943</v>
      </c>
      <c r="V45" s="292">
        <f t="shared" si="29"/>
        <v>117.00000000000006</v>
      </c>
      <c r="W45" s="69"/>
      <c r="X45" s="69"/>
      <c r="Y45" s="510"/>
      <c r="Z45" s="510"/>
      <c r="AA45" s="66">
        <f t="shared" si="8"/>
        <v>-114.3589743589755</v>
      </c>
      <c r="AB45" s="285">
        <f t="shared" si="9"/>
        <v>0.95235042735042685</v>
      </c>
      <c r="AC45" s="511"/>
    </row>
    <row r="46" spans="1:29">
      <c r="A46" s="532" t="s">
        <v>1545</v>
      </c>
      <c r="B46" s="62" t="s">
        <v>16</v>
      </c>
      <c r="C46" s="512" t="s">
        <v>33</v>
      </c>
      <c r="D46" s="512"/>
      <c r="E46" s="62">
        <v>24.43</v>
      </c>
      <c r="F46" s="293">
        <v>3863</v>
      </c>
      <c r="G46" s="284">
        <f t="shared" si="27"/>
        <v>94373.09</v>
      </c>
      <c r="H46" s="90" t="s">
        <v>5</v>
      </c>
      <c r="I46" s="291">
        <v>14</v>
      </c>
      <c r="J46" s="63">
        <v>2400</v>
      </c>
      <c r="K46" s="64">
        <f t="shared" si="1"/>
        <v>171.42857142857142</v>
      </c>
      <c r="L46" s="291">
        <v>14</v>
      </c>
      <c r="M46" s="65">
        <f t="shared" si="28"/>
        <v>2294.8514851485161</v>
      </c>
      <c r="N46" s="64">
        <f t="shared" si="3"/>
        <v>163.91796322489401</v>
      </c>
      <c r="O46" s="66">
        <f t="shared" si="4"/>
        <v>0</v>
      </c>
      <c r="P46" s="67">
        <f t="shared" si="5"/>
        <v>-7.5106082036774069</v>
      </c>
      <c r="Q46" s="285">
        <f t="shared" si="6"/>
        <v>0.95618811881188182</v>
      </c>
      <c r="R46" s="511"/>
      <c r="S46" s="68">
        <v>0.62638888888888877</v>
      </c>
      <c r="T46" s="68">
        <v>0.69652777777777763</v>
      </c>
      <c r="U46" s="284">
        <f t="shared" si="30"/>
        <v>4.9999999999999822</v>
      </c>
      <c r="V46" s="292">
        <f t="shared" si="29"/>
        <v>100.99999999999996</v>
      </c>
      <c r="W46" s="69"/>
      <c r="X46" s="69"/>
      <c r="Y46" s="517"/>
      <c r="Z46" s="518"/>
      <c r="AA46" s="66">
        <f t="shared" si="8"/>
        <v>-105.14851485148392</v>
      </c>
      <c r="AB46" s="285">
        <f t="shared" si="9"/>
        <v>0.9561881188118817</v>
      </c>
      <c r="AC46" s="511"/>
    </row>
    <row r="47" spans="1:29">
      <c r="A47" s="532" t="s">
        <v>1545</v>
      </c>
      <c r="B47" s="62" t="s">
        <v>16</v>
      </c>
      <c r="C47" s="512" t="s">
        <v>32</v>
      </c>
      <c r="D47" s="512"/>
      <c r="E47" s="62">
        <v>26.39</v>
      </c>
      <c r="F47" s="293">
        <v>2777</v>
      </c>
      <c r="G47" s="284">
        <f t="shared" si="27"/>
        <v>73285.03</v>
      </c>
      <c r="H47" s="90" t="s">
        <v>5</v>
      </c>
      <c r="I47" s="291">
        <v>19</v>
      </c>
      <c r="J47" s="63">
        <v>2400</v>
      </c>
      <c r="K47" s="64">
        <f t="shared" si="1"/>
        <v>126.31578947368421</v>
      </c>
      <c r="L47" s="291">
        <v>19</v>
      </c>
      <c r="M47" s="65">
        <f t="shared" si="28"/>
        <v>2314.1666666666647</v>
      </c>
      <c r="N47" s="64">
        <f t="shared" si="3"/>
        <v>121.79824561403498</v>
      </c>
      <c r="O47" s="66">
        <f t="shared" si="4"/>
        <v>0</v>
      </c>
      <c r="P47" s="67">
        <f t="shared" si="5"/>
        <v>-4.5175438596492228</v>
      </c>
      <c r="Q47" s="285">
        <f t="shared" si="6"/>
        <v>0.96423611111111029</v>
      </c>
      <c r="R47" s="511"/>
      <c r="S47" s="68">
        <v>0.70069444444444429</v>
      </c>
      <c r="T47" s="68">
        <v>0.75069444444444433</v>
      </c>
      <c r="U47" s="284">
        <f t="shared" si="30"/>
        <v>5.9999999999999787</v>
      </c>
      <c r="V47" s="292">
        <f t="shared" si="29"/>
        <v>72.000000000000057</v>
      </c>
      <c r="W47" s="69"/>
      <c r="X47" s="69"/>
      <c r="Y47" s="517"/>
      <c r="Z47" s="518"/>
      <c r="AA47" s="66">
        <f t="shared" si="8"/>
        <v>-85.833333333335304</v>
      </c>
      <c r="AB47" s="285">
        <f t="shared" si="9"/>
        <v>0.96423611111111029</v>
      </c>
      <c r="AC47" s="511"/>
    </row>
    <row r="48" spans="1:29">
      <c r="A48" s="532" t="s">
        <v>1545</v>
      </c>
      <c r="B48" s="71" t="s">
        <v>1541</v>
      </c>
      <c r="C48" s="513"/>
      <c r="D48" s="513"/>
      <c r="E48" s="286"/>
      <c r="F48" s="71"/>
      <c r="G48" s="64"/>
      <c r="H48" s="293"/>
      <c r="I48" s="72">
        <v>17</v>
      </c>
      <c r="J48" s="63">
        <v>2400</v>
      </c>
      <c r="K48" s="64">
        <f t="shared" si="1"/>
        <v>141.1764705882353</v>
      </c>
      <c r="L48" s="72">
        <v>17</v>
      </c>
      <c r="M48" s="65">
        <f>AVERAGE(M40:M47)</f>
        <v>2293.7689681955158</v>
      </c>
      <c r="N48" s="64">
        <f t="shared" si="3"/>
        <v>134.92758636444211</v>
      </c>
      <c r="O48" s="66">
        <f t="shared" si="4"/>
        <v>0</v>
      </c>
      <c r="P48" s="67">
        <f t="shared" si="5"/>
        <v>-6.2488842237931976</v>
      </c>
      <c r="Q48" s="285">
        <f t="shared" si="6"/>
        <v>0.9557370700814648</v>
      </c>
      <c r="R48" s="511"/>
      <c r="S48" s="68"/>
      <c r="T48" s="68"/>
      <c r="U48" s="64"/>
      <c r="V48" s="292"/>
      <c r="W48" s="64"/>
      <c r="X48" s="64"/>
      <c r="Y48" s="510"/>
      <c r="Z48" s="510"/>
      <c r="AA48" s="66">
        <f t="shared" si="8"/>
        <v>-106.23103180448425</v>
      </c>
      <c r="AB48" s="285">
        <f t="shared" si="9"/>
        <v>0.95573707008146491</v>
      </c>
      <c r="AC48" s="511"/>
    </row>
    <row r="49" spans="1:29" ht="15.75" customHeight="1">
      <c r="A49" s="525" t="s">
        <v>1546</v>
      </c>
      <c r="B49" s="62" t="s">
        <v>35</v>
      </c>
      <c r="C49" s="521" t="s">
        <v>36</v>
      </c>
      <c r="D49" s="522"/>
      <c r="E49" s="62">
        <v>21.13</v>
      </c>
      <c r="F49" s="293">
        <v>5750</v>
      </c>
      <c r="G49" s="284">
        <f t="shared" ref="G49:G57" si="31">E49*F49</f>
        <v>121497.5</v>
      </c>
      <c r="H49" s="90" t="s">
        <v>5</v>
      </c>
      <c r="I49" s="291">
        <v>10</v>
      </c>
      <c r="J49" s="63">
        <v>3000</v>
      </c>
      <c r="K49" s="64">
        <f t="shared" si="1"/>
        <v>300</v>
      </c>
      <c r="L49" s="291">
        <v>10</v>
      </c>
      <c r="M49" s="65">
        <f t="shared" ref="M49:M57" si="32">F49/V49*60</f>
        <v>2875</v>
      </c>
      <c r="N49" s="65">
        <f t="shared" si="3"/>
        <v>287.5</v>
      </c>
      <c r="O49" s="66">
        <f t="shared" si="4"/>
        <v>0</v>
      </c>
      <c r="P49" s="67">
        <f t="shared" si="5"/>
        <v>-12.5</v>
      </c>
      <c r="Q49" s="285">
        <f t="shared" si="6"/>
        <v>0.95833333333333337</v>
      </c>
      <c r="R49" s="528">
        <f>Q58</f>
        <v>0.9584870543271643</v>
      </c>
      <c r="S49" s="68">
        <v>8.3333333333333329E-2</v>
      </c>
      <c r="T49" s="68">
        <v>0.16666666666666666</v>
      </c>
      <c r="U49" s="73"/>
      <c r="V49" s="292">
        <f t="shared" ref="V49:V57" si="33">(T49-S49)*24*60</f>
        <v>120</v>
      </c>
      <c r="W49" s="69">
        <f>T49</f>
        <v>0.16666666666666666</v>
      </c>
      <c r="X49" s="69">
        <f>S50</f>
        <v>0.18611111111111112</v>
      </c>
      <c r="Y49" s="517"/>
      <c r="Z49" s="518"/>
      <c r="AA49" s="66">
        <f t="shared" si="8"/>
        <v>-125</v>
      </c>
      <c r="AB49" s="285">
        <f t="shared" si="9"/>
        <v>0.95833333333333337</v>
      </c>
      <c r="AC49" s="528">
        <f>AB58</f>
        <v>0.9584870543271643</v>
      </c>
    </row>
    <row r="50" spans="1:29" ht="15.75" customHeight="1">
      <c r="A50" s="526" t="s">
        <v>1546</v>
      </c>
      <c r="B50" s="62" t="s">
        <v>35</v>
      </c>
      <c r="C50" s="521" t="s">
        <v>37</v>
      </c>
      <c r="D50" s="522"/>
      <c r="E50" s="62">
        <v>27.17</v>
      </c>
      <c r="F50" s="293">
        <v>4300</v>
      </c>
      <c r="G50" s="284">
        <f t="shared" si="31"/>
        <v>116831.00000000001</v>
      </c>
      <c r="H50" s="90">
        <v>2</v>
      </c>
      <c r="I50" s="291">
        <v>10</v>
      </c>
      <c r="J50" s="63">
        <v>3000</v>
      </c>
      <c r="K50" s="64">
        <f t="shared" si="1"/>
        <v>300</v>
      </c>
      <c r="L50" s="291">
        <v>10</v>
      </c>
      <c r="M50" s="65">
        <f t="shared" si="32"/>
        <v>2866.6666666666665</v>
      </c>
      <c r="N50" s="65">
        <f t="shared" si="3"/>
        <v>286.66666666666663</v>
      </c>
      <c r="O50" s="66">
        <f t="shared" si="4"/>
        <v>0</v>
      </c>
      <c r="P50" s="67">
        <f t="shared" si="5"/>
        <v>-13.333333333333371</v>
      </c>
      <c r="Q50" s="285">
        <f t="shared" si="6"/>
        <v>0.95555555555555538</v>
      </c>
      <c r="R50" s="529"/>
      <c r="S50" s="68">
        <v>0.18611111111111112</v>
      </c>
      <c r="T50" s="68">
        <v>0.24861111111111112</v>
      </c>
      <c r="U50" s="284">
        <f t="shared" ref="U50:U57" si="34">(S50-T49)*24*60</f>
        <v>28.000000000000021</v>
      </c>
      <c r="V50" s="292">
        <f t="shared" si="33"/>
        <v>90</v>
      </c>
      <c r="W50" s="69"/>
      <c r="X50" s="69"/>
      <c r="Y50" s="517"/>
      <c r="Z50" s="518"/>
      <c r="AA50" s="66">
        <f t="shared" si="8"/>
        <v>-133.33333333333348</v>
      </c>
      <c r="AB50" s="285">
        <f t="shared" si="9"/>
        <v>0.95555555555555549</v>
      </c>
      <c r="AC50" s="529"/>
    </row>
    <row r="51" spans="1:29" ht="15.75" customHeight="1">
      <c r="A51" s="526" t="s">
        <v>1546</v>
      </c>
      <c r="B51" s="62" t="s">
        <v>35</v>
      </c>
      <c r="C51" s="521" t="s">
        <v>38</v>
      </c>
      <c r="D51" s="522"/>
      <c r="E51" s="62">
        <v>35.119999999999997</v>
      </c>
      <c r="F51" s="293">
        <v>4890</v>
      </c>
      <c r="G51" s="284">
        <f t="shared" si="31"/>
        <v>171736.8</v>
      </c>
      <c r="H51" s="90" t="s">
        <v>5</v>
      </c>
      <c r="I51" s="291">
        <v>10</v>
      </c>
      <c r="J51" s="63">
        <v>3000</v>
      </c>
      <c r="K51" s="64">
        <f t="shared" si="1"/>
        <v>300</v>
      </c>
      <c r="L51" s="291">
        <v>10</v>
      </c>
      <c r="M51" s="65">
        <f t="shared" si="32"/>
        <v>2876.4705882352951</v>
      </c>
      <c r="N51" s="65">
        <f t="shared" si="3"/>
        <v>287.64705882352951</v>
      </c>
      <c r="O51" s="66">
        <f t="shared" si="4"/>
        <v>0</v>
      </c>
      <c r="P51" s="67">
        <f t="shared" si="5"/>
        <v>-12.352941176470495</v>
      </c>
      <c r="Q51" s="285">
        <f t="shared" si="6"/>
        <v>0.95882352941176496</v>
      </c>
      <c r="R51" s="529"/>
      <c r="S51" s="68">
        <v>0.25208333333333333</v>
      </c>
      <c r="T51" s="68">
        <v>0.32291666666666663</v>
      </c>
      <c r="U51" s="284">
        <f t="shared" si="34"/>
        <v>4.9999999999999822</v>
      </c>
      <c r="V51" s="292">
        <f t="shared" si="33"/>
        <v>101.99999999999996</v>
      </c>
      <c r="W51" s="69"/>
      <c r="X51" s="69"/>
      <c r="Y51" s="517"/>
      <c r="Z51" s="518"/>
      <c r="AA51" s="66">
        <f t="shared" si="8"/>
        <v>-123.52941176470495</v>
      </c>
      <c r="AB51" s="285">
        <f t="shared" si="9"/>
        <v>0.95882352941176496</v>
      </c>
      <c r="AC51" s="529"/>
    </row>
    <row r="52" spans="1:29" ht="15.75" customHeight="1">
      <c r="A52" s="526" t="s">
        <v>1546</v>
      </c>
      <c r="B52" s="62" t="s">
        <v>35</v>
      </c>
      <c r="C52" s="521" t="s">
        <v>39</v>
      </c>
      <c r="D52" s="522"/>
      <c r="E52" s="62">
        <v>35.869999999999997</v>
      </c>
      <c r="F52" s="293">
        <v>2990</v>
      </c>
      <c r="G52" s="284">
        <f t="shared" si="31"/>
        <v>107251.29999999999</v>
      </c>
      <c r="H52" s="90" t="s">
        <v>5</v>
      </c>
      <c r="I52" s="291">
        <v>9</v>
      </c>
      <c r="J52" s="63">
        <v>3000</v>
      </c>
      <c r="K52" s="64">
        <f t="shared" si="1"/>
        <v>333.33333333333331</v>
      </c>
      <c r="L52" s="291">
        <v>9</v>
      </c>
      <c r="M52" s="65">
        <f t="shared" si="32"/>
        <v>2893.5483870967732</v>
      </c>
      <c r="N52" s="65">
        <f t="shared" si="3"/>
        <v>321.5053763440859</v>
      </c>
      <c r="O52" s="66">
        <f t="shared" si="4"/>
        <v>0</v>
      </c>
      <c r="P52" s="67">
        <f t="shared" si="5"/>
        <v>-11.827956989247411</v>
      </c>
      <c r="Q52" s="285">
        <f t="shared" si="6"/>
        <v>0.96451612903225781</v>
      </c>
      <c r="R52" s="529"/>
      <c r="S52" s="68">
        <v>0.32638888888888884</v>
      </c>
      <c r="T52" s="68">
        <v>0.36944444444444441</v>
      </c>
      <c r="U52" s="284">
        <f t="shared" si="34"/>
        <v>4.9999999999999822</v>
      </c>
      <c r="V52" s="292">
        <f t="shared" si="33"/>
        <v>62.000000000000021</v>
      </c>
      <c r="W52" s="69"/>
      <c r="X52" s="69"/>
      <c r="Y52" s="517"/>
      <c r="Z52" s="518"/>
      <c r="AA52" s="66">
        <f t="shared" si="8"/>
        <v>-106.45161290322676</v>
      </c>
      <c r="AB52" s="285">
        <f t="shared" si="9"/>
        <v>0.9645161290322577</v>
      </c>
      <c r="AC52" s="529"/>
    </row>
    <row r="53" spans="1:29" ht="15.75" customHeight="1">
      <c r="A53" s="526" t="s">
        <v>1546</v>
      </c>
      <c r="B53" s="62" t="s">
        <v>35</v>
      </c>
      <c r="C53" s="521" t="s">
        <v>40</v>
      </c>
      <c r="D53" s="522"/>
      <c r="E53" s="62">
        <v>36.14</v>
      </c>
      <c r="F53" s="293">
        <v>1386</v>
      </c>
      <c r="G53" s="284">
        <f t="shared" si="31"/>
        <v>50090.04</v>
      </c>
      <c r="H53" s="90" t="s">
        <v>5</v>
      </c>
      <c r="I53" s="291">
        <v>9</v>
      </c>
      <c r="J53" s="63">
        <v>3000</v>
      </c>
      <c r="K53" s="64">
        <f t="shared" si="1"/>
        <v>333.33333333333331</v>
      </c>
      <c r="L53" s="291">
        <v>9</v>
      </c>
      <c r="M53" s="65">
        <f t="shared" si="32"/>
        <v>2867.5862068965539</v>
      </c>
      <c r="N53" s="65">
        <f t="shared" si="3"/>
        <v>318.62068965517267</v>
      </c>
      <c r="O53" s="66">
        <f t="shared" si="4"/>
        <v>0</v>
      </c>
      <c r="P53" s="67">
        <f t="shared" si="5"/>
        <v>-14.712643678160646</v>
      </c>
      <c r="Q53" s="285">
        <f t="shared" si="6"/>
        <v>0.95586206896551806</v>
      </c>
      <c r="R53" s="529"/>
      <c r="S53" s="68">
        <v>0.3743055555555555</v>
      </c>
      <c r="T53" s="68">
        <v>0.39444444444444438</v>
      </c>
      <c r="U53" s="284">
        <f t="shared" si="34"/>
        <v>6.9999999999999751</v>
      </c>
      <c r="V53" s="292">
        <f t="shared" si="33"/>
        <v>28.999999999999979</v>
      </c>
      <c r="W53" s="69"/>
      <c r="X53" s="69"/>
      <c r="Y53" s="517"/>
      <c r="Z53" s="518"/>
      <c r="AA53" s="66">
        <f t="shared" si="8"/>
        <v>-132.4137931034461</v>
      </c>
      <c r="AB53" s="285">
        <f t="shared" si="9"/>
        <v>0.95586206896551795</v>
      </c>
      <c r="AC53" s="529"/>
    </row>
    <row r="54" spans="1:29" ht="15.75" customHeight="1">
      <c r="A54" s="526" t="s">
        <v>1546</v>
      </c>
      <c r="B54" s="62" t="s">
        <v>35</v>
      </c>
      <c r="C54" s="521" t="s">
        <v>74</v>
      </c>
      <c r="D54" s="522"/>
      <c r="E54" s="62">
        <v>34.36</v>
      </c>
      <c r="F54" s="293">
        <v>2771</v>
      </c>
      <c r="G54" s="284">
        <f t="shared" si="31"/>
        <v>95211.56</v>
      </c>
      <c r="H54" s="90" t="s">
        <v>5</v>
      </c>
      <c r="I54" s="291">
        <v>10</v>
      </c>
      <c r="J54" s="63">
        <v>3000</v>
      </c>
      <c r="K54" s="64">
        <f t="shared" si="1"/>
        <v>300</v>
      </c>
      <c r="L54" s="291">
        <v>10</v>
      </c>
      <c r="M54" s="65">
        <f t="shared" si="32"/>
        <v>2866.5517241379293</v>
      </c>
      <c r="N54" s="65">
        <f t="shared" si="3"/>
        <v>286.65517241379291</v>
      </c>
      <c r="O54" s="66">
        <f t="shared" si="4"/>
        <v>0</v>
      </c>
      <c r="P54" s="67">
        <f t="shared" si="5"/>
        <v>-13.344827586207089</v>
      </c>
      <c r="Q54" s="285">
        <f t="shared" si="6"/>
        <v>0.95551724137930971</v>
      </c>
      <c r="R54" s="529"/>
      <c r="S54" s="68">
        <v>0.39930555555555547</v>
      </c>
      <c r="T54" s="68">
        <v>0.43958333333333327</v>
      </c>
      <c r="U54" s="284">
        <f t="shared" si="34"/>
        <v>6.9999999999999751</v>
      </c>
      <c r="V54" s="292">
        <f t="shared" si="33"/>
        <v>58.000000000000036</v>
      </c>
      <c r="W54" s="69"/>
      <c r="X54" s="69"/>
      <c r="Y54" s="517"/>
      <c r="Z54" s="518"/>
      <c r="AA54" s="66">
        <f t="shared" si="8"/>
        <v>-133.44827586207066</v>
      </c>
      <c r="AB54" s="285">
        <f t="shared" si="9"/>
        <v>0.95551724137930982</v>
      </c>
      <c r="AC54" s="529"/>
    </row>
    <row r="55" spans="1:29" ht="15.75" customHeight="1">
      <c r="A55" s="526" t="s">
        <v>1546</v>
      </c>
      <c r="B55" s="62" t="s">
        <v>35</v>
      </c>
      <c r="C55" s="521" t="s">
        <v>84</v>
      </c>
      <c r="D55" s="522"/>
      <c r="E55" s="62">
        <v>31</v>
      </c>
      <c r="F55" s="293">
        <v>2500</v>
      </c>
      <c r="G55" s="284">
        <f t="shared" si="31"/>
        <v>77500</v>
      </c>
      <c r="H55" s="90">
        <v>2</v>
      </c>
      <c r="I55" s="291">
        <v>13</v>
      </c>
      <c r="J55" s="63">
        <v>2000</v>
      </c>
      <c r="K55" s="64">
        <f t="shared" si="1"/>
        <v>153.84615384615384</v>
      </c>
      <c r="L55" s="291">
        <v>13</v>
      </c>
      <c r="M55" s="65">
        <f t="shared" si="32"/>
        <v>1923.076923076924</v>
      </c>
      <c r="N55" s="65">
        <f t="shared" si="3"/>
        <v>147.92899408284032</v>
      </c>
      <c r="O55" s="66">
        <f t="shared" si="4"/>
        <v>0</v>
      </c>
      <c r="P55" s="67">
        <f t="shared" si="5"/>
        <v>-5.9171597633135207</v>
      </c>
      <c r="Q55" s="285">
        <f t="shared" si="6"/>
        <v>0.96153846153846212</v>
      </c>
      <c r="R55" s="529"/>
      <c r="S55" s="68">
        <v>0.44513888888888881</v>
      </c>
      <c r="T55" s="68">
        <v>0.49930555555555545</v>
      </c>
      <c r="U55" s="284">
        <f t="shared" si="34"/>
        <v>7.9999999999999716</v>
      </c>
      <c r="V55" s="292">
        <f t="shared" si="33"/>
        <v>77.999999999999957</v>
      </c>
      <c r="W55" s="69">
        <f>T55</f>
        <v>0.49930555555555545</v>
      </c>
      <c r="X55" s="69">
        <f>S56</f>
        <v>0.53819444444444431</v>
      </c>
      <c r="Y55" s="517"/>
      <c r="Z55" s="518"/>
      <c r="AA55" s="66">
        <f t="shared" si="8"/>
        <v>-76.923076923075996</v>
      </c>
      <c r="AB55" s="285">
        <f t="shared" si="9"/>
        <v>0.96153846153846201</v>
      </c>
      <c r="AC55" s="529"/>
    </row>
    <row r="56" spans="1:29" ht="15.75" customHeight="1">
      <c r="A56" s="526" t="s">
        <v>1546</v>
      </c>
      <c r="B56" s="62" t="s">
        <v>35</v>
      </c>
      <c r="C56" s="521" t="s">
        <v>84</v>
      </c>
      <c r="D56" s="522"/>
      <c r="E56" s="62">
        <v>31</v>
      </c>
      <c r="F56" s="293">
        <v>2667</v>
      </c>
      <c r="G56" s="284">
        <f t="shared" si="31"/>
        <v>82677</v>
      </c>
      <c r="H56" s="90" t="s">
        <v>5</v>
      </c>
      <c r="I56" s="291">
        <v>13</v>
      </c>
      <c r="J56" s="63">
        <v>2000</v>
      </c>
      <c r="K56" s="64">
        <f t="shared" si="1"/>
        <v>153.84615384615384</v>
      </c>
      <c r="L56" s="291">
        <v>13</v>
      </c>
      <c r="M56" s="65">
        <f t="shared" si="32"/>
        <v>1904.9999999999993</v>
      </c>
      <c r="N56" s="65">
        <f t="shared" si="3"/>
        <v>146.53846153846149</v>
      </c>
      <c r="O56" s="66">
        <f t="shared" si="4"/>
        <v>0</v>
      </c>
      <c r="P56" s="67">
        <f t="shared" si="5"/>
        <v>-7.3076923076923492</v>
      </c>
      <c r="Q56" s="285">
        <f t="shared" si="6"/>
        <v>0.95249999999999968</v>
      </c>
      <c r="R56" s="529"/>
      <c r="S56" s="68">
        <v>0.53819444444444431</v>
      </c>
      <c r="T56" s="68">
        <v>0.59652777777777766</v>
      </c>
      <c r="U56" s="284">
        <f t="shared" si="34"/>
        <v>55.999999999999957</v>
      </c>
      <c r="V56" s="292">
        <f t="shared" si="33"/>
        <v>84.000000000000028</v>
      </c>
      <c r="W56" s="69"/>
      <c r="X56" s="69"/>
      <c r="Y56" s="517"/>
      <c r="Z56" s="518"/>
      <c r="AA56" s="66">
        <f t="shared" si="8"/>
        <v>-95.000000000000682</v>
      </c>
      <c r="AB56" s="285">
        <f t="shared" si="9"/>
        <v>0.95249999999999968</v>
      </c>
      <c r="AC56" s="529"/>
    </row>
    <row r="57" spans="1:29" ht="15.75" customHeight="1">
      <c r="A57" s="526" t="s">
        <v>1546</v>
      </c>
      <c r="B57" s="62" t="s">
        <v>35</v>
      </c>
      <c r="C57" s="521" t="s">
        <v>37</v>
      </c>
      <c r="D57" s="522"/>
      <c r="E57" s="62">
        <v>27.17</v>
      </c>
      <c r="F57" s="293">
        <v>2792</v>
      </c>
      <c r="G57" s="284">
        <f t="shared" si="31"/>
        <v>75858.64</v>
      </c>
      <c r="H57" s="90" t="s">
        <v>5</v>
      </c>
      <c r="I57" s="291">
        <v>10</v>
      </c>
      <c r="J57" s="63">
        <v>3000</v>
      </c>
      <c r="K57" s="64">
        <f t="shared" si="1"/>
        <v>300</v>
      </c>
      <c r="L57" s="291">
        <v>10</v>
      </c>
      <c r="M57" s="65">
        <f t="shared" si="32"/>
        <v>2888.2758620689679</v>
      </c>
      <c r="N57" s="65">
        <f t="shared" si="3"/>
        <v>288.8275862068968</v>
      </c>
      <c r="O57" s="66">
        <f t="shared" si="4"/>
        <v>0</v>
      </c>
      <c r="P57" s="67">
        <f t="shared" si="5"/>
        <v>-11.172413793103203</v>
      </c>
      <c r="Q57" s="285">
        <f t="shared" si="6"/>
        <v>0.96275862068965601</v>
      </c>
      <c r="R57" s="529"/>
      <c r="S57" s="68">
        <v>0.60138888888888875</v>
      </c>
      <c r="T57" s="68">
        <v>0.6416666666666665</v>
      </c>
      <c r="U57" s="284">
        <f t="shared" si="34"/>
        <v>6.9999999999999751</v>
      </c>
      <c r="V57" s="292">
        <f t="shared" si="33"/>
        <v>57.999999999999957</v>
      </c>
      <c r="W57" s="69"/>
      <c r="X57" s="69"/>
      <c r="Y57" s="517"/>
      <c r="Z57" s="518"/>
      <c r="AA57" s="66">
        <f t="shared" si="8"/>
        <v>-111.72413793103215</v>
      </c>
      <c r="AB57" s="285">
        <f t="shared" si="9"/>
        <v>0.9627586206896559</v>
      </c>
      <c r="AC57" s="529"/>
    </row>
    <row r="58" spans="1:29" ht="15.75" customHeight="1">
      <c r="A58" s="527" t="s">
        <v>1546</v>
      </c>
      <c r="B58" s="62" t="s">
        <v>1541</v>
      </c>
      <c r="C58" s="508"/>
      <c r="D58" s="509"/>
      <c r="E58" s="283"/>
      <c r="F58" s="293"/>
      <c r="G58" s="284"/>
      <c r="H58" s="293"/>
      <c r="I58" s="72">
        <v>10.444444444444445</v>
      </c>
      <c r="J58" s="63">
        <v>2777.7777777777778</v>
      </c>
      <c r="K58" s="64">
        <f t="shared" si="1"/>
        <v>265.95744680851061</v>
      </c>
      <c r="L58" s="72">
        <v>10.444444444444445</v>
      </c>
      <c r="M58" s="65">
        <f>AVERAGE(M49:M57)</f>
        <v>2662.4640397976787</v>
      </c>
      <c r="N58" s="64">
        <f t="shared" si="3"/>
        <v>254.91676976786283</v>
      </c>
      <c r="O58" s="66">
        <f t="shared" si="4"/>
        <v>0</v>
      </c>
      <c r="P58" s="67">
        <f t="shared" si="5"/>
        <v>-11.040677040647779</v>
      </c>
      <c r="Q58" s="285">
        <f t="shared" si="6"/>
        <v>0.9584870543271643</v>
      </c>
      <c r="R58" s="530"/>
      <c r="S58" s="68"/>
      <c r="T58" s="68"/>
      <c r="U58" s="284"/>
      <c r="V58" s="292"/>
      <c r="W58" s="69"/>
      <c r="X58" s="69"/>
      <c r="Y58" s="517"/>
      <c r="Z58" s="518"/>
      <c r="AA58" s="66">
        <f t="shared" si="8"/>
        <v>-115.31373798009918</v>
      </c>
      <c r="AB58" s="285">
        <f t="shared" si="9"/>
        <v>0.9584870543271643</v>
      </c>
      <c r="AC58" s="530"/>
    </row>
    <row r="59" spans="1:29" ht="15.75" customHeight="1">
      <c r="A59" s="523" t="s">
        <v>1547</v>
      </c>
      <c r="B59" s="62" t="s">
        <v>10</v>
      </c>
      <c r="C59" s="512" t="s">
        <v>41</v>
      </c>
      <c r="D59" s="512"/>
      <c r="E59" s="62">
        <v>46</v>
      </c>
      <c r="F59" s="74">
        <v>2324</v>
      </c>
      <c r="G59" s="284">
        <f t="shared" ref="G59:G65" si="35">E59*F59</f>
        <v>106904</v>
      </c>
      <c r="H59" s="90" t="s">
        <v>5</v>
      </c>
      <c r="I59" s="291">
        <v>17</v>
      </c>
      <c r="J59" s="63">
        <v>2000</v>
      </c>
      <c r="K59" s="64">
        <f t="shared" si="1"/>
        <v>117.64705882352941</v>
      </c>
      <c r="L59" s="291">
        <v>17</v>
      </c>
      <c r="M59" s="65">
        <f t="shared" ref="M59:M65" si="36">F59/V59*60</f>
        <v>1910.1369863013695</v>
      </c>
      <c r="N59" s="65">
        <f t="shared" si="3"/>
        <v>112.3609991941982</v>
      </c>
      <c r="O59" s="66">
        <f t="shared" si="4"/>
        <v>0</v>
      </c>
      <c r="P59" s="67">
        <f t="shared" si="5"/>
        <v>-5.2860596293312057</v>
      </c>
      <c r="Q59" s="285">
        <f t="shared" si="6"/>
        <v>0.95506849315068476</v>
      </c>
      <c r="R59" s="511">
        <f>Q66</f>
        <v>0.95712029646173136</v>
      </c>
      <c r="S59" s="68">
        <v>0.20833333333333334</v>
      </c>
      <c r="T59" s="68">
        <v>0.2590277777777778</v>
      </c>
      <c r="U59" s="73"/>
      <c r="V59" s="292">
        <f t="shared" ref="V59:V65" si="37">(T59-S59)*24*60</f>
        <v>73.000000000000014</v>
      </c>
      <c r="W59" s="73"/>
      <c r="X59" s="73"/>
      <c r="Y59" s="510"/>
      <c r="Z59" s="510"/>
      <c r="AA59" s="66">
        <f t="shared" si="8"/>
        <v>-89.863013698630539</v>
      </c>
      <c r="AB59" s="285">
        <f t="shared" si="9"/>
        <v>0.95506849315068476</v>
      </c>
      <c r="AC59" s="511">
        <f>AB66</f>
        <v>0.95712029646173125</v>
      </c>
    </row>
    <row r="60" spans="1:29" ht="15.75" customHeight="1">
      <c r="A60" s="523" t="s">
        <v>1547</v>
      </c>
      <c r="B60" s="62" t="s">
        <v>10</v>
      </c>
      <c r="C60" s="512" t="s">
        <v>42</v>
      </c>
      <c r="D60" s="512"/>
      <c r="E60" s="62">
        <v>46</v>
      </c>
      <c r="F60" s="74">
        <v>2441</v>
      </c>
      <c r="G60" s="284">
        <f t="shared" si="35"/>
        <v>112286</v>
      </c>
      <c r="H60" s="90" t="s">
        <v>5</v>
      </c>
      <c r="I60" s="291">
        <v>17</v>
      </c>
      <c r="J60" s="63">
        <v>2000</v>
      </c>
      <c r="K60" s="64">
        <f t="shared" si="1"/>
        <v>117.64705882352941</v>
      </c>
      <c r="L60" s="291">
        <v>17</v>
      </c>
      <c r="M60" s="65">
        <f t="shared" si="36"/>
        <v>1902.0779220779229</v>
      </c>
      <c r="N60" s="65">
        <f t="shared" si="3"/>
        <v>111.886936592819</v>
      </c>
      <c r="O60" s="66">
        <f t="shared" si="4"/>
        <v>0</v>
      </c>
      <c r="P60" s="67">
        <f t="shared" si="5"/>
        <v>-5.7601222307104081</v>
      </c>
      <c r="Q60" s="285">
        <f t="shared" si="6"/>
        <v>0.95103896103896157</v>
      </c>
      <c r="R60" s="511"/>
      <c r="S60" s="68">
        <v>0.2638888888888889</v>
      </c>
      <c r="T60" s="68">
        <v>0.31736111111111109</v>
      </c>
      <c r="U60" s="284">
        <f t="shared" ref="U60:U65" si="38">IF(S60=TIME(17,0,0),"",(S60-T59)*24*60)</f>
        <v>6.9999999999999751</v>
      </c>
      <c r="V60" s="292">
        <f t="shared" si="37"/>
        <v>76.999999999999972</v>
      </c>
      <c r="W60" s="69"/>
      <c r="X60" s="69"/>
      <c r="Y60" s="510"/>
      <c r="Z60" s="510"/>
      <c r="AA60" s="66">
        <f t="shared" si="8"/>
        <v>-97.922077922077051</v>
      </c>
      <c r="AB60" s="285">
        <f t="shared" si="9"/>
        <v>0.95103896103896146</v>
      </c>
      <c r="AC60" s="511"/>
    </row>
    <row r="61" spans="1:29" ht="15.75" customHeight="1">
      <c r="A61" s="523" t="s">
        <v>1547</v>
      </c>
      <c r="B61" s="62" t="s">
        <v>6</v>
      </c>
      <c r="C61" s="521" t="s">
        <v>43</v>
      </c>
      <c r="D61" s="522"/>
      <c r="E61" s="62">
        <v>55.56</v>
      </c>
      <c r="F61" s="74">
        <v>2481</v>
      </c>
      <c r="G61" s="284">
        <f t="shared" si="35"/>
        <v>137844.36000000002</v>
      </c>
      <c r="H61" s="90" t="s">
        <v>5</v>
      </c>
      <c r="I61" s="291">
        <v>17</v>
      </c>
      <c r="J61" s="63">
        <v>2000</v>
      </c>
      <c r="K61" s="64">
        <f t="shared" si="1"/>
        <v>117.64705882352941</v>
      </c>
      <c r="L61" s="291">
        <v>17</v>
      </c>
      <c r="M61" s="65">
        <f t="shared" si="36"/>
        <v>1908.4615384615374</v>
      </c>
      <c r="N61" s="65">
        <f t="shared" si="3"/>
        <v>112.26244343891396</v>
      </c>
      <c r="O61" s="66">
        <f t="shared" si="4"/>
        <v>0</v>
      </c>
      <c r="P61" s="67">
        <f t="shared" si="5"/>
        <v>-5.3846153846154436</v>
      </c>
      <c r="Q61" s="285">
        <f t="shared" si="6"/>
        <v>0.95423076923076877</v>
      </c>
      <c r="R61" s="511"/>
      <c r="S61" s="68">
        <v>0.70833333333333337</v>
      </c>
      <c r="T61" s="68">
        <v>0.76250000000000007</v>
      </c>
      <c r="U61" s="284" t="str">
        <f t="shared" si="38"/>
        <v/>
      </c>
      <c r="V61" s="292">
        <f t="shared" si="37"/>
        <v>78.000000000000043</v>
      </c>
      <c r="W61" s="69"/>
      <c r="X61" s="69"/>
      <c r="Y61" s="281"/>
      <c r="Z61" s="282"/>
      <c r="AA61" s="66">
        <f t="shared" si="8"/>
        <v>-91.53846153846257</v>
      </c>
      <c r="AB61" s="285">
        <f t="shared" si="9"/>
        <v>0.95423076923076866</v>
      </c>
      <c r="AC61" s="511"/>
    </row>
    <row r="62" spans="1:29" ht="15.75" customHeight="1">
      <c r="A62" s="523" t="s">
        <v>1547</v>
      </c>
      <c r="B62" s="62" t="s">
        <v>6</v>
      </c>
      <c r="C62" s="287" t="s">
        <v>44</v>
      </c>
      <c r="D62" s="288"/>
      <c r="E62" s="62">
        <v>55.32</v>
      </c>
      <c r="F62" s="74">
        <v>1964</v>
      </c>
      <c r="G62" s="284">
        <f t="shared" si="35"/>
        <v>108648.48</v>
      </c>
      <c r="H62" s="90" t="s">
        <v>5</v>
      </c>
      <c r="I62" s="291">
        <v>15</v>
      </c>
      <c r="J62" s="63">
        <v>2000</v>
      </c>
      <c r="K62" s="64">
        <f t="shared" si="1"/>
        <v>133.33333333333334</v>
      </c>
      <c r="L62" s="291">
        <v>15</v>
      </c>
      <c r="M62" s="65">
        <f t="shared" si="36"/>
        <v>1931.8032786885265</v>
      </c>
      <c r="N62" s="65">
        <f t="shared" si="3"/>
        <v>128.78688524590177</v>
      </c>
      <c r="O62" s="66">
        <f t="shared" si="4"/>
        <v>0</v>
      </c>
      <c r="P62" s="67">
        <f t="shared" si="5"/>
        <v>-4.5464480874315711</v>
      </c>
      <c r="Q62" s="285">
        <f t="shared" si="6"/>
        <v>0.96590163934426321</v>
      </c>
      <c r="R62" s="511"/>
      <c r="S62" s="68">
        <v>0.76736111111111116</v>
      </c>
      <c r="T62" s="68">
        <v>0.80972222222222223</v>
      </c>
      <c r="U62" s="284">
        <f t="shared" si="38"/>
        <v>6.9999999999999751</v>
      </c>
      <c r="V62" s="292">
        <f t="shared" si="37"/>
        <v>60.999999999999943</v>
      </c>
      <c r="W62" s="69"/>
      <c r="X62" s="69"/>
      <c r="Y62" s="281"/>
      <c r="Z62" s="282"/>
      <c r="AA62" s="66">
        <f t="shared" si="8"/>
        <v>-68.196721311473539</v>
      </c>
      <c r="AB62" s="285">
        <f t="shared" si="9"/>
        <v>0.96590163934426321</v>
      </c>
      <c r="AC62" s="511"/>
    </row>
    <row r="63" spans="1:29" ht="15.75" customHeight="1">
      <c r="A63" s="523" t="s">
        <v>1547</v>
      </c>
      <c r="B63" s="62" t="s">
        <v>6</v>
      </c>
      <c r="C63" s="287" t="s">
        <v>7</v>
      </c>
      <c r="D63" s="288"/>
      <c r="E63" s="62">
        <v>46.93</v>
      </c>
      <c r="F63" s="74">
        <v>1371</v>
      </c>
      <c r="G63" s="284">
        <f t="shared" si="35"/>
        <v>64341.03</v>
      </c>
      <c r="H63" s="90" t="s">
        <v>5</v>
      </c>
      <c r="I63" s="291">
        <v>16</v>
      </c>
      <c r="J63" s="63">
        <v>2000</v>
      </c>
      <c r="K63" s="64">
        <f t="shared" si="1"/>
        <v>125</v>
      </c>
      <c r="L63" s="291">
        <v>16</v>
      </c>
      <c r="M63" s="65">
        <f t="shared" si="36"/>
        <v>1913.0232558139533</v>
      </c>
      <c r="N63" s="65">
        <f t="shared" si="3"/>
        <v>119.56395348837208</v>
      </c>
      <c r="O63" s="66">
        <f t="shared" si="4"/>
        <v>0</v>
      </c>
      <c r="P63" s="67">
        <f t="shared" si="5"/>
        <v>-5.4360465116279215</v>
      </c>
      <c r="Q63" s="285">
        <f t="shared" si="6"/>
        <v>0.95651162790697664</v>
      </c>
      <c r="R63" s="511"/>
      <c r="S63" s="68">
        <v>0.81319444444444444</v>
      </c>
      <c r="T63" s="68">
        <v>0.84305555555555556</v>
      </c>
      <c r="U63" s="284">
        <f t="shared" si="38"/>
        <v>4.9999999999999822</v>
      </c>
      <c r="V63" s="292">
        <f t="shared" si="37"/>
        <v>43.000000000000007</v>
      </c>
      <c r="W63" s="69">
        <f>T63</f>
        <v>0.84305555555555556</v>
      </c>
      <c r="X63" s="69">
        <f>S64</f>
        <v>0.88194444444444442</v>
      </c>
      <c r="Y63" s="281"/>
      <c r="Z63" s="282"/>
      <c r="AA63" s="66">
        <f t="shared" si="8"/>
        <v>-86.976744186046744</v>
      </c>
      <c r="AB63" s="285">
        <f t="shared" si="9"/>
        <v>0.95651162790697664</v>
      </c>
      <c r="AC63" s="511"/>
    </row>
    <row r="64" spans="1:29" ht="15.75" customHeight="1">
      <c r="A64" s="523" t="s">
        <v>1547</v>
      </c>
      <c r="B64" s="62" t="s">
        <v>6</v>
      </c>
      <c r="C64" s="521" t="s">
        <v>890</v>
      </c>
      <c r="D64" s="522"/>
      <c r="E64" s="62">
        <v>50.98</v>
      </c>
      <c r="F64" s="74">
        <v>2650</v>
      </c>
      <c r="G64" s="284">
        <f t="shared" si="35"/>
        <v>135097</v>
      </c>
      <c r="H64" s="90" t="s">
        <v>5</v>
      </c>
      <c r="I64" s="291">
        <v>16</v>
      </c>
      <c r="J64" s="63">
        <v>2000</v>
      </c>
      <c r="K64" s="64">
        <f t="shared" si="1"/>
        <v>125</v>
      </c>
      <c r="L64" s="291">
        <v>16</v>
      </c>
      <c r="M64" s="65">
        <f t="shared" si="36"/>
        <v>1915.662650602409</v>
      </c>
      <c r="N64" s="65">
        <f t="shared" si="3"/>
        <v>119.72891566265056</v>
      </c>
      <c r="O64" s="66">
        <f t="shared" si="4"/>
        <v>0</v>
      </c>
      <c r="P64" s="67">
        <f t="shared" si="5"/>
        <v>-5.2710843373494356</v>
      </c>
      <c r="Q64" s="285">
        <f t="shared" si="6"/>
        <v>0.95783132530120452</v>
      </c>
      <c r="R64" s="511"/>
      <c r="S64" s="68">
        <v>0.88194444444444442</v>
      </c>
      <c r="T64" s="68">
        <v>0.93958333333333333</v>
      </c>
      <c r="U64" s="284">
        <f t="shared" si="38"/>
        <v>55.999999999999957</v>
      </c>
      <c r="V64" s="292">
        <f t="shared" si="37"/>
        <v>83.000000000000028</v>
      </c>
      <c r="W64" s="69"/>
      <c r="X64" s="69"/>
      <c r="Y64" s="517"/>
      <c r="Z64" s="518"/>
      <c r="AA64" s="66">
        <f t="shared" si="8"/>
        <v>-84.33734939759097</v>
      </c>
      <c r="AB64" s="285">
        <f t="shared" si="9"/>
        <v>0.95783132530120452</v>
      </c>
      <c r="AC64" s="511"/>
    </row>
    <row r="65" spans="1:29" ht="15.75" customHeight="1">
      <c r="A65" s="523" t="s">
        <v>1547</v>
      </c>
      <c r="B65" s="62" t="s">
        <v>6</v>
      </c>
      <c r="C65" s="521" t="s">
        <v>20</v>
      </c>
      <c r="D65" s="522"/>
      <c r="E65" s="62">
        <v>50.92</v>
      </c>
      <c r="F65" s="74">
        <v>2590</v>
      </c>
      <c r="G65" s="284">
        <f t="shared" si="35"/>
        <v>131882.80000000002</v>
      </c>
      <c r="H65" s="90" t="s">
        <v>5</v>
      </c>
      <c r="I65" s="291">
        <v>15</v>
      </c>
      <c r="J65" s="63">
        <v>2000</v>
      </c>
      <c r="K65" s="64">
        <f t="shared" si="1"/>
        <v>133.33333333333334</v>
      </c>
      <c r="L65" s="291">
        <v>15</v>
      </c>
      <c r="M65" s="65">
        <f t="shared" si="36"/>
        <v>1918.5185185185178</v>
      </c>
      <c r="N65" s="65">
        <f t="shared" si="3"/>
        <v>127.90123456790118</v>
      </c>
      <c r="O65" s="66">
        <f t="shared" si="4"/>
        <v>0</v>
      </c>
      <c r="P65" s="67">
        <f t="shared" si="5"/>
        <v>-5.4320987654321584</v>
      </c>
      <c r="Q65" s="285">
        <f t="shared" si="6"/>
        <v>0.95925925925925881</v>
      </c>
      <c r="R65" s="511"/>
      <c r="S65" s="68">
        <v>0.94305555555555554</v>
      </c>
      <c r="T65" s="68">
        <v>0.99930555555555556</v>
      </c>
      <c r="U65" s="284">
        <f t="shared" si="38"/>
        <v>4.9999999999999822</v>
      </c>
      <c r="V65" s="292">
        <f t="shared" si="37"/>
        <v>81.000000000000028</v>
      </c>
      <c r="W65" s="69"/>
      <c r="X65" s="69"/>
      <c r="Y65" s="517"/>
      <c r="Z65" s="518"/>
      <c r="AA65" s="66">
        <f t="shared" si="8"/>
        <v>-81.481481481482206</v>
      </c>
      <c r="AB65" s="285">
        <f t="shared" si="9"/>
        <v>0.95925925925925892</v>
      </c>
      <c r="AC65" s="511"/>
    </row>
    <row r="66" spans="1:29">
      <c r="A66" s="524" t="s">
        <v>1547</v>
      </c>
      <c r="B66" s="62" t="s">
        <v>1541</v>
      </c>
      <c r="C66" s="513"/>
      <c r="D66" s="513"/>
      <c r="E66" s="286"/>
      <c r="F66" s="71"/>
      <c r="G66" s="64"/>
      <c r="H66" s="293"/>
      <c r="I66" s="72">
        <v>16.142857142857142</v>
      </c>
      <c r="J66" s="63">
        <v>2000</v>
      </c>
      <c r="K66" s="64">
        <f t="shared" si="1"/>
        <v>123.89380530973452</v>
      </c>
      <c r="L66" s="72">
        <v>16.142857142857142</v>
      </c>
      <c r="M66" s="65">
        <f>AVERAGE(M59:M65)</f>
        <v>1914.2405929234626</v>
      </c>
      <c r="N66" s="64">
        <f t="shared" si="3"/>
        <v>118.58127566782512</v>
      </c>
      <c r="O66" s="66">
        <f t="shared" si="4"/>
        <v>0</v>
      </c>
      <c r="P66" s="67">
        <f t="shared" si="5"/>
        <v>-5.3125296419093928</v>
      </c>
      <c r="Q66" s="285">
        <f t="shared" si="6"/>
        <v>0.95712029646173136</v>
      </c>
      <c r="R66" s="511"/>
      <c r="S66" s="75"/>
      <c r="T66" s="68"/>
      <c r="U66" s="64"/>
      <c r="V66" s="292"/>
      <c r="W66" s="64"/>
      <c r="X66" s="64"/>
      <c r="Y66" s="510"/>
      <c r="Z66" s="510"/>
      <c r="AA66" s="66">
        <f t="shared" si="8"/>
        <v>-85.7594070765374</v>
      </c>
      <c r="AB66" s="285">
        <f t="shared" si="9"/>
        <v>0.95712029646173125</v>
      </c>
      <c r="AC66" s="511"/>
    </row>
    <row r="67" spans="1:29" ht="15.75" customHeight="1">
      <c r="A67" s="519" t="s">
        <v>1548</v>
      </c>
      <c r="B67" s="293" t="s">
        <v>10</v>
      </c>
      <c r="C67" s="512" t="s">
        <v>46</v>
      </c>
      <c r="D67" s="512"/>
      <c r="E67" s="62">
        <v>26.97</v>
      </c>
      <c r="F67" s="74">
        <v>2938</v>
      </c>
      <c r="G67" s="284">
        <f t="shared" ref="G67:G70" si="39">E67*F67</f>
        <v>79237.86</v>
      </c>
      <c r="H67" s="90" t="s">
        <v>5</v>
      </c>
      <c r="I67" s="291">
        <v>8</v>
      </c>
      <c r="J67" s="63">
        <v>1500</v>
      </c>
      <c r="K67" s="64">
        <f t="shared" si="1"/>
        <v>187.5</v>
      </c>
      <c r="L67" s="291">
        <v>8</v>
      </c>
      <c r="M67" s="65">
        <f t="shared" ref="M67:M70" si="40">F67/V67*60</f>
        <v>1433.1707317073174</v>
      </c>
      <c r="N67" s="64">
        <f t="shared" si="3"/>
        <v>179.14634146341467</v>
      </c>
      <c r="O67" s="66">
        <f t="shared" si="4"/>
        <v>0</v>
      </c>
      <c r="P67" s="67">
        <f t="shared" si="5"/>
        <v>-8.3536585365853284</v>
      </c>
      <c r="Q67" s="285">
        <f t="shared" si="6"/>
        <v>0.95544715447154493</v>
      </c>
      <c r="R67" s="511">
        <f>Q71</f>
        <v>0.95586001702018331</v>
      </c>
      <c r="S67" s="68">
        <v>0.20833333333333334</v>
      </c>
      <c r="T67" s="68">
        <v>0.29375000000000001</v>
      </c>
      <c r="U67" s="284"/>
      <c r="V67" s="292">
        <f t="shared" ref="V67:V70" si="41">(T67-S67)*24*60</f>
        <v>122.99999999999999</v>
      </c>
      <c r="W67" s="73"/>
      <c r="X67" s="73"/>
      <c r="Y67" s="510"/>
      <c r="Z67" s="510"/>
      <c r="AA67" s="66">
        <f t="shared" si="8"/>
        <v>-66.829268292682627</v>
      </c>
      <c r="AB67" s="285">
        <f t="shared" si="9"/>
        <v>0.95544715447154493</v>
      </c>
      <c r="AC67" s="511">
        <f>AB71</f>
        <v>0.95586001702018342</v>
      </c>
    </row>
    <row r="68" spans="1:29" ht="15.75" customHeight="1">
      <c r="A68" s="519" t="s">
        <v>1548</v>
      </c>
      <c r="B68" s="293" t="s">
        <v>35</v>
      </c>
      <c r="C68" s="512" t="s">
        <v>45</v>
      </c>
      <c r="D68" s="512"/>
      <c r="E68" s="62">
        <v>26.78</v>
      </c>
      <c r="F68" s="74">
        <v>2956</v>
      </c>
      <c r="G68" s="284">
        <f t="shared" si="39"/>
        <v>79161.680000000008</v>
      </c>
      <c r="H68" s="90" t="s">
        <v>5</v>
      </c>
      <c r="I68" s="291">
        <v>10</v>
      </c>
      <c r="J68" s="63">
        <v>3000</v>
      </c>
      <c r="K68" s="64">
        <f t="shared" si="1"/>
        <v>300</v>
      </c>
      <c r="L68" s="291">
        <v>10</v>
      </c>
      <c r="M68" s="65">
        <f t="shared" si="40"/>
        <v>2860.6451612903215</v>
      </c>
      <c r="N68" s="64">
        <f t="shared" si="3"/>
        <v>286.06451612903214</v>
      </c>
      <c r="O68" s="66">
        <f t="shared" si="4"/>
        <v>0</v>
      </c>
      <c r="P68" s="67">
        <f t="shared" si="5"/>
        <v>-13.935483870967857</v>
      </c>
      <c r="Q68" s="285">
        <f t="shared" si="6"/>
        <v>0.95354838709677381</v>
      </c>
      <c r="R68" s="511"/>
      <c r="S68" s="68">
        <v>0.29791666666666666</v>
      </c>
      <c r="T68" s="68">
        <v>0.34097222222222223</v>
      </c>
      <c r="U68" s="284">
        <f t="shared" ref="U68:U70" si="42">(S68-T67)*24*60</f>
        <v>5.9999999999999787</v>
      </c>
      <c r="V68" s="292">
        <f t="shared" si="41"/>
        <v>62.000000000000021</v>
      </c>
      <c r="W68" s="284"/>
      <c r="X68" s="284"/>
      <c r="Y68" s="510"/>
      <c r="Z68" s="510"/>
      <c r="AA68" s="66">
        <f t="shared" si="8"/>
        <v>-139.35483870967846</v>
      </c>
      <c r="AB68" s="285">
        <f t="shared" si="9"/>
        <v>0.95354838709677381</v>
      </c>
      <c r="AC68" s="511"/>
    </row>
    <row r="69" spans="1:29" ht="15.75" customHeight="1">
      <c r="A69" s="519" t="s">
        <v>1548</v>
      </c>
      <c r="B69" s="293" t="s">
        <v>35</v>
      </c>
      <c r="C69" s="512" t="s">
        <v>75</v>
      </c>
      <c r="D69" s="512"/>
      <c r="E69" s="62">
        <v>37.880000000000003</v>
      </c>
      <c r="F69" s="74">
        <v>3462</v>
      </c>
      <c r="G69" s="284">
        <f t="shared" si="39"/>
        <v>131140.56</v>
      </c>
      <c r="H69" s="90" t="s">
        <v>5</v>
      </c>
      <c r="I69" s="291">
        <v>10</v>
      </c>
      <c r="J69" s="63">
        <v>3000</v>
      </c>
      <c r="K69" s="64">
        <f t="shared" ref="K69:K80" si="43">J69/I69</f>
        <v>300</v>
      </c>
      <c r="L69" s="291">
        <v>10</v>
      </c>
      <c r="M69" s="65">
        <f t="shared" si="40"/>
        <v>2885.0000000000005</v>
      </c>
      <c r="N69" s="64">
        <f t="shared" ref="N69:N80" si="44">M69/L69</f>
        <v>288.50000000000006</v>
      </c>
      <c r="O69" s="66">
        <f t="shared" ref="O69:O80" si="45">L69-I69</f>
        <v>0</v>
      </c>
      <c r="P69" s="67">
        <f t="shared" ref="P69:P80" si="46">N69-K69</f>
        <v>-11.499999999999943</v>
      </c>
      <c r="Q69" s="285">
        <f t="shared" ref="Q69:Q80" si="47">N69/K69</f>
        <v>0.96166666666666689</v>
      </c>
      <c r="R69" s="511"/>
      <c r="S69" s="68">
        <v>0.34652777777777777</v>
      </c>
      <c r="T69" s="68">
        <v>0.39652777777777776</v>
      </c>
      <c r="U69" s="284">
        <f t="shared" si="42"/>
        <v>7.9999999999999716</v>
      </c>
      <c r="V69" s="292">
        <f t="shared" si="41"/>
        <v>71.999999999999986</v>
      </c>
      <c r="W69" s="284"/>
      <c r="X69" s="284"/>
      <c r="Y69" s="510"/>
      <c r="Z69" s="510"/>
      <c r="AA69" s="66">
        <f t="shared" ref="AA69:AA80" si="48">M69-J69</f>
        <v>-114.99999999999955</v>
      </c>
      <c r="AB69" s="285">
        <f t="shared" ref="AB69:AB80" si="49">M69/J69</f>
        <v>0.96166666666666678</v>
      </c>
      <c r="AC69" s="511"/>
    </row>
    <row r="70" spans="1:29" ht="15.75" customHeight="1">
      <c r="A70" s="519" t="s">
        <v>1548</v>
      </c>
      <c r="B70" s="293" t="s">
        <v>35</v>
      </c>
      <c r="C70" s="512" t="s">
        <v>85</v>
      </c>
      <c r="D70" s="512"/>
      <c r="E70" s="62">
        <v>40.51</v>
      </c>
      <c r="F70" s="74">
        <v>3334</v>
      </c>
      <c r="G70" s="284">
        <f t="shared" si="39"/>
        <v>135060.34</v>
      </c>
      <c r="H70" s="90" t="s">
        <v>5</v>
      </c>
      <c r="I70" s="291">
        <v>8</v>
      </c>
      <c r="J70" s="63">
        <v>3000</v>
      </c>
      <c r="K70" s="64">
        <f t="shared" si="43"/>
        <v>375</v>
      </c>
      <c r="L70" s="291">
        <v>8</v>
      </c>
      <c r="M70" s="65">
        <f t="shared" si="40"/>
        <v>2857.7142857142862</v>
      </c>
      <c r="N70" s="64">
        <f t="shared" si="44"/>
        <v>357.21428571428578</v>
      </c>
      <c r="O70" s="66">
        <f t="shared" si="45"/>
        <v>0</v>
      </c>
      <c r="P70" s="67">
        <f t="shared" si="46"/>
        <v>-17.785714285714221</v>
      </c>
      <c r="Q70" s="285">
        <f t="shared" si="47"/>
        <v>0.95257142857142874</v>
      </c>
      <c r="R70" s="511"/>
      <c r="S70" s="68">
        <v>0.40138888888888885</v>
      </c>
      <c r="T70" s="68">
        <v>0.44999999999999996</v>
      </c>
      <c r="U70" s="284">
        <f t="shared" si="42"/>
        <v>6.9999999999999751</v>
      </c>
      <c r="V70" s="292">
        <f t="shared" si="41"/>
        <v>69.999999999999986</v>
      </c>
      <c r="W70" s="284"/>
      <c r="X70" s="284"/>
      <c r="Y70" s="510"/>
      <c r="Z70" s="510"/>
      <c r="AA70" s="66">
        <f t="shared" si="48"/>
        <v>-142.28571428571377</v>
      </c>
      <c r="AB70" s="285">
        <f t="shared" si="49"/>
        <v>0.95257142857142874</v>
      </c>
      <c r="AC70" s="511"/>
    </row>
    <row r="71" spans="1:29">
      <c r="A71" s="520" t="s">
        <v>1548</v>
      </c>
      <c r="B71" s="62" t="s">
        <v>1541</v>
      </c>
      <c r="C71" s="513"/>
      <c r="D71" s="513"/>
      <c r="E71" s="286"/>
      <c r="F71" s="71"/>
      <c r="G71" s="64"/>
      <c r="H71" s="293"/>
      <c r="I71" s="72">
        <v>9</v>
      </c>
      <c r="J71" s="63">
        <v>2625</v>
      </c>
      <c r="K71" s="64">
        <f t="shared" si="43"/>
        <v>291.66666666666669</v>
      </c>
      <c r="L71" s="72">
        <v>9</v>
      </c>
      <c r="M71" s="65">
        <f>AVERAGE(M67:M70)</f>
        <v>2509.1325446779815</v>
      </c>
      <c r="N71" s="64">
        <f t="shared" si="44"/>
        <v>278.79250496422014</v>
      </c>
      <c r="O71" s="66">
        <f t="shared" si="45"/>
        <v>0</v>
      </c>
      <c r="P71" s="67">
        <f t="shared" si="46"/>
        <v>-12.874161702446543</v>
      </c>
      <c r="Q71" s="285">
        <f t="shared" si="47"/>
        <v>0.95586001702018331</v>
      </c>
      <c r="R71" s="511"/>
      <c r="S71" s="68"/>
      <c r="T71" s="68"/>
      <c r="U71" s="64"/>
      <c r="V71" s="292"/>
      <c r="W71" s="64"/>
      <c r="X71" s="64"/>
      <c r="Y71" s="510"/>
      <c r="Z71" s="510"/>
      <c r="AA71" s="66">
        <f t="shared" si="48"/>
        <v>-115.86745532201849</v>
      </c>
      <c r="AB71" s="285">
        <f t="shared" si="49"/>
        <v>0.95586001702018342</v>
      </c>
      <c r="AC71" s="511"/>
    </row>
    <row r="72" spans="1:29" ht="15.75" customHeight="1">
      <c r="A72" s="514" t="s">
        <v>1549</v>
      </c>
      <c r="B72" s="293" t="s">
        <v>16</v>
      </c>
      <c r="C72" s="512" t="s">
        <v>48</v>
      </c>
      <c r="D72" s="512"/>
      <c r="E72" s="62">
        <v>20.2</v>
      </c>
      <c r="F72" s="293">
        <v>2659</v>
      </c>
      <c r="G72" s="284">
        <f t="shared" ref="G72:G79" si="50">E72*F72</f>
        <v>53711.799999999996</v>
      </c>
      <c r="H72" s="90" t="s">
        <v>5</v>
      </c>
      <c r="I72" s="291">
        <v>19</v>
      </c>
      <c r="J72" s="63">
        <v>2400</v>
      </c>
      <c r="K72" s="64">
        <f t="shared" si="43"/>
        <v>126.31578947368421</v>
      </c>
      <c r="L72" s="291">
        <v>19</v>
      </c>
      <c r="M72" s="65">
        <f t="shared" ref="M72:M79" si="51">F72/V72*60</f>
        <v>2312.1739130434794</v>
      </c>
      <c r="N72" s="64">
        <f t="shared" si="44"/>
        <v>121.69336384439366</v>
      </c>
      <c r="O72" s="66">
        <f t="shared" si="45"/>
        <v>0</v>
      </c>
      <c r="P72" s="67">
        <f t="shared" si="46"/>
        <v>-4.6224256292905466</v>
      </c>
      <c r="Q72" s="285">
        <f t="shared" si="47"/>
        <v>0.9634057971014498</v>
      </c>
      <c r="R72" s="511">
        <f>Q80</f>
        <v>0.95851173661799804</v>
      </c>
      <c r="S72" s="68">
        <v>8.3333333333333329E-2</v>
      </c>
      <c r="T72" s="68">
        <v>0.13124999999999998</v>
      </c>
      <c r="U72" s="73"/>
      <c r="V72" s="292">
        <f t="shared" ref="V72:V79" si="52">(T72-S72)*24*60</f>
        <v>68.999999999999972</v>
      </c>
      <c r="W72" s="69">
        <f>T72</f>
        <v>0.13124999999999998</v>
      </c>
      <c r="X72" s="69">
        <f>S73</f>
        <v>0.15138888888888888</v>
      </c>
      <c r="Y72" s="510"/>
      <c r="Z72" s="510"/>
      <c r="AA72" s="66">
        <f t="shared" si="48"/>
        <v>-87.826086956520612</v>
      </c>
      <c r="AB72" s="285">
        <f t="shared" si="49"/>
        <v>0.96340579710144969</v>
      </c>
      <c r="AC72" s="511">
        <f>AB80</f>
        <v>0.95851173661799782</v>
      </c>
    </row>
    <row r="73" spans="1:29" ht="15.75" customHeight="1">
      <c r="A73" s="515" t="s">
        <v>1549</v>
      </c>
      <c r="B73" s="293" t="s">
        <v>16</v>
      </c>
      <c r="C73" s="512" t="s">
        <v>51</v>
      </c>
      <c r="D73" s="512"/>
      <c r="E73" s="62">
        <v>24.25</v>
      </c>
      <c r="F73" s="293">
        <v>2446</v>
      </c>
      <c r="G73" s="284">
        <f t="shared" si="50"/>
        <v>59315.5</v>
      </c>
      <c r="H73" s="90" t="s">
        <v>5</v>
      </c>
      <c r="I73" s="291">
        <v>17</v>
      </c>
      <c r="J73" s="63">
        <v>2400</v>
      </c>
      <c r="K73" s="64">
        <f t="shared" si="43"/>
        <v>141.1764705882353</v>
      </c>
      <c r="L73" s="291">
        <v>17</v>
      </c>
      <c r="M73" s="65">
        <f t="shared" si="51"/>
        <v>2293.1249999999995</v>
      </c>
      <c r="N73" s="64">
        <f t="shared" si="44"/>
        <v>134.88970588235293</v>
      </c>
      <c r="O73" s="66">
        <f t="shared" si="45"/>
        <v>0</v>
      </c>
      <c r="P73" s="67">
        <f t="shared" si="46"/>
        <v>-6.2867647058823763</v>
      </c>
      <c r="Q73" s="285">
        <f t="shared" si="47"/>
        <v>0.95546874999999987</v>
      </c>
      <c r="R73" s="511"/>
      <c r="S73" s="68">
        <v>0.15138888888888888</v>
      </c>
      <c r="T73" s="68">
        <v>0.19583333333333333</v>
      </c>
      <c r="U73" s="284">
        <f t="shared" ref="U73:U79" si="53">(S73-T72)*24*60</f>
        <v>29.000000000000018</v>
      </c>
      <c r="V73" s="292">
        <f t="shared" si="52"/>
        <v>64.000000000000014</v>
      </c>
      <c r="W73" s="69"/>
      <c r="X73" s="69"/>
      <c r="Y73" s="510"/>
      <c r="Z73" s="510"/>
      <c r="AA73" s="66">
        <f t="shared" si="48"/>
        <v>-106.87500000000045</v>
      </c>
      <c r="AB73" s="285">
        <f t="shared" si="49"/>
        <v>0.95546874999999976</v>
      </c>
      <c r="AC73" s="511"/>
    </row>
    <row r="74" spans="1:29" ht="15.75" customHeight="1">
      <c r="A74" s="515" t="s">
        <v>1549</v>
      </c>
      <c r="B74" s="293" t="s">
        <v>16</v>
      </c>
      <c r="C74" s="512" t="s">
        <v>17</v>
      </c>
      <c r="D74" s="512"/>
      <c r="E74" s="62">
        <v>24.45</v>
      </c>
      <c r="F74" s="293">
        <v>2653</v>
      </c>
      <c r="G74" s="284">
        <f t="shared" si="50"/>
        <v>64865.85</v>
      </c>
      <c r="H74" s="90" t="s">
        <v>5</v>
      </c>
      <c r="I74" s="291">
        <v>20</v>
      </c>
      <c r="J74" s="63">
        <v>2400</v>
      </c>
      <c r="K74" s="64">
        <f t="shared" si="43"/>
        <v>120</v>
      </c>
      <c r="L74" s="291">
        <v>20</v>
      </c>
      <c r="M74" s="65">
        <f t="shared" si="51"/>
        <v>2306.9565217391305</v>
      </c>
      <c r="N74" s="64">
        <f t="shared" si="44"/>
        <v>115.34782608695653</v>
      </c>
      <c r="O74" s="66">
        <f t="shared" si="45"/>
        <v>0</v>
      </c>
      <c r="P74" s="67">
        <f t="shared" si="46"/>
        <v>-4.6521739130434696</v>
      </c>
      <c r="Q74" s="285">
        <f t="shared" si="47"/>
        <v>0.96123188405797111</v>
      </c>
      <c r="R74" s="511"/>
      <c r="S74" s="68">
        <v>0.2</v>
      </c>
      <c r="T74" s="68">
        <v>0.24791666666666667</v>
      </c>
      <c r="U74" s="284">
        <f t="shared" si="53"/>
        <v>6.0000000000000187</v>
      </c>
      <c r="V74" s="292">
        <f t="shared" si="52"/>
        <v>69</v>
      </c>
      <c r="W74" s="69"/>
      <c r="X74" s="69"/>
      <c r="Y74" s="510"/>
      <c r="Z74" s="510"/>
      <c r="AA74" s="66">
        <f t="shared" si="48"/>
        <v>-93.043478260869506</v>
      </c>
      <c r="AB74" s="285">
        <f t="shared" si="49"/>
        <v>0.961231884057971</v>
      </c>
      <c r="AC74" s="511"/>
    </row>
    <row r="75" spans="1:29" ht="15.75" customHeight="1">
      <c r="A75" s="515" t="s">
        <v>1549</v>
      </c>
      <c r="B75" s="293" t="s">
        <v>16</v>
      </c>
      <c r="C75" s="512" t="s">
        <v>34</v>
      </c>
      <c r="D75" s="512"/>
      <c r="E75" s="62">
        <v>24.25</v>
      </c>
      <c r="F75" s="293">
        <v>3417</v>
      </c>
      <c r="G75" s="284">
        <f t="shared" si="50"/>
        <v>82862.25</v>
      </c>
      <c r="H75" s="90" t="s">
        <v>5</v>
      </c>
      <c r="I75" s="291">
        <v>13</v>
      </c>
      <c r="J75" s="63">
        <v>2400</v>
      </c>
      <c r="K75" s="64">
        <f t="shared" si="43"/>
        <v>184.61538461538461</v>
      </c>
      <c r="L75" s="291">
        <v>13</v>
      </c>
      <c r="M75" s="65">
        <f t="shared" si="51"/>
        <v>2303.5955056179773</v>
      </c>
      <c r="N75" s="64">
        <f t="shared" si="44"/>
        <v>177.19965427830596</v>
      </c>
      <c r="O75" s="66">
        <f t="shared" si="45"/>
        <v>0</v>
      </c>
      <c r="P75" s="67">
        <f t="shared" si="46"/>
        <v>-7.4157303370786565</v>
      </c>
      <c r="Q75" s="285">
        <f t="shared" si="47"/>
        <v>0.95983146067415726</v>
      </c>
      <c r="R75" s="511"/>
      <c r="S75" s="68">
        <v>0.25138888888888888</v>
      </c>
      <c r="T75" s="68">
        <v>0.31319444444444444</v>
      </c>
      <c r="U75" s="284">
        <f t="shared" si="53"/>
        <v>4.9999999999999822</v>
      </c>
      <c r="V75" s="292">
        <f t="shared" si="52"/>
        <v>89</v>
      </c>
      <c r="W75" s="69"/>
      <c r="X75" s="69"/>
      <c r="Y75" s="510"/>
      <c r="Z75" s="510"/>
      <c r="AA75" s="66">
        <f t="shared" si="48"/>
        <v>-96.404494382022676</v>
      </c>
      <c r="AB75" s="285">
        <f t="shared" si="49"/>
        <v>0.95983146067415726</v>
      </c>
      <c r="AC75" s="511"/>
    </row>
    <row r="76" spans="1:29" ht="15.75" customHeight="1">
      <c r="A76" s="515" t="s">
        <v>1549</v>
      </c>
      <c r="B76" s="293" t="s">
        <v>16</v>
      </c>
      <c r="C76" s="512" t="s">
        <v>26</v>
      </c>
      <c r="D76" s="512"/>
      <c r="E76" s="62">
        <v>20.52</v>
      </c>
      <c r="F76" s="293">
        <v>3698</v>
      </c>
      <c r="G76" s="284">
        <f t="shared" si="50"/>
        <v>75882.959999999992</v>
      </c>
      <c r="H76" s="90" t="s">
        <v>5</v>
      </c>
      <c r="I76" s="291">
        <v>18</v>
      </c>
      <c r="J76" s="63">
        <v>2400</v>
      </c>
      <c r="K76" s="64">
        <f t="shared" si="43"/>
        <v>133.33333333333334</v>
      </c>
      <c r="L76" s="291">
        <v>18</v>
      </c>
      <c r="M76" s="65">
        <f t="shared" si="51"/>
        <v>2287.4226804123718</v>
      </c>
      <c r="N76" s="64">
        <f t="shared" si="44"/>
        <v>127.07903780068733</v>
      </c>
      <c r="O76" s="66">
        <f t="shared" si="45"/>
        <v>0</v>
      </c>
      <c r="P76" s="67">
        <f t="shared" si="46"/>
        <v>-6.2542955326460117</v>
      </c>
      <c r="Q76" s="285">
        <f t="shared" si="47"/>
        <v>0.95309278350515492</v>
      </c>
      <c r="R76" s="511"/>
      <c r="S76" s="68">
        <v>0.31874999999999998</v>
      </c>
      <c r="T76" s="68">
        <v>0.38611111111111107</v>
      </c>
      <c r="U76" s="284">
        <f t="shared" si="53"/>
        <v>7.9999999999999716</v>
      </c>
      <c r="V76" s="292">
        <f t="shared" si="52"/>
        <v>96.999999999999972</v>
      </c>
      <c r="W76" s="69"/>
      <c r="X76" s="69"/>
      <c r="Y76" s="510"/>
      <c r="Z76" s="510"/>
      <c r="AA76" s="66">
        <f t="shared" si="48"/>
        <v>-112.57731958762815</v>
      </c>
      <c r="AB76" s="285">
        <f t="shared" si="49"/>
        <v>0.95309278350515492</v>
      </c>
      <c r="AC76" s="511"/>
    </row>
    <row r="77" spans="1:29" ht="15.75" customHeight="1">
      <c r="A77" s="515" t="s">
        <v>1549</v>
      </c>
      <c r="B77" s="293" t="s">
        <v>16</v>
      </c>
      <c r="C77" s="512" t="s">
        <v>49</v>
      </c>
      <c r="D77" s="512"/>
      <c r="E77" s="62">
        <v>19.02</v>
      </c>
      <c r="F77" s="293">
        <v>4500</v>
      </c>
      <c r="G77" s="284">
        <f t="shared" si="50"/>
        <v>85590</v>
      </c>
      <c r="H77" s="90">
        <v>2</v>
      </c>
      <c r="I77" s="291">
        <v>15</v>
      </c>
      <c r="J77" s="63">
        <v>2400</v>
      </c>
      <c r="K77" s="64">
        <f t="shared" si="43"/>
        <v>160</v>
      </c>
      <c r="L77" s="291">
        <v>15</v>
      </c>
      <c r="M77" s="65">
        <f t="shared" si="51"/>
        <v>2288.1355932203396</v>
      </c>
      <c r="N77" s="64">
        <f t="shared" si="44"/>
        <v>152.54237288135599</v>
      </c>
      <c r="O77" s="66">
        <f t="shared" si="45"/>
        <v>0</v>
      </c>
      <c r="P77" s="67">
        <f t="shared" si="46"/>
        <v>-7.4576271186440124</v>
      </c>
      <c r="Q77" s="285">
        <f t="shared" si="47"/>
        <v>0.95338983050847492</v>
      </c>
      <c r="R77" s="511"/>
      <c r="S77" s="68">
        <v>0.39027777777777772</v>
      </c>
      <c r="T77" s="68">
        <v>0.47222222222222215</v>
      </c>
      <c r="U77" s="284">
        <f t="shared" si="53"/>
        <v>5.9999999999999787</v>
      </c>
      <c r="V77" s="292">
        <f t="shared" si="52"/>
        <v>117.99999999999999</v>
      </c>
      <c r="W77" s="69"/>
      <c r="X77" s="69"/>
      <c r="Y77" s="510"/>
      <c r="Z77" s="510"/>
      <c r="AA77" s="66">
        <f t="shared" si="48"/>
        <v>-111.86440677966038</v>
      </c>
      <c r="AB77" s="285">
        <f t="shared" si="49"/>
        <v>0.95338983050847481</v>
      </c>
      <c r="AC77" s="511"/>
    </row>
    <row r="78" spans="1:29" ht="15.75" customHeight="1">
      <c r="A78" s="515" t="s">
        <v>1549</v>
      </c>
      <c r="B78" s="293" t="s">
        <v>16</v>
      </c>
      <c r="C78" s="512" t="s">
        <v>27</v>
      </c>
      <c r="D78" s="512"/>
      <c r="E78" s="62">
        <v>25.98</v>
      </c>
      <c r="F78" s="293">
        <v>1201</v>
      </c>
      <c r="G78" s="284">
        <f t="shared" si="50"/>
        <v>31201.98</v>
      </c>
      <c r="H78" s="90" t="s">
        <v>5</v>
      </c>
      <c r="I78" s="291">
        <v>17</v>
      </c>
      <c r="J78" s="63">
        <v>2400</v>
      </c>
      <c r="K78" s="64">
        <f t="shared" si="43"/>
        <v>141.1764705882353</v>
      </c>
      <c r="L78" s="291">
        <v>17</v>
      </c>
      <c r="M78" s="65">
        <f t="shared" si="51"/>
        <v>2324.5161290322603</v>
      </c>
      <c r="N78" s="64">
        <f t="shared" si="44"/>
        <v>136.7362428842506</v>
      </c>
      <c r="O78" s="66">
        <f t="shared" si="45"/>
        <v>0</v>
      </c>
      <c r="P78" s="67">
        <f t="shared" si="46"/>
        <v>-4.4402277039847036</v>
      </c>
      <c r="Q78" s="285">
        <f t="shared" si="47"/>
        <v>0.96854838709677504</v>
      </c>
      <c r="R78" s="511"/>
      <c r="S78" s="68">
        <v>0.47569444444444436</v>
      </c>
      <c r="T78" s="68">
        <v>0.49722222222222212</v>
      </c>
      <c r="U78" s="284">
        <f t="shared" si="53"/>
        <v>4.9999999999999822</v>
      </c>
      <c r="V78" s="292">
        <f t="shared" si="52"/>
        <v>30.999999999999972</v>
      </c>
      <c r="W78" s="69">
        <f>T78</f>
        <v>0.49722222222222212</v>
      </c>
      <c r="X78" s="69">
        <f>S79</f>
        <v>0.53749999999999987</v>
      </c>
      <c r="Y78" s="517"/>
      <c r="Z78" s="518"/>
      <c r="AA78" s="66">
        <f t="shared" si="48"/>
        <v>-75.483870967739676</v>
      </c>
      <c r="AB78" s="285">
        <f t="shared" si="49"/>
        <v>0.96854838709677515</v>
      </c>
      <c r="AC78" s="511"/>
    </row>
    <row r="79" spans="1:29" ht="15.75" customHeight="1">
      <c r="A79" s="515" t="s">
        <v>1549</v>
      </c>
      <c r="B79" s="293" t="s">
        <v>16</v>
      </c>
      <c r="C79" s="512" t="s">
        <v>49</v>
      </c>
      <c r="D79" s="512"/>
      <c r="E79" s="62">
        <v>19.02</v>
      </c>
      <c r="F79" s="293">
        <v>7015</v>
      </c>
      <c r="G79" s="284">
        <f t="shared" si="50"/>
        <v>133425.29999999999</v>
      </c>
      <c r="H79" s="90" t="s">
        <v>5</v>
      </c>
      <c r="I79" s="291">
        <v>15</v>
      </c>
      <c r="J79" s="63">
        <v>2400</v>
      </c>
      <c r="K79" s="64">
        <f t="shared" si="43"/>
        <v>160</v>
      </c>
      <c r="L79" s="291">
        <v>15</v>
      </c>
      <c r="M79" s="65">
        <f t="shared" si="51"/>
        <v>2287.5</v>
      </c>
      <c r="N79" s="64">
        <f t="shared" si="44"/>
        <v>152.5</v>
      </c>
      <c r="O79" s="66">
        <f t="shared" si="45"/>
        <v>0</v>
      </c>
      <c r="P79" s="67">
        <f t="shared" si="46"/>
        <v>-7.5</v>
      </c>
      <c r="Q79" s="285">
        <f t="shared" si="47"/>
        <v>0.953125</v>
      </c>
      <c r="R79" s="511"/>
      <c r="S79" s="68">
        <v>0.53749999999999987</v>
      </c>
      <c r="T79" s="68">
        <v>0.66527777777777763</v>
      </c>
      <c r="U79" s="284">
        <f t="shared" si="53"/>
        <v>57.999999999999957</v>
      </c>
      <c r="V79" s="292">
        <f t="shared" si="52"/>
        <v>184</v>
      </c>
      <c r="W79" s="69"/>
      <c r="X79" s="69"/>
      <c r="Y79" s="517"/>
      <c r="Z79" s="518"/>
      <c r="AA79" s="66">
        <f t="shared" si="48"/>
        <v>-112.5</v>
      </c>
      <c r="AB79" s="285">
        <f t="shared" si="49"/>
        <v>0.953125</v>
      </c>
      <c r="AC79" s="511"/>
    </row>
    <row r="80" spans="1:29" ht="16.5" customHeight="1">
      <c r="A80" s="516" t="s">
        <v>1549</v>
      </c>
      <c r="B80" s="62" t="s">
        <v>1541</v>
      </c>
      <c r="C80" s="508"/>
      <c r="D80" s="509"/>
      <c r="E80" s="286"/>
      <c r="F80" s="71"/>
      <c r="G80" s="64"/>
      <c r="H80" s="293"/>
      <c r="I80" s="72">
        <v>16.75</v>
      </c>
      <c r="J80" s="63">
        <v>2400</v>
      </c>
      <c r="K80" s="64">
        <f t="shared" si="43"/>
        <v>143.28358208955223</v>
      </c>
      <c r="L80" s="72">
        <v>16.75</v>
      </c>
      <c r="M80" s="65">
        <f>AVERAGE(M72:M79)</f>
        <v>2300.4281678831949</v>
      </c>
      <c r="N80" s="64">
        <f t="shared" si="44"/>
        <v>137.33899509750418</v>
      </c>
      <c r="O80" s="66">
        <f t="shared" si="45"/>
        <v>0</v>
      </c>
      <c r="P80" s="67">
        <f t="shared" si="46"/>
        <v>-5.9445869920480447</v>
      </c>
      <c r="Q80" s="285">
        <f t="shared" si="47"/>
        <v>0.95851173661799804</v>
      </c>
      <c r="R80" s="511"/>
      <c r="S80" s="68"/>
      <c r="T80" s="68"/>
      <c r="U80" s="64"/>
      <c r="V80" s="292"/>
      <c r="W80" s="64"/>
      <c r="X80" s="64"/>
      <c r="Y80" s="510"/>
      <c r="Z80" s="510"/>
      <c r="AA80" s="66">
        <f t="shared" si="48"/>
        <v>-99.571832116805126</v>
      </c>
      <c r="AB80" s="285">
        <f t="shared" si="49"/>
        <v>0.95851173661799782</v>
      </c>
      <c r="AC80" s="511"/>
    </row>
    <row r="81" spans="4:5">
      <c r="D81" s="76"/>
      <c r="E81" s="76"/>
    </row>
  </sheetData>
  <mergeCells count="207">
    <mergeCell ref="AC72:AC80"/>
    <mergeCell ref="C73:D73"/>
    <mergeCell ref="Y73:Z73"/>
    <mergeCell ref="C74:D74"/>
    <mergeCell ref="Y74:Z74"/>
    <mergeCell ref="C75:D75"/>
    <mergeCell ref="Y75:Z75"/>
    <mergeCell ref="C76:D76"/>
    <mergeCell ref="Y76:Z76"/>
    <mergeCell ref="C77:D77"/>
    <mergeCell ref="A72:A80"/>
    <mergeCell ref="C72:D72"/>
    <mergeCell ref="R72:R80"/>
    <mergeCell ref="Y72:Z72"/>
    <mergeCell ref="Y77:Z77"/>
    <mergeCell ref="C78:D78"/>
    <mergeCell ref="Y78:Z78"/>
    <mergeCell ref="A67:A71"/>
    <mergeCell ref="C67:D67"/>
    <mergeCell ref="R67:R71"/>
    <mergeCell ref="Y67:Z67"/>
    <mergeCell ref="C79:D79"/>
    <mergeCell ref="Y79:Z79"/>
    <mergeCell ref="C80:D80"/>
    <mergeCell ref="Y80:Z80"/>
    <mergeCell ref="AC67:AC71"/>
    <mergeCell ref="C68:D68"/>
    <mergeCell ref="Y68:Z68"/>
    <mergeCell ref="C69:D69"/>
    <mergeCell ref="Y69:Z69"/>
    <mergeCell ref="C70:D70"/>
    <mergeCell ref="AC59:AC66"/>
    <mergeCell ref="C60:D60"/>
    <mergeCell ref="Y60:Z60"/>
    <mergeCell ref="C61:D61"/>
    <mergeCell ref="C64:D64"/>
    <mergeCell ref="Y64:Z64"/>
    <mergeCell ref="C65:D65"/>
    <mergeCell ref="Y65:Z65"/>
    <mergeCell ref="C66:D66"/>
    <mergeCell ref="Y66:Z66"/>
    <mergeCell ref="Y70:Z70"/>
    <mergeCell ref="C71:D71"/>
    <mergeCell ref="Y71:Z71"/>
    <mergeCell ref="A59:A66"/>
    <mergeCell ref="C59:D59"/>
    <mergeCell ref="R59:R66"/>
    <mergeCell ref="Y59:Z59"/>
    <mergeCell ref="C55:D55"/>
    <mergeCell ref="Y55:Z55"/>
    <mergeCell ref="C56:D56"/>
    <mergeCell ref="Y56:Z56"/>
    <mergeCell ref="C57:D57"/>
    <mergeCell ref="Y57:Z57"/>
    <mergeCell ref="A49:A58"/>
    <mergeCell ref="C49:D49"/>
    <mergeCell ref="R49:R58"/>
    <mergeCell ref="Y49:Z49"/>
    <mergeCell ref="Y54:Z54"/>
    <mergeCell ref="AC49:AC58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58:D58"/>
    <mergeCell ref="Y58:Z58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C47:D47"/>
    <mergeCell ref="Y47:Z47"/>
    <mergeCell ref="C48:D48"/>
    <mergeCell ref="Y48:Z48"/>
    <mergeCell ref="A31:A39"/>
    <mergeCell ref="C31:D31"/>
    <mergeCell ref="R31:R39"/>
    <mergeCell ref="Y31:Z31"/>
    <mergeCell ref="C38:D38"/>
    <mergeCell ref="Y38:Z38"/>
    <mergeCell ref="C39:D39"/>
    <mergeCell ref="Y39:Z39"/>
    <mergeCell ref="A40:A48"/>
    <mergeCell ref="C40:D40"/>
    <mergeCell ref="R40:R48"/>
    <mergeCell ref="Y40:Z40"/>
    <mergeCell ref="Y45:Z45"/>
    <mergeCell ref="C46:D46"/>
    <mergeCell ref="AC31:AC39"/>
    <mergeCell ref="C32:D32"/>
    <mergeCell ref="Y32:Z32"/>
    <mergeCell ref="C33:D33"/>
    <mergeCell ref="Y33:Z33"/>
    <mergeCell ref="C34:D34"/>
    <mergeCell ref="C28:D28"/>
    <mergeCell ref="Y28:Z28"/>
    <mergeCell ref="C29:D29"/>
    <mergeCell ref="Y29:Z29"/>
    <mergeCell ref="C30:D30"/>
    <mergeCell ref="Y30:Z30"/>
    <mergeCell ref="AC21:AC30"/>
    <mergeCell ref="Y34:Z34"/>
    <mergeCell ref="C35:D35"/>
    <mergeCell ref="Y35:Z35"/>
    <mergeCell ref="C36:D36"/>
    <mergeCell ref="Y36:Z36"/>
    <mergeCell ref="C37:D37"/>
    <mergeCell ref="Y37:Z37"/>
    <mergeCell ref="Y24:Z24"/>
    <mergeCell ref="C25:D25"/>
    <mergeCell ref="Y25:Z25"/>
    <mergeCell ref="C26:D26"/>
    <mergeCell ref="Y26:Z26"/>
    <mergeCell ref="C27:D27"/>
    <mergeCell ref="Y27:Z27"/>
    <mergeCell ref="A21:A30"/>
    <mergeCell ref="C21:D21"/>
    <mergeCell ref="R21:R30"/>
    <mergeCell ref="Y21:Z21"/>
    <mergeCell ref="C22:D22"/>
    <mergeCell ref="Y22:Z22"/>
    <mergeCell ref="C23:D23"/>
    <mergeCell ref="Y23:Z23"/>
    <mergeCell ref="C24:D24"/>
    <mergeCell ref="AC10:AC12"/>
    <mergeCell ref="C11:D11"/>
    <mergeCell ref="Y11:Z11"/>
    <mergeCell ref="C12:D12"/>
    <mergeCell ref="Y12:Z12"/>
    <mergeCell ref="A13:A20"/>
    <mergeCell ref="C13:D13"/>
    <mergeCell ref="R13:R20"/>
    <mergeCell ref="Y13:Z13"/>
    <mergeCell ref="AC13:AC20"/>
    <mergeCell ref="C17:D17"/>
    <mergeCell ref="Y17:Z17"/>
    <mergeCell ref="C18:D18"/>
    <mergeCell ref="Y18:Z18"/>
    <mergeCell ref="Y19:Z19"/>
    <mergeCell ref="C20:D20"/>
    <mergeCell ref="Y20:Z20"/>
    <mergeCell ref="C14:D14"/>
    <mergeCell ref="Y14:Z14"/>
    <mergeCell ref="C15:D15"/>
    <mergeCell ref="Y15:Z15"/>
    <mergeCell ref="C16:D16"/>
    <mergeCell ref="Y16:Z16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70:O77 O66:O67 O80 O5:O10 O12:O14 O58:O64 O20:O54">
    <cfRule type="cellIs" dxfId="1535" priority="78" operator="greaterThan">
      <formula>0</formula>
    </cfRule>
  </conditionalFormatting>
  <conditionalFormatting sqref="P5:P8 P70 AA70 P72:P77 P31:P38 P67 P10 P12:P14 P21:P29 P59:P64 P40:P54 AA5:AA67 AA72:AA80">
    <cfRule type="cellIs" dxfId="1534" priority="82" operator="lessThan">
      <formula>0</formula>
    </cfRule>
  </conditionalFormatting>
  <conditionalFormatting sqref="AB70 Q70:Q77 Q66:Q67 Q80 Q5:Q10 Q12:Q14 Q58:Q64 Q20:Q54 AB5:AB67 AB72:AB80">
    <cfRule type="cellIs" dxfId="1533" priority="79" operator="greaterThan">
      <formula>1</formula>
    </cfRule>
    <cfRule type="cellIs" dxfId="1532" priority="80" operator="lessThan">
      <formula>0.8</formula>
    </cfRule>
  </conditionalFormatting>
  <conditionalFormatting sqref="AC13:AC14 R13:R14 AC70 R70:R77 R20:R26 AC20:AC26 AC66:AC67 R66:R67 R80 AC5:AC10 R5:R10 R30:R54 AC30:AC54 AC58:AC64 R58:R64">
    <cfRule type="cellIs" dxfId="1531" priority="84" operator="lessThan">
      <formula>0.8</formula>
    </cfRule>
  </conditionalFormatting>
  <conditionalFormatting sqref="AC49">
    <cfRule type="cellIs" dxfId="1530" priority="86" operator="lessThan">
      <formula>0.8</formula>
    </cfRule>
  </conditionalFormatting>
  <conditionalFormatting sqref="AC21:AC26">
    <cfRule type="cellIs" dxfId="1529" priority="83" operator="lessThan">
      <formula>0.8</formula>
    </cfRule>
  </conditionalFormatting>
  <conditionalFormatting sqref="AC31">
    <cfRule type="cellIs" dxfId="1528" priority="85" operator="lessThan">
      <formula>0.8</formula>
    </cfRule>
  </conditionalFormatting>
  <conditionalFormatting sqref="AC40:AC47">
    <cfRule type="cellIs" dxfId="1527" priority="81" operator="lessThan">
      <formula>0.8</formula>
    </cfRule>
  </conditionalFormatting>
  <conditionalFormatting sqref="AA71">
    <cfRule type="cellIs" dxfId="1526" priority="77" operator="lessThan">
      <formula>0</formula>
    </cfRule>
  </conditionalFormatting>
  <conditionalFormatting sqref="AB71">
    <cfRule type="cellIs" dxfId="1525" priority="75" operator="greaterThan">
      <formula>1</formula>
    </cfRule>
    <cfRule type="cellIs" dxfId="1524" priority="76" operator="lessThan">
      <formula>0.8</formula>
    </cfRule>
  </conditionalFormatting>
  <conditionalFormatting sqref="O15:O16">
    <cfRule type="cellIs" dxfId="1523" priority="70" operator="greaterThan">
      <formula>0</formula>
    </cfRule>
  </conditionalFormatting>
  <conditionalFormatting sqref="P15:P16">
    <cfRule type="cellIs" dxfId="1522" priority="73" operator="lessThan">
      <formula>0</formula>
    </cfRule>
  </conditionalFormatting>
  <conditionalFormatting sqref="Q15:Q16">
    <cfRule type="cellIs" dxfId="1521" priority="71" operator="greaterThan">
      <formula>1</formula>
    </cfRule>
    <cfRule type="cellIs" dxfId="1520" priority="72" operator="lessThan">
      <formula>0.8</formula>
    </cfRule>
  </conditionalFormatting>
  <conditionalFormatting sqref="R15:R16 AC15:AC16">
    <cfRule type="cellIs" dxfId="1519" priority="74" operator="lessThan">
      <formula>0.8</formula>
    </cfRule>
  </conditionalFormatting>
  <conditionalFormatting sqref="O11">
    <cfRule type="cellIs" dxfId="1518" priority="66" operator="greaterThan">
      <formula>0</formula>
    </cfRule>
  </conditionalFormatting>
  <conditionalFormatting sqref="P11">
    <cfRule type="cellIs" dxfId="1517" priority="69" operator="lessThan">
      <formula>0</formula>
    </cfRule>
  </conditionalFormatting>
  <conditionalFormatting sqref="Q11">
    <cfRule type="cellIs" dxfId="1516" priority="67" operator="greaterThan">
      <formula>1</formula>
    </cfRule>
    <cfRule type="cellIs" dxfId="1515" priority="68" operator="lessThan">
      <formula>0.8</formula>
    </cfRule>
  </conditionalFormatting>
  <conditionalFormatting sqref="O65">
    <cfRule type="cellIs" dxfId="1514" priority="61" operator="greaterThan">
      <formula>0</formula>
    </cfRule>
  </conditionalFormatting>
  <conditionalFormatting sqref="P65">
    <cfRule type="cellIs" dxfId="1513" priority="64" operator="lessThan">
      <formula>0</formula>
    </cfRule>
  </conditionalFormatting>
  <conditionalFormatting sqref="Q65">
    <cfRule type="cellIs" dxfId="1512" priority="62" operator="greaterThan">
      <formula>1</formula>
    </cfRule>
    <cfRule type="cellIs" dxfId="1511" priority="63" operator="lessThan">
      <formula>0.8</formula>
    </cfRule>
  </conditionalFormatting>
  <conditionalFormatting sqref="R65 AC65">
    <cfRule type="cellIs" dxfId="1510" priority="65" operator="lessThan">
      <formula>0.8</formula>
    </cfRule>
  </conditionalFormatting>
  <conditionalFormatting sqref="AC28 R28">
    <cfRule type="cellIs" dxfId="1509" priority="60" operator="lessThan">
      <formula>0.8</formula>
    </cfRule>
  </conditionalFormatting>
  <conditionalFormatting sqref="O69">
    <cfRule type="cellIs" dxfId="1508" priority="55" operator="greaterThan">
      <formula>0</formula>
    </cfRule>
  </conditionalFormatting>
  <conditionalFormatting sqref="P69 AA69">
    <cfRule type="cellIs" dxfId="1507" priority="58" operator="lessThan">
      <formula>0</formula>
    </cfRule>
  </conditionalFormatting>
  <conditionalFormatting sqref="Q69 AB69">
    <cfRule type="cellIs" dxfId="1506" priority="56" operator="greaterThan">
      <formula>1</formula>
    </cfRule>
    <cfRule type="cellIs" dxfId="1505" priority="57" operator="lessThan">
      <formula>0.8</formula>
    </cfRule>
  </conditionalFormatting>
  <conditionalFormatting sqref="R69 AC69">
    <cfRule type="cellIs" dxfId="1504" priority="59" operator="lessThan">
      <formula>0.8</formula>
    </cfRule>
  </conditionalFormatting>
  <conditionalFormatting sqref="O78">
    <cfRule type="cellIs" dxfId="1503" priority="50" operator="greaterThan">
      <formula>0</formula>
    </cfRule>
  </conditionalFormatting>
  <conditionalFormatting sqref="P78">
    <cfRule type="cellIs" dxfId="1502" priority="53" operator="lessThan">
      <formula>0</formula>
    </cfRule>
  </conditionalFormatting>
  <conditionalFormatting sqref="Q78">
    <cfRule type="cellIs" dxfId="1501" priority="51" operator="greaterThan">
      <formula>1</formula>
    </cfRule>
    <cfRule type="cellIs" dxfId="1500" priority="52" operator="lessThan">
      <formula>0.8</formula>
    </cfRule>
  </conditionalFormatting>
  <conditionalFormatting sqref="R78">
    <cfRule type="cellIs" dxfId="1499" priority="54" operator="lessThan">
      <formula>0.8</formula>
    </cfRule>
  </conditionalFormatting>
  <conditionalFormatting sqref="O17:O18">
    <cfRule type="cellIs" dxfId="1498" priority="45" operator="greaterThan">
      <formula>0</formula>
    </cfRule>
  </conditionalFormatting>
  <conditionalFormatting sqref="P17:P18">
    <cfRule type="cellIs" dxfId="1497" priority="48" operator="lessThan">
      <formula>0</formula>
    </cfRule>
  </conditionalFormatting>
  <conditionalFormatting sqref="Q17:Q18">
    <cfRule type="cellIs" dxfId="1496" priority="46" operator="greaterThan">
      <formula>1</formula>
    </cfRule>
    <cfRule type="cellIs" dxfId="1495" priority="47" operator="lessThan">
      <formula>0.8</formula>
    </cfRule>
  </conditionalFormatting>
  <conditionalFormatting sqref="R17:R18 AC17:AC18">
    <cfRule type="cellIs" dxfId="1494" priority="49" operator="lessThan">
      <formula>0.8</formula>
    </cfRule>
  </conditionalFormatting>
  <conditionalFormatting sqref="O55">
    <cfRule type="cellIs" dxfId="1493" priority="39" operator="greaterThan">
      <formula>0</formula>
    </cfRule>
  </conditionalFormatting>
  <conditionalFormatting sqref="P55">
    <cfRule type="cellIs" dxfId="1492" priority="43" operator="lessThan">
      <formula>0</formula>
    </cfRule>
  </conditionalFormatting>
  <conditionalFormatting sqref="Q55">
    <cfRule type="cellIs" dxfId="1491" priority="40" operator="greaterThan">
      <formula>1</formula>
    </cfRule>
    <cfRule type="cellIs" dxfId="1490" priority="41" operator="lessThan">
      <formula>0.8</formula>
    </cfRule>
  </conditionalFormatting>
  <conditionalFormatting sqref="R55 AC55">
    <cfRule type="cellIs" dxfId="1489" priority="44" operator="lessThan">
      <formula>0.8</formula>
    </cfRule>
  </conditionalFormatting>
  <conditionalFormatting sqref="AC55">
    <cfRule type="cellIs" dxfId="1488" priority="42" operator="lessThan">
      <formula>0.8</formula>
    </cfRule>
  </conditionalFormatting>
  <conditionalFormatting sqref="O56">
    <cfRule type="cellIs" dxfId="1487" priority="33" operator="greaterThan">
      <formula>0</formula>
    </cfRule>
  </conditionalFormatting>
  <conditionalFormatting sqref="P56">
    <cfRule type="cellIs" dxfId="1486" priority="37" operator="lessThan">
      <formula>0</formula>
    </cfRule>
  </conditionalFormatting>
  <conditionalFormatting sqref="Q56">
    <cfRule type="cellIs" dxfId="1485" priority="34" operator="greaterThan">
      <formula>1</formula>
    </cfRule>
    <cfRule type="cellIs" dxfId="1484" priority="35" operator="lessThan">
      <formula>0.8</formula>
    </cfRule>
  </conditionalFormatting>
  <conditionalFormatting sqref="R56 AC56">
    <cfRule type="cellIs" dxfId="1483" priority="38" operator="lessThan">
      <formula>0.8</formula>
    </cfRule>
  </conditionalFormatting>
  <conditionalFormatting sqref="AC56">
    <cfRule type="cellIs" dxfId="1482" priority="36" operator="lessThan">
      <formula>0.8</formula>
    </cfRule>
  </conditionalFormatting>
  <conditionalFormatting sqref="AC29 R29">
    <cfRule type="cellIs" dxfId="1481" priority="32" operator="lessThan">
      <formula>0.8</formula>
    </cfRule>
  </conditionalFormatting>
  <conditionalFormatting sqref="R27 AC27">
    <cfRule type="cellIs" dxfId="1480" priority="31" operator="lessThan">
      <formula>0.8</formula>
    </cfRule>
  </conditionalFormatting>
  <conditionalFormatting sqref="AC27">
    <cfRule type="cellIs" dxfId="1479" priority="30" operator="lessThan">
      <formula>0.8</formula>
    </cfRule>
  </conditionalFormatting>
  <conditionalFormatting sqref="O57">
    <cfRule type="cellIs" dxfId="1478" priority="24" operator="greaterThan">
      <formula>0</formula>
    </cfRule>
  </conditionalFormatting>
  <conditionalFormatting sqref="P57">
    <cfRule type="cellIs" dxfId="1477" priority="28" operator="lessThan">
      <formula>0</formula>
    </cfRule>
  </conditionalFormatting>
  <conditionalFormatting sqref="Q57">
    <cfRule type="cellIs" dxfId="1476" priority="25" operator="greaterThan">
      <formula>1</formula>
    </cfRule>
    <cfRule type="cellIs" dxfId="1475" priority="26" operator="lessThan">
      <formula>0.8</formula>
    </cfRule>
  </conditionalFormatting>
  <conditionalFormatting sqref="R57 AC57">
    <cfRule type="cellIs" dxfId="1474" priority="29" operator="lessThan">
      <formula>0.8</formula>
    </cfRule>
  </conditionalFormatting>
  <conditionalFormatting sqref="AC57">
    <cfRule type="cellIs" dxfId="1473" priority="27" operator="lessThan">
      <formula>0.8</formula>
    </cfRule>
  </conditionalFormatting>
  <conditionalFormatting sqref="O68">
    <cfRule type="cellIs" dxfId="1472" priority="19" operator="greaterThan">
      <formula>0</formula>
    </cfRule>
  </conditionalFormatting>
  <conditionalFormatting sqref="P68 AA68">
    <cfRule type="cellIs" dxfId="1471" priority="22" operator="lessThan">
      <formula>0</formula>
    </cfRule>
  </conditionalFormatting>
  <conditionalFormatting sqref="Q68 AB68">
    <cfRule type="cellIs" dxfId="1470" priority="20" operator="greaterThan">
      <formula>1</formula>
    </cfRule>
    <cfRule type="cellIs" dxfId="1469" priority="21" operator="lessThan">
      <formula>0.8</formula>
    </cfRule>
  </conditionalFormatting>
  <conditionalFormatting sqref="R68 AC68">
    <cfRule type="cellIs" dxfId="1468" priority="23" operator="lessThan">
      <formula>0.8</formula>
    </cfRule>
  </conditionalFormatting>
  <conditionalFormatting sqref="O19">
    <cfRule type="cellIs" dxfId="1467" priority="14" operator="greaterThan">
      <formula>0</formula>
    </cfRule>
  </conditionalFormatting>
  <conditionalFormatting sqref="P19">
    <cfRule type="cellIs" dxfId="1466" priority="17" operator="lessThan">
      <formula>0</formula>
    </cfRule>
  </conditionalFormatting>
  <conditionalFormatting sqref="Q19">
    <cfRule type="cellIs" dxfId="1465" priority="15" operator="greaterThan">
      <formula>1</formula>
    </cfRule>
    <cfRule type="cellIs" dxfId="1464" priority="16" operator="lessThan">
      <formula>0.8</formula>
    </cfRule>
  </conditionalFormatting>
  <conditionalFormatting sqref="AC19 R19">
    <cfRule type="cellIs" dxfId="1463" priority="18" operator="lessThan">
      <formula>0.8</formula>
    </cfRule>
  </conditionalFormatting>
  <conditionalFormatting sqref="P9">
    <cfRule type="cellIs" dxfId="1462" priority="13" operator="lessThan">
      <formula>0</formula>
    </cfRule>
  </conditionalFormatting>
  <conditionalFormatting sqref="P20">
    <cfRule type="cellIs" dxfId="1461" priority="12" operator="lessThan">
      <formula>0</formula>
    </cfRule>
  </conditionalFormatting>
  <conditionalFormatting sqref="P30">
    <cfRule type="cellIs" dxfId="1460" priority="11" operator="lessThan">
      <formula>0</formula>
    </cfRule>
  </conditionalFormatting>
  <conditionalFormatting sqref="P39">
    <cfRule type="cellIs" dxfId="1459" priority="10" operator="lessThan">
      <formula>0</formula>
    </cfRule>
  </conditionalFormatting>
  <conditionalFormatting sqref="P58">
    <cfRule type="cellIs" dxfId="1458" priority="9" operator="lessThan">
      <formula>0</formula>
    </cfRule>
  </conditionalFormatting>
  <conditionalFormatting sqref="P66">
    <cfRule type="cellIs" dxfId="1457" priority="8" operator="lessThan">
      <formula>0</formula>
    </cfRule>
  </conditionalFormatting>
  <conditionalFormatting sqref="P71">
    <cfRule type="cellIs" dxfId="1456" priority="7" operator="lessThan">
      <formula>0</formula>
    </cfRule>
  </conditionalFormatting>
  <conditionalFormatting sqref="P80">
    <cfRule type="cellIs" dxfId="1455" priority="6" operator="lessThan">
      <formula>0</formula>
    </cfRule>
  </conditionalFormatting>
  <conditionalFormatting sqref="O79">
    <cfRule type="cellIs" dxfId="1454" priority="1" operator="greaterThan">
      <formula>0</formula>
    </cfRule>
  </conditionalFormatting>
  <conditionalFormatting sqref="P79">
    <cfRule type="cellIs" dxfId="1453" priority="4" operator="lessThan">
      <formula>0</formula>
    </cfRule>
  </conditionalFormatting>
  <conditionalFormatting sqref="Q79">
    <cfRule type="cellIs" dxfId="1452" priority="2" operator="greaterThan">
      <formula>1</formula>
    </cfRule>
    <cfRule type="cellIs" dxfId="1451" priority="3" operator="lessThan">
      <formula>0.8</formula>
    </cfRule>
  </conditionalFormatting>
  <conditionalFormatting sqref="R79">
    <cfRule type="cellIs" dxfId="1450" priority="5" operator="lessThan">
      <formula>0.8</formula>
    </cfRule>
  </conditionalFormatting>
  <dataValidations count="1">
    <dataValidation type="list" allowBlank="1" showInputMessage="1" showErrorMessage="1" sqref="Z9 Y5:Z8 Y9:Y70 Z11:Z67 Y71:Z80">
      <formula1>#REF!</formula1>
    </dataValidation>
  </dataValidations>
  <pageMargins left="0" right="0" top="0" bottom="0" header="0" footer="0"/>
  <pageSetup paperSize="9" scale="45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25" sqref="B2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1391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1392</v>
      </c>
      <c r="C3" s="497" t="str">
        <f>TEXT('1117 4度C'!A2,"yyyy.mm.ddaaaa")</f>
        <v>2025.11.17星期一</v>
      </c>
      <c r="D3" s="498"/>
      <c r="E3" s="4" t="s">
        <v>1393</v>
      </c>
      <c r="F3" s="499">
        <f>'1117 4度C'!D1</f>
        <v>206650</v>
      </c>
      <c r="G3" s="500"/>
      <c r="H3" s="4" t="s">
        <v>1394</v>
      </c>
      <c r="I3" s="501">
        <f>'1117 4度C'!F1</f>
        <v>7024554.2999999989</v>
      </c>
      <c r="J3" s="502"/>
      <c r="K3" s="5"/>
      <c r="L3" s="6"/>
      <c r="M3" s="7"/>
      <c r="N3" s="7"/>
    </row>
    <row r="4" spans="2:17" ht="28.5" customHeight="1">
      <c r="B4" s="503" t="s">
        <v>1395</v>
      </c>
      <c r="C4" s="485" t="s">
        <v>1396</v>
      </c>
      <c r="D4" s="486"/>
      <c r="E4" s="506" t="s">
        <v>1397</v>
      </c>
      <c r="F4" s="507"/>
      <c r="G4" s="506" t="s">
        <v>1398</v>
      </c>
      <c r="H4" s="507"/>
      <c r="I4" s="506" t="s">
        <v>1399</v>
      </c>
      <c r="J4" s="507"/>
      <c r="L4" s="7"/>
      <c r="M4" s="7"/>
      <c r="N4" s="7"/>
    </row>
    <row r="5" spans="2:17" ht="28.5" customHeight="1">
      <c r="B5" s="504"/>
      <c r="C5" s="485" t="s">
        <v>1400</v>
      </c>
      <c r="D5" s="486"/>
      <c r="E5" s="485" t="s">
        <v>1401</v>
      </c>
      <c r="F5" s="486"/>
      <c r="G5" s="487" t="s">
        <v>1402</v>
      </c>
      <c r="H5" s="488"/>
      <c r="I5" s="489" t="s">
        <v>587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152.00910799720117</v>
      </c>
      <c r="F6" s="492">
        <f>AVERAGE(D27:O27,D13:J13)</f>
        <v>157.47109913727013</v>
      </c>
      <c r="G6" s="493">
        <f>AVERAGE(D13:J13)</f>
        <v>157.47109913727013</v>
      </c>
      <c r="H6" s="494"/>
      <c r="I6" s="493">
        <f>AVERAGE(K13:M13)</f>
        <v>139.26446200370694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145.64150953302425</v>
      </c>
      <c r="F7" s="478">
        <f>AVERAGE(D28:O28,D14:J14)</f>
        <v>150.89653395452493</v>
      </c>
      <c r="G7" s="479">
        <f>AVERAGE(D14:J14)</f>
        <v>150.89653395452493</v>
      </c>
      <c r="H7" s="480"/>
      <c r="I7" s="479">
        <f>AVERAGE(K14:M14)</f>
        <v>133.37978588285597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0.95826571570714203</v>
      </c>
      <c r="F8" s="482">
        <f>AVERAGE(D15:J15,D29:O29)</f>
        <v>0.9584797975818079</v>
      </c>
      <c r="G8" s="483">
        <f>AVERAGE(D15:J15)</f>
        <v>0.9584797975818079</v>
      </c>
      <c r="H8" s="484"/>
      <c r="I8" s="483">
        <f>AVERAGE(K15:M15)</f>
        <v>0.9577661913329214</v>
      </c>
      <c r="J8" s="484"/>
      <c r="K8" s="8" t="s">
        <v>1403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1404</v>
      </c>
      <c r="C10" s="459"/>
      <c r="D10" s="460" t="s">
        <v>1405</v>
      </c>
      <c r="E10" s="461"/>
      <c r="F10" s="461"/>
      <c r="G10" s="461"/>
      <c r="H10" s="461"/>
      <c r="I10" s="461"/>
      <c r="J10" s="462"/>
      <c r="K10" s="463" t="s">
        <v>1406</v>
      </c>
      <c r="L10" s="464"/>
      <c r="M10" s="465"/>
      <c r="P10" s="11"/>
      <c r="Q10" s="11"/>
    </row>
    <row r="11" spans="2:17" ht="17.25" customHeight="1">
      <c r="B11" s="466" t="s">
        <v>1407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1408</v>
      </c>
      <c r="C13" s="18" t="s">
        <v>1409</v>
      </c>
      <c r="D13" s="19">
        <f>SUMIFS('1117 4度C'!$K:$K,'1117 4度C'!$A:$A,"新豐6線",'1117 4度C'!$B:$B,"平均")</f>
        <v>136.98630136986301</v>
      </c>
      <c r="E13" s="20">
        <f>SUMIFS('1117 4度C'!$K:$K,'1117 4度C'!$A:$A,"新豐2線",'1117 4度C'!$B:$B,"平均")</f>
        <v>81.081081081081081</v>
      </c>
      <c r="F13" s="21">
        <f>SUMIFS('1117 4度C'!$K:$K,'1117 4度C'!$A:$A,"新豐5線",'1117 4度C'!$B:$B,"平均")</f>
        <v>92.592592592592595</v>
      </c>
      <c r="G13" s="21">
        <f>SUMIFS('1117 4度C'!$K:$K,'1117 4度C'!$A:$A,"新豐7線",'1117 4度C'!$B:$B,"平均")</f>
        <v>116.66666666666666</v>
      </c>
      <c r="H13" s="21">
        <f>SUMIFS('1117 4度C'!$K:$K,'1117 4度C'!$A:$A,"新豐3線",'1117 4度C'!$B:$B,"平均")</f>
        <v>265.95744680851061</v>
      </c>
      <c r="I13" s="21">
        <f>SUMIFS('1117 4度C'!$K:$K,'1117 4度C'!$A:$A,"新豐1線",'1117 4度C'!$B:$B,"平均")</f>
        <v>117.34693877551021</v>
      </c>
      <c r="J13" s="22">
        <f>SUMIFS('1117 4度C'!$K:$K,'1117 4度C'!$A:$A,"新豐10線",'1117 4度C'!$B:$B,"平均")</f>
        <v>291.66666666666669</v>
      </c>
      <c r="K13" s="23">
        <f>SUMIFS('1117 4度C'!$K:$K,'1117 4度C'!$A:$A,"新豐8線",'1117 4度C'!$B:$B,"平均")</f>
        <v>133.33333333333334</v>
      </c>
      <c r="L13" s="24">
        <f>SUMIFS('1117 4度C'!$K:$K,'1117 4度C'!$A:$A,"新豐9線",'1117 4度C'!$B:$B,"平均")</f>
        <v>141.1764705882353</v>
      </c>
      <c r="M13" s="22">
        <f>SUMIFS('1117 4度C'!$K:$K,'1117 4度C'!$A:$A,"新豐4線",'1117 4度C'!$B:$B,"平均")</f>
        <v>143.28358208955223</v>
      </c>
    </row>
    <row r="14" spans="2:17" ht="39.6" customHeight="1">
      <c r="B14" s="471"/>
      <c r="C14" s="25" t="s">
        <v>1410</v>
      </c>
      <c r="D14" s="26">
        <f>SUMIFS('1117 4度C'!$N:$N,'1117 4度C'!$A:$A,"新豐6線",'1117 4度C'!$B:$B,"平均")</f>
        <v>131.35880299895567</v>
      </c>
      <c r="E14" s="27">
        <f>SUMIFS('1117 4度C'!$N:$N,'1117 4度C'!$A:$A,"新豐2線",'1117 4度C'!$B:$B,"平均")</f>
        <v>77.27378922546707</v>
      </c>
      <c r="F14" s="27">
        <f>SUMIFS('1117 4度C'!$N:$N,'1117 4度C'!$A:$A,"新豐5線",'1117 4度C'!$B:$B,"平均")</f>
        <v>88.935338231366387</v>
      </c>
      <c r="G14" s="27">
        <f>SUMIFS('1117 4度C'!$N:$N,'1117 4度C'!$A:$A,"新豐7線",'1117 4度C'!$B:$B,"平均")</f>
        <v>112.11601188452524</v>
      </c>
      <c r="H14" s="27">
        <f>SUMIFS('1117 4度C'!$N:$N,'1117 4度C'!$A:$A,"新豐3線",'1117 4度C'!$B:$B,"平均")</f>
        <v>254.80618033506036</v>
      </c>
      <c r="I14" s="27">
        <f>SUMIFS('1117 4度C'!$N:$N,'1117 4度C'!$A:$A,"新豐1線",'1117 4度C'!$B:$B,"平均")</f>
        <v>112.81067306040846</v>
      </c>
      <c r="J14" s="28">
        <f>SUMIFS('1117 4度C'!$N:$N,'1117 4度C'!$A:$A,"新豐10線",'1117 4度C'!$B:$B,"平均")</f>
        <v>278.97494194589115</v>
      </c>
      <c r="K14" s="29">
        <f>SUMIFS('1117 4度C'!$N:$N,'1117 4度C'!$A:$A,"新豐8線",'1117 4度C'!$B:$B,"平均")</f>
        <v>127.8704533682685</v>
      </c>
      <c r="L14" s="30">
        <f>SUMIFS('1117 4度C'!$N:$N,'1117 4度C'!$A:$A,"新豐9線",'1117 4度C'!$B:$B,"平均")</f>
        <v>134.97708109274595</v>
      </c>
      <c r="M14" s="28">
        <f>SUMIFS('1117 4度C'!$N:$N,'1117 4度C'!$A:$A,"新豐4線",'1117 4度C'!$B:$B,"平均")</f>
        <v>137.29182318755346</v>
      </c>
    </row>
    <row r="15" spans="2:17" ht="40.15" customHeight="1">
      <c r="B15" s="472"/>
      <c r="C15" s="31" t="s">
        <v>1411</v>
      </c>
      <c r="D15" s="32">
        <f t="shared" ref="D15:M15" si="0">D14/D13</f>
        <v>0.95891926189237642</v>
      </c>
      <c r="E15" s="33">
        <f t="shared" si="0"/>
        <v>0.95304340044742719</v>
      </c>
      <c r="F15" s="33">
        <f t="shared" si="0"/>
        <v>0.960501652898757</v>
      </c>
      <c r="G15" s="33">
        <f t="shared" si="0"/>
        <v>0.9609943875816449</v>
      </c>
      <c r="H15" s="33">
        <f t="shared" si="0"/>
        <v>0.95807123805982708</v>
      </c>
      <c r="I15" s="33">
        <f t="shared" si="0"/>
        <v>0.96134312694956769</v>
      </c>
      <c r="J15" s="34">
        <f t="shared" si="0"/>
        <v>0.95648551524305525</v>
      </c>
      <c r="K15" s="32">
        <f t="shared" si="0"/>
        <v>0.95902840026201364</v>
      </c>
      <c r="L15" s="33">
        <f t="shared" si="0"/>
        <v>0.9560876577402837</v>
      </c>
      <c r="M15" s="34">
        <f t="shared" si="0"/>
        <v>0.95818251599646698</v>
      </c>
    </row>
    <row r="16" spans="2:17" ht="17.25" customHeight="1">
      <c r="B16" s="473" t="s">
        <v>1412</v>
      </c>
      <c r="C16" s="35" t="s">
        <v>1413</v>
      </c>
      <c r="D16" s="49">
        <f>VLOOKUP("新豐6線",'1117 4度C'!$A:$T,19,0)</f>
        <v>0.70833333333333337</v>
      </c>
      <c r="E16" s="50">
        <f>VLOOKUP("新豐2線",'1117 4度C'!$A:$T,19,0)</f>
        <v>0.20833333333333334</v>
      </c>
      <c r="F16" s="50">
        <f>VLOOKUP("新豐5線",'1117 4度C'!$A:$T,19,0)</f>
        <v>0.125</v>
      </c>
      <c r="G16" s="50">
        <f>VLOOKUP("新豐7線",'1117 4度C'!$A:$T,19,0)</f>
        <v>0.20833333333333334</v>
      </c>
      <c r="H16" s="50">
        <f>VLOOKUP("新豐3線",'1117 4度C'!$A:$T,19,0)</f>
        <v>8.3333333333333329E-2</v>
      </c>
      <c r="I16" s="50">
        <f>VLOOKUP("新豐1線",'1117 4度C'!$A:$T,19,0)</f>
        <v>0.20833333333333334</v>
      </c>
      <c r="J16" s="51">
        <f>VLOOKUP("新豐10線",'1117 4度C'!$A:$T,19,0)</f>
        <v>0.20833333333333334</v>
      </c>
      <c r="K16" s="36">
        <f>VLOOKUP("新豐8線",'1117 4度C'!$A:$T,19,0)</f>
        <v>8.3333333333333329E-2</v>
      </c>
      <c r="L16" s="37">
        <f>VLOOKUP("新豐9線",'1117 4度C'!$A:$T,19,0)</f>
        <v>8.3333333333333329E-2</v>
      </c>
      <c r="M16" s="38">
        <f>VLOOKUP("新豐4線",'1117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LOOKUP(2,1/(('1117 4度C'!$A:$A="新豐6線")*('1117 4度C'!$T:$T&lt;&gt;"")),'1117 4度C'!$T:$T)</f>
        <v>0.9902777777777777</v>
      </c>
      <c r="E17" s="50">
        <f>LOOKUP(2,1/(('1117 4度C'!$A:$A="新豐2線")*('1117 4度C'!$T:$T&lt;&gt;"")),'1117 4度C'!$T:$T)</f>
        <v>0.47222222222222221</v>
      </c>
      <c r="F17" s="50">
        <f>LOOKUP(2,1/(('1117 4度C'!$A:$A="新豐5線")*('1117 4度C'!$T:$T&lt;&gt;"")),'1117 4度C'!$T:$T)</f>
        <v>0.86736111111111125</v>
      </c>
      <c r="G17" s="50">
        <f>LOOKUP(2,1/(('1117 4度C'!$A:$A="新豐7線")*('1117 4度C'!$T:$T&lt;&gt;"")),'1117 4度C'!$T:$T)</f>
        <v>0.92500000000000004</v>
      </c>
      <c r="H17" s="50">
        <f>LOOKUP(2,1/(('1117 4度C'!$A:$A="新豐3線")*('1117 4度C'!$T:$T&lt;&gt;"")),'1117 4度C'!$T:$T)</f>
        <v>0.6680555555555554</v>
      </c>
      <c r="I17" s="50">
        <f>LOOKUP(2,1/(('1117 4度C'!$A:$A="新豐1線")*('1117 4度C'!$T:$T&lt;&gt;"")),'1117 4度C'!$T:$T)</f>
        <v>0.9916666666666667</v>
      </c>
      <c r="J17" s="51">
        <f>LOOKUP(2,1/(('1117 4度C'!$A:$A="新豐10線")*('1117 4度C'!$T:$T&lt;&gt;"")),'1117 4度C'!$T:$T)</f>
        <v>0.46527777777777773</v>
      </c>
      <c r="K17" s="49">
        <f>LOOKUP(2,1/(('1117 4度C'!$A:$A="新豐8線")*('1117 4度C'!$T:$T&lt;&gt;"")),'1117 4度C'!$T:$T)</f>
        <v>0.76180555555555551</v>
      </c>
      <c r="L17" s="50">
        <f>LOOKUP(2,1/(('1117 4度C'!$A:$A="新豐9線")*('1117 4度C'!$T:$T&lt;&gt;"")),'1117 4度C'!$T:$T)</f>
        <v>0.76666666666666661</v>
      </c>
      <c r="M17" s="51">
        <f>LOOKUP(2,1/(('1117 4度C'!$A:$A="新豐4線")*('1117 4度C'!$T:$T&lt;&gt;"")),'1117 4度C'!$T:$T)</f>
        <v>0.68124999999999991</v>
      </c>
    </row>
    <row r="18" spans="2:13" ht="17.25" customHeight="1">
      <c r="B18" s="452" t="s">
        <v>1414</v>
      </c>
      <c r="C18" s="453"/>
      <c r="D18" s="39">
        <f>SUMIFS('1117 4度C'!$I:$I,'1117 4度C'!$A:$A,"新豐6線",'1117 4度C'!$B:$B,"平均")</f>
        <v>14.6</v>
      </c>
      <c r="E18" s="40">
        <f>SUMIFS('1117 4度C'!$I:$I,'1117 4度C'!$A:$A,"新豐2線",'1117 4度C'!$B:$B,"平均")</f>
        <v>18.5</v>
      </c>
      <c r="F18" s="40">
        <f>SUMIFS('1117 4度C'!$I:$I,'1117 4度C'!$A:$A,"新豐5線",'1117 4度C'!$B:$B,"平均")</f>
        <v>18</v>
      </c>
      <c r="G18" s="40">
        <f>SUMIFS('1117 4度C'!$I:$I,'1117 4度C'!$A:$A,"新豐7線",'1117 4度C'!$B:$B,"平均")</f>
        <v>16.666666666666668</v>
      </c>
      <c r="H18" s="40">
        <f>SUMIFS('1117 4度C'!$I:$I,'1117 4度C'!$A:$A,"新豐3線",'1117 4度C'!$B:$B,"平均")</f>
        <v>10.444444444444445</v>
      </c>
      <c r="I18" s="40">
        <f>SUMIFS('1117 4度C'!$I:$I,'1117 4度C'!$A:$A,"新豐1線",'1117 4度C'!$B:$B,"平均")</f>
        <v>16.333333333333332</v>
      </c>
      <c r="J18" s="41">
        <f>SUMIFS('1117 4度C'!$I:$I,'1117 4度C'!$A:$A,"新豐10線",'1117 4度C'!$B:$B,"平均")</f>
        <v>9</v>
      </c>
      <c r="K18" s="39">
        <f>SUMIFS('1117 4度C'!$I:$I,'1117 4度C'!$A:$A,"新豐8線",'1117 4度C'!$B:$B,"平均")</f>
        <v>18</v>
      </c>
      <c r="L18" s="40">
        <f>SUMIFS('1117 4度C'!$I:$I,'1117 4度C'!$A:$A,"新豐9線",'1117 4度C'!$B:$B,"平均")</f>
        <v>17</v>
      </c>
      <c r="M18" s="41">
        <f>SUMIFS('1117 4度C'!$I:$I,'1117 4度C'!$A:$A,"新豐4線",'1117 4度C'!$B:$B,"平均")</f>
        <v>16.75</v>
      </c>
    </row>
    <row r="19" spans="2:13" ht="17.25" customHeight="1">
      <c r="B19" s="452" t="s">
        <v>1415</v>
      </c>
      <c r="C19" s="453"/>
      <c r="D19" s="42" t="s">
        <v>65</v>
      </c>
      <c r="E19" s="43" t="s">
        <v>66</v>
      </c>
      <c r="F19" s="43" t="s">
        <v>1416</v>
      </c>
      <c r="G19" s="43" t="s">
        <v>1416</v>
      </c>
      <c r="H19" s="43" t="s">
        <v>67</v>
      </c>
      <c r="I19" s="43" t="s">
        <v>65</v>
      </c>
      <c r="J19" s="44" t="s">
        <v>67</v>
      </c>
      <c r="K19" s="42" t="s">
        <v>1417</v>
      </c>
      <c r="L19" s="43" t="s">
        <v>1417</v>
      </c>
      <c r="M19" s="44" t="s">
        <v>1417</v>
      </c>
    </row>
    <row r="20" spans="2:13" ht="17.25" customHeight="1">
      <c r="B20" s="452" t="s">
        <v>1418</v>
      </c>
      <c r="C20" s="453"/>
      <c r="D20" s="42"/>
      <c r="E20" s="43"/>
      <c r="F20" s="43" t="s">
        <v>1419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1420</v>
      </c>
      <c r="C21" s="455"/>
      <c r="D21" s="45"/>
      <c r="E21" s="46" t="s">
        <v>1421</v>
      </c>
      <c r="F21" s="456" t="s">
        <v>1422</v>
      </c>
      <c r="G21" s="457"/>
      <c r="H21" s="46" t="s">
        <v>1423</v>
      </c>
      <c r="I21" s="46" t="s">
        <v>1424</v>
      </c>
      <c r="J21" s="47" t="s">
        <v>1423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4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0"/>
  <sheetViews>
    <sheetView zoomScale="80" zoomScaleNormal="80" workbookViewId="0">
      <pane ySplit="4" topLeftCell="A5" activePane="bottomLeft" state="frozen"/>
      <selection activeCell="A14" sqref="A14"/>
      <selection pane="bottomLeft" activeCell="A14" sqref="A14:A20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1425</v>
      </c>
      <c r="B1" s="52"/>
      <c r="C1" s="53" t="s">
        <v>1426</v>
      </c>
      <c r="D1" s="54">
        <f>SUM(F5:F79)</f>
        <v>206650</v>
      </c>
      <c r="E1" s="270" t="s">
        <v>1427</v>
      </c>
      <c r="F1" s="52">
        <f>SUM(G5:G79)</f>
        <v>7024554.2999999989</v>
      </c>
      <c r="G1" s="52" t="s">
        <v>1428</v>
      </c>
      <c r="H1" s="55">
        <f>L10+L13+L58+L65+L20+L70+L39+L48+L30+L79</f>
        <v>155.29444444444445</v>
      </c>
      <c r="I1" s="556" t="s">
        <v>1429</v>
      </c>
      <c r="J1" s="556"/>
      <c r="K1" s="556"/>
      <c r="L1" s="556" t="s">
        <v>1430</v>
      </c>
      <c r="M1" s="556"/>
      <c r="N1" s="556"/>
      <c r="O1" s="556" t="s">
        <v>1431</v>
      </c>
      <c r="P1" s="556"/>
      <c r="Q1" s="556"/>
      <c r="R1" s="556"/>
      <c r="S1" s="556" t="s">
        <v>1432</v>
      </c>
      <c r="T1" s="556"/>
      <c r="U1" s="556"/>
      <c r="V1" s="556"/>
      <c r="W1" s="556"/>
      <c r="X1" s="556"/>
      <c r="Y1" s="556" t="s">
        <v>1433</v>
      </c>
      <c r="Z1" s="556"/>
      <c r="AA1" s="556" t="s">
        <v>551</v>
      </c>
      <c r="AB1" s="557"/>
      <c r="AC1" s="557"/>
    </row>
    <row r="2" spans="1:29" ht="26.25" customHeight="1">
      <c r="A2" s="57">
        <v>45978</v>
      </c>
      <c r="B2" s="58" t="s">
        <v>302</v>
      </c>
      <c r="C2" s="53" t="s">
        <v>78</v>
      </c>
      <c r="D2" s="59">
        <f>AVERAGE(N10,N13,N58,N65,N20,N70,N30,N39,N48,N79)</f>
        <v>145.64150953302425</v>
      </c>
      <c r="E2" s="60" t="s">
        <v>0</v>
      </c>
      <c r="F2" s="61">
        <f>F1/D1</f>
        <v>33.992520203242194</v>
      </c>
      <c r="G2" s="52" t="s">
        <v>1434</v>
      </c>
      <c r="H2" s="280">
        <f>COUNT(H5:H79)</f>
        <v>13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1435</v>
      </c>
      <c r="B3" s="510" t="s">
        <v>1436</v>
      </c>
      <c r="C3" s="510" t="s">
        <v>1437</v>
      </c>
      <c r="D3" s="510"/>
      <c r="E3" s="554" t="s">
        <v>463</v>
      </c>
      <c r="F3" s="510" t="s">
        <v>1438</v>
      </c>
      <c r="G3" s="554" t="s">
        <v>1439</v>
      </c>
      <c r="H3" s="547" t="s">
        <v>1440</v>
      </c>
      <c r="I3" s="545" t="s">
        <v>1441</v>
      </c>
      <c r="J3" s="550" t="s">
        <v>1442</v>
      </c>
      <c r="K3" s="552" t="s">
        <v>1443</v>
      </c>
      <c r="L3" s="545" t="s">
        <v>1444</v>
      </c>
      <c r="M3" s="550" t="s">
        <v>1445</v>
      </c>
      <c r="N3" s="552" t="s">
        <v>1446</v>
      </c>
      <c r="O3" s="545" t="s">
        <v>1441</v>
      </c>
      <c r="P3" s="552" t="s">
        <v>1446</v>
      </c>
      <c r="Q3" s="551" t="s">
        <v>1447</v>
      </c>
      <c r="R3" s="523" t="s">
        <v>1448</v>
      </c>
      <c r="S3" s="553" t="s">
        <v>1</v>
      </c>
      <c r="T3" s="553"/>
      <c r="U3" s="547" t="s">
        <v>2</v>
      </c>
      <c r="V3" s="547" t="s">
        <v>1449</v>
      </c>
      <c r="W3" s="510" t="s">
        <v>1450</v>
      </c>
      <c r="X3" s="510"/>
      <c r="Y3" s="548" t="s">
        <v>1451</v>
      </c>
      <c r="Z3" s="549"/>
      <c r="AA3" s="550" t="s">
        <v>1445</v>
      </c>
      <c r="AB3" s="551" t="s">
        <v>469</v>
      </c>
      <c r="AC3" s="523" t="s">
        <v>1448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79" t="s">
        <v>3</v>
      </c>
      <c r="T4" s="279" t="s">
        <v>4</v>
      </c>
      <c r="U4" s="547"/>
      <c r="V4" s="547"/>
      <c r="W4" s="270" t="s">
        <v>1452</v>
      </c>
      <c r="X4" s="270" t="s">
        <v>475</v>
      </c>
      <c r="Y4" s="549"/>
      <c r="Z4" s="549"/>
      <c r="AA4" s="550"/>
      <c r="AB4" s="551"/>
      <c r="AC4" s="523"/>
    </row>
    <row r="5" spans="1:29">
      <c r="A5" s="544" t="s">
        <v>1453</v>
      </c>
      <c r="B5" s="62" t="s">
        <v>6</v>
      </c>
      <c r="C5" s="546" t="s">
        <v>9</v>
      </c>
      <c r="D5" s="546"/>
      <c r="E5" s="62">
        <v>50.67</v>
      </c>
      <c r="F5" s="279">
        <v>1904</v>
      </c>
      <c r="G5" s="270">
        <f t="shared" ref="G5:G9" si="0">E5*F5</f>
        <v>96475.680000000008</v>
      </c>
      <c r="H5" s="90" t="s">
        <v>5</v>
      </c>
      <c r="I5" s="277">
        <v>17</v>
      </c>
      <c r="J5" s="63">
        <v>2000</v>
      </c>
      <c r="K5" s="64">
        <f t="shared" ref="K5:K68" si="1">J5/I5</f>
        <v>117.64705882352941</v>
      </c>
      <c r="L5" s="277">
        <v>17</v>
      </c>
      <c r="M5" s="65">
        <f t="shared" ref="M5:M9" si="2">F5/V5*60</f>
        <v>1904.0000000000018</v>
      </c>
      <c r="N5" s="64">
        <f t="shared" ref="N5:N68" si="3">M5/L5</f>
        <v>112.00000000000011</v>
      </c>
      <c r="O5" s="66">
        <f t="shared" ref="O5:O68" si="4">L5-I5</f>
        <v>0</v>
      </c>
      <c r="P5" s="67">
        <f t="shared" ref="P5:P68" si="5">N5-K5</f>
        <v>-5.6470588235292922</v>
      </c>
      <c r="Q5" s="269">
        <f t="shared" ref="Q5:Q68" si="6">N5/K5</f>
        <v>0.95200000000000107</v>
      </c>
      <c r="R5" s="511">
        <f>Q10</f>
        <v>0.95891926189237642</v>
      </c>
      <c r="S5" s="68">
        <v>0.70833333333333337</v>
      </c>
      <c r="T5" s="68">
        <v>0.75</v>
      </c>
      <c r="U5" s="270"/>
      <c r="V5" s="278">
        <f t="shared" ref="V5:V9" si="7">(T5-S5)*24*60</f>
        <v>59.999999999999943</v>
      </c>
      <c r="W5" s="69"/>
      <c r="X5" s="70"/>
      <c r="Y5" s="510"/>
      <c r="Z5" s="510"/>
      <c r="AA5" s="66">
        <f t="shared" ref="AA5:AA68" si="8">M5-J5</f>
        <v>-95.999999999998181</v>
      </c>
      <c r="AB5" s="269">
        <f t="shared" ref="AB5:AB68" si="9">M5/J5</f>
        <v>0.95200000000000096</v>
      </c>
      <c r="AC5" s="511">
        <f>AB10</f>
        <v>0.95891926189237642</v>
      </c>
    </row>
    <row r="6" spans="1:29">
      <c r="A6" s="545" t="s">
        <v>1454</v>
      </c>
      <c r="B6" s="62" t="s">
        <v>6</v>
      </c>
      <c r="C6" s="546" t="s">
        <v>8</v>
      </c>
      <c r="D6" s="546"/>
      <c r="E6" s="62">
        <v>50.49</v>
      </c>
      <c r="F6" s="279">
        <v>2345</v>
      </c>
      <c r="G6" s="270">
        <f t="shared" si="0"/>
        <v>118399.05</v>
      </c>
      <c r="H6" s="90" t="s">
        <v>5</v>
      </c>
      <c r="I6" s="277">
        <v>15</v>
      </c>
      <c r="J6" s="63">
        <v>2000</v>
      </c>
      <c r="K6" s="64">
        <f t="shared" si="1"/>
        <v>133.33333333333334</v>
      </c>
      <c r="L6" s="277">
        <v>15</v>
      </c>
      <c r="M6" s="65">
        <f t="shared" si="2"/>
        <v>1927.3972602739711</v>
      </c>
      <c r="N6" s="64">
        <f t="shared" si="3"/>
        <v>128.49315068493141</v>
      </c>
      <c r="O6" s="66">
        <f t="shared" si="4"/>
        <v>0</v>
      </c>
      <c r="P6" s="67">
        <f t="shared" si="5"/>
        <v>-4.8401826484019352</v>
      </c>
      <c r="Q6" s="269">
        <f t="shared" si="6"/>
        <v>0.96369863013698553</v>
      </c>
      <c r="R6" s="511"/>
      <c r="S6" s="68">
        <v>0.75555555555555554</v>
      </c>
      <c r="T6" s="68">
        <v>0.80625000000000002</v>
      </c>
      <c r="U6" s="270">
        <f t="shared" ref="U6:U9" si="10">IF(S6=TIME(17,0,0),"",(S6-T5)*24*60)</f>
        <v>7.9999999999999716</v>
      </c>
      <c r="V6" s="278">
        <f t="shared" si="7"/>
        <v>73.000000000000057</v>
      </c>
      <c r="W6" s="69"/>
      <c r="X6" s="69"/>
      <c r="Y6" s="510"/>
      <c r="Z6" s="510"/>
      <c r="AA6" s="66">
        <f t="shared" si="8"/>
        <v>-72.602739726028858</v>
      </c>
      <c r="AB6" s="269">
        <f t="shared" si="9"/>
        <v>0.96369863013698553</v>
      </c>
      <c r="AC6" s="511"/>
    </row>
    <row r="7" spans="1:29">
      <c r="A7" s="545" t="s">
        <v>1455</v>
      </c>
      <c r="B7" s="62" t="s">
        <v>6</v>
      </c>
      <c r="C7" s="539" t="s">
        <v>886</v>
      </c>
      <c r="D7" s="540"/>
      <c r="E7" s="62">
        <v>57.3</v>
      </c>
      <c r="F7" s="279">
        <v>2000</v>
      </c>
      <c r="G7" s="270">
        <f t="shared" si="0"/>
        <v>114600</v>
      </c>
      <c r="H7" s="90">
        <v>2</v>
      </c>
      <c r="I7" s="277">
        <v>13</v>
      </c>
      <c r="J7" s="63">
        <v>2000</v>
      </c>
      <c r="K7" s="64">
        <f t="shared" si="1"/>
        <v>153.84615384615384</v>
      </c>
      <c r="L7" s="277">
        <v>13</v>
      </c>
      <c r="M7" s="65">
        <f t="shared" si="2"/>
        <v>1904.7619047619066</v>
      </c>
      <c r="N7" s="64">
        <f t="shared" si="3"/>
        <v>146.52014652014665</v>
      </c>
      <c r="O7" s="66">
        <f t="shared" si="4"/>
        <v>0</v>
      </c>
      <c r="P7" s="67">
        <f t="shared" si="5"/>
        <v>-7.3260073260071863</v>
      </c>
      <c r="Q7" s="269">
        <f t="shared" si="6"/>
        <v>0.95238095238095333</v>
      </c>
      <c r="R7" s="511"/>
      <c r="S7" s="68">
        <v>0.81041666666666667</v>
      </c>
      <c r="T7" s="68">
        <v>0.85416666666666663</v>
      </c>
      <c r="U7" s="270">
        <f t="shared" si="10"/>
        <v>5.9999999999999787</v>
      </c>
      <c r="V7" s="278">
        <f t="shared" si="7"/>
        <v>62.999999999999936</v>
      </c>
      <c r="W7" s="69">
        <f>T7</f>
        <v>0.85416666666666663</v>
      </c>
      <c r="X7" s="69">
        <f>S8</f>
        <v>0.89305555555555549</v>
      </c>
      <c r="Y7" s="517"/>
      <c r="Z7" s="518"/>
      <c r="AA7" s="66">
        <f t="shared" si="8"/>
        <v>-95.238095238093365</v>
      </c>
      <c r="AB7" s="269">
        <f t="shared" si="9"/>
        <v>0.95238095238095333</v>
      </c>
      <c r="AC7" s="511"/>
    </row>
    <row r="8" spans="1:29">
      <c r="A8" s="545" t="s">
        <v>1453</v>
      </c>
      <c r="B8" s="62" t="s">
        <v>6</v>
      </c>
      <c r="C8" s="539" t="s">
        <v>886</v>
      </c>
      <c r="D8" s="540"/>
      <c r="E8" s="62">
        <v>57.3</v>
      </c>
      <c r="F8" s="279">
        <v>1807</v>
      </c>
      <c r="G8" s="270">
        <f t="shared" si="0"/>
        <v>103541.09999999999</v>
      </c>
      <c r="H8" s="90" t="s">
        <v>5</v>
      </c>
      <c r="I8" s="277">
        <v>13</v>
      </c>
      <c r="J8" s="63">
        <v>2000</v>
      </c>
      <c r="K8" s="64">
        <f t="shared" si="1"/>
        <v>153.84615384615384</v>
      </c>
      <c r="L8" s="277">
        <v>13</v>
      </c>
      <c r="M8" s="65">
        <f t="shared" si="2"/>
        <v>1936.07142857143</v>
      </c>
      <c r="N8" s="64">
        <f t="shared" si="3"/>
        <v>148.92857142857153</v>
      </c>
      <c r="O8" s="66">
        <f t="shared" si="4"/>
        <v>0</v>
      </c>
      <c r="P8" s="67">
        <f t="shared" si="5"/>
        <v>-4.9175824175823095</v>
      </c>
      <c r="Q8" s="269">
        <f t="shared" si="6"/>
        <v>0.968035714285715</v>
      </c>
      <c r="R8" s="511"/>
      <c r="S8" s="68">
        <v>0.89305555555555549</v>
      </c>
      <c r="T8" s="68">
        <v>0.93194444444444435</v>
      </c>
      <c r="U8" s="270">
        <f t="shared" si="10"/>
        <v>55.999999999999957</v>
      </c>
      <c r="V8" s="278">
        <f t="shared" si="7"/>
        <v>55.999999999999957</v>
      </c>
      <c r="W8" s="73"/>
      <c r="X8" s="73"/>
      <c r="Y8" s="517"/>
      <c r="Z8" s="518"/>
      <c r="AA8" s="66">
        <f t="shared" si="8"/>
        <v>-63.928571428569967</v>
      </c>
      <c r="AB8" s="269">
        <f t="shared" si="9"/>
        <v>0.968035714285715</v>
      </c>
      <c r="AC8" s="511"/>
    </row>
    <row r="9" spans="1:29">
      <c r="A9" s="545" t="s">
        <v>1453</v>
      </c>
      <c r="B9" s="62" t="s">
        <v>6</v>
      </c>
      <c r="C9" s="539" t="s">
        <v>20</v>
      </c>
      <c r="D9" s="540"/>
      <c r="E9" s="62">
        <v>50.92</v>
      </c>
      <c r="F9" s="279">
        <v>2524</v>
      </c>
      <c r="G9" s="270">
        <f t="shared" si="0"/>
        <v>128522.08</v>
      </c>
      <c r="H9" s="90" t="s">
        <v>5</v>
      </c>
      <c r="I9" s="277">
        <v>15</v>
      </c>
      <c r="J9" s="63">
        <v>2000</v>
      </c>
      <c r="K9" s="64">
        <f t="shared" si="1"/>
        <v>133.33333333333334</v>
      </c>
      <c r="L9" s="277">
        <v>15</v>
      </c>
      <c r="M9" s="65">
        <f t="shared" si="2"/>
        <v>1916.9620253164546</v>
      </c>
      <c r="N9" s="64">
        <f t="shared" si="3"/>
        <v>127.79746835443031</v>
      </c>
      <c r="O9" s="66">
        <f t="shared" si="4"/>
        <v>0</v>
      </c>
      <c r="P9" s="67">
        <f t="shared" si="5"/>
        <v>-5.5358649789030352</v>
      </c>
      <c r="Q9" s="269">
        <f t="shared" si="6"/>
        <v>0.95848101265822727</v>
      </c>
      <c r="R9" s="511"/>
      <c r="S9" s="68">
        <v>0.93541666666666656</v>
      </c>
      <c r="T9" s="68">
        <v>0.9902777777777777</v>
      </c>
      <c r="U9" s="270">
        <f t="shared" si="10"/>
        <v>4.9999999999999822</v>
      </c>
      <c r="V9" s="278">
        <f t="shared" si="7"/>
        <v>79.000000000000043</v>
      </c>
      <c r="W9" s="69"/>
      <c r="X9" s="69"/>
      <c r="Y9" s="517"/>
      <c r="Z9" s="518"/>
      <c r="AA9" s="66">
        <f t="shared" si="8"/>
        <v>-83.037974683545372</v>
      </c>
      <c r="AB9" s="269">
        <f t="shared" si="9"/>
        <v>0.95848101265822727</v>
      </c>
      <c r="AC9" s="511"/>
    </row>
    <row r="10" spans="1:29">
      <c r="A10" s="545" t="s">
        <v>1454</v>
      </c>
      <c r="B10" s="62" t="s">
        <v>1456</v>
      </c>
      <c r="C10" s="513"/>
      <c r="D10" s="513"/>
      <c r="E10" s="271"/>
      <c r="F10" s="71"/>
      <c r="G10" s="64"/>
      <c r="H10" s="279"/>
      <c r="I10" s="72">
        <v>14.6</v>
      </c>
      <c r="J10" s="63">
        <v>2000</v>
      </c>
      <c r="K10" s="64">
        <f t="shared" si="1"/>
        <v>136.98630136986301</v>
      </c>
      <c r="L10" s="72">
        <v>14.6</v>
      </c>
      <c r="M10" s="65">
        <f>AVERAGE(M5:M9)</f>
        <v>1917.8385237847529</v>
      </c>
      <c r="N10" s="64">
        <f t="shared" si="3"/>
        <v>131.35880299895567</v>
      </c>
      <c r="O10" s="66">
        <f t="shared" si="4"/>
        <v>0</v>
      </c>
      <c r="P10" s="67">
        <f t="shared" si="5"/>
        <v>-5.6274983709073467</v>
      </c>
      <c r="Q10" s="269">
        <f t="shared" si="6"/>
        <v>0.95891926189237642</v>
      </c>
      <c r="R10" s="511"/>
      <c r="S10" s="68"/>
      <c r="T10" s="68"/>
      <c r="U10" s="270"/>
      <c r="V10" s="278"/>
      <c r="W10" s="64"/>
      <c r="X10" s="64"/>
      <c r="Y10" s="510"/>
      <c r="Z10" s="510"/>
      <c r="AA10" s="66">
        <f t="shared" si="8"/>
        <v>-82.161476215247149</v>
      </c>
      <c r="AB10" s="269">
        <f t="shared" si="9"/>
        <v>0.95891926189237642</v>
      </c>
      <c r="AC10" s="511"/>
    </row>
    <row r="11" spans="1:29" ht="15.75" customHeight="1">
      <c r="A11" s="543" t="s">
        <v>1457</v>
      </c>
      <c r="B11" s="62" t="s">
        <v>10</v>
      </c>
      <c r="C11" s="539" t="s">
        <v>12</v>
      </c>
      <c r="D11" s="540"/>
      <c r="E11" s="62">
        <v>39.36</v>
      </c>
      <c r="F11" s="279">
        <v>1787</v>
      </c>
      <c r="G11" s="270">
        <f t="shared" ref="G11:G12" si="11">E11*F11</f>
        <v>70336.319999999992</v>
      </c>
      <c r="H11" s="90" t="s">
        <v>5</v>
      </c>
      <c r="I11" s="277">
        <v>20</v>
      </c>
      <c r="J11" s="63">
        <v>1500</v>
      </c>
      <c r="K11" s="64">
        <f t="shared" si="1"/>
        <v>75</v>
      </c>
      <c r="L11" s="277">
        <v>20</v>
      </c>
      <c r="M11" s="65">
        <f t="shared" ref="M11:M12" si="12">F11/V11*60</f>
        <v>1429.5999999999997</v>
      </c>
      <c r="N11" s="64">
        <f t="shared" si="3"/>
        <v>71.47999999999999</v>
      </c>
      <c r="O11" s="66">
        <f t="shared" si="4"/>
        <v>0</v>
      </c>
      <c r="P11" s="67">
        <f t="shared" si="5"/>
        <v>-3.5200000000000102</v>
      </c>
      <c r="Q11" s="269">
        <f t="shared" si="6"/>
        <v>0.95306666666666651</v>
      </c>
      <c r="R11" s="511">
        <f>Q13</f>
        <v>0.95304340044742719</v>
      </c>
      <c r="S11" s="68">
        <v>0.20833333333333334</v>
      </c>
      <c r="T11" s="68">
        <v>0.26041666666666669</v>
      </c>
      <c r="U11" s="270"/>
      <c r="V11" s="278">
        <f t="shared" ref="V11:V12" si="13">(T11-S11)*24*60</f>
        <v>75.000000000000014</v>
      </c>
      <c r="W11" s="69"/>
      <c r="X11" s="69"/>
      <c r="Y11" s="510"/>
      <c r="Z11" s="510"/>
      <c r="AA11" s="66">
        <f t="shared" si="8"/>
        <v>-70.400000000000318</v>
      </c>
      <c r="AB11" s="269">
        <f t="shared" si="9"/>
        <v>0.95306666666666651</v>
      </c>
      <c r="AC11" s="511">
        <f>AB13</f>
        <v>0.95304340044742719</v>
      </c>
    </row>
    <row r="12" spans="1:29" ht="15.75" customHeight="1">
      <c r="A12" s="543" t="s">
        <v>1457</v>
      </c>
      <c r="B12" s="62" t="s">
        <v>10</v>
      </c>
      <c r="C12" s="539" t="s">
        <v>11</v>
      </c>
      <c r="D12" s="540"/>
      <c r="E12" s="62">
        <v>39.799999999999997</v>
      </c>
      <c r="F12" s="279">
        <v>7100</v>
      </c>
      <c r="G12" s="270">
        <f t="shared" si="11"/>
        <v>282580</v>
      </c>
      <c r="H12" s="90" t="s">
        <v>5</v>
      </c>
      <c r="I12" s="277">
        <v>17</v>
      </c>
      <c r="J12" s="63">
        <v>1500</v>
      </c>
      <c r="K12" s="64">
        <f t="shared" si="1"/>
        <v>88.235294117647058</v>
      </c>
      <c r="L12" s="277">
        <v>17</v>
      </c>
      <c r="M12" s="65">
        <f t="shared" si="12"/>
        <v>1429.5302013422818</v>
      </c>
      <c r="N12" s="64">
        <f t="shared" si="3"/>
        <v>84.090011843663632</v>
      </c>
      <c r="O12" s="66">
        <f t="shared" si="4"/>
        <v>0</v>
      </c>
      <c r="P12" s="67">
        <f t="shared" si="5"/>
        <v>-4.1452822739834261</v>
      </c>
      <c r="Q12" s="269">
        <f t="shared" si="6"/>
        <v>0.95302013422818788</v>
      </c>
      <c r="R12" s="511"/>
      <c r="S12" s="68">
        <v>0.26527777777777778</v>
      </c>
      <c r="T12" s="68">
        <v>0.47222222222222221</v>
      </c>
      <c r="U12" s="270">
        <f t="shared" ref="U12" si="14">IF(S12=TIME(17,0,0),"",(S12-T11)*24*60)</f>
        <v>6.9999999999999751</v>
      </c>
      <c r="V12" s="278">
        <f t="shared" si="13"/>
        <v>298</v>
      </c>
      <c r="W12" s="69"/>
      <c r="X12" s="69"/>
      <c r="Y12" s="510"/>
      <c r="Z12" s="510"/>
      <c r="AA12" s="66">
        <f t="shared" si="8"/>
        <v>-70.469798657718229</v>
      </c>
      <c r="AB12" s="269">
        <f t="shared" si="9"/>
        <v>0.95302013422818788</v>
      </c>
      <c r="AC12" s="511"/>
    </row>
    <row r="13" spans="1:29" ht="16.5" customHeight="1">
      <c r="A13" s="543" t="s">
        <v>1458</v>
      </c>
      <c r="B13" s="62" t="s">
        <v>1459</v>
      </c>
      <c r="C13" s="513"/>
      <c r="D13" s="513"/>
      <c r="E13" s="271"/>
      <c r="F13" s="63"/>
      <c r="G13" s="65"/>
      <c r="H13" s="279"/>
      <c r="I13" s="72">
        <v>18.5</v>
      </c>
      <c r="J13" s="63">
        <v>1500</v>
      </c>
      <c r="K13" s="64">
        <f t="shared" si="1"/>
        <v>81.081081081081081</v>
      </c>
      <c r="L13" s="72">
        <v>18.5</v>
      </c>
      <c r="M13" s="65">
        <f>AVERAGE(M11:M12)</f>
        <v>1429.5651006711407</v>
      </c>
      <c r="N13" s="64">
        <f t="shared" si="3"/>
        <v>77.27378922546707</v>
      </c>
      <c r="O13" s="66">
        <f t="shared" si="4"/>
        <v>0</v>
      </c>
      <c r="P13" s="67">
        <f t="shared" si="5"/>
        <v>-3.807291855614011</v>
      </c>
      <c r="Q13" s="269">
        <f t="shared" si="6"/>
        <v>0.95304340044742719</v>
      </c>
      <c r="R13" s="511"/>
      <c r="S13" s="68"/>
      <c r="T13" s="68"/>
      <c r="U13" s="64"/>
      <c r="V13" s="278"/>
      <c r="W13" s="64"/>
      <c r="X13" s="64"/>
      <c r="Y13" s="510"/>
      <c r="Z13" s="510"/>
      <c r="AA13" s="66">
        <f t="shared" si="8"/>
        <v>-70.434899328859274</v>
      </c>
      <c r="AB13" s="269">
        <f t="shared" si="9"/>
        <v>0.95304340044742719</v>
      </c>
      <c r="AC13" s="511"/>
    </row>
    <row r="14" spans="1:29" ht="16.5" customHeight="1">
      <c r="A14" s="541" t="s">
        <v>1460</v>
      </c>
      <c r="B14" s="279" t="s">
        <v>13</v>
      </c>
      <c r="C14" s="533" t="s">
        <v>14</v>
      </c>
      <c r="D14" s="533"/>
      <c r="E14" s="62">
        <v>41</v>
      </c>
      <c r="F14" s="279">
        <v>2628</v>
      </c>
      <c r="G14" s="270">
        <f t="shared" ref="G14:G19" si="15">E14*F14</f>
        <v>107748</v>
      </c>
      <c r="H14" s="90" t="s">
        <v>5</v>
      </c>
      <c r="I14" s="277">
        <v>26</v>
      </c>
      <c r="J14" s="63">
        <v>1500</v>
      </c>
      <c r="K14" s="64">
        <f t="shared" si="1"/>
        <v>57.692307692307693</v>
      </c>
      <c r="L14" s="277">
        <v>26</v>
      </c>
      <c r="M14" s="65">
        <f t="shared" ref="M14:M19" si="16">F14/V14*60</f>
        <v>1433.4545454545453</v>
      </c>
      <c r="N14" s="64">
        <f t="shared" si="3"/>
        <v>55.132867132867126</v>
      </c>
      <c r="O14" s="66">
        <f t="shared" si="4"/>
        <v>0</v>
      </c>
      <c r="P14" s="67">
        <f t="shared" si="5"/>
        <v>-2.5594405594405671</v>
      </c>
      <c r="Q14" s="269">
        <f t="shared" si="6"/>
        <v>0.95563636363636351</v>
      </c>
      <c r="R14" s="511">
        <f>Q20</f>
        <v>0.960501652898757</v>
      </c>
      <c r="S14" s="68">
        <v>0.125</v>
      </c>
      <c r="T14" s="68">
        <v>0.2013888888888889</v>
      </c>
      <c r="U14" s="270"/>
      <c r="V14" s="278">
        <f t="shared" ref="V14:V19" si="17">(T14-S14)*24*60</f>
        <v>110.00000000000001</v>
      </c>
      <c r="W14" s="69">
        <f>T14</f>
        <v>0.2013888888888889</v>
      </c>
      <c r="X14" s="69">
        <f>S15</f>
        <v>0.22222222222222224</v>
      </c>
      <c r="Y14" s="510"/>
      <c r="Z14" s="510"/>
      <c r="AA14" s="66">
        <f t="shared" si="8"/>
        <v>-66.545454545454731</v>
      </c>
      <c r="AB14" s="269">
        <f t="shared" si="9"/>
        <v>0.95563636363636351</v>
      </c>
      <c r="AC14" s="511">
        <f>AB20</f>
        <v>0.96050165289875689</v>
      </c>
    </row>
    <row r="15" spans="1:29" ht="16.5" customHeight="1">
      <c r="A15" s="542" t="s">
        <v>480</v>
      </c>
      <c r="B15" s="279" t="s">
        <v>10</v>
      </c>
      <c r="C15" s="533" t="s">
        <v>15</v>
      </c>
      <c r="D15" s="533"/>
      <c r="E15" s="62">
        <v>39.619999999999997</v>
      </c>
      <c r="F15" s="279">
        <v>4574</v>
      </c>
      <c r="G15" s="270">
        <f t="shared" si="15"/>
        <v>181221.87999999998</v>
      </c>
      <c r="H15" s="90" t="s">
        <v>5</v>
      </c>
      <c r="I15" s="277">
        <v>19</v>
      </c>
      <c r="J15" s="63">
        <v>1500</v>
      </c>
      <c r="K15" s="64">
        <f t="shared" si="1"/>
        <v>78.94736842105263</v>
      </c>
      <c r="L15" s="277">
        <v>19</v>
      </c>
      <c r="M15" s="65">
        <f t="shared" si="16"/>
        <v>1429.375</v>
      </c>
      <c r="N15" s="64">
        <f t="shared" si="3"/>
        <v>75.23026315789474</v>
      </c>
      <c r="O15" s="66">
        <f t="shared" si="4"/>
        <v>0</v>
      </c>
      <c r="P15" s="67">
        <f t="shared" si="5"/>
        <v>-3.7171052631578902</v>
      </c>
      <c r="Q15" s="269">
        <f t="shared" si="6"/>
        <v>0.95291666666666675</v>
      </c>
      <c r="R15" s="511"/>
      <c r="S15" s="68">
        <v>0.22222222222222224</v>
      </c>
      <c r="T15" s="68">
        <v>0.35555555555555557</v>
      </c>
      <c r="U15" s="270">
        <f t="shared" ref="U15:U19" si="18">IF(S15=TIME(17,0,0),"",(S15-T14)*24*60)</f>
        <v>30.000000000000014</v>
      </c>
      <c r="V15" s="278">
        <f t="shared" si="17"/>
        <v>192</v>
      </c>
      <c r="W15" s="69"/>
      <c r="X15" s="69"/>
      <c r="Y15" s="510"/>
      <c r="Z15" s="510"/>
      <c r="AA15" s="66">
        <f t="shared" si="8"/>
        <v>-70.625</v>
      </c>
      <c r="AB15" s="269">
        <f t="shared" si="9"/>
        <v>0.95291666666666663</v>
      </c>
      <c r="AC15" s="511"/>
    </row>
    <row r="16" spans="1:29" ht="16.5" customHeight="1">
      <c r="A16" s="542" t="s">
        <v>1461</v>
      </c>
      <c r="B16" s="279" t="s">
        <v>77</v>
      </c>
      <c r="C16" s="533" t="s">
        <v>76</v>
      </c>
      <c r="D16" s="533"/>
      <c r="E16" s="62">
        <v>57.3</v>
      </c>
      <c r="F16" s="279">
        <v>1141</v>
      </c>
      <c r="G16" s="270">
        <f t="shared" si="15"/>
        <v>65379.299999999996</v>
      </c>
      <c r="H16" s="90" t="s">
        <v>5</v>
      </c>
      <c r="I16" s="277">
        <v>16</v>
      </c>
      <c r="J16" s="63">
        <v>1500</v>
      </c>
      <c r="K16" s="64">
        <f t="shared" si="1"/>
        <v>93.75</v>
      </c>
      <c r="L16" s="277">
        <v>16</v>
      </c>
      <c r="M16" s="65">
        <f t="shared" si="16"/>
        <v>1456.5957446808513</v>
      </c>
      <c r="N16" s="64">
        <f t="shared" si="3"/>
        <v>91.037234042553209</v>
      </c>
      <c r="O16" s="66">
        <f t="shared" si="4"/>
        <v>0</v>
      </c>
      <c r="P16" s="67">
        <f t="shared" si="5"/>
        <v>-2.7127659574467913</v>
      </c>
      <c r="Q16" s="269">
        <f t="shared" si="6"/>
        <v>0.97106382978723427</v>
      </c>
      <c r="R16" s="511"/>
      <c r="S16" s="68">
        <v>0.36041666666666666</v>
      </c>
      <c r="T16" s="68">
        <v>0.39305555555555555</v>
      </c>
      <c r="U16" s="270">
        <f t="shared" si="18"/>
        <v>6.9999999999999751</v>
      </c>
      <c r="V16" s="278">
        <f t="shared" si="17"/>
        <v>46.999999999999993</v>
      </c>
      <c r="W16" s="69"/>
      <c r="X16" s="69"/>
      <c r="Y16" s="510"/>
      <c r="Z16" s="510"/>
      <c r="AA16" s="66">
        <f t="shared" si="8"/>
        <v>-43.40425531914866</v>
      </c>
      <c r="AB16" s="269">
        <f t="shared" si="9"/>
        <v>0.97106382978723427</v>
      </c>
      <c r="AC16" s="511"/>
    </row>
    <row r="17" spans="1:29" ht="16.5" customHeight="1">
      <c r="A17" s="542" t="s">
        <v>1461</v>
      </c>
      <c r="B17" s="279" t="s">
        <v>6</v>
      </c>
      <c r="C17" s="533" t="s">
        <v>890</v>
      </c>
      <c r="D17" s="533"/>
      <c r="E17" s="62">
        <v>50.98</v>
      </c>
      <c r="F17" s="279">
        <v>3632</v>
      </c>
      <c r="G17" s="270">
        <f t="shared" si="15"/>
        <v>185159.36</v>
      </c>
      <c r="H17" s="90" t="s">
        <v>5</v>
      </c>
      <c r="I17" s="277">
        <v>16</v>
      </c>
      <c r="J17" s="63">
        <v>2000</v>
      </c>
      <c r="K17" s="64">
        <f t="shared" si="1"/>
        <v>125</v>
      </c>
      <c r="L17" s="277">
        <v>16</v>
      </c>
      <c r="M17" s="65">
        <f t="shared" si="16"/>
        <v>1911.5789473684199</v>
      </c>
      <c r="N17" s="64">
        <f t="shared" si="3"/>
        <v>119.47368421052624</v>
      </c>
      <c r="O17" s="66">
        <f t="shared" si="4"/>
        <v>0</v>
      </c>
      <c r="P17" s="67">
        <f t="shared" si="5"/>
        <v>-5.526315789473756</v>
      </c>
      <c r="Q17" s="269">
        <f t="shared" si="6"/>
        <v>0.95578947368420997</v>
      </c>
      <c r="R17" s="511"/>
      <c r="S17" s="68">
        <v>0.70833333333333337</v>
      </c>
      <c r="T17" s="68">
        <v>0.78750000000000009</v>
      </c>
      <c r="U17" s="270" t="str">
        <f t="shared" si="18"/>
        <v/>
      </c>
      <c r="V17" s="278">
        <f t="shared" si="17"/>
        <v>114.00000000000007</v>
      </c>
      <c r="W17" s="69"/>
      <c r="X17" s="69"/>
      <c r="Y17" s="510"/>
      <c r="Z17" s="510"/>
      <c r="AA17" s="66">
        <f t="shared" si="8"/>
        <v>-88.421052631580096</v>
      </c>
      <c r="AB17" s="269">
        <f t="shared" si="9"/>
        <v>0.95578947368420997</v>
      </c>
      <c r="AC17" s="511"/>
    </row>
    <row r="18" spans="1:29" ht="16.5" customHeight="1">
      <c r="A18" s="542" t="s">
        <v>480</v>
      </c>
      <c r="B18" s="279" t="s">
        <v>6</v>
      </c>
      <c r="C18" s="533" t="s">
        <v>20</v>
      </c>
      <c r="D18" s="533"/>
      <c r="E18" s="62">
        <v>50.92</v>
      </c>
      <c r="F18" s="279">
        <v>1100</v>
      </c>
      <c r="G18" s="270">
        <f t="shared" si="15"/>
        <v>56012</v>
      </c>
      <c r="H18" s="90">
        <v>2</v>
      </c>
      <c r="I18" s="277">
        <v>15</v>
      </c>
      <c r="J18" s="63">
        <v>2000</v>
      </c>
      <c r="K18" s="64">
        <f t="shared" si="1"/>
        <v>133.33333333333334</v>
      </c>
      <c r="L18" s="277">
        <v>15</v>
      </c>
      <c r="M18" s="65">
        <f t="shared" si="16"/>
        <v>1941.1764705882326</v>
      </c>
      <c r="N18" s="64">
        <f t="shared" si="3"/>
        <v>129.41176470588218</v>
      </c>
      <c r="O18" s="66">
        <f t="shared" si="4"/>
        <v>0</v>
      </c>
      <c r="P18" s="67">
        <f t="shared" si="5"/>
        <v>-3.9215686274511654</v>
      </c>
      <c r="Q18" s="269">
        <f t="shared" si="6"/>
        <v>0.97058823529411631</v>
      </c>
      <c r="R18" s="511"/>
      <c r="S18" s="68">
        <v>0.79305555555555562</v>
      </c>
      <c r="T18" s="68">
        <v>0.81666666666666676</v>
      </c>
      <c r="U18" s="270">
        <f t="shared" si="18"/>
        <v>7.9999999999999716</v>
      </c>
      <c r="V18" s="278">
        <f t="shared" si="17"/>
        <v>34.000000000000043</v>
      </c>
      <c r="W18" s="69"/>
      <c r="X18" s="69"/>
      <c r="Y18" s="510"/>
      <c r="Z18" s="510"/>
      <c r="AA18" s="66">
        <f t="shared" si="8"/>
        <v>-58.823529411767367</v>
      </c>
      <c r="AB18" s="269">
        <f t="shared" si="9"/>
        <v>0.97058823529411631</v>
      </c>
      <c r="AC18" s="511"/>
    </row>
    <row r="19" spans="1:29" ht="16.5" customHeight="1">
      <c r="A19" s="542" t="s">
        <v>1460</v>
      </c>
      <c r="B19" s="279" t="s">
        <v>6</v>
      </c>
      <c r="C19" s="534" t="s">
        <v>1462</v>
      </c>
      <c r="D19" s="535"/>
      <c r="E19" s="62">
        <v>51.21</v>
      </c>
      <c r="F19" s="279">
        <v>1600</v>
      </c>
      <c r="G19" s="270">
        <f t="shared" si="15"/>
        <v>81936</v>
      </c>
      <c r="H19" s="90">
        <v>2</v>
      </c>
      <c r="I19" s="277">
        <v>16</v>
      </c>
      <c r="J19" s="63">
        <v>1500</v>
      </c>
      <c r="K19" s="64">
        <f t="shared" si="1"/>
        <v>93.75</v>
      </c>
      <c r="L19" s="277">
        <v>16</v>
      </c>
      <c r="M19" s="65">
        <f t="shared" si="16"/>
        <v>1432.8358208955206</v>
      </c>
      <c r="N19" s="64">
        <f t="shared" si="3"/>
        <v>89.552238805970035</v>
      </c>
      <c r="O19" s="66">
        <f t="shared" si="4"/>
        <v>0</v>
      </c>
      <c r="P19" s="67">
        <f t="shared" si="5"/>
        <v>-4.1977611940299653</v>
      </c>
      <c r="Q19" s="269">
        <f t="shared" si="6"/>
        <v>0.95522388059701369</v>
      </c>
      <c r="R19" s="511"/>
      <c r="S19" s="68">
        <v>0.82083333333333341</v>
      </c>
      <c r="T19" s="68">
        <v>0.86736111111111125</v>
      </c>
      <c r="U19" s="270">
        <f t="shared" si="18"/>
        <v>5.9999999999999787</v>
      </c>
      <c r="V19" s="278">
        <f t="shared" si="17"/>
        <v>67.000000000000085</v>
      </c>
      <c r="W19" s="69"/>
      <c r="X19" s="69"/>
      <c r="Y19" s="517"/>
      <c r="Z19" s="518"/>
      <c r="AA19" s="66">
        <f t="shared" si="8"/>
        <v>-67.164179104479445</v>
      </c>
      <c r="AB19" s="269">
        <f t="shared" si="9"/>
        <v>0.95522388059701369</v>
      </c>
      <c r="AC19" s="511"/>
    </row>
    <row r="20" spans="1:29" ht="16.5" customHeight="1">
      <c r="A20" s="542" t="s">
        <v>480</v>
      </c>
      <c r="B20" s="62" t="s">
        <v>1459</v>
      </c>
      <c r="C20" s="513"/>
      <c r="D20" s="513"/>
      <c r="E20" s="271"/>
      <c r="F20" s="71"/>
      <c r="G20" s="64"/>
      <c r="H20" s="279"/>
      <c r="I20" s="72">
        <v>18</v>
      </c>
      <c r="J20" s="63">
        <v>1666.6666666666667</v>
      </c>
      <c r="K20" s="64">
        <f t="shared" si="1"/>
        <v>92.592592592592595</v>
      </c>
      <c r="L20" s="72">
        <v>18</v>
      </c>
      <c r="M20" s="65">
        <f>AVERAGE(M14:M19)</f>
        <v>1600.8360881645949</v>
      </c>
      <c r="N20" s="64">
        <f t="shared" si="3"/>
        <v>88.935338231366387</v>
      </c>
      <c r="O20" s="66">
        <f t="shared" si="4"/>
        <v>0</v>
      </c>
      <c r="P20" s="67">
        <f t="shared" si="5"/>
        <v>-3.6572543612262081</v>
      </c>
      <c r="Q20" s="269">
        <f t="shared" si="6"/>
        <v>0.960501652898757</v>
      </c>
      <c r="R20" s="511"/>
      <c r="S20" s="68"/>
      <c r="T20" s="68"/>
      <c r="U20" s="270"/>
      <c r="V20" s="278"/>
      <c r="W20" s="64"/>
      <c r="X20" s="64"/>
      <c r="Y20" s="510"/>
      <c r="Z20" s="510"/>
      <c r="AA20" s="66">
        <f t="shared" si="8"/>
        <v>-65.83057850207183</v>
      </c>
      <c r="AB20" s="269">
        <f t="shared" si="9"/>
        <v>0.96050165289875689</v>
      </c>
      <c r="AC20" s="511"/>
    </row>
    <row r="21" spans="1:29" ht="15.75" customHeight="1">
      <c r="A21" s="537" t="s">
        <v>1463</v>
      </c>
      <c r="B21" s="62" t="s">
        <v>13</v>
      </c>
      <c r="C21" s="533" t="s">
        <v>21</v>
      </c>
      <c r="D21" s="533"/>
      <c r="E21" s="62">
        <v>43.14</v>
      </c>
      <c r="F21" s="279">
        <v>1466</v>
      </c>
      <c r="G21" s="270">
        <f t="shared" ref="G21:G29" si="19">E21*F21</f>
        <v>63243.24</v>
      </c>
      <c r="H21" s="90" t="s">
        <v>5</v>
      </c>
      <c r="I21" s="277">
        <v>17</v>
      </c>
      <c r="J21" s="63">
        <v>2000</v>
      </c>
      <c r="K21" s="64">
        <f t="shared" si="1"/>
        <v>117.64705882352941</v>
      </c>
      <c r="L21" s="277">
        <v>17</v>
      </c>
      <c r="M21" s="65">
        <f t="shared" ref="M21:M29" si="20">F21/V21*60</f>
        <v>1912.1739130434783</v>
      </c>
      <c r="N21" s="64">
        <f t="shared" si="3"/>
        <v>112.48081841432224</v>
      </c>
      <c r="O21" s="66">
        <f t="shared" si="4"/>
        <v>0</v>
      </c>
      <c r="P21" s="67">
        <f t="shared" si="5"/>
        <v>-5.1662404092071625</v>
      </c>
      <c r="Q21" s="269">
        <f t="shared" si="6"/>
        <v>0.95608695652173914</v>
      </c>
      <c r="R21" s="511">
        <f>Q30</f>
        <v>0.9609943875816449</v>
      </c>
      <c r="S21" s="68">
        <v>0.20833333333333334</v>
      </c>
      <c r="T21" s="68">
        <v>0.24027777777777778</v>
      </c>
      <c r="U21" s="270"/>
      <c r="V21" s="278">
        <f t="shared" ref="V21:V29" si="21">(T21-S21)*24*60</f>
        <v>46</v>
      </c>
      <c r="W21" s="73"/>
      <c r="X21" s="73"/>
      <c r="Y21" s="510"/>
      <c r="Z21" s="510"/>
      <c r="AA21" s="66">
        <f t="shared" si="8"/>
        <v>-87.826086956521749</v>
      </c>
      <c r="AB21" s="269">
        <f t="shared" si="9"/>
        <v>0.95608695652173914</v>
      </c>
      <c r="AC21" s="511">
        <f>AB30</f>
        <v>0.9609943875816449</v>
      </c>
    </row>
    <row r="22" spans="1:29" ht="15.75" customHeight="1">
      <c r="A22" s="538" t="s">
        <v>1463</v>
      </c>
      <c r="B22" s="62" t="s">
        <v>77</v>
      </c>
      <c r="C22" s="533" t="s">
        <v>980</v>
      </c>
      <c r="D22" s="533"/>
      <c r="E22" s="62">
        <v>49.9</v>
      </c>
      <c r="F22" s="279">
        <v>2437</v>
      </c>
      <c r="G22" s="270">
        <f t="shared" si="19"/>
        <v>121606.3</v>
      </c>
      <c r="H22" s="90" t="s">
        <v>5</v>
      </c>
      <c r="I22" s="277">
        <v>19</v>
      </c>
      <c r="J22" s="63">
        <v>2000</v>
      </c>
      <c r="K22" s="64">
        <f t="shared" si="1"/>
        <v>105.26315789473684</v>
      </c>
      <c r="L22" s="277">
        <v>19</v>
      </c>
      <c r="M22" s="65">
        <f t="shared" si="20"/>
        <v>1923.9473684210532</v>
      </c>
      <c r="N22" s="64">
        <f t="shared" si="3"/>
        <v>101.26038781163437</v>
      </c>
      <c r="O22" s="66">
        <f t="shared" si="4"/>
        <v>0</v>
      </c>
      <c r="P22" s="67">
        <f t="shared" si="5"/>
        <v>-4.0027700831024617</v>
      </c>
      <c r="Q22" s="269">
        <f t="shared" si="6"/>
        <v>0.96197368421052665</v>
      </c>
      <c r="R22" s="511"/>
      <c r="S22" s="68">
        <v>0.24583333333333335</v>
      </c>
      <c r="T22" s="68">
        <v>0.2986111111111111</v>
      </c>
      <c r="U22" s="270">
        <f t="shared" ref="U22:U29" si="22">IF(S22=TIME(17,0,0),"",(S22-T21)*24*60)</f>
        <v>8.0000000000000107</v>
      </c>
      <c r="V22" s="278">
        <f t="shared" si="21"/>
        <v>75.999999999999972</v>
      </c>
      <c r="W22" s="69"/>
      <c r="X22" s="270"/>
      <c r="Y22" s="510"/>
      <c r="Z22" s="510"/>
      <c r="AA22" s="66">
        <f t="shared" si="8"/>
        <v>-76.05263157894683</v>
      </c>
      <c r="AB22" s="269">
        <f t="shared" si="9"/>
        <v>0.96197368421052654</v>
      </c>
      <c r="AC22" s="511"/>
    </row>
    <row r="23" spans="1:29" ht="15.75" customHeight="1">
      <c r="A23" s="538" t="s">
        <v>1464</v>
      </c>
      <c r="B23" s="62" t="s">
        <v>6</v>
      </c>
      <c r="C23" s="533" t="s">
        <v>22</v>
      </c>
      <c r="D23" s="533"/>
      <c r="E23" s="62">
        <v>57.73</v>
      </c>
      <c r="F23" s="279">
        <v>3025</v>
      </c>
      <c r="G23" s="270">
        <f t="shared" si="19"/>
        <v>174633.25</v>
      </c>
      <c r="H23" s="90" t="s">
        <v>5</v>
      </c>
      <c r="I23" s="277">
        <v>14</v>
      </c>
      <c r="J23" s="63">
        <v>2000</v>
      </c>
      <c r="K23" s="64">
        <f t="shared" si="1"/>
        <v>142.85714285714286</v>
      </c>
      <c r="L23" s="277">
        <v>14</v>
      </c>
      <c r="M23" s="65">
        <f t="shared" si="20"/>
        <v>1910.526315789474</v>
      </c>
      <c r="N23" s="64">
        <f t="shared" si="3"/>
        <v>136.46616541353384</v>
      </c>
      <c r="O23" s="66">
        <f t="shared" si="4"/>
        <v>0</v>
      </c>
      <c r="P23" s="67">
        <f t="shared" si="5"/>
        <v>-6.3909774436090174</v>
      </c>
      <c r="Q23" s="269">
        <f t="shared" si="6"/>
        <v>0.95526315789473693</v>
      </c>
      <c r="R23" s="511"/>
      <c r="S23" s="68">
        <v>0.30208333333333331</v>
      </c>
      <c r="T23" s="68">
        <v>0.36805555555555552</v>
      </c>
      <c r="U23" s="270">
        <f t="shared" si="22"/>
        <v>4.9999999999999822</v>
      </c>
      <c r="V23" s="278">
        <f t="shared" si="21"/>
        <v>94.999999999999986</v>
      </c>
      <c r="W23" s="69"/>
      <c r="X23" s="270"/>
      <c r="Y23" s="510"/>
      <c r="Z23" s="510"/>
      <c r="AA23" s="66">
        <f t="shared" si="8"/>
        <v>-89.473684210526017</v>
      </c>
      <c r="AB23" s="269">
        <f t="shared" si="9"/>
        <v>0.95526315789473704</v>
      </c>
      <c r="AC23" s="511"/>
    </row>
    <row r="24" spans="1:29" ht="15.75" customHeight="1">
      <c r="A24" s="538" t="s">
        <v>1464</v>
      </c>
      <c r="B24" s="62" t="s">
        <v>6</v>
      </c>
      <c r="C24" s="533" t="s">
        <v>23</v>
      </c>
      <c r="D24" s="533"/>
      <c r="E24" s="62">
        <v>53.68</v>
      </c>
      <c r="F24" s="279">
        <v>1963</v>
      </c>
      <c r="G24" s="270">
        <f t="shared" si="19"/>
        <v>105373.84</v>
      </c>
      <c r="H24" s="90" t="s">
        <v>5</v>
      </c>
      <c r="I24" s="277">
        <v>16</v>
      </c>
      <c r="J24" s="63">
        <v>2000</v>
      </c>
      <c r="K24" s="64">
        <f t="shared" si="1"/>
        <v>125</v>
      </c>
      <c r="L24" s="277">
        <v>16</v>
      </c>
      <c r="M24" s="65">
        <f t="shared" si="20"/>
        <v>1930.8196721311467</v>
      </c>
      <c r="N24" s="64">
        <f t="shared" si="3"/>
        <v>120.67622950819667</v>
      </c>
      <c r="O24" s="66">
        <f t="shared" si="4"/>
        <v>0</v>
      </c>
      <c r="P24" s="67">
        <f t="shared" si="5"/>
        <v>-4.3237704918033302</v>
      </c>
      <c r="Q24" s="269">
        <f t="shared" si="6"/>
        <v>0.9654098360655734</v>
      </c>
      <c r="R24" s="511"/>
      <c r="S24" s="68">
        <v>0.37152777777777773</v>
      </c>
      <c r="T24" s="68">
        <v>0.41388888888888886</v>
      </c>
      <c r="U24" s="270">
        <f t="shared" si="22"/>
        <v>4.9999999999999822</v>
      </c>
      <c r="V24" s="278">
        <f t="shared" si="21"/>
        <v>61.000000000000021</v>
      </c>
      <c r="W24" s="69"/>
      <c r="X24" s="270"/>
      <c r="Y24" s="510"/>
      <c r="Z24" s="510"/>
      <c r="AA24" s="66">
        <f t="shared" si="8"/>
        <v>-69.180327868853283</v>
      </c>
      <c r="AB24" s="269">
        <f t="shared" si="9"/>
        <v>0.9654098360655734</v>
      </c>
      <c r="AC24" s="511"/>
    </row>
    <row r="25" spans="1:29" ht="15.75" customHeight="1">
      <c r="A25" s="538" t="s">
        <v>483</v>
      </c>
      <c r="B25" s="62" t="s">
        <v>6</v>
      </c>
      <c r="C25" s="533" t="s">
        <v>971</v>
      </c>
      <c r="D25" s="533"/>
      <c r="E25" s="62">
        <v>49.91</v>
      </c>
      <c r="F25" s="279">
        <v>2165</v>
      </c>
      <c r="G25" s="270">
        <f t="shared" si="19"/>
        <v>108055.15</v>
      </c>
      <c r="H25" s="90" t="s">
        <v>5</v>
      </c>
      <c r="I25" s="277">
        <v>19</v>
      </c>
      <c r="J25" s="63">
        <v>2000</v>
      </c>
      <c r="K25" s="64">
        <f t="shared" si="1"/>
        <v>105.26315789473684</v>
      </c>
      <c r="L25" s="277">
        <v>19</v>
      </c>
      <c r="M25" s="65">
        <f t="shared" si="20"/>
        <v>1910.294117647059</v>
      </c>
      <c r="N25" s="64">
        <f t="shared" si="3"/>
        <v>100.54179566563468</v>
      </c>
      <c r="O25" s="66">
        <f t="shared" si="4"/>
        <v>0</v>
      </c>
      <c r="P25" s="67">
        <f t="shared" si="5"/>
        <v>-4.7213622291021551</v>
      </c>
      <c r="Q25" s="269">
        <f t="shared" si="6"/>
        <v>0.95514705882352957</v>
      </c>
      <c r="R25" s="511"/>
      <c r="S25" s="68">
        <v>0.41736111111111107</v>
      </c>
      <c r="T25" s="68">
        <v>0.46458333333333329</v>
      </c>
      <c r="U25" s="270">
        <f t="shared" si="22"/>
        <v>4.9999999999999822</v>
      </c>
      <c r="V25" s="278">
        <f t="shared" si="21"/>
        <v>68</v>
      </c>
      <c r="W25" s="69"/>
      <c r="X25" s="270"/>
      <c r="Y25" s="510"/>
      <c r="Z25" s="510"/>
      <c r="AA25" s="66">
        <f t="shared" si="8"/>
        <v>-89.705882352940989</v>
      </c>
      <c r="AB25" s="269">
        <f t="shared" si="9"/>
        <v>0.95514705882352946</v>
      </c>
      <c r="AC25" s="511"/>
    </row>
    <row r="26" spans="1:29" ht="15.75" customHeight="1">
      <c r="A26" s="538" t="s">
        <v>483</v>
      </c>
      <c r="B26" s="62" t="s">
        <v>6</v>
      </c>
      <c r="C26" s="533" t="s">
        <v>24</v>
      </c>
      <c r="D26" s="533"/>
      <c r="E26" s="62">
        <v>54.09</v>
      </c>
      <c r="F26" s="279">
        <v>2315</v>
      </c>
      <c r="G26" s="270">
        <f t="shared" si="19"/>
        <v>125218.35</v>
      </c>
      <c r="H26" s="90" t="s">
        <v>5</v>
      </c>
      <c r="I26" s="277">
        <v>19</v>
      </c>
      <c r="J26" s="63">
        <v>2000</v>
      </c>
      <c r="K26" s="64">
        <f t="shared" si="1"/>
        <v>105.26315789473684</v>
      </c>
      <c r="L26" s="277">
        <v>19</v>
      </c>
      <c r="M26" s="65">
        <f t="shared" si="20"/>
        <v>1929.1666666666649</v>
      </c>
      <c r="N26" s="64">
        <f t="shared" si="3"/>
        <v>101.53508771929815</v>
      </c>
      <c r="O26" s="66">
        <f t="shared" si="4"/>
        <v>0</v>
      </c>
      <c r="P26" s="67">
        <f t="shared" si="5"/>
        <v>-3.7280701754386882</v>
      </c>
      <c r="Q26" s="269">
        <f t="shared" si="6"/>
        <v>0.96458333333333246</v>
      </c>
      <c r="R26" s="511"/>
      <c r="S26" s="68">
        <v>0.70833333333333337</v>
      </c>
      <c r="T26" s="68">
        <v>0.75833333333333341</v>
      </c>
      <c r="U26" s="270" t="str">
        <f t="shared" si="22"/>
        <v/>
      </c>
      <c r="V26" s="278">
        <f t="shared" si="21"/>
        <v>72.000000000000057</v>
      </c>
      <c r="W26" s="69"/>
      <c r="X26" s="73"/>
      <c r="Y26" s="510"/>
      <c r="Z26" s="510"/>
      <c r="AA26" s="66">
        <f t="shared" si="8"/>
        <v>-70.833333333335077</v>
      </c>
      <c r="AB26" s="269">
        <f t="shared" si="9"/>
        <v>0.96458333333333246</v>
      </c>
      <c r="AC26" s="511"/>
    </row>
    <row r="27" spans="1:29" ht="15.75" customHeight="1">
      <c r="A27" s="538" t="s">
        <v>1463</v>
      </c>
      <c r="B27" s="62" t="s">
        <v>6</v>
      </c>
      <c r="C27" s="533" t="s">
        <v>82</v>
      </c>
      <c r="D27" s="533"/>
      <c r="E27" s="62">
        <v>57.73</v>
      </c>
      <c r="F27" s="279">
        <v>2085</v>
      </c>
      <c r="G27" s="270">
        <f t="shared" si="19"/>
        <v>120367.04999999999</v>
      </c>
      <c r="H27" s="90" t="s">
        <v>5</v>
      </c>
      <c r="I27" s="277">
        <v>16</v>
      </c>
      <c r="J27" s="63">
        <v>1500</v>
      </c>
      <c r="K27" s="64">
        <f t="shared" si="1"/>
        <v>93.75</v>
      </c>
      <c r="L27" s="277">
        <v>16</v>
      </c>
      <c r="M27" s="65">
        <f t="shared" si="20"/>
        <v>1437.9310344827584</v>
      </c>
      <c r="N27" s="64">
        <f t="shared" si="3"/>
        <v>89.870689655172399</v>
      </c>
      <c r="O27" s="66">
        <f t="shared" si="4"/>
        <v>0</v>
      </c>
      <c r="P27" s="67">
        <f t="shared" si="5"/>
        <v>-3.8793103448276014</v>
      </c>
      <c r="Q27" s="269">
        <f t="shared" si="6"/>
        <v>0.95862068965517222</v>
      </c>
      <c r="R27" s="511"/>
      <c r="S27" s="68">
        <v>0.76319444444444451</v>
      </c>
      <c r="T27" s="68">
        <v>0.82361111111111118</v>
      </c>
      <c r="U27" s="270">
        <f t="shared" si="22"/>
        <v>6.9999999999999751</v>
      </c>
      <c r="V27" s="278">
        <f t="shared" si="21"/>
        <v>87.000000000000014</v>
      </c>
      <c r="W27" s="69"/>
      <c r="X27" s="73"/>
      <c r="Y27" s="517"/>
      <c r="Z27" s="518"/>
      <c r="AA27" s="66">
        <f t="shared" si="8"/>
        <v>-62.068965517241622</v>
      </c>
      <c r="AB27" s="269">
        <f t="shared" si="9"/>
        <v>0.95862068965517222</v>
      </c>
      <c r="AC27" s="511"/>
    </row>
    <row r="28" spans="1:29" ht="15.75" customHeight="1">
      <c r="A28" s="538" t="s">
        <v>1463</v>
      </c>
      <c r="B28" s="62" t="s">
        <v>6</v>
      </c>
      <c r="C28" s="534" t="s">
        <v>81</v>
      </c>
      <c r="D28" s="535"/>
      <c r="E28" s="62">
        <v>50.67</v>
      </c>
      <c r="F28" s="279">
        <v>1000</v>
      </c>
      <c r="G28" s="270">
        <f t="shared" si="19"/>
        <v>50670</v>
      </c>
      <c r="H28" s="90">
        <v>2</v>
      </c>
      <c r="I28" s="277">
        <v>15</v>
      </c>
      <c r="J28" s="63">
        <v>2000</v>
      </c>
      <c r="K28" s="64">
        <f t="shared" si="1"/>
        <v>133.33333333333334</v>
      </c>
      <c r="L28" s="277">
        <v>15</v>
      </c>
      <c r="M28" s="65">
        <f t="shared" si="20"/>
        <v>1935.483870967739</v>
      </c>
      <c r="N28" s="64">
        <f t="shared" si="3"/>
        <v>129.03225806451593</v>
      </c>
      <c r="O28" s="66">
        <f t="shared" si="4"/>
        <v>0</v>
      </c>
      <c r="P28" s="67">
        <f t="shared" si="5"/>
        <v>-4.3010752688174136</v>
      </c>
      <c r="Q28" s="269">
        <f t="shared" si="6"/>
        <v>0.96774193548386944</v>
      </c>
      <c r="R28" s="511"/>
      <c r="S28" s="68">
        <v>0.82847222222222228</v>
      </c>
      <c r="T28" s="68">
        <v>0.85000000000000009</v>
      </c>
      <c r="U28" s="270">
        <f t="shared" si="22"/>
        <v>6.9999999999999751</v>
      </c>
      <c r="V28" s="278">
        <f t="shared" si="21"/>
        <v>31.00000000000005</v>
      </c>
      <c r="W28" s="69">
        <f>T28</f>
        <v>0.85000000000000009</v>
      </c>
      <c r="X28" s="69">
        <f>S29</f>
        <v>0.88958333333333339</v>
      </c>
      <c r="Y28" s="517"/>
      <c r="Z28" s="518"/>
      <c r="AA28" s="66">
        <f t="shared" si="8"/>
        <v>-64.516129032261006</v>
      </c>
      <c r="AB28" s="269">
        <f t="shared" si="9"/>
        <v>0.96774193548386944</v>
      </c>
      <c r="AC28" s="511"/>
    </row>
    <row r="29" spans="1:29" ht="15.75" customHeight="1">
      <c r="A29" s="538" t="s">
        <v>1463</v>
      </c>
      <c r="B29" s="62" t="s">
        <v>6</v>
      </c>
      <c r="C29" s="534" t="s">
        <v>81</v>
      </c>
      <c r="D29" s="535"/>
      <c r="E29" s="62">
        <v>50.67</v>
      </c>
      <c r="F29" s="279">
        <v>1638</v>
      </c>
      <c r="G29" s="270">
        <f t="shared" si="19"/>
        <v>82997.460000000006</v>
      </c>
      <c r="H29" s="90" t="s">
        <v>5</v>
      </c>
      <c r="I29" s="277">
        <v>15</v>
      </c>
      <c r="J29" s="63">
        <v>2000</v>
      </c>
      <c r="K29" s="64">
        <f t="shared" si="1"/>
        <v>133.33333333333334</v>
      </c>
      <c r="L29" s="277">
        <v>15</v>
      </c>
      <c r="M29" s="65">
        <f t="shared" si="20"/>
        <v>1927.0588235294126</v>
      </c>
      <c r="N29" s="64">
        <f t="shared" si="3"/>
        <v>128.47058823529417</v>
      </c>
      <c r="O29" s="66">
        <f t="shared" si="4"/>
        <v>0</v>
      </c>
      <c r="P29" s="67">
        <f t="shared" si="5"/>
        <v>-4.86274509803917</v>
      </c>
      <c r="Q29" s="269">
        <f t="shared" si="6"/>
        <v>0.96352941176470619</v>
      </c>
      <c r="R29" s="511"/>
      <c r="S29" s="68">
        <v>0.88958333333333339</v>
      </c>
      <c r="T29" s="68">
        <v>0.92500000000000004</v>
      </c>
      <c r="U29" s="270">
        <f t="shared" si="22"/>
        <v>56.999999999999957</v>
      </c>
      <c r="V29" s="278">
        <f t="shared" si="21"/>
        <v>50.999999999999979</v>
      </c>
      <c r="W29" s="69"/>
      <c r="X29" s="69"/>
      <c r="Y29" s="517"/>
      <c r="Z29" s="518"/>
      <c r="AA29" s="66">
        <f t="shared" si="8"/>
        <v>-72.941176470587379</v>
      </c>
      <c r="AB29" s="269">
        <f t="shared" si="9"/>
        <v>0.9635294117647063</v>
      </c>
      <c r="AC29" s="511"/>
    </row>
    <row r="30" spans="1:29" ht="15.75" customHeight="1">
      <c r="A30" s="538" t="s">
        <v>1463</v>
      </c>
      <c r="B30" s="62" t="s">
        <v>1459</v>
      </c>
      <c r="C30" s="513"/>
      <c r="D30" s="513"/>
      <c r="E30" s="271"/>
      <c r="F30" s="279"/>
      <c r="G30" s="270"/>
      <c r="H30" s="279"/>
      <c r="I30" s="72">
        <v>16.666666666666668</v>
      </c>
      <c r="J30" s="63">
        <v>1944.4444444444443</v>
      </c>
      <c r="K30" s="64">
        <f t="shared" si="1"/>
        <v>116.66666666666666</v>
      </c>
      <c r="L30" s="72">
        <v>16.666666666666668</v>
      </c>
      <c r="M30" s="65">
        <f>AVERAGE(M21:M29)</f>
        <v>1868.6001980754206</v>
      </c>
      <c r="N30" s="64">
        <f t="shared" si="3"/>
        <v>112.11601188452524</v>
      </c>
      <c r="O30" s="66">
        <f t="shared" si="4"/>
        <v>0</v>
      </c>
      <c r="P30" s="67">
        <f t="shared" si="5"/>
        <v>-4.5506547821414216</v>
      </c>
      <c r="Q30" s="269">
        <f t="shared" si="6"/>
        <v>0.9609943875816449</v>
      </c>
      <c r="R30" s="511"/>
      <c r="S30" s="68"/>
      <c r="T30" s="68"/>
      <c r="U30" s="64"/>
      <c r="V30" s="278"/>
      <c r="W30" s="64"/>
      <c r="X30" s="64"/>
      <c r="Y30" s="510"/>
      <c r="Z30" s="510"/>
      <c r="AA30" s="66">
        <f t="shared" si="8"/>
        <v>-75.844246369023722</v>
      </c>
      <c r="AB30" s="269">
        <f t="shared" si="9"/>
        <v>0.9609943875816449</v>
      </c>
      <c r="AC30" s="511"/>
    </row>
    <row r="31" spans="1:29" ht="15.75" customHeight="1">
      <c r="A31" s="536" t="s">
        <v>486</v>
      </c>
      <c r="B31" s="62" t="s">
        <v>16</v>
      </c>
      <c r="C31" s="533" t="s">
        <v>30</v>
      </c>
      <c r="D31" s="533"/>
      <c r="E31" s="62">
        <v>31.29</v>
      </c>
      <c r="F31" s="279">
        <v>4600</v>
      </c>
      <c r="G31" s="270">
        <f t="shared" ref="G31:G38" si="23">E31*F31</f>
        <v>143934</v>
      </c>
      <c r="H31" s="90">
        <v>2</v>
      </c>
      <c r="I31" s="277">
        <v>18</v>
      </c>
      <c r="J31" s="63">
        <v>2400</v>
      </c>
      <c r="K31" s="64">
        <f t="shared" si="1"/>
        <v>133.33333333333334</v>
      </c>
      <c r="L31" s="277">
        <v>18</v>
      </c>
      <c r="M31" s="65">
        <f t="shared" ref="M31:M38" si="24">F31/V31*60</f>
        <v>2300</v>
      </c>
      <c r="N31" s="64">
        <f t="shared" si="3"/>
        <v>127.77777777777777</v>
      </c>
      <c r="O31" s="66">
        <f t="shared" si="4"/>
        <v>0</v>
      </c>
      <c r="P31" s="67">
        <f t="shared" si="5"/>
        <v>-5.5555555555555713</v>
      </c>
      <c r="Q31" s="269">
        <f t="shared" si="6"/>
        <v>0.95833333333333326</v>
      </c>
      <c r="R31" s="511">
        <f>Q39</f>
        <v>0.95902840026201364</v>
      </c>
      <c r="S31" s="68">
        <v>8.3333333333333329E-2</v>
      </c>
      <c r="T31" s="68">
        <v>0.16666666666666666</v>
      </c>
      <c r="U31" s="270"/>
      <c r="V31" s="278">
        <f t="shared" ref="V31:V38" si="25">(T31-S31)*24*60</f>
        <v>120</v>
      </c>
      <c r="W31" s="69">
        <f>T31</f>
        <v>0.16666666666666666</v>
      </c>
      <c r="X31" s="69">
        <f>S32</f>
        <v>0.18541666666666665</v>
      </c>
      <c r="Y31" s="510"/>
      <c r="Z31" s="510"/>
      <c r="AA31" s="66">
        <f t="shared" si="8"/>
        <v>-100</v>
      </c>
      <c r="AB31" s="269">
        <f t="shared" si="9"/>
        <v>0.95833333333333337</v>
      </c>
      <c r="AC31" s="511">
        <f>AB39</f>
        <v>0.95902840026201375</v>
      </c>
    </row>
    <row r="32" spans="1:29" ht="15.75" customHeight="1">
      <c r="A32" s="536" t="s">
        <v>486</v>
      </c>
      <c r="B32" s="62" t="s">
        <v>16</v>
      </c>
      <c r="C32" s="533" t="s">
        <v>28</v>
      </c>
      <c r="D32" s="533"/>
      <c r="E32" s="62">
        <v>26.18</v>
      </c>
      <c r="F32" s="279">
        <v>3604</v>
      </c>
      <c r="G32" s="270">
        <f t="shared" si="23"/>
        <v>94352.72</v>
      </c>
      <c r="H32" s="90" t="s">
        <v>5</v>
      </c>
      <c r="I32" s="277">
        <v>19</v>
      </c>
      <c r="J32" s="63">
        <v>2400</v>
      </c>
      <c r="K32" s="64">
        <f t="shared" si="1"/>
        <v>126.31578947368421</v>
      </c>
      <c r="L32" s="277">
        <v>19</v>
      </c>
      <c r="M32" s="65">
        <f t="shared" si="24"/>
        <v>2300.4255319148929</v>
      </c>
      <c r="N32" s="64">
        <f t="shared" si="3"/>
        <v>121.07502799552067</v>
      </c>
      <c r="O32" s="66">
        <f t="shared" si="4"/>
        <v>0</v>
      </c>
      <c r="P32" s="67">
        <f t="shared" si="5"/>
        <v>-5.2407614781635345</v>
      </c>
      <c r="Q32" s="269">
        <f t="shared" si="6"/>
        <v>0.95851063829787198</v>
      </c>
      <c r="R32" s="511"/>
      <c r="S32" s="68">
        <v>0.18541666666666665</v>
      </c>
      <c r="T32" s="68">
        <v>0.25069444444444444</v>
      </c>
      <c r="U32" s="270">
        <f t="shared" ref="U32:U38" si="26">(S32-T31)*24*60</f>
        <v>26.999999999999986</v>
      </c>
      <c r="V32" s="278">
        <f t="shared" si="25"/>
        <v>94.000000000000028</v>
      </c>
      <c r="W32" s="69"/>
      <c r="X32" s="69"/>
      <c r="Y32" s="510"/>
      <c r="Z32" s="510"/>
      <c r="AA32" s="66">
        <f t="shared" si="8"/>
        <v>-99.574468085107128</v>
      </c>
      <c r="AB32" s="269">
        <f t="shared" si="9"/>
        <v>0.95851063829787198</v>
      </c>
      <c r="AC32" s="511"/>
    </row>
    <row r="33" spans="1:29" ht="15.75" customHeight="1">
      <c r="A33" s="536" t="s">
        <v>486</v>
      </c>
      <c r="B33" s="62" t="s">
        <v>16</v>
      </c>
      <c r="C33" s="533" t="s">
        <v>25</v>
      </c>
      <c r="D33" s="533"/>
      <c r="E33" s="62">
        <v>26.2</v>
      </c>
      <c r="F33" s="279">
        <v>3800</v>
      </c>
      <c r="G33" s="270">
        <f t="shared" si="23"/>
        <v>99560</v>
      </c>
      <c r="H33" s="90">
        <v>2</v>
      </c>
      <c r="I33" s="277">
        <v>20</v>
      </c>
      <c r="J33" s="63">
        <v>2400</v>
      </c>
      <c r="K33" s="64">
        <f t="shared" si="1"/>
        <v>120</v>
      </c>
      <c r="L33" s="277">
        <v>20</v>
      </c>
      <c r="M33" s="65">
        <f t="shared" si="24"/>
        <v>2303.0303030303039</v>
      </c>
      <c r="N33" s="64">
        <f t="shared" si="3"/>
        <v>115.1515151515152</v>
      </c>
      <c r="O33" s="66">
        <f t="shared" si="4"/>
        <v>0</v>
      </c>
      <c r="P33" s="67">
        <f t="shared" si="5"/>
        <v>-4.8484848484848015</v>
      </c>
      <c r="Q33" s="269">
        <f t="shared" si="6"/>
        <v>0.95959595959596</v>
      </c>
      <c r="R33" s="511"/>
      <c r="S33" s="68">
        <v>0.25555555555555554</v>
      </c>
      <c r="T33" s="68">
        <v>0.32430555555555551</v>
      </c>
      <c r="U33" s="270">
        <f t="shared" si="26"/>
        <v>6.9999999999999751</v>
      </c>
      <c r="V33" s="278">
        <f t="shared" si="25"/>
        <v>98.999999999999972</v>
      </c>
      <c r="W33" s="69"/>
      <c r="X33" s="69"/>
      <c r="Y33" s="510"/>
      <c r="Z33" s="510"/>
      <c r="AA33" s="66">
        <f t="shared" si="8"/>
        <v>-96.969696969696088</v>
      </c>
      <c r="AB33" s="269">
        <f t="shared" si="9"/>
        <v>0.95959595959596</v>
      </c>
      <c r="AC33" s="511"/>
    </row>
    <row r="34" spans="1:29" ht="15.75" customHeight="1">
      <c r="A34" s="536" t="s">
        <v>486</v>
      </c>
      <c r="B34" s="62" t="s">
        <v>16</v>
      </c>
      <c r="C34" s="533" t="s">
        <v>83</v>
      </c>
      <c r="D34" s="533"/>
      <c r="E34" s="62">
        <v>25.99</v>
      </c>
      <c r="F34" s="279">
        <v>3600</v>
      </c>
      <c r="G34" s="270">
        <f t="shared" si="23"/>
        <v>93564</v>
      </c>
      <c r="H34" s="90">
        <v>2</v>
      </c>
      <c r="I34" s="277">
        <v>14</v>
      </c>
      <c r="J34" s="63">
        <v>2400</v>
      </c>
      <c r="K34" s="64">
        <f t="shared" si="1"/>
        <v>171.42857142857142</v>
      </c>
      <c r="L34" s="277">
        <v>14</v>
      </c>
      <c r="M34" s="65">
        <f t="shared" si="24"/>
        <v>2297.872340425532</v>
      </c>
      <c r="N34" s="64">
        <f t="shared" si="3"/>
        <v>164.13373860182372</v>
      </c>
      <c r="O34" s="66">
        <f t="shared" si="4"/>
        <v>0</v>
      </c>
      <c r="P34" s="67">
        <f t="shared" si="5"/>
        <v>-7.2948328267476938</v>
      </c>
      <c r="Q34" s="269">
        <f t="shared" si="6"/>
        <v>0.95744680851063846</v>
      </c>
      <c r="R34" s="511"/>
      <c r="S34" s="68">
        <v>0.32777777777777772</v>
      </c>
      <c r="T34" s="68">
        <v>0.39305555555555549</v>
      </c>
      <c r="U34" s="270">
        <f t="shared" si="26"/>
        <v>4.9999999999999822</v>
      </c>
      <c r="V34" s="278">
        <f t="shared" si="25"/>
        <v>93.999999999999986</v>
      </c>
      <c r="W34" s="69"/>
      <c r="X34" s="69"/>
      <c r="Y34" s="510"/>
      <c r="Z34" s="510"/>
      <c r="AA34" s="66">
        <f t="shared" si="8"/>
        <v>-102.127659574468</v>
      </c>
      <c r="AB34" s="269">
        <f t="shared" si="9"/>
        <v>0.95744680851063835</v>
      </c>
      <c r="AC34" s="511"/>
    </row>
    <row r="35" spans="1:29" ht="15.75" customHeight="1">
      <c r="A35" s="536" t="s">
        <v>486</v>
      </c>
      <c r="B35" s="62" t="s">
        <v>16</v>
      </c>
      <c r="C35" s="533" t="s">
        <v>982</v>
      </c>
      <c r="D35" s="533"/>
      <c r="E35" s="62">
        <v>25.98</v>
      </c>
      <c r="F35" s="279">
        <v>5815</v>
      </c>
      <c r="G35" s="270">
        <f t="shared" si="23"/>
        <v>151073.70000000001</v>
      </c>
      <c r="H35" s="90" t="s">
        <v>5</v>
      </c>
      <c r="I35" s="277">
        <v>21</v>
      </c>
      <c r="J35" s="63">
        <v>2400</v>
      </c>
      <c r="K35" s="64">
        <f t="shared" si="1"/>
        <v>114.28571428571429</v>
      </c>
      <c r="L35" s="277">
        <v>21</v>
      </c>
      <c r="M35" s="65">
        <f t="shared" si="24"/>
        <v>2295.3947368421059</v>
      </c>
      <c r="N35" s="64">
        <f t="shared" si="3"/>
        <v>109.30451127819552</v>
      </c>
      <c r="O35" s="66">
        <f t="shared" si="4"/>
        <v>0</v>
      </c>
      <c r="P35" s="67">
        <f t="shared" si="5"/>
        <v>-4.9812030075187721</v>
      </c>
      <c r="Q35" s="269">
        <f t="shared" si="6"/>
        <v>0.95641447368421073</v>
      </c>
      <c r="R35" s="511"/>
      <c r="S35" s="68">
        <v>0.3965277777777777</v>
      </c>
      <c r="T35" s="68">
        <v>0.50208333333333321</v>
      </c>
      <c r="U35" s="270">
        <f t="shared" si="26"/>
        <v>4.9999999999999822</v>
      </c>
      <c r="V35" s="278">
        <f t="shared" si="25"/>
        <v>151.99999999999994</v>
      </c>
      <c r="W35" s="69">
        <f>T35</f>
        <v>0.50208333333333321</v>
      </c>
      <c r="X35" s="69">
        <f>S36</f>
        <v>0.5430555555555554</v>
      </c>
      <c r="Y35" s="510"/>
      <c r="Z35" s="510"/>
      <c r="AA35" s="66">
        <f t="shared" si="8"/>
        <v>-104.60526315789411</v>
      </c>
      <c r="AB35" s="269">
        <f t="shared" si="9"/>
        <v>0.95641447368421073</v>
      </c>
      <c r="AC35" s="511"/>
    </row>
    <row r="36" spans="1:29" ht="15.75" customHeight="1">
      <c r="A36" s="536" t="s">
        <v>1465</v>
      </c>
      <c r="B36" s="62" t="s">
        <v>16</v>
      </c>
      <c r="C36" s="533" t="s">
        <v>30</v>
      </c>
      <c r="D36" s="533"/>
      <c r="E36" s="62">
        <v>31.29</v>
      </c>
      <c r="F36" s="279">
        <v>6269</v>
      </c>
      <c r="G36" s="270">
        <f t="shared" si="23"/>
        <v>196157.00999999998</v>
      </c>
      <c r="H36" s="90" t="s">
        <v>5</v>
      </c>
      <c r="I36" s="277">
        <v>18</v>
      </c>
      <c r="J36" s="63">
        <v>2400</v>
      </c>
      <c r="K36" s="64">
        <f t="shared" si="1"/>
        <v>133.33333333333334</v>
      </c>
      <c r="L36" s="277">
        <v>18</v>
      </c>
      <c r="M36" s="65">
        <f t="shared" si="24"/>
        <v>2293.5365853658527</v>
      </c>
      <c r="N36" s="64">
        <f t="shared" si="3"/>
        <v>127.41869918699182</v>
      </c>
      <c r="O36" s="66">
        <f t="shared" si="4"/>
        <v>0</v>
      </c>
      <c r="P36" s="67">
        <f t="shared" si="5"/>
        <v>-5.9146341463415268</v>
      </c>
      <c r="Q36" s="269">
        <f t="shared" si="6"/>
        <v>0.95564024390243851</v>
      </c>
      <c r="R36" s="511"/>
      <c r="S36" s="68">
        <v>0.5430555555555554</v>
      </c>
      <c r="T36" s="68">
        <v>0.65694444444444433</v>
      </c>
      <c r="U36" s="270">
        <f t="shared" si="26"/>
        <v>58.99999999999995</v>
      </c>
      <c r="V36" s="278">
        <f t="shared" si="25"/>
        <v>164.00000000000006</v>
      </c>
      <c r="W36" s="69"/>
      <c r="X36" s="69"/>
      <c r="Y36" s="510"/>
      <c r="Z36" s="510"/>
      <c r="AA36" s="66">
        <f t="shared" si="8"/>
        <v>-106.46341463414728</v>
      </c>
      <c r="AB36" s="269">
        <f t="shared" si="9"/>
        <v>0.95564024390243862</v>
      </c>
      <c r="AC36" s="511"/>
    </row>
    <row r="37" spans="1:29" ht="15.75" customHeight="1">
      <c r="A37" s="536" t="s">
        <v>1466</v>
      </c>
      <c r="B37" s="62" t="s">
        <v>16</v>
      </c>
      <c r="C37" s="533" t="s">
        <v>25</v>
      </c>
      <c r="D37" s="533"/>
      <c r="E37" s="62">
        <v>26.2</v>
      </c>
      <c r="F37" s="279">
        <v>2543</v>
      </c>
      <c r="G37" s="270">
        <f t="shared" si="23"/>
        <v>66626.599999999991</v>
      </c>
      <c r="H37" s="90" t="s">
        <v>5</v>
      </c>
      <c r="I37" s="277">
        <v>20</v>
      </c>
      <c r="J37" s="63">
        <v>2400</v>
      </c>
      <c r="K37" s="64">
        <f t="shared" si="1"/>
        <v>120</v>
      </c>
      <c r="L37" s="277">
        <v>20</v>
      </c>
      <c r="M37" s="65">
        <f t="shared" si="24"/>
        <v>2311.8181818181788</v>
      </c>
      <c r="N37" s="64">
        <f t="shared" si="3"/>
        <v>115.59090909090894</v>
      </c>
      <c r="O37" s="66">
        <f t="shared" si="4"/>
        <v>0</v>
      </c>
      <c r="P37" s="67">
        <f t="shared" si="5"/>
        <v>-4.4090909090910628</v>
      </c>
      <c r="Q37" s="269">
        <f t="shared" si="6"/>
        <v>0.96325757575757442</v>
      </c>
      <c r="R37" s="511"/>
      <c r="S37" s="68">
        <v>0.66111111111111098</v>
      </c>
      <c r="T37" s="68">
        <v>0.70694444444444438</v>
      </c>
      <c r="U37" s="270">
        <f t="shared" si="26"/>
        <v>5.9999999999999787</v>
      </c>
      <c r="V37" s="278">
        <f t="shared" si="25"/>
        <v>66.000000000000085</v>
      </c>
      <c r="W37" s="69"/>
      <c r="X37" s="69"/>
      <c r="Y37" s="510"/>
      <c r="Z37" s="510"/>
      <c r="AA37" s="66">
        <f t="shared" si="8"/>
        <v>-88.1818181818212</v>
      </c>
      <c r="AB37" s="269">
        <f t="shared" si="9"/>
        <v>0.96325757575757454</v>
      </c>
      <c r="AC37" s="511"/>
    </row>
    <row r="38" spans="1:29" ht="15.75" customHeight="1">
      <c r="A38" s="536" t="s">
        <v>1465</v>
      </c>
      <c r="B38" s="62" t="s">
        <v>16</v>
      </c>
      <c r="C38" s="533" t="s">
        <v>83</v>
      </c>
      <c r="D38" s="533"/>
      <c r="E38" s="62">
        <v>25.99</v>
      </c>
      <c r="F38" s="279">
        <v>2735</v>
      </c>
      <c r="G38" s="270">
        <f t="shared" si="23"/>
        <v>71082.649999999994</v>
      </c>
      <c r="H38" s="90" t="s">
        <v>5</v>
      </c>
      <c r="I38" s="277">
        <v>14</v>
      </c>
      <c r="J38" s="63">
        <v>2400</v>
      </c>
      <c r="K38" s="64">
        <f t="shared" si="1"/>
        <v>171.42857142857142</v>
      </c>
      <c r="L38" s="277">
        <v>14</v>
      </c>
      <c r="M38" s="65">
        <f t="shared" si="24"/>
        <v>2311.2676056338005</v>
      </c>
      <c r="N38" s="64">
        <f t="shared" si="3"/>
        <v>165.09054325955717</v>
      </c>
      <c r="O38" s="66">
        <f t="shared" si="4"/>
        <v>0</v>
      </c>
      <c r="P38" s="67">
        <f t="shared" si="5"/>
        <v>-6.338028169014251</v>
      </c>
      <c r="Q38" s="269">
        <f t="shared" si="6"/>
        <v>0.9630281690140835</v>
      </c>
      <c r="R38" s="511"/>
      <c r="S38" s="68">
        <v>0.71249999999999991</v>
      </c>
      <c r="T38" s="68">
        <v>0.76180555555555551</v>
      </c>
      <c r="U38" s="270">
        <f t="shared" si="26"/>
        <v>7.9999999999999716</v>
      </c>
      <c r="V38" s="278">
        <f t="shared" si="25"/>
        <v>71.000000000000071</v>
      </c>
      <c r="W38" s="69"/>
      <c r="X38" s="69"/>
      <c r="Y38" s="510"/>
      <c r="Z38" s="510"/>
      <c r="AA38" s="66">
        <f t="shared" si="8"/>
        <v>-88.732394366199514</v>
      </c>
      <c r="AB38" s="269">
        <f t="shared" si="9"/>
        <v>0.9630281690140835</v>
      </c>
      <c r="AC38" s="511"/>
    </row>
    <row r="39" spans="1:29" ht="15.75" customHeight="1">
      <c r="A39" s="536" t="s">
        <v>1465</v>
      </c>
      <c r="B39" s="62" t="s">
        <v>1467</v>
      </c>
      <c r="C39" s="513"/>
      <c r="D39" s="513"/>
      <c r="E39" s="271"/>
      <c r="F39" s="279"/>
      <c r="G39" s="270"/>
      <c r="H39" s="279"/>
      <c r="I39" s="72">
        <v>18</v>
      </c>
      <c r="J39" s="63">
        <v>2400</v>
      </c>
      <c r="K39" s="64">
        <f t="shared" si="1"/>
        <v>133.33333333333334</v>
      </c>
      <c r="L39" s="72">
        <v>18</v>
      </c>
      <c r="M39" s="65">
        <f>AVERAGE(M31:M38)</f>
        <v>2301.668160628833</v>
      </c>
      <c r="N39" s="64">
        <f t="shared" si="3"/>
        <v>127.8704533682685</v>
      </c>
      <c r="O39" s="66">
        <f t="shared" si="4"/>
        <v>0</v>
      </c>
      <c r="P39" s="67">
        <f t="shared" si="5"/>
        <v>-5.4628799650648432</v>
      </c>
      <c r="Q39" s="269">
        <f t="shared" si="6"/>
        <v>0.95902840026201364</v>
      </c>
      <c r="R39" s="511"/>
      <c r="S39" s="68"/>
      <c r="T39" s="68"/>
      <c r="U39" s="270"/>
      <c r="V39" s="278"/>
      <c r="W39" s="270"/>
      <c r="X39" s="270"/>
      <c r="Y39" s="510"/>
      <c r="Z39" s="510"/>
      <c r="AA39" s="66">
        <f t="shared" si="8"/>
        <v>-98.331839371167007</v>
      </c>
      <c r="AB39" s="269">
        <f t="shared" si="9"/>
        <v>0.95902840026201375</v>
      </c>
      <c r="AC39" s="511"/>
    </row>
    <row r="40" spans="1:29" ht="15.75" customHeight="1">
      <c r="A40" s="531" t="s">
        <v>488</v>
      </c>
      <c r="B40" s="62" t="s">
        <v>16</v>
      </c>
      <c r="C40" s="512" t="s">
        <v>31</v>
      </c>
      <c r="D40" s="512"/>
      <c r="E40" s="62">
        <v>26.2</v>
      </c>
      <c r="F40" s="279">
        <v>3500</v>
      </c>
      <c r="G40" s="270">
        <f t="shared" ref="G40:G47" si="27">E40*F40</f>
        <v>91700</v>
      </c>
      <c r="H40" s="90">
        <v>2</v>
      </c>
      <c r="I40" s="277">
        <v>18</v>
      </c>
      <c r="J40" s="63">
        <v>2400</v>
      </c>
      <c r="K40" s="64">
        <f t="shared" si="1"/>
        <v>133.33333333333334</v>
      </c>
      <c r="L40" s="277">
        <v>18</v>
      </c>
      <c r="M40" s="65">
        <f t="shared" ref="M40:M47" si="28">F40/V40*60</f>
        <v>2307.6923076923085</v>
      </c>
      <c r="N40" s="64">
        <f t="shared" si="3"/>
        <v>128.20512820512826</v>
      </c>
      <c r="O40" s="66">
        <f t="shared" si="4"/>
        <v>0</v>
      </c>
      <c r="P40" s="67">
        <f t="shared" si="5"/>
        <v>-5.1282051282050816</v>
      </c>
      <c r="Q40" s="269">
        <f t="shared" si="6"/>
        <v>0.9615384615384619</v>
      </c>
      <c r="R40" s="511">
        <f>Q48</f>
        <v>0.9560876577402837</v>
      </c>
      <c r="S40" s="68">
        <v>8.3333333333333329E-2</v>
      </c>
      <c r="T40" s="68">
        <v>0.14652777777777776</v>
      </c>
      <c r="U40" s="270"/>
      <c r="V40" s="278">
        <f t="shared" ref="V40:V47" si="29">(T40-S40)*24*60</f>
        <v>90.999999999999972</v>
      </c>
      <c r="W40" s="73">
        <f>T40</f>
        <v>0.14652777777777776</v>
      </c>
      <c r="X40" s="73">
        <f>S41</f>
        <v>0.16597222222222222</v>
      </c>
      <c r="Y40" s="510"/>
      <c r="Z40" s="510"/>
      <c r="AA40" s="66">
        <f t="shared" si="8"/>
        <v>-92.307692307691468</v>
      </c>
      <c r="AB40" s="269">
        <f t="shared" si="9"/>
        <v>0.9615384615384619</v>
      </c>
      <c r="AC40" s="511">
        <f>AB48</f>
        <v>0.9560876577402837</v>
      </c>
    </row>
    <row r="41" spans="1:29" ht="15.75" customHeight="1">
      <c r="A41" s="531" t="s">
        <v>1468</v>
      </c>
      <c r="B41" s="62" t="s">
        <v>16</v>
      </c>
      <c r="C41" s="512" t="s">
        <v>32</v>
      </c>
      <c r="D41" s="512"/>
      <c r="E41" s="62">
        <v>26.39</v>
      </c>
      <c r="F41" s="279">
        <v>4700</v>
      </c>
      <c r="G41" s="270">
        <f t="shared" si="27"/>
        <v>124033</v>
      </c>
      <c r="H41" s="90">
        <v>2</v>
      </c>
      <c r="I41" s="277">
        <v>19</v>
      </c>
      <c r="J41" s="63">
        <v>2400</v>
      </c>
      <c r="K41" s="64">
        <f t="shared" si="1"/>
        <v>126.31578947368421</v>
      </c>
      <c r="L41" s="277">
        <v>19</v>
      </c>
      <c r="M41" s="65">
        <f t="shared" si="28"/>
        <v>2292.6829268292686</v>
      </c>
      <c r="N41" s="64">
        <f t="shared" si="3"/>
        <v>120.66752246469835</v>
      </c>
      <c r="O41" s="66">
        <f t="shared" si="4"/>
        <v>0</v>
      </c>
      <c r="P41" s="67">
        <f t="shared" si="5"/>
        <v>-5.6482670089858544</v>
      </c>
      <c r="Q41" s="269">
        <f t="shared" si="6"/>
        <v>0.9552845528455286</v>
      </c>
      <c r="R41" s="511"/>
      <c r="S41" s="68">
        <v>0.16597222222222222</v>
      </c>
      <c r="T41" s="68">
        <v>0.25138888888888888</v>
      </c>
      <c r="U41" s="270">
        <f t="shared" ref="U41:U47" si="30">(S41-T40)*24*60</f>
        <v>28.000000000000021</v>
      </c>
      <c r="V41" s="278">
        <f t="shared" si="29"/>
        <v>122.99999999999999</v>
      </c>
      <c r="W41" s="270"/>
      <c r="X41" s="270"/>
      <c r="Y41" s="510"/>
      <c r="Z41" s="510"/>
      <c r="AA41" s="66">
        <f t="shared" si="8"/>
        <v>-107.31707317073142</v>
      </c>
      <c r="AB41" s="269">
        <f t="shared" si="9"/>
        <v>0.9552845528455286</v>
      </c>
      <c r="AC41" s="511"/>
    </row>
    <row r="42" spans="1:29">
      <c r="A42" s="532" t="s">
        <v>1469</v>
      </c>
      <c r="B42" s="62" t="s">
        <v>16</v>
      </c>
      <c r="C42" s="512" t="s">
        <v>50</v>
      </c>
      <c r="D42" s="512"/>
      <c r="E42" s="62">
        <v>20.52</v>
      </c>
      <c r="F42" s="279">
        <v>5565</v>
      </c>
      <c r="G42" s="270">
        <f t="shared" si="27"/>
        <v>114193.8</v>
      </c>
      <c r="H42" s="90" t="s">
        <v>5</v>
      </c>
      <c r="I42" s="277">
        <v>18</v>
      </c>
      <c r="J42" s="63">
        <v>2400</v>
      </c>
      <c r="K42" s="64">
        <f t="shared" si="1"/>
        <v>133.33333333333334</v>
      </c>
      <c r="L42" s="277">
        <v>18</v>
      </c>
      <c r="M42" s="65">
        <f t="shared" si="28"/>
        <v>2286.9863013698637</v>
      </c>
      <c r="N42" s="64">
        <f t="shared" si="3"/>
        <v>127.05479452054799</v>
      </c>
      <c r="O42" s="66">
        <f t="shared" si="4"/>
        <v>0</v>
      </c>
      <c r="P42" s="67">
        <f t="shared" si="5"/>
        <v>-6.2785388127853565</v>
      </c>
      <c r="Q42" s="269">
        <f t="shared" si="6"/>
        <v>0.95291095890410982</v>
      </c>
      <c r="R42" s="511"/>
      <c r="S42" s="68">
        <v>0.25555555555555554</v>
      </c>
      <c r="T42" s="68">
        <v>0.3569444444444444</v>
      </c>
      <c r="U42" s="270">
        <f t="shared" si="30"/>
        <v>5.9999999999999787</v>
      </c>
      <c r="V42" s="278">
        <f t="shared" si="29"/>
        <v>145.99999999999997</v>
      </c>
      <c r="W42" s="270"/>
      <c r="X42" s="270"/>
      <c r="Y42" s="510"/>
      <c r="Z42" s="510"/>
      <c r="AA42" s="66">
        <f t="shared" si="8"/>
        <v>-113.01369863013633</v>
      </c>
      <c r="AB42" s="269">
        <f t="shared" si="9"/>
        <v>0.95291095890410982</v>
      </c>
      <c r="AC42" s="511"/>
    </row>
    <row r="43" spans="1:29">
      <c r="A43" s="532" t="s">
        <v>488</v>
      </c>
      <c r="B43" s="62" t="s">
        <v>16</v>
      </c>
      <c r="C43" s="512" t="s">
        <v>18</v>
      </c>
      <c r="D43" s="512"/>
      <c r="E43" s="62">
        <v>22.35</v>
      </c>
      <c r="F43" s="279">
        <v>2225</v>
      </c>
      <c r="G43" s="270">
        <f t="shared" si="27"/>
        <v>49728.75</v>
      </c>
      <c r="H43" s="90" t="s">
        <v>5</v>
      </c>
      <c r="I43" s="277">
        <v>16</v>
      </c>
      <c r="J43" s="63">
        <v>2400</v>
      </c>
      <c r="K43" s="64">
        <f t="shared" si="1"/>
        <v>150</v>
      </c>
      <c r="L43" s="277">
        <v>16</v>
      </c>
      <c r="M43" s="65">
        <f t="shared" si="28"/>
        <v>2301.7241379310331</v>
      </c>
      <c r="N43" s="64">
        <f t="shared" si="3"/>
        <v>143.85775862068957</v>
      </c>
      <c r="O43" s="66">
        <f t="shared" si="4"/>
        <v>0</v>
      </c>
      <c r="P43" s="67">
        <f t="shared" si="5"/>
        <v>-6.142241379310434</v>
      </c>
      <c r="Q43" s="269">
        <f t="shared" si="6"/>
        <v>0.95905172413793049</v>
      </c>
      <c r="R43" s="511"/>
      <c r="S43" s="68">
        <v>0.36180555555555549</v>
      </c>
      <c r="T43" s="68">
        <v>0.40208333333333329</v>
      </c>
      <c r="U43" s="270">
        <f t="shared" si="30"/>
        <v>6.9999999999999751</v>
      </c>
      <c r="V43" s="278">
        <f t="shared" si="29"/>
        <v>58.000000000000036</v>
      </c>
      <c r="W43" s="69"/>
      <c r="X43" s="69"/>
      <c r="Y43" s="510"/>
      <c r="Z43" s="510"/>
      <c r="AA43" s="66">
        <f t="shared" si="8"/>
        <v>-98.275862068966944</v>
      </c>
      <c r="AB43" s="269">
        <f t="shared" si="9"/>
        <v>0.95905172413793049</v>
      </c>
      <c r="AC43" s="511"/>
    </row>
    <row r="44" spans="1:29">
      <c r="A44" s="532" t="s">
        <v>1468</v>
      </c>
      <c r="B44" s="62" t="s">
        <v>16</v>
      </c>
      <c r="C44" s="512" t="s">
        <v>33</v>
      </c>
      <c r="D44" s="512"/>
      <c r="E44" s="62">
        <v>24.43</v>
      </c>
      <c r="F44" s="279">
        <v>5500</v>
      </c>
      <c r="G44" s="270">
        <f t="shared" si="27"/>
        <v>134365</v>
      </c>
      <c r="H44" s="90">
        <v>2</v>
      </c>
      <c r="I44" s="277">
        <v>14</v>
      </c>
      <c r="J44" s="63">
        <v>2400</v>
      </c>
      <c r="K44" s="64">
        <f t="shared" si="1"/>
        <v>171.42857142857142</v>
      </c>
      <c r="L44" s="277">
        <v>14</v>
      </c>
      <c r="M44" s="65">
        <f t="shared" si="28"/>
        <v>2291.6666666666656</v>
      </c>
      <c r="N44" s="64">
        <f t="shared" si="3"/>
        <v>163.69047619047612</v>
      </c>
      <c r="O44" s="66">
        <f t="shared" si="4"/>
        <v>0</v>
      </c>
      <c r="P44" s="67">
        <f t="shared" si="5"/>
        <v>-7.7380952380952976</v>
      </c>
      <c r="Q44" s="269">
        <f t="shared" si="6"/>
        <v>0.95486111111111072</v>
      </c>
      <c r="R44" s="511"/>
      <c r="S44" s="68">
        <v>0.40694444444444439</v>
      </c>
      <c r="T44" s="68">
        <v>0.50694444444444442</v>
      </c>
      <c r="U44" s="270">
        <f t="shared" si="30"/>
        <v>6.9999999999999751</v>
      </c>
      <c r="V44" s="278">
        <f t="shared" si="29"/>
        <v>144.00000000000006</v>
      </c>
      <c r="W44" s="69">
        <f>T44</f>
        <v>0.50694444444444442</v>
      </c>
      <c r="X44" s="69">
        <f>S45</f>
        <v>0.54583333333333328</v>
      </c>
      <c r="Y44" s="510"/>
      <c r="Z44" s="510"/>
      <c r="AA44" s="66">
        <f t="shared" si="8"/>
        <v>-108.33333333333439</v>
      </c>
      <c r="AB44" s="269">
        <f t="shared" si="9"/>
        <v>0.95486111111111072</v>
      </c>
      <c r="AC44" s="511"/>
    </row>
    <row r="45" spans="1:29">
      <c r="A45" s="532" t="s">
        <v>1468</v>
      </c>
      <c r="B45" s="62" t="s">
        <v>16</v>
      </c>
      <c r="C45" s="512" t="s">
        <v>31</v>
      </c>
      <c r="D45" s="512"/>
      <c r="E45" s="62">
        <v>26.2</v>
      </c>
      <c r="F45" s="279">
        <v>4543</v>
      </c>
      <c r="G45" s="270">
        <f t="shared" si="27"/>
        <v>119026.59999999999</v>
      </c>
      <c r="H45" s="90" t="s">
        <v>5</v>
      </c>
      <c r="I45" s="277">
        <v>18</v>
      </c>
      <c r="J45" s="63">
        <v>2400</v>
      </c>
      <c r="K45" s="64">
        <f t="shared" si="1"/>
        <v>133.33333333333334</v>
      </c>
      <c r="L45" s="277">
        <v>18</v>
      </c>
      <c r="M45" s="65">
        <f t="shared" si="28"/>
        <v>2290.5882352941167</v>
      </c>
      <c r="N45" s="64">
        <f t="shared" si="3"/>
        <v>127.25490196078425</v>
      </c>
      <c r="O45" s="66">
        <f t="shared" si="4"/>
        <v>0</v>
      </c>
      <c r="P45" s="67">
        <f t="shared" si="5"/>
        <v>-6.0784313725490904</v>
      </c>
      <c r="Q45" s="269">
        <f t="shared" si="6"/>
        <v>0.95441176470588185</v>
      </c>
      <c r="R45" s="511"/>
      <c r="S45" s="68">
        <v>0.54583333333333328</v>
      </c>
      <c r="T45" s="68">
        <v>0.62847222222222221</v>
      </c>
      <c r="U45" s="270">
        <f t="shared" si="30"/>
        <v>55.999999999999957</v>
      </c>
      <c r="V45" s="278">
        <f t="shared" si="29"/>
        <v>119.00000000000006</v>
      </c>
      <c r="W45" s="69"/>
      <c r="X45" s="69"/>
      <c r="Y45" s="510"/>
      <c r="Z45" s="510"/>
      <c r="AA45" s="66">
        <f t="shared" si="8"/>
        <v>-109.41176470588334</v>
      </c>
      <c r="AB45" s="269">
        <f t="shared" si="9"/>
        <v>0.95441176470588196</v>
      </c>
      <c r="AC45" s="511"/>
    </row>
    <row r="46" spans="1:29">
      <c r="A46" s="532" t="s">
        <v>1468</v>
      </c>
      <c r="B46" s="62" t="s">
        <v>16</v>
      </c>
      <c r="C46" s="512" t="s">
        <v>33</v>
      </c>
      <c r="D46" s="512"/>
      <c r="E46" s="62">
        <v>24.43</v>
      </c>
      <c r="F46" s="279">
        <v>4040</v>
      </c>
      <c r="G46" s="270">
        <f t="shared" si="27"/>
        <v>98697.2</v>
      </c>
      <c r="H46" s="90" t="s">
        <v>5</v>
      </c>
      <c r="I46" s="277">
        <v>14</v>
      </c>
      <c r="J46" s="63">
        <v>2400</v>
      </c>
      <c r="K46" s="64">
        <f t="shared" si="1"/>
        <v>171.42857142857142</v>
      </c>
      <c r="L46" s="277">
        <v>14</v>
      </c>
      <c r="M46" s="65">
        <f t="shared" si="28"/>
        <v>2286.7924528301896</v>
      </c>
      <c r="N46" s="64">
        <f t="shared" si="3"/>
        <v>163.34231805929926</v>
      </c>
      <c r="O46" s="66">
        <f t="shared" si="4"/>
        <v>0</v>
      </c>
      <c r="P46" s="67">
        <f t="shared" si="5"/>
        <v>-8.086253369272157</v>
      </c>
      <c r="Q46" s="269">
        <f t="shared" si="6"/>
        <v>0.95283018867924574</v>
      </c>
      <c r="R46" s="511"/>
      <c r="S46" s="68">
        <v>0.63263888888888886</v>
      </c>
      <c r="T46" s="68">
        <v>0.70624999999999993</v>
      </c>
      <c r="U46" s="270">
        <f t="shared" si="30"/>
        <v>5.9999999999999787</v>
      </c>
      <c r="V46" s="278">
        <f t="shared" si="29"/>
        <v>105.99999999999994</v>
      </c>
      <c r="W46" s="69"/>
      <c r="X46" s="69"/>
      <c r="Y46" s="517"/>
      <c r="Z46" s="518"/>
      <c r="AA46" s="66">
        <f t="shared" si="8"/>
        <v>-113.20754716981037</v>
      </c>
      <c r="AB46" s="269">
        <f t="shared" si="9"/>
        <v>0.95283018867924563</v>
      </c>
      <c r="AC46" s="511"/>
    </row>
    <row r="47" spans="1:29">
      <c r="A47" s="532" t="s">
        <v>488</v>
      </c>
      <c r="B47" s="62" t="s">
        <v>16</v>
      </c>
      <c r="C47" s="512" t="s">
        <v>32</v>
      </c>
      <c r="D47" s="512"/>
      <c r="E47" s="62">
        <v>26.39</v>
      </c>
      <c r="F47" s="279">
        <v>3065</v>
      </c>
      <c r="G47" s="270">
        <f t="shared" si="27"/>
        <v>80885.350000000006</v>
      </c>
      <c r="H47" s="90" t="s">
        <v>5</v>
      </c>
      <c r="I47" s="277">
        <v>19</v>
      </c>
      <c r="J47" s="63">
        <v>2400</v>
      </c>
      <c r="K47" s="64">
        <f t="shared" si="1"/>
        <v>126.31578947368421</v>
      </c>
      <c r="L47" s="277">
        <v>19</v>
      </c>
      <c r="M47" s="65">
        <f t="shared" si="28"/>
        <v>2298.7499999999991</v>
      </c>
      <c r="N47" s="64">
        <f t="shared" si="3"/>
        <v>120.98684210526311</v>
      </c>
      <c r="O47" s="66">
        <f t="shared" si="4"/>
        <v>0</v>
      </c>
      <c r="P47" s="67">
        <f t="shared" si="5"/>
        <v>-5.3289473684210975</v>
      </c>
      <c r="Q47" s="269">
        <f t="shared" si="6"/>
        <v>0.95781249999999962</v>
      </c>
      <c r="R47" s="511"/>
      <c r="S47" s="68">
        <v>0.71111111111111103</v>
      </c>
      <c r="T47" s="68">
        <v>0.76666666666666661</v>
      </c>
      <c r="U47" s="270">
        <f t="shared" si="30"/>
        <v>6.9999999999999751</v>
      </c>
      <c r="V47" s="278">
        <f t="shared" si="29"/>
        <v>80.000000000000028</v>
      </c>
      <c r="W47" s="69"/>
      <c r="X47" s="69"/>
      <c r="Y47" s="517"/>
      <c r="Z47" s="518"/>
      <c r="AA47" s="66">
        <f t="shared" si="8"/>
        <v>-101.25000000000091</v>
      </c>
      <c r="AB47" s="269">
        <f t="shared" si="9"/>
        <v>0.95781249999999962</v>
      </c>
      <c r="AC47" s="511"/>
    </row>
    <row r="48" spans="1:29">
      <c r="A48" s="532" t="s">
        <v>488</v>
      </c>
      <c r="B48" s="71" t="s">
        <v>1459</v>
      </c>
      <c r="C48" s="513"/>
      <c r="D48" s="513"/>
      <c r="E48" s="271"/>
      <c r="F48" s="71"/>
      <c r="G48" s="64"/>
      <c r="H48" s="279"/>
      <c r="I48" s="72">
        <v>17</v>
      </c>
      <c r="J48" s="63">
        <v>2400</v>
      </c>
      <c r="K48" s="64">
        <f t="shared" si="1"/>
        <v>141.1764705882353</v>
      </c>
      <c r="L48" s="72">
        <v>17</v>
      </c>
      <c r="M48" s="65">
        <f>AVERAGE(M40:M47)</f>
        <v>2294.6103785766809</v>
      </c>
      <c r="N48" s="64">
        <f t="shared" si="3"/>
        <v>134.97708109274595</v>
      </c>
      <c r="O48" s="66">
        <f t="shared" si="4"/>
        <v>0</v>
      </c>
      <c r="P48" s="67">
        <f t="shared" si="5"/>
        <v>-6.1993894954893562</v>
      </c>
      <c r="Q48" s="269">
        <f t="shared" si="6"/>
        <v>0.9560876577402837</v>
      </c>
      <c r="R48" s="511"/>
      <c r="S48" s="68"/>
      <c r="T48" s="68"/>
      <c r="U48" s="64"/>
      <c r="V48" s="278"/>
      <c r="W48" s="64"/>
      <c r="X48" s="64"/>
      <c r="Y48" s="510"/>
      <c r="Z48" s="510"/>
      <c r="AA48" s="66">
        <f t="shared" si="8"/>
        <v>-105.38962142331911</v>
      </c>
      <c r="AB48" s="269">
        <f t="shared" si="9"/>
        <v>0.9560876577402837</v>
      </c>
      <c r="AC48" s="511"/>
    </row>
    <row r="49" spans="1:29" ht="15.75" customHeight="1">
      <c r="A49" s="525" t="s">
        <v>492</v>
      </c>
      <c r="B49" s="62" t="s">
        <v>35</v>
      </c>
      <c r="C49" s="521" t="s">
        <v>36</v>
      </c>
      <c r="D49" s="522"/>
      <c r="E49" s="62">
        <v>21.13</v>
      </c>
      <c r="F49" s="279">
        <v>5855</v>
      </c>
      <c r="G49" s="270">
        <f t="shared" ref="G49:G57" si="31">E49*F49</f>
        <v>123716.15</v>
      </c>
      <c r="H49" s="90" t="s">
        <v>5</v>
      </c>
      <c r="I49" s="277">
        <v>10</v>
      </c>
      <c r="J49" s="63">
        <v>3000</v>
      </c>
      <c r="K49" s="64">
        <f t="shared" si="1"/>
        <v>300</v>
      </c>
      <c r="L49" s="277">
        <v>10</v>
      </c>
      <c r="M49" s="65">
        <f t="shared" ref="M49:M57" si="32">F49/V49*60</f>
        <v>2856.0975609756101</v>
      </c>
      <c r="N49" s="65">
        <f t="shared" si="3"/>
        <v>285.60975609756099</v>
      </c>
      <c r="O49" s="66">
        <f t="shared" si="4"/>
        <v>0</v>
      </c>
      <c r="P49" s="67">
        <f t="shared" si="5"/>
        <v>-14.390243902439011</v>
      </c>
      <c r="Q49" s="269">
        <f t="shared" si="6"/>
        <v>0.95203252032520325</v>
      </c>
      <c r="R49" s="528">
        <f>Q58</f>
        <v>0.95807123805982708</v>
      </c>
      <c r="S49" s="68">
        <v>8.3333333333333329E-2</v>
      </c>
      <c r="T49" s="68">
        <v>0.16874999999999998</v>
      </c>
      <c r="U49" s="73"/>
      <c r="V49" s="278">
        <f t="shared" ref="V49:V57" si="33">(T49-S49)*24*60</f>
        <v>122.99999999999999</v>
      </c>
      <c r="W49" s="69">
        <f>T49</f>
        <v>0.16874999999999998</v>
      </c>
      <c r="X49" s="69">
        <f>S50</f>
        <v>0.18958333333333333</v>
      </c>
      <c r="Y49" s="517"/>
      <c r="Z49" s="518"/>
      <c r="AA49" s="66">
        <f t="shared" si="8"/>
        <v>-143.90243902438988</v>
      </c>
      <c r="AB49" s="269">
        <f t="shared" si="9"/>
        <v>0.95203252032520336</v>
      </c>
      <c r="AC49" s="528">
        <f>AB58</f>
        <v>0.95807123805982697</v>
      </c>
    </row>
    <row r="50" spans="1:29" ht="15.75" customHeight="1">
      <c r="A50" s="526" t="s">
        <v>1470</v>
      </c>
      <c r="B50" s="62" t="s">
        <v>35</v>
      </c>
      <c r="C50" s="521" t="s">
        <v>37</v>
      </c>
      <c r="D50" s="522"/>
      <c r="E50" s="62">
        <v>27.17</v>
      </c>
      <c r="F50" s="279">
        <v>4300</v>
      </c>
      <c r="G50" s="270">
        <f t="shared" si="31"/>
        <v>116831.00000000001</v>
      </c>
      <c r="H50" s="90">
        <v>2</v>
      </c>
      <c r="I50" s="277">
        <v>10</v>
      </c>
      <c r="J50" s="63">
        <v>3000</v>
      </c>
      <c r="K50" s="64">
        <f t="shared" si="1"/>
        <v>300</v>
      </c>
      <c r="L50" s="277">
        <v>10</v>
      </c>
      <c r="M50" s="65">
        <f t="shared" si="32"/>
        <v>2866.6666666666665</v>
      </c>
      <c r="N50" s="65">
        <f t="shared" si="3"/>
        <v>286.66666666666663</v>
      </c>
      <c r="O50" s="66">
        <f t="shared" si="4"/>
        <v>0</v>
      </c>
      <c r="P50" s="67">
        <f t="shared" si="5"/>
        <v>-13.333333333333371</v>
      </c>
      <c r="Q50" s="269">
        <f t="shared" si="6"/>
        <v>0.95555555555555538</v>
      </c>
      <c r="R50" s="529"/>
      <c r="S50" s="68">
        <v>0.18958333333333333</v>
      </c>
      <c r="T50" s="68">
        <v>0.25208333333333333</v>
      </c>
      <c r="U50" s="270">
        <f t="shared" ref="U50:U57" si="34">(S50-T49)*24*60</f>
        <v>30.000000000000014</v>
      </c>
      <c r="V50" s="278">
        <f t="shared" si="33"/>
        <v>90</v>
      </c>
      <c r="W50" s="69"/>
      <c r="X50" s="69"/>
      <c r="Y50" s="517"/>
      <c r="Z50" s="518"/>
      <c r="AA50" s="66">
        <f t="shared" si="8"/>
        <v>-133.33333333333348</v>
      </c>
      <c r="AB50" s="269">
        <f t="shared" si="9"/>
        <v>0.95555555555555549</v>
      </c>
      <c r="AC50" s="529"/>
    </row>
    <row r="51" spans="1:29" ht="15.75" customHeight="1">
      <c r="A51" s="526" t="s">
        <v>492</v>
      </c>
      <c r="B51" s="62" t="s">
        <v>35</v>
      </c>
      <c r="C51" s="521" t="s">
        <v>38</v>
      </c>
      <c r="D51" s="522"/>
      <c r="E51" s="62">
        <v>35.119999999999997</v>
      </c>
      <c r="F51" s="279">
        <v>4968</v>
      </c>
      <c r="G51" s="270">
        <f t="shared" si="31"/>
        <v>174476.15999999997</v>
      </c>
      <c r="H51" s="90" t="s">
        <v>5</v>
      </c>
      <c r="I51" s="277">
        <v>10</v>
      </c>
      <c r="J51" s="63">
        <v>3000</v>
      </c>
      <c r="K51" s="64">
        <f t="shared" si="1"/>
        <v>300</v>
      </c>
      <c r="L51" s="277">
        <v>10</v>
      </c>
      <c r="M51" s="65">
        <f t="shared" si="32"/>
        <v>2866.1538461538457</v>
      </c>
      <c r="N51" s="65">
        <f t="shared" si="3"/>
        <v>286.61538461538458</v>
      </c>
      <c r="O51" s="66">
        <f t="shared" si="4"/>
        <v>0</v>
      </c>
      <c r="P51" s="67">
        <f t="shared" si="5"/>
        <v>-13.384615384615415</v>
      </c>
      <c r="Q51" s="269">
        <f t="shared" si="6"/>
        <v>0.95538461538461528</v>
      </c>
      <c r="R51" s="529"/>
      <c r="S51" s="68">
        <v>0.25555555555555554</v>
      </c>
      <c r="T51" s="68">
        <v>0.32777777777777778</v>
      </c>
      <c r="U51" s="270">
        <f t="shared" si="34"/>
        <v>4.9999999999999822</v>
      </c>
      <c r="V51" s="278">
        <f t="shared" si="33"/>
        <v>104.00000000000003</v>
      </c>
      <c r="W51" s="69"/>
      <c r="X51" s="69"/>
      <c r="Y51" s="517"/>
      <c r="Z51" s="518"/>
      <c r="AA51" s="66">
        <f t="shared" si="8"/>
        <v>-133.84615384615427</v>
      </c>
      <c r="AB51" s="269">
        <f t="shared" si="9"/>
        <v>0.95538461538461528</v>
      </c>
      <c r="AC51" s="529"/>
    </row>
    <row r="52" spans="1:29" ht="15.75" customHeight="1">
      <c r="A52" s="526" t="s">
        <v>492</v>
      </c>
      <c r="B52" s="62" t="s">
        <v>35</v>
      </c>
      <c r="C52" s="521" t="s">
        <v>39</v>
      </c>
      <c r="D52" s="522"/>
      <c r="E52" s="62">
        <v>35.869999999999997</v>
      </c>
      <c r="F52" s="279">
        <v>3088</v>
      </c>
      <c r="G52" s="270">
        <f t="shared" si="31"/>
        <v>110766.56</v>
      </c>
      <c r="H52" s="90" t="s">
        <v>5</v>
      </c>
      <c r="I52" s="277">
        <v>9</v>
      </c>
      <c r="J52" s="63">
        <v>3000</v>
      </c>
      <c r="K52" s="64">
        <f t="shared" si="1"/>
        <v>333.33333333333331</v>
      </c>
      <c r="L52" s="277">
        <v>9</v>
      </c>
      <c r="M52" s="65">
        <f t="shared" si="32"/>
        <v>2894.9999999999991</v>
      </c>
      <c r="N52" s="65">
        <f t="shared" si="3"/>
        <v>321.66666666666657</v>
      </c>
      <c r="O52" s="66">
        <f t="shared" si="4"/>
        <v>0</v>
      </c>
      <c r="P52" s="67">
        <f t="shared" si="5"/>
        <v>-11.666666666666742</v>
      </c>
      <c r="Q52" s="269">
        <f t="shared" si="6"/>
        <v>0.96499999999999975</v>
      </c>
      <c r="R52" s="529"/>
      <c r="S52" s="68">
        <v>0.33194444444444443</v>
      </c>
      <c r="T52" s="68">
        <v>0.37638888888888888</v>
      </c>
      <c r="U52" s="270">
        <f t="shared" si="34"/>
        <v>5.9999999999999787</v>
      </c>
      <c r="V52" s="278">
        <f t="shared" si="33"/>
        <v>64.000000000000014</v>
      </c>
      <c r="W52" s="69"/>
      <c r="X52" s="69"/>
      <c r="Y52" s="517"/>
      <c r="Z52" s="518"/>
      <c r="AA52" s="66">
        <f t="shared" si="8"/>
        <v>-105.00000000000091</v>
      </c>
      <c r="AB52" s="269">
        <f t="shared" si="9"/>
        <v>0.96499999999999975</v>
      </c>
      <c r="AC52" s="529"/>
    </row>
    <row r="53" spans="1:29" ht="15.75" customHeight="1">
      <c r="A53" s="526" t="s">
        <v>1470</v>
      </c>
      <c r="B53" s="62" t="s">
        <v>35</v>
      </c>
      <c r="C53" s="521" t="s">
        <v>40</v>
      </c>
      <c r="D53" s="522"/>
      <c r="E53" s="62">
        <v>36.14</v>
      </c>
      <c r="F53" s="279">
        <v>1492</v>
      </c>
      <c r="G53" s="270">
        <f t="shared" si="31"/>
        <v>53920.88</v>
      </c>
      <c r="H53" s="90" t="s">
        <v>5</v>
      </c>
      <c r="I53" s="277">
        <v>9</v>
      </c>
      <c r="J53" s="63">
        <v>3000</v>
      </c>
      <c r="K53" s="64">
        <f t="shared" si="1"/>
        <v>333.33333333333331</v>
      </c>
      <c r="L53" s="277">
        <v>9</v>
      </c>
      <c r="M53" s="65">
        <f t="shared" si="32"/>
        <v>2887.7419354838739</v>
      </c>
      <c r="N53" s="65">
        <f t="shared" si="3"/>
        <v>320.8602150537638</v>
      </c>
      <c r="O53" s="66">
        <f t="shared" si="4"/>
        <v>0</v>
      </c>
      <c r="P53" s="67">
        <f t="shared" si="5"/>
        <v>-12.473118279569519</v>
      </c>
      <c r="Q53" s="269">
        <f t="shared" si="6"/>
        <v>0.96258064516129149</v>
      </c>
      <c r="R53" s="529"/>
      <c r="S53" s="68">
        <v>0.38055555555555554</v>
      </c>
      <c r="T53" s="68">
        <v>0.40208333333333329</v>
      </c>
      <c r="U53" s="270">
        <f t="shared" si="34"/>
        <v>5.9999999999999787</v>
      </c>
      <c r="V53" s="278">
        <f t="shared" si="33"/>
        <v>30.999999999999972</v>
      </c>
      <c r="W53" s="69"/>
      <c r="X53" s="69"/>
      <c r="Y53" s="517"/>
      <c r="Z53" s="518"/>
      <c r="AA53" s="66">
        <f t="shared" si="8"/>
        <v>-112.25806451612607</v>
      </c>
      <c r="AB53" s="269">
        <f t="shared" si="9"/>
        <v>0.96258064516129127</v>
      </c>
      <c r="AC53" s="529"/>
    </row>
    <row r="54" spans="1:29" ht="15.75" customHeight="1">
      <c r="A54" s="526" t="s">
        <v>1470</v>
      </c>
      <c r="B54" s="62" t="s">
        <v>35</v>
      </c>
      <c r="C54" s="521" t="s">
        <v>74</v>
      </c>
      <c r="D54" s="522"/>
      <c r="E54" s="62">
        <v>34.36</v>
      </c>
      <c r="F54" s="279">
        <v>2732</v>
      </c>
      <c r="G54" s="270">
        <f t="shared" si="31"/>
        <v>93871.52</v>
      </c>
      <c r="H54" s="90" t="s">
        <v>5</v>
      </c>
      <c r="I54" s="277">
        <v>10</v>
      </c>
      <c r="J54" s="63">
        <v>3000</v>
      </c>
      <c r="K54" s="64">
        <f t="shared" si="1"/>
        <v>300</v>
      </c>
      <c r="L54" s="277">
        <v>10</v>
      </c>
      <c r="M54" s="65">
        <f t="shared" si="32"/>
        <v>2875.7894736842086</v>
      </c>
      <c r="N54" s="65">
        <f t="shared" si="3"/>
        <v>287.57894736842087</v>
      </c>
      <c r="O54" s="66">
        <f t="shared" si="4"/>
        <v>0</v>
      </c>
      <c r="P54" s="67">
        <f t="shared" si="5"/>
        <v>-12.42105263157913</v>
      </c>
      <c r="Q54" s="269">
        <f t="shared" si="6"/>
        <v>0.95859649122806956</v>
      </c>
      <c r="R54" s="529"/>
      <c r="S54" s="68">
        <v>0.40763888888888883</v>
      </c>
      <c r="T54" s="68">
        <v>0.44722222222222219</v>
      </c>
      <c r="U54" s="270">
        <f t="shared" si="34"/>
        <v>7.9999999999999716</v>
      </c>
      <c r="V54" s="278">
        <f t="shared" si="33"/>
        <v>57.000000000000036</v>
      </c>
      <c r="W54" s="69"/>
      <c r="X54" s="69"/>
      <c r="Y54" s="517"/>
      <c r="Z54" s="518"/>
      <c r="AA54" s="66">
        <f t="shared" si="8"/>
        <v>-124.21052631579141</v>
      </c>
      <c r="AB54" s="269">
        <f t="shared" si="9"/>
        <v>0.95859649122806956</v>
      </c>
      <c r="AC54" s="529"/>
    </row>
    <row r="55" spans="1:29" ht="15.75" customHeight="1">
      <c r="A55" s="526" t="s">
        <v>1471</v>
      </c>
      <c r="B55" s="62" t="s">
        <v>35</v>
      </c>
      <c r="C55" s="521" t="s">
        <v>84</v>
      </c>
      <c r="D55" s="522"/>
      <c r="E55" s="62">
        <v>31</v>
      </c>
      <c r="F55" s="279">
        <v>2500</v>
      </c>
      <c r="G55" s="270">
        <f t="shared" si="31"/>
        <v>77500</v>
      </c>
      <c r="H55" s="90">
        <v>2</v>
      </c>
      <c r="I55" s="277">
        <v>13</v>
      </c>
      <c r="J55" s="63">
        <v>2000</v>
      </c>
      <c r="K55" s="64">
        <f t="shared" si="1"/>
        <v>153.84615384615384</v>
      </c>
      <c r="L55" s="277">
        <v>13</v>
      </c>
      <c r="M55" s="65">
        <f t="shared" si="32"/>
        <v>1923.0769230769222</v>
      </c>
      <c r="N55" s="65">
        <f t="shared" si="3"/>
        <v>147.92899408284018</v>
      </c>
      <c r="O55" s="66">
        <f t="shared" si="4"/>
        <v>0</v>
      </c>
      <c r="P55" s="67">
        <f t="shared" si="5"/>
        <v>-5.9171597633136628</v>
      </c>
      <c r="Q55" s="269">
        <f t="shared" si="6"/>
        <v>0.96153846153846123</v>
      </c>
      <c r="R55" s="529"/>
      <c r="S55" s="68">
        <v>0.45138888888888884</v>
      </c>
      <c r="T55" s="68">
        <v>0.50555555555555554</v>
      </c>
      <c r="U55" s="270">
        <f t="shared" si="34"/>
        <v>5.9999999999999787</v>
      </c>
      <c r="V55" s="278">
        <f t="shared" si="33"/>
        <v>78.000000000000043</v>
      </c>
      <c r="W55" s="69">
        <f>T55</f>
        <v>0.50555555555555554</v>
      </c>
      <c r="X55" s="69">
        <f>S56</f>
        <v>0.54791666666666661</v>
      </c>
      <c r="Y55" s="517"/>
      <c r="Z55" s="518"/>
      <c r="AA55" s="66">
        <f t="shared" si="8"/>
        <v>-76.923076923077815</v>
      </c>
      <c r="AB55" s="269">
        <f t="shared" si="9"/>
        <v>0.96153846153846112</v>
      </c>
      <c r="AC55" s="529"/>
    </row>
    <row r="56" spans="1:29" ht="15.75" customHeight="1">
      <c r="A56" s="526" t="s">
        <v>1471</v>
      </c>
      <c r="B56" s="62" t="s">
        <v>35</v>
      </c>
      <c r="C56" s="521" t="s">
        <v>84</v>
      </c>
      <c r="D56" s="522"/>
      <c r="E56" s="62">
        <v>31</v>
      </c>
      <c r="F56" s="279">
        <v>3193</v>
      </c>
      <c r="G56" s="270">
        <f t="shared" si="31"/>
        <v>98983</v>
      </c>
      <c r="H56" s="90" t="s">
        <v>5</v>
      </c>
      <c r="I56" s="277">
        <v>13</v>
      </c>
      <c r="J56" s="63">
        <v>2000</v>
      </c>
      <c r="K56" s="64">
        <f t="shared" si="1"/>
        <v>153.84615384615384</v>
      </c>
      <c r="L56" s="277">
        <v>13</v>
      </c>
      <c r="M56" s="65">
        <f t="shared" si="32"/>
        <v>1915.8000000000006</v>
      </c>
      <c r="N56" s="65">
        <f t="shared" si="3"/>
        <v>147.36923076923082</v>
      </c>
      <c r="O56" s="66">
        <f t="shared" si="4"/>
        <v>0</v>
      </c>
      <c r="P56" s="67">
        <f t="shared" si="5"/>
        <v>-6.4769230769230148</v>
      </c>
      <c r="Q56" s="269">
        <f t="shared" si="6"/>
        <v>0.95790000000000042</v>
      </c>
      <c r="R56" s="529"/>
      <c r="S56" s="68">
        <v>0.54791666666666661</v>
      </c>
      <c r="T56" s="68">
        <v>0.61736111111111103</v>
      </c>
      <c r="U56" s="270">
        <f t="shared" si="34"/>
        <v>60.999999999999943</v>
      </c>
      <c r="V56" s="278">
        <f t="shared" si="33"/>
        <v>99.999999999999972</v>
      </c>
      <c r="W56" s="69"/>
      <c r="X56" s="69"/>
      <c r="Y56" s="517"/>
      <c r="Z56" s="518"/>
      <c r="AA56" s="66">
        <f t="shared" si="8"/>
        <v>-84.199999999999363</v>
      </c>
      <c r="AB56" s="269">
        <f t="shared" si="9"/>
        <v>0.95790000000000031</v>
      </c>
      <c r="AC56" s="529"/>
    </row>
    <row r="57" spans="1:29" ht="15.75" customHeight="1">
      <c r="A57" s="526" t="s">
        <v>492</v>
      </c>
      <c r="B57" s="62" t="s">
        <v>35</v>
      </c>
      <c r="C57" s="521" t="s">
        <v>37</v>
      </c>
      <c r="D57" s="522"/>
      <c r="E57" s="62">
        <v>27.17</v>
      </c>
      <c r="F57" s="279">
        <v>3152</v>
      </c>
      <c r="G57" s="270">
        <f t="shared" si="31"/>
        <v>85639.840000000011</v>
      </c>
      <c r="H57" s="90" t="s">
        <v>5</v>
      </c>
      <c r="I57" s="277">
        <v>10</v>
      </c>
      <c r="J57" s="63">
        <v>3000</v>
      </c>
      <c r="K57" s="64">
        <f t="shared" si="1"/>
        <v>300</v>
      </c>
      <c r="L57" s="277">
        <v>10</v>
      </c>
      <c r="M57" s="65">
        <f t="shared" si="32"/>
        <v>2865.4545454545487</v>
      </c>
      <c r="N57" s="65">
        <f t="shared" si="3"/>
        <v>286.54545454545485</v>
      </c>
      <c r="O57" s="66">
        <f t="shared" si="4"/>
        <v>0</v>
      </c>
      <c r="P57" s="67">
        <f t="shared" si="5"/>
        <v>-13.454545454545155</v>
      </c>
      <c r="Q57" s="269">
        <f t="shared" si="6"/>
        <v>0.95515151515151619</v>
      </c>
      <c r="R57" s="529"/>
      <c r="S57" s="68">
        <v>0.62222222222222212</v>
      </c>
      <c r="T57" s="68">
        <v>0.6680555555555554</v>
      </c>
      <c r="U57" s="270">
        <f t="shared" si="34"/>
        <v>6.9999999999999751</v>
      </c>
      <c r="V57" s="278">
        <f t="shared" si="33"/>
        <v>65.999999999999929</v>
      </c>
      <c r="W57" s="69"/>
      <c r="X57" s="69"/>
      <c r="Y57" s="517"/>
      <c r="Z57" s="518"/>
      <c r="AA57" s="66">
        <f t="shared" si="8"/>
        <v>-134.54545454545132</v>
      </c>
      <c r="AB57" s="269">
        <f t="shared" si="9"/>
        <v>0.95515151515151619</v>
      </c>
      <c r="AC57" s="529"/>
    </row>
    <row r="58" spans="1:29" ht="15.75" customHeight="1">
      <c r="A58" s="527" t="s">
        <v>1471</v>
      </c>
      <c r="B58" s="62" t="s">
        <v>1459</v>
      </c>
      <c r="C58" s="508"/>
      <c r="D58" s="509"/>
      <c r="E58" s="272"/>
      <c r="F58" s="279"/>
      <c r="G58" s="270"/>
      <c r="H58" s="279"/>
      <c r="I58" s="72">
        <v>10.444444444444445</v>
      </c>
      <c r="J58" s="63">
        <v>2777.7777777777778</v>
      </c>
      <c r="K58" s="64">
        <f t="shared" si="1"/>
        <v>265.95744680851061</v>
      </c>
      <c r="L58" s="72">
        <v>10.444444444444445</v>
      </c>
      <c r="M58" s="65">
        <f>AVERAGE(M49:M57)</f>
        <v>2661.3089946106306</v>
      </c>
      <c r="N58" s="64">
        <f t="shared" si="3"/>
        <v>254.80618033506036</v>
      </c>
      <c r="O58" s="66">
        <f t="shared" si="4"/>
        <v>0</v>
      </c>
      <c r="P58" s="67">
        <f t="shared" si="5"/>
        <v>-11.151266473450249</v>
      </c>
      <c r="Q58" s="269">
        <f t="shared" si="6"/>
        <v>0.95807123805982708</v>
      </c>
      <c r="R58" s="530"/>
      <c r="S58" s="68"/>
      <c r="T58" s="68"/>
      <c r="U58" s="270"/>
      <c r="V58" s="278"/>
      <c r="W58" s="69"/>
      <c r="X58" s="69"/>
      <c r="Y58" s="517"/>
      <c r="Z58" s="518"/>
      <c r="AA58" s="66">
        <f t="shared" si="8"/>
        <v>-116.46878316714719</v>
      </c>
      <c r="AB58" s="269">
        <f t="shared" si="9"/>
        <v>0.95807123805982697</v>
      </c>
      <c r="AC58" s="530"/>
    </row>
    <row r="59" spans="1:29" ht="15.75" customHeight="1">
      <c r="A59" s="523" t="s">
        <v>80</v>
      </c>
      <c r="B59" s="62" t="s">
        <v>10</v>
      </c>
      <c r="C59" s="512" t="s">
        <v>41</v>
      </c>
      <c r="D59" s="512"/>
      <c r="E59" s="62">
        <v>46</v>
      </c>
      <c r="F59" s="74">
        <v>2693</v>
      </c>
      <c r="G59" s="270">
        <f t="shared" ref="G59:G64" si="35">E59*F59</f>
        <v>123878</v>
      </c>
      <c r="H59" s="90" t="s">
        <v>5</v>
      </c>
      <c r="I59" s="277">
        <v>17</v>
      </c>
      <c r="J59" s="63">
        <v>2000</v>
      </c>
      <c r="K59" s="64">
        <f t="shared" si="1"/>
        <v>117.64705882352941</v>
      </c>
      <c r="L59" s="277">
        <v>17</v>
      </c>
      <c r="M59" s="65">
        <f t="shared" ref="M59:M64" si="36">F59/V59*60</f>
        <v>1923.5714285714291</v>
      </c>
      <c r="N59" s="65">
        <f t="shared" si="3"/>
        <v>113.15126050420172</v>
      </c>
      <c r="O59" s="66">
        <f t="shared" si="4"/>
        <v>0</v>
      </c>
      <c r="P59" s="67">
        <f t="shared" si="5"/>
        <v>-4.4957983193276903</v>
      </c>
      <c r="Q59" s="269">
        <f t="shared" si="6"/>
        <v>0.96178571428571458</v>
      </c>
      <c r="R59" s="511">
        <f>Q65</f>
        <v>0.96134312694956769</v>
      </c>
      <c r="S59" s="68">
        <v>0.20833333333333334</v>
      </c>
      <c r="T59" s="68">
        <v>0.26666666666666666</v>
      </c>
      <c r="U59" s="73"/>
      <c r="V59" s="278">
        <f t="shared" ref="V59:V64" si="37">(T59-S59)*24*60</f>
        <v>83.999999999999986</v>
      </c>
      <c r="W59" s="73"/>
      <c r="X59" s="73"/>
      <c r="Y59" s="510"/>
      <c r="Z59" s="510"/>
      <c r="AA59" s="66">
        <f t="shared" si="8"/>
        <v>-76.428571428570876</v>
      </c>
      <c r="AB59" s="269">
        <f t="shared" si="9"/>
        <v>0.96178571428571458</v>
      </c>
      <c r="AC59" s="511">
        <f>AB65</f>
        <v>0.96134312694956769</v>
      </c>
    </row>
    <row r="60" spans="1:29" ht="15.75" customHeight="1">
      <c r="A60" s="523" t="s">
        <v>1472</v>
      </c>
      <c r="B60" s="62" t="s">
        <v>10</v>
      </c>
      <c r="C60" s="512" t="s">
        <v>42</v>
      </c>
      <c r="D60" s="512"/>
      <c r="E60" s="62">
        <v>46</v>
      </c>
      <c r="F60" s="74">
        <v>2804</v>
      </c>
      <c r="G60" s="270">
        <f t="shared" si="35"/>
        <v>128984</v>
      </c>
      <c r="H60" s="90" t="s">
        <v>5</v>
      </c>
      <c r="I60" s="277">
        <v>17</v>
      </c>
      <c r="J60" s="63">
        <v>2000</v>
      </c>
      <c r="K60" s="64">
        <f t="shared" si="1"/>
        <v>117.64705882352941</v>
      </c>
      <c r="L60" s="277">
        <v>17</v>
      </c>
      <c r="M60" s="65">
        <f t="shared" si="36"/>
        <v>1911.8181818181818</v>
      </c>
      <c r="N60" s="65">
        <f t="shared" si="3"/>
        <v>112.45989304812834</v>
      </c>
      <c r="O60" s="66">
        <f t="shared" si="4"/>
        <v>0</v>
      </c>
      <c r="P60" s="67">
        <f t="shared" si="5"/>
        <v>-5.1871657754010698</v>
      </c>
      <c r="Q60" s="269">
        <f t="shared" si="6"/>
        <v>0.95590909090909093</v>
      </c>
      <c r="R60" s="511"/>
      <c r="S60" s="68">
        <v>0.27083333333333331</v>
      </c>
      <c r="T60" s="68">
        <v>0.33194444444444443</v>
      </c>
      <c r="U60" s="270">
        <f t="shared" ref="U60:U64" si="38">IF(S60=TIME(17,0,0),"",(S60-T59)*24*60)</f>
        <v>5.9999999999999787</v>
      </c>
      <c r="V60" s="278">
        <f t="shared" si="37"/>
        <v>88</v>
      </c>
      <c r="W60" s="69"/>
      <c r="X60" s="69"/>
      <c r="Y60" s="510"/>
      <c r="Z60" s="510"/>
      <c r="AA60" s="66">
        <f t="shared" si="8"/>
        <v>-88.181818181818244</v>
      </c>
      <c r="AB60" s="269">
        <f t="shared" si="9"/>
        <v>0.95590909090909093</v>
      </c>
      <c r="AC60" s="511"/>
    </row>
    <row r="61" spans="1:29" ht="15.75" customHeight="1">
      <c r="A61" s="523" t="s">
        <v>80</v>
      </c>
      <c r="B61" s="62" t="s">
        <v>6</v>
      </c>
      <c r="C61" s="521" t="s">
        <v>43</v>
      </c>
      <c r="D61" s="522"/>
      <c r="E61" s="62">
        <v>55.56</v>
      </c>
      <c r="F61" s="74">
        <v>2511</v>
      </c>
      <c r="G61" s="270">
        <f t="shared" si="35"/>
        <v>139511.16</v>
      </c>
      <c r="H61" s="90" t="s">
        <v>5</v>
      </c>
      <c r="I61" s="277">
        <v>17</v>
      </c>
      <c r="J61" s="63">
        <v>2000</v>
      </c>
      <c r="K61" s="64">
        <f t="shared" si="1"/>
        <v>117.64705882352941</v>
      </c>
      <c r="L61" s="277">
        <v>17</v>
      </c>
      <c r="M61" s="65">
        <f t="shared" si="36"/>
        <v>1907.0886075949356</v>
      </c>
      <c r="N61" s="65">
        <f t="shared" si="3"/>
        <v>112.1816827997021</v>
      </c>
      <c r="O61" s="66">
        <f t="shared" si="4"/>
        <v>0</v>
      </c>
      <c r="P61" s="67">
        <f t="shared" si="5"/>
        <v>-5.4653760238273037</v>
      </c>
      <c r="Q61" s="269">
        <f t="shared" si="6"/>
        <v>0.95354430379746791</v>
      </c>
      <c r="R61" s="511"/>
      <c r="S61" s="68">
        <v>0.70833333333333337</v>
      </c>
      <c r="T61" s="68">
        <v>0.76319444444444451</v>
      </c>
      <c r="U61" s="270" t="str">
        <f t="shared" si="38"/>
        <v/>
      </c>
      <c r="V61" s="278">
        <f t="shared" si="37"/>
        <v>79.000000000000043</v>
      </c>
      <c r="W61" s="69"/>
      <c r="X61" s="69"/>
      <c r="Y61" s="275"/>
      <c r="Z61" s="276"/>
      <c r="AA61" s="66">
        <f t="shared" si="8"/>
        <v>-92.911392405064362</v>
      </c>
      <c r="AB61" s="269">
        <f t="shared" si="9"/>
        <v>0.9535443037974678</v>
      </c>
      <c r="AC61" s="511"/>
    </row>
    <row r="62" spans="1:29" ht="15.75" customHeight="1">
      <c r="A62" s="523" t="s">
        <v>1473</v>
      </c>
      <c r="B62" s="62" t="s">
        <v>6</v>
      </c>
      <c r="C62" s="273" t="s">
        <v>44</v>
      </c>
      <c r="D62" s="274"/>
      <c r="E62" s="62">
        <v>55.32</v>
      </c>
      <c r="F62" s="74">
        <v>1985</v>
      </c>
      <c r="G62" s="270">
        <f t="shared" si="35"/>
        <v>109810.2</v>
      </c>
      <c r="H62" s="90" t="s">
        <v>5</v>
      </c>
      <c r="I62" s="277">
        <v>15</v>
      </c>
      <c r="J62" s="63">
        <v>2000</v>
      </c>
      <c r="K62" s="64">
        <f t="shared" si="1"/>
        <v>133.33333333333334</v>
      </c>
      <c r="L62" s="277">
        <v>15</v>
      </c>
      <c r="M62" s="65">
        <f t="shared" si="36"/>
        <v>1920.9677419354855</v>
      </c>
      <c r="N62" s="65">
        <f t="shared" si="3"/>
        <v>128.06451612903237</v>
      </c>
      <c r="O62" s="66">
        <f t="shared" si="4"/>
        <v>0</v>
      </c>
      <c r="P62" s="67">
        <f t="shared" si="5"/>
        <v>-5.2688172043009729</v>
      </c>
      <c r="Q62" s="269">
        <f t="shared" si="6"/>
        <v>0.96048387096774268</v>
      </c>
      <c r="R62" s="511"/>
      <c r="S62" s="68">
        <v>0.76666666666666672</v>
      </c>
      <c r="T62" s="68">
        <v>0.80972222222222223</v>
      </c>
      <c r="U62" s="270">
        <f t="shared" si="38"/>
        <v>4.9999999999999822</v>
      </c>
      <c r="V62" s="278">
        <f t="shared" si="37"/>
        <v>61.999999999999943</v>
      </c>
      <c r="W62" s="69"/>
      <c r="X62" s="69"/>
      <c r="Y62" s="275"/>
      <c r="Z62" s="276"/>
      <c r="AA62" s="66">
        <f t="shared" si="8"/>
        <v>-79.032258064514508</v>
      </c>
      <c r="AB62" s="269">
        <f t="shared" si="9"/>
        <v>0.96048387096774279</v>
      </c>
      <c r="AC62" s="511"/>
    </row>
    <row r="63" spans="1:29" ht="15.75" customHeight="1">
      <c r="A63" s="523" t="s">
        <v>80</v>
      </c>
      <c r="B63" s="62" t="s">
        <v>6</v>
      </c>
      <c r="C63" s="273" t="s">
        <v>7</v>
      </c>
      <c r="D63" s="274"/>
      <c r="E63" s="62">
        <v>46.93</v>
      </c>
      <c r="F63" s="74">
        <v>1141</v>
      </c>
      <c r="G63" s="270">
        <f t="shared" si="35"/>
        <v>53547.13</v>
      </c>
      <c r="H63" s="90" t="s">
        <v>5</v>
      </c>
      <c r="I63" s="277">
        <v>16</v>
      </c>
      <c r="J63" s="63">
        <v>2000</v>
      </c>
      <c r="K63" s="64">
        <f t="shared" si="1"/>
        <v>125</v>
      </c>
      <c r="L63" s="277">
        <v>16</v>
      </c>
      <c r="M63" s="65">
        <f t="shared" si="36"/>
        <v>1955.999999999998</v>
      </c>
      <c r="N63" s="65">
        <f t="shared" si="3"/>
        <v>122.24999999999987</v>
      </c>
      <c r="O63" s="66">
        <f t="shared" si="4"/>
        <v>0</v>
      </c>
      <c r="P63" s="67">
        <f t="shared" si="5"/>
        <v>-2.7500000000001279</v>
      </c>
      <c r="Q63" s="269">
        <f t="shared" si="6"/>
        <v>0.97799999999999898</v>
      </c>
      <c r="R63" s="511"/>
      <c r="S63" s="68">
        <v>0.81319444444444444</v>
      </c>
      <c r="T63" s="68">
        <v>0.83750000000000002</v>
      </c>
      <c r="U63" s="270">
        <f t="shared" si="38"/>
        <v>4.9999999999999822</v>
      </c>
      <c r="V63" s="278">
        <f t="shared" si="37"/>
        <v>35.000000000000036</v>
      </c>
      <c r="W63" s="69">
        <f>T63</f>
        <v>0.83750000000000002</v>
      </c>
      <c r="X63" s="69">
        <f>S64</f>
        <v>0.87708333333333333</v>
      </c>
      <c r="Y63" s="275"/>
      <c r="Z63" s="276"/>
      <c r="AA63" s="66">
        <f t="shared" si="8"/>
        <v>-44.000000000002046</v>
      </c>
      <c r="AB63" s="269">
        <f t="shared" si="9"/>
        <v>0.97799999999999898</v>
      </c>
      <c r="AC63" s="511"/>
    </row>
    <row r="64" spans="1:29" ht="15.75" customHeight="1">
      <c r="A64" s="523" t="s">
        <v>80</v>
      </c>
      <c r="B64" s="62" t="s">
        <v>6</v>
      </c>
      <c r="C64" s="521" t="s">
        <v>1462</v>
      </c>
      <c r="D64" s="522"/>
      <c r="E64" s="62">
        <v>51.21</v>
      </c>
      <c r="F64" s="74">
        <v>3949</v>
      </c>
      <c r="G64" s="270">
        <f t="shared" si="35"/>
        <v>202228.29</v>
      </c>
      <c r="H64" s="90" t="s">
        <v>5</v>
      </c>
      <c r="I64" s="277">
        <v>16</v>
      </c>
      <c r="J64" s="63">
        <v>1500</v>
      </c>
      <c r="K64" s="64">
        <f t="shared" si="1"/>
        <v>93.75</v>
      </c>
      <c r="L64" s="277">
        <v>16</v>
      </c>
      <c r="M64" s="65">
        <f t="shared" si="36"/>
        <v>1435.9999999999995</v>
      </c>
      <c r="N64" s="65">
        <f t="shared" si="3"/>
        <v>89.749999999999972</v>
      </c>
      <c r="O64" s="66">
        <f t="shared" si="4"/>
        <v>0</v>
      </c>
      <c r="P64" s="67">
        <f t="shared" si="5"/>
        <v>-4.0000000000000284</v>
      </c>
      <c r="Q64" s="269">
        <f t="shared" si="6"/>
        <v>0.95733333333333304</v>
      </c>
      <c r="R64" s="511"/>
      <c r="S64" s="68">
        <v>0.87708333333333333</v>
      </c>
      <c r="T64" s="68">
        <v>0.9916666666666667</v>
      </c>
      <c r="U64" s="270">
        <f t="shared" si="38"/>
        <v>56.999999999999957</v>
      </c>
      <c r="V64" s="278">
        <f t="shared" si="37"/>
        <v>165.00000000000006</v>
      </c>
      <c r="W64" s="69"/>
      <c r="X64" s="69"/>
      <c r="Y64" s="517"/>
      <c r="Z64" s="518"/>
      <c r="AA64" s="66">
        <f t="shared" si="8"/>
        <v>-64.000000000000455</v>
      </c>
      <c r="AB64" s="269">
        <f t="shared" si="9"/>
        <v>0.95733333333333304</v>
      </c>
      <c r="AC64" s="511"/>
    </row>
    <row r="65" spans="1:29">
      <c r="A65" s="524" t="s">
        <v>1474</v>
      </c>
      <c r="B65" s="62" t="s">
        <v>1459</v>
      </c>
      <c r="C65" s="513"/>
      <c r="D65" s="513"/>
      <c r="E65" s="271"/>
      <c r="F65" s="71"/>
      <c r="G65" s="64"/>
      <c r="H65" s="279"/>
      <c r="I65" s="72">
        <v>16.333333333333332</v>
      </c>
      <c r="J65" s="63">
        <v>1916.6666666666667</v>
      </c>
      <c r="K65" s="64">
        <f t="shared" si="1"/>
        <v>117.34693877551021</v>
      </c>
      <c r="L65" s="72">
        <v>16.333333333333332</v>
      </c>
      <c r="M65" s="65">
        <f>AVERAGE(M59:M64)</f>
        <v>1842.5743266533382</v>
      </c>
      <c r="N65" s="64">
        <f t="shared" si="3"/>
        <v>112.81067306040846</v>
      </c>
      <c r="O65" s="66">
        <f t="shared" si="4"/>
        <v>0</v>
      </c>
      <c r="P65" s="67">
        <f t="shared" si="5"/>
        <v>-4.5362657151017487</v>
      </c>
      <c r="Q65" s="269">
        <f t="shared" si="6"/>
        <v>0.96134312694956769</v>
      </c>
      <c r="R65" s="511"/>
      <c r="S65" s="75"/>
      <c r="T65" s="68"/>
      <c r="U65" s="64"/>
      <c r="V65" s="278"/>
      <c r="W65" s="64"/>
      <c r="X65" s="64"/>
      <c r="Y65" s="510"/>
      <c r="Z65" s="510"/>
      <c r="AA65" s="66">
        <f t="shared" si="8"/>
        <v>-74.092340013328567</v>
      </c>
      <c r="AB65" s="269">
        <f t="shared" si="9"/>
        <v>0.96134312694956769</v>
      </c>
      <c r="AC65" s="511"/>
    </row>
    <row r="66" spans="1:29" ht="15.75" customHeight="1">
      <c r="A66" s="519" t="s">
        <v>1475</v>
      </c>
      <c r="B66" s="279" t="s">
        <v>10</v>
      </c>
      <c r="C66" s="512" t="s">
        <v>46</v>
      </c>
      <c r="D66" s="512"/>
      <c r="E66" s="62">
        <v>26.97</v>
      </c>
      <c r="F66" s="74">
        <v>3291</v>
      </c>
      <c r="G66" s="270">
        <f t="shared" ref="G66:G69" si="39">E66*F66</f>
        <v>88758.26999999999</v>
      </c>
      <c r="H66" s="90" t="s">
        <v>5</v>
      </c>
      <c r="I66" s="277">
        <v>8</v>
      </c>
      <c r="J66" s="63">
        <v>1500</v>
      </c>
      <c r="K66" s="64">
        <f t="shared" si="1"/>
        <v>187.5</v>
      </c>
      <c r="L66" s="277">
        <v>8</v>
      </c>
      <c r="M66" s="65">
        <f t="shared" ref="M66:M69" si="40">F66/V66*60</f>
        <v>1430.8695652173908</v>
      </c>
      <c r="N66" s="64">
        <f t="shared" si="3"/>
        <v>178.85869565217385</v>
      </c>
      <c r="O66" s="66">
        <f t="shared" si="4"/>
        <v>0</v>
      </c>
      <c r="P66" s="67">
        <f t="shared" si="5"/>
        <v>-8.64130434782615</v>
      </c>
      <c r="Q66" s="269">
        <f t="shared" si="6"/>
        <v>0.95391304347826056</v>
      </c>
      <c r="R66" s="511">
        <f>Q70</f>
        <v>0.95648551524305525</v>
      </c>
      <c r="S66" s="68">
        <v>0.20833333333333334</v>
      </c>
      <c r="T66" s="68">
        <v>0.3041666666666667</v>
      </c>
      <c r="U66" s="270"/>
      <c r="V66" s="278">
        <f t="shared" ref="V66:V69" si="41">(T66-S66)*24*60</f>
        <v>138.00000000000006</v>
      </c>
      <c r="W66" s="73"/>
      <c r="X66" s="73"/>
      <c r="Y66" s="510"/>
      <c r="Z66" s="510"/>
      <c r="AA66" s="66">
        <f t="shared" si="8"/>
        <v>-69.1304347826092</v>
      </c>
      <c r="AB66" s="269">
        <f t="shared" si="9"/>
        <v>0.95391304347826056</v>
      </c>
      <c r="AC66" s="511">
        <f>AB70</f>
        <v>0.95648551524305536</v>
      </c>
    </row>
    <row r="67" spans="1:29" ht="15.75" customHeight="1">
      <c r="A67" s="519" t="s">
        <v>497</v>
      </c>
      <c r="B67" s="279" t="s">
        <v>35</v>
      </c>
      <c r="C67" s="512" t="s">
        <v>45</v>
      </c>
      <c r="D67" s="512"/>
      <c r="E67" s="62">
        <v>26.78</v>
      </c>
      <c r="F67" s="74">
        <v>3009</v>
      </c>
      <c r="G67" s="270">
        <f t="shared" si="39"/>
        <v>80581.02</v>
      </c>
      <c r="H67" s="90" t="s">
        <v>5</v>
      </c>
      <c r="I67" s="277">
        <v>10</v>
      </c>
      <c r="J67" s="63">
        <v>3000</v>
      </c>
      <c r="K67" s="64">
        <f t="shared" si="1"/>
        <v>300</v>
      </c>
      <c r="L67" s="277">
        <v>10</v>
      </c>
      <c r="M67" s="65">
        <f t="shared" si="40"/>
        <v>2865.7142857142853</v>
      </c>
      <c r="N67" s="64">
        <f t="shared" si="3"/>
        <v>286.57142857142856</v>
      </c>
      <c r="O67" s="66">
        <f t="shared" si="4"/>
        <v>0</v>
      </c>
      <c r="P67" s="67">
        <f t="shared" si="5"/>
        <v>-13.428571428571445</v>
      </c>
      <c r="Q67" s="269">
        <f t="shared" si="6"/>
        <v>0.95523809523809522</v>
      </c>
      <c r="R67" s="511"/>
      <c r="S67" s="68">
        <v>0.30972222222222223</v>
      </c>
      <c r="T67" s="68">
        <v>0.35347222222222224</v>
      </c>
      <c r="U67" s="270">
        <f t="shared" ref="U67:U69" si="42">(S67-T66)*24*60</f>
        <v>7.9999999999999716</v>
      </c>
      <c r="V67" s="278">
        <f t="shared" si="41"/>
        <v>63.000000000000014</v>
      </c>
      <c r="W67" s="270"/>
      <c r="X67" s="270"/>
      <c r="Y67" s="510"/>
      <c r="Z67" s="510"/>
      <c r="AA67" s="66">
        <f t="shared" si="8"/>
        <v>-134.28571428571468</v>
      </c>
      <c r="AB67" s="269">
        <f t="shared" si="9"/>
        <v>0.95523809523809511</v>
      </c>
      <c r="AC67" s="511"/>
    </row>
    <row r="68" spans="1:29" ht="15.75" customHeight="1">
      <c r="A68" s="519" t="s">
        <v>497</v>
      </c>
      <c r="B68" s="279" t="s">
        <v>35</v>
      </c>
      <c r="C68" s="512" t="s">
        <v>75</v>
      </c>
      <c r="D68" s="512"/>
      <c r="E68" s="62">
        <v>37.880000000000003</v>
      </c>
      <c r="F68" s="74">
        <v>3633</v>
      </c>
      <c r="G68" s="270">
        <f t="shared" si="39"/>
        <v>137618.04</v>
      </c>
      <c r="H68" s="90" t="s">
        <v>5</v>
      </c>
      <c r="I68" s="277">
        <v>10</v>
      </c>
      <c r="J68" s="63">
        <v>3000</v>
      </c>
      <c r="K68" s="64">
        <f t="shared" si="1"/>
        <v>300</v>
      </c>
      <c r="L68" s="277">
        <v>10</v>
      </c>
      <c r="M68" s="65">
        <f t="shared" si="40"/>
        <v>2868.157894736843</v>
      </c>
      <c r="N68" s="64">
        <f t="shared" si="3"/>
        <v>286.81578947368428</v>
      </c>
      <c r="O68" s="66">
        <f t="shared" si="4"/>
        <v>0</v>
      </c>
      <c r="P68" s="67">
        <f t="shared" si="5"/>
        <v>-13.184210526315724</v>
      </c>
      <c r="Q68" s="269">
        <f t="shared" si="6"/>
        <v>0.9560526315789476</v>
      </c>
      <c r="R68" s="511"/>
      <c r="S68" s="68">
        <v>0.3576388888888889</v>
      </c>
      <c r="T68" s="68">
        <v>0.41041666666666665</v>
      </c>
      <c r="U68" s="270">
        <f t="shared" si="42"/>
        <v>5.9999999999999787</v>
      </c>
      <c r="V68" s="278">
        <f t="shared" si="41"/>
        <v>75.999999999999972</v>
      </c>
      <c r="W68" s="270"/>
      <c r="X68" s="270"/>
      <c r="Y68" s="510"/>
      <c r="Z68" s="510"/>
      <c r="AA68" s="66">
        <f t="shared" si="8"/>
        <v>-131.84210526315701</v>
      </c>
      <c r="AB68" s="269">
        <f t="shared" si="9"/>
        <v>0.95605263157894771</v>
      </c>
      <c r="AC68" s="511"/>
    </row>
    <row r="69" spans="1:29" ht="15.75" customHeight="1">
      <c r="A69" s="519" t="s">
        <v>497</v>
      </c>
      <c r="B69" s="279" t="s">
        <v>35</v>
      </c>
      <c r="C69" s="512" t="s">
        <v>85</v>
      </c>
      <c r="D69" s="512"/>
      <c r="E69" s="62">
        <v>40.51</v>
      </c>
      <c r="F69" s="74">
        <v>3502</v>
      </c>
      <c r="G69" s="270">
        <f t="shared" si="39"/>
        <v>141866.01999999999</v>
      </c>
      <c r="H69" s="90" t="s">
        <v>5</v>
      </c>
      <c r="I69" s="277">
        <v>8</v>
      </c>
      <c r="J69" s="63">
        <v>3000</v>
      </c>
      <c r="K69" s="64">
        <f t="shared" ref="K69:K79" si="43">J69/I69</f>
        <v>375</v>
      </c>
      <c r="L69" s="277">
        <v>8</v>
      </c>
      <c r="M69" s="65">
        <f t="shared" si="40"/>
        <v>2878.3561643835619</v>
      </c>
      <c r="N69" s="64">
        <f t="shared" ref="N69:N79" si="44">M69/L69</f>
        <v>359.79452054794524</v>
      </c>
      <c r="O69" s="66">
        <f t="shared" ref="O69:O79" si="45">L69-I69</f>
        <v>0</v>
      </c>
      <c r="P69" s="67">
        <f t="shared" ref="P69:P79" si="46">N69-K69</f>
        <v>-15.20547945205476</v>
      </c>
      <c r="Q69" s="269">
        <f t="shared" ref="Q69:Q79" si="47">N69/K69</f>
        <v>0.95945205479452067</v>
      </c>
      <c r="R69" s="511"/>
      <c r="S69" s="68">
        <v>0.4145833333333333</v>
      </c>
      <c r="T69" s="68">
        <v>0.46527777777777773</v>
      </c>
      <c r="U69" s="270">
        <f t="shared" si="42"/>
        <v>5.9999999999999787</v>
      </c>
      <c r="V69" s="278">
        <f t="shared" si="41"/>
        <v>72.999999999999986</v>
      </c>
      <c r="W69" s="270"/>
      <c r="X69" s="270"/>
      <c r="Y69" s="510"/>
      <c r="Z69" s="510"/>
      <c r="AA69" s="66">
        <f t="shared" ref="AA69:AA79" si="48">M69-J69</f>
        <v>-121.64383561643808</v>
      </c>
      <c r="AB69" s="269">
        <f t="shared" ref="AB69:AB79" si="49">M69/J69</f>
        <v>0.95945205479452067</v>
      </c>
      <c r="AC69" s="511"/>
    </row>
    <row r="70" spans="1:29">
      <c r="A70" s="520" t="s">
        <v>1475</v>
      </c>
      <c r="B70" s="62" t="s">
        <v>79</v>
      </c>
      <c r="C70" s="513"/>
      <c r="D70" s="513"/>
      <c r="E70" s="271"/>
      <c r="F70" s="71"/>
      <c r="G70" s="64"/>
      <c r="H70" s="279"/>
      <c r="I70" s="72">
        <v>9</v>
      </c>
      <c r="J70" s="63">
        <v>2625</v>
      </c>
      <c r="K70" s="64">
        <f t="shared" si="43"/>
        <v>291.66666666666669</v>
      </c>
      <c r="L70" s="72">
        <v>9</v>
      </c>
      <c r="M70" s="65">
        <f>AVERAGE(M66:M69)</f>
        <v>2510.7744775130204</v>
      </c>
      <c r="N70" s="64">
        <f t="shared" si="44"/>
        <v>278.97494194589115</v>
      </c>
      <c r="O70" s="66">
        <f t="shared" si="45"/>
        <v>0</v>
      </c>
      <c r="P70" s="67">
        <f t="shared" si="46"/>
        <v>-12.691724720775539</v>
      </c>
      <c r="Q70" s="269">
        <f t="shared" si="47"/>
        <v>0.95648551524305525</v>
      </c>
      <c r="R70" s="511"/>
      <c r="S70" s="68"/>
      <c r="T70" s="68"/>
      <c r="U70" s="64"/>
      <c r="V70" s="278"/>
      <c r="W70" s="64"/>
      <c r="X70" s="64"/>
      <c r="Y70" s="510"/>
      <c r="Z70" s="510"/>
      <c r="AA70" s="66">
        <f t="shared" si="48"/>
        <v>-114.22552248697957</v>
      </c>
      <c r="AB70" s="269">
        <f t="shared" si="49"/>
        <v>0.95648551524305536</v>
      </c>
      <c r="AC70" s="511"/>
    </row>
    <row r="71" spans="1:29" ht="15.75" customHeight="1">
      <c r="A71" s="514" t="s">
        <v>1476</v>
      </c>
      <c r="B71" s="279" t="s">
        <v>16</v>
      </c>
      <c r="C71" s="512" t="s">
        <v>48</v>
      </c>
      <c r="D71" s="512"/>
      <c r="E71" s="62">
        <v>20.2</v>
      </c>
      <c r="F71" s="279">
        <v>2786</v>
      </c>
      <c r="G71" s="270">
        <f t="shared" ref="G71:G78" si="50">E71*F71</f>
        <v>56277.2</v>
      </c>
      <c r="H71" s="90" t="s">
        <v>5</v>
      </c>
      <c r="I71" s="277">
        <v>19</v>
      </c>
      <c r="J71" s="63">
        <v>2400</v>
      </c>
      <c r="K71" s="64">
        <f t="shared" si="43"/>
        <v>126.31578947368421</v>
      </c>
      <c r="L71" s="277">
        <v>19</v>
      </c>
      <c r="M71" s="65">
        <f t="shared" ref="M71:M78" si="51">F71/V71*60</f>
        <v>2289.8630136986303</v>
      </c>
      <c r="N71" s="64">
        <f t="shared" si="44"/>
        <v>120.51910598413843</v>
      </c>
      <c r="O71" s="66">
        <f t="shared" si="45"/>
        <v>0</v>
      </c>
      <c r="P71" s="67">
        <f t="shared" si="46"/>
        <v>-5.7966834895457708</v>
      </c>
      <c r="Q71" s="269">
        <f t="shared" si="47"/>
        <v>0.954109589041096</v>
      </c>
      <c r="R71" s="511">
        <f>Q79</f>
        <v>0.95818251599646698</v>
      </c>
      <c r="S71" s="68">
        <v>8.3333333333333329E-2</v>
      </c>
      <c r="T71" s="68">
        <v>0.13402777777777777</v>
      </c>
      <c r="U71" s="73"/>
      <c r="V71" s="278">
        <f t="shared" ref="V71:V78" si="52">(T71-S71)*24*60</f>
        <v>73</v>
      </c>
      <c r="W71" s="69">
        <f>T71</f>
        <v>0.13402777777777777</v>
      </c>
      <c r="X71" s="69">
        <f>S72</f>
        <v>0.15416666666666667</v>
      </c>
      <c r="Y71" s="510"/>
      <c r="Z71" s="510"/>
      <c r="AA71" s="66">
        <f t="shared" si="48"/>
        <v>-110.13698630136969</v>
      </c>
      <c r="AB71" s="269">
        <f t="shared" si="49"/>
        <v>0.954109589041096</v>
      </c>
      <c r="AC71" s="511">
        <f>AB79</f>
        <v>0.95818251599646698</v>
      </c>
    </row>
    <row r="72" spans="1:29" ht="15.75" customHeight="1">
      <c r="A72" s="515" t="s">
        <v>1476</v>
      </c>
      <c r="B72" s="279" t="s">
        <v>16</v>
      </c>
      <c r="C72" s="512" t="s">
        <v>51</v>
      </c>
      <c r="D72" s="512"/>
      <c r="E72" s="62">
        <v>24.25</v>
      </c>
      <c r="F72" s="279">
        <v>2559</v>
      </c>
      <c r="G72" s="270">
        <f t="shared" si="50"/>
        <v>62055.75</v>
      </c>
      <c r="H72" s="90" t="s">
        <v>5</v>
      </c>
      <c r="I72" s="277">
        <v>17</v>
      </c>
      <c r="J72" s="63">
        <v>2400</v>
      </c>
      <c r="K72" s="64">
        <f t="shared" si="43"/>
        <v>141.1764705882353</v>
      </c>
      <c r="L72" s="277">
        <v>17</v>
      </c>
      <c r="M72" s="65">
        <f t="shared" si="51"/>
        <v>2291.6417910447763</v>
      </c>
      <c r="N72" s="64">
        <f t="shared" si="44"/>
        <v>134.80245829675155</v>
      </c>
      <c r="O72" s="66">
        <f t="shared" si="45"/>
        <v>0</v>
      </c>
      <c r="P72" s="67">
        <f t="shared" si="46"/>
        <v>-6.3740122914837514</v>
      </c>
      <c r="Q72" s="269">
        <f t="shared" si="47"/>
        <v>0.95485074626865674</v>
      </c>
      <c r="R72" s="511"/>
      <c r="S72" s="68">
        <v>0.15416666666666667</v>
      </c>
      <c r="T72" s="68">
        <v>0.20069444444444445</v>
      </c>
      <c r="U72" s="270">
        <f t="shared" ref="U72:U78" si="53">(S72-T71)*24*60</f>
        <v>29.000000000000018</v>
      </c>
      <c r="V72" s="278">
        <f t="shared" si="52"/>
        <v>67</v>
      </c>
      <c r="W72" s="69"/>
      <c r="X72" s="69"/>
      <c r="Y72" s="510"/>
      <c r="Z72" s="510"/>
      <c r="AA72" s="66">
        <f t="shared" si="48"/>
        <v>-108.35820895522374</v>
      </c>
      <c r="AB72" s="269">
        <f t="shared" si="49"/>
        <v>0.95485074626865674</v>
      </c>
      <c r="AC72" s="511"/>
    </row>
    <row r="73" spans="1:29" ht="15.75" customHeight="1">
      <c r="A73" s="515" t="s">
        <v>503</v>
      </c>
      <c r="B73" s="279" t="s">
        <v>16</v>
      </c>
      <c r="C73" s="512" t="s">
        <v>17</v>
      </c>
      <c r="D73" s="512"/>
      <c r="E73" s="62">
        <v>24.45</v>
      </c>
      <c r="F73" s="279">
        <v>2866</v>
      </c>
      <c r="G73" s="270">
        <f t="shared" si="50"/>
        <v>70073.7</v>
      </c>
      <c r="H73" s="90" t="s">
        <v>5</v>
      </c>
      <c r="I73" s="277">
        <v>20</v>
      </c>
      <c r="J73" s="63">
        <v>2400</v>
      </c>
      <c r="K73" s="64">
        <f t="shared" si="43"/>
        <v>120</v>
      </c>
      <c r="L73" s="277">
        <v>20</v>
      </c>
      <c r="M73" s="65">
        <f t="shared" si="51"/>
        <v>2292.7999999999993</v>
      </c>
      <c r="N73" s="64">
        <f t="shared" si="44"/>
        <v>114.63999999999996</v>
      </c>
      <c r="O73" s="66">
        <f t="shared" si="45"/>
        <v>0</v>
      </c>
      <c r="P73" s="67">
        <f t="shared" si="46"/>
        <v>-5.3600000000000421</v>
      </c>
      <c r="Q73" s="269">
        <f t="shared" si="47"/>
        <v>0.95533333333333303</v>
      </c>
      <c r="R73" s="511"/>
      <c r="S73" s="68">
        <v>0.20555555555555557</v>
      </c>
      <c r="T73" s="68">
        <v>0.25763888888888892</v>
      </c>
      <c r="U73" s="270">
        <f t="shared" si="53"/>
        <v>7.0000000000000151</v>
      </c>
      <c r="V73" s="278">
        <f t="shared" si="52"/>
        <v>75.000000000000014</v>
      </c>
      <c r="W73" s="69"/>
      <c r="X73" s="69"/>
      <c r="Y73" s="510"/>
      <c r="Z73" s="510"/>
      <c r="AA73" s="66">
        <f t="shared" si="48"/>
        <v>-107.20000000000073</v>
      </c>
      <c r="AB73" s="269">
        <f t="shared" si="49"/>
        <v>0.95533333333333303</v>
      </c>
      <c r="AC73" s="511"/>
    </row>
    <row r="74" spans="1:29" ht="15.75" customHeight="1">
      <c r="A74" s="515" t="s">
        <v>1476</v>
      </c>
      <c r="B74" s="279" t="s">
        <v>16</v>
      </c>
      <c r="C74" s="512" t="s">
        <v>34</v>
      </c>
      <c r="D74" s="512"/>
      <c r="E74" s="62">
        <v>24.25</v>
      </c>
      <c r="F74" s="279">
        <v>3720</v>
      </c>
      <c r="G74" s="270">
        <f t="shared" si="50"/>
        <v>90210</v>
      </c>
      <c r="H74" s="90" t="s">
        <v>5</v>
      </c>
      <c r="I74" s="277">
        <v>13</v>
      </c>
      <c r="J74" s="63">
        <v>2400</v>
      </c>
      <c r="K74" s="64">
        <f t="shared" si="43"/>
        <v>184.61538461538461</v>
      </c>
      <c r="L74" s="277">
        <v>13</v>
      </c>
      <c r="M74" s="65">
        <f t="shared" si="51"/>
        <v>2301.0309278350524</v>
      </c>
      <c r="N74" s="64">
        <f t="shared" si="44"/>
        <v>177.00237906423479</v>
      </c>
      <c r="O74" s="66">
        <f t="shared" si="45"/>
        <v>0</v>
      </c>
      <c r="P74" s="67">
        <f t="shared" si="46"/>
        <v>-7.6130055511498256</v>
      </c>
      <c r="Q74" s="269">
        <f t="shared" si="47"/>
        <v>0.9587628865979384</v>
      </c>
      <c r="R74" s="511"/>
      <c r="S74" s="68">
        <v>0.26111111111111113</v>
      </c>
      <c r="T74" s="68">
        <v>0.32847222222222222</v>
      </c>
      <c r="U74" s="270">
        <f t="shared" si="53"/>
        <v>4.9999999999999822</v>
      </c>
      <c r="V74" s="278">
        <f t="shared" si="52"/>
        <v>96.999999999999972</v>
      </c>
      <c r="W74" s="69"/>
      <c r="X74" s="69"/>
      <c r="Y74" s="510"/>
      <c r="Z74" s="510"/>
      <c r="AA74" s="66">
        <f t="shared" si="48"/>
        <v>-98.969072164947647</v>
      </c>
      <c r="AB74" s="269">
        <f t="shared" si="49"/>
        <v>0.95876288659793851</v>
      </c>
      <c r="AC74" s="511"/>
    </row>
    <row r="75" spans="1:29" ht="15.75" customHeight="1">
      <c r="A75" s="515" t="s">
        <v>1476</v>
      </c>
      <c r="B75" s="279" t="s">
        <v>16</v>
      </c>
      <c r="C75" s="512" t="s">
        <v>26</v>
      </c>
      <c r="D75" s="512"/>
      <c r="E75" s="62">
        <v>20.52</v>
      </c>
      <c r="F75" s="279">
        <v>3868</v>
      </c>
      <c r="G75" s="270">
        <f t="shared" si="50"/>
        <v>79371.360000000001</v>
      </c>
      <c r="H75" s="90" t="s">
        <v>5</v>
      </c>
      <c r="I75" s="277">
        <v>18</v>
      </c>
      <c r="J75" s="63">
        <v>2400</v>
      </c>
      <c r="K75" s="64">
        <f t="shared" si="43"/>
        <v>133.33333333333334</v>
      </c>
      <c r="L75" s="277">
        <v>18</v>
      </c>
      <c r="M75" s="65">
        <f t="shared" si="51"/>
        <v>2297.8217821782168</v>
      </c>
      <c r="N75" s="64">
        <f t="shared" si="44"/>
        <v>127.6567656765676</v>
      </c>
      <c r="O75" s="66">
        <f t="shared" si="45"/>
        <v>0</v>
      </c>
      <c r="P75" s="67">
        <f t="shared" si="46"/>
        <v>-5.6765676567657408</v>
      </c>
      <c r="Q75" s="269">
        <f t="shared" si="47"/>
        <v>0.95742574257425694</v>
      </c>
      <c r="R75" s="511"/>
      <c r="S75" s="68">
        <v>0.33333333333333331</v>
      </c>
      <c r="T75" s="68">
        <v>0.40347222222222223</v>
      </c>
      <c r="U75" s="270">
        <f t="shared" si="53"/>
        <v>6.9999999999999751</v>
      </c>
      <c r="V75" s="278">
        <f t="shared" si="52"/>
        <v>101.00000000000004</v>
      </c>
      <c r="W75" s="69"/>
      <c r="X75" s="69"/>
      <c r="Y75" s="510"/>
      <c r="Z75" s="510"/>
      <c r="AA75" s="66">
        <f t="shared" si="48"/>
        <v>-102.17821782178316</v>
      </c>
      <c r="AB75" s="269">
        <f t="shared" si="49"/>
        <v>0.95742574257425705</v>
      </c>
      <c r="AC75" s="511"/>
    </row>
    <row r="76" spans="1:29" ht="15.75" customHeight="1">
      <c r="A76" s="515" t="s">
        <v>503</v>
      </c>
      <c r="B76" s="279" t="s">
        <v>16</v>
      </c>
      <c r="C76" s="512" t="s">
        <v>49</v>
      </c>
      <c r="D76" s="512"/>
      <c r="E76" s="62">
        <v>19.02</v>
      </c>
      <c r="F76" s="279">
        <v>4700</v>
      </c>
      <c r="G76" s="270">
        <f t="shared" si="50"/>
        <v>89394</v>
      </c>
      <c r="H76" s="90">
        <v>2</v>
      </c>
      <c r="I76" s="277">
        <v>15</v>
      </c>
      <c r="J76" s="63">
        <v>2400</v>
      </c>
      <c r="K76" s="64">
        <f t="shared" si="43"/>
        <v>160</v>
      </c>
      <c r="L76" s="277">
        <v>15</v>
      </c>
      <c r="M76" s="65">
        <f t="shared" si="51"/>
        <v>2292.682926829269</v>
      </c>
      <c r="N76" s="64">
        <f t="shared" si="44"/>
        <v>152.84552845528461</v>
      </c>
      <c r="O76" s="66">
        <f t="shared" si="45"/>
        <v>0</v>
      </c>
      <c r="P76" s="67">
        <f t="shared" si="46"/>
        <v>-7.1544715447153919</v>
      </c>
      <c r="Q76" s="269">
        <f t="shared" si="47"/>
        <v>0.95528455284552882</v>
      </c>
      <c r="R76" s="511"/>
      <c r="S76" s="68">
        <v>0.40694444444444444</v>
      </c>
      <c r="T76" s="68">
        <v>0.49236111111111108</v>
      </c>
      <c r="U76" s="270">
        <f t="shared" si="53"/>
        <v>4.9999999999999822</v>
      </c>
      <c r="V76" s="278">
        <f t="shared" si="52"/>
        <v>122.99999999999996</v>
      </c>
      <c r="W76" s="69"/>
      <c r="X76" s="69"/>
      <c r="Y76" s="510"/>
      <c r="Z76" s="510"/>
      <c r="AA76" s="66">
        <f t="shared" si="48"/>
        <v>-107.31707317073096</v>
      </c>
      <c r="AB76" s="269">
        <f t="shared" si="49"/>
        <v>0.95528455284552871</v>
      </c>
      <c r="AC76" s="511"/>
    </row>
    <row r="77" spans="1:29" ht="15.75" customHeight="1">
      <c r="A77" s="515" t="s">
        <v>1476</v>
      </c>
      <c r="B77" s="279" t="s">
        <v>16</v>
      </c>
      <c r="C77" s="512" t="s">
        <v>27</v>
      </c>
      <c r="D77" s="512"/>
      <c r="E77" s="62">
        <v>25.98</v>
      </c>
      <c r="F77" s="279">
        <v>1325</v>
      </c>
      <c r="G77" s="270">
        <f t="shared" si="50"/>
        <v>34423.5</v>
      </c>
      <c r="H77" s="90" t="s">
        <v>5</v>
      </c>
      <c r="I77" s="277">
        <v>17</v>
      </c>
      <c r="J77" s="63">
        <v>2400</v>
      </c>
      <c r="K77" s="64">
        <f t="shared" si="43"/>
        <v>141.1764705882353</v>
      </c>
      <c r="L77" s="277">
        <v>17</v>
      </c>
      <c r="M77" s="65">
        <f t="shared" si="51"/>
        <v>2338.23529411765</v>
      </c>
      <c r="N77" s="64">
        <f t="shared" si="44"/>
        <v>137.54325259515588</v>
      </c>
      <c r="O77" s="66">
        <f t="shared" si="45"/>
        <v>0</v>
      </c>
      <c r="P77" s="67">
        <f t="shared" si="46"/>
        <v>-3.6332179930794268</v>
      </c>
      <c r="Q77" s="269">
        <f t="shared" si="47"/>
        <v>0.97426470588235403</v>
      </c>
      <c r="R77" s="511"/>
      <c r="S77" s="68">
        <v>0.49722222222222218</v>
      </c>
      <c r="T77" s="68">
        <v>0.52083333333333326</v>
      </c>
      <c r="U77" s="270">
        <f t="shared" si="53"/>
        <v>6.9999999999999751</v>
      </c>
      <c r="V77" s="278">
        <f t="shared" si="52"/>
        <v>33.999999999999957</v>
      </c>
      <c r="W77" s="69">
        <f>T77</f>
        <v>0.52083333333333326</v>
      </c>
      <c r="X77" s="69">
        <f>S78</f>
        <v>0.55972222222222212</v>
      </c>
      <c r="Y77" s="517"/>
      <c r="Z77" s="518"/>
      <c r="AA77" s="66">
        <f t="shared" si="48"/>
        <v>-61.764705882349972</v>
      </c>
      <c r="AB77" s="269">
        <f t="shared" si="49"/>
        <v>0.97426470588235414</v>
      </c>
      <c r="AC77" s="511"/>
    </row>
    <row r="78" spans="1:29" ht="15.75" customHeight="1">
      <c r="A78" s="515" t="s">
        <v>1476</v>
      </c>
      <c r="B78" s="279" t="s">
        <v>16</v>
      </c>
      <c r="C78" s="512" t="s">
        <v>49</v>
      </c>
      <c r="D78" s="512"/>
      <c r="E78" s="62">
        <v>19.02</v>
      </c>
      <c r="F78" s="279">
        <v>6688</v>
      </c>
      <c r="G78" s="270">
        <f t="shared" si="50"/>
        <v>127205.75999999999</v>
      </c>
      <c r="H78" s="90" t="s">
        <v>5</v>
      </c>
      <c r="I78" s="277">
        <v>15</v>
      </c>
      <c r="J78" s="63">
        <v>2400</v>
      </c>
      <c r="K78" s="64">
        <f t="shared" si="43"/>
        <v>160</v>
      </c>
      <c r="L78" s="277">
        <v>15</v>
      </c>
      <c r="M78" s="65">
        <f t="shared" si="51"/>
        <v>2293.028571428571</v>
      </c>
      <c r="N78" s="64">
        <f t="shared" si="44"/>
        <v>152.86857142857141</v>
      </c>
      <c r="O78" s="66">
        <f t="shared" si="45"/>
        <v>0</v>
      </c>
      <c r="P78" s="67">
        <f t="shared" si="46"/>
        <v>-7.1314285714285859</v>
      </c>
      <c r="Q78" s="269">
        <f t="shared" si="47"/>
        <v>0.95542857142857129</v>
      </c>
      <c r="R78" s="511"/>
      <c r="S78" s="68">
        <v>0.55972222222222212</v>
      </c>
      <c r="T78" s="68">
        <v>0.68124999999999991</v>
      </c>
      <c r="U78" s="270">
        <f t="shared" si="53"/>
        <v>55.999999999999957</v>
      </c>
      <c r="V78" s="278">
        <f t="shared" si="52"/>
        <v>175.00000000000003</v>
      </c>
      <c r="W78" s="69"/>
      <c r="X78" s="69"/>
      <c r="Y78" s="517"/>
      <c r="Z78" s="518"/>
      <c r="AA78" s="66">
        <f t="shared" si="48"/>
        <v>-106.97142857142899</v>
      </c>
      <c r="AB78" s="269">
        <f t="shared" si="49"/>
        <v>0.95542857142857129</v>
      </c>
      <c r="AC78" s="511"/>
    </row>
    <row r="79" spans="1:29" ht="16.5" customHeight="1">
      <c r="A79" s="516" t="s">
        <v>1477</v>
      </c>
      <c r="B79" s="62" t="s">
        <v>1467</v>
      </c>
      <c r="C79" s="508"/>
      <c r="D79" s="509"/>
      <c r="E79" s="271"/>
      <c r="F79" s="71"/>
      <c r="G79" s="64"/>
      <c r="H79" s="279"/>
      <c r="I79" s="72">
        <v>16.75</v>
      </c>
      <c r="J79" s="63">
        <v>2400</v>
      </c>
      <c r="K79" s="64">
        <f t="shared" si="43"/>
        <v>143.28358208955223</v>
      </c>
      <c r="L79" s="72">
        <v>16.75</v>
      </c>
      <c r="M79" s="65">
        <f>AVERAGE(M71:M78)</f>
        <v>2299.6380383915207</v>
      </c>
      <c r="N79" s="64">
        <f t="shared" si="44"/>
        <v>137.29182318755346</v>
      </c>
      <c r="O79" s="66">
        <f t="shared" si="45"/>
        <v>0</v>
      </c>
      <c r="P79" s="67">
        <f t="shared" si="46"/>
        <v>-5.9917589019987645</v>
      </c>
      <c r="Q79" s="269">
        <f t="shared" si="47"/>
        <v>0.95818251599646698</v>
      </c>
      <c r="R79" s="511"/>
      <c r="S79" s="68"/>
      <c r="T79" s="68"/>
      <c r="U79" s="64"/>
      <c r="V79" s="278"/>
      <c r="W79" s="64"/>
      <c r="X79" s="64"/>
      <c r="Y79" s="510"/>
      <c r="Z79" s="510"/>
      <c r="AA79" s="66">
        <f t="shared" si="48"/>
        <v>-100.36196160847931</v>
      </c>
      <c r="AB79" s="269">
        <f t="shared" si="49"/>
        <v>0.95818251599646698</v>
      </c>
      <c r="AC79" s="511"/>
    </row>
    <row r="80" spans="1:29">
      <c r="D80" s="76"/>
      <c r="E80" s="76"/>
    </row>
  </sheetData>
  <mergeCells count="20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C10:D10"/>
    <mergeCell ref="Y10:Z10"/>
    <mergeCell ref="AC3:AC4"/>
    <mergeCell ref="A5:A10"/>
    <mergeCell ref="C5:D5"/>
    <mergeCell ref="R5:R10"/>
    <mergeCell ref="Y5:Z5"/>
    <mergeCell ref="AC5:AC10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20"/>
    <mergeCell ref="C15:D15"/>
    <mergeCell ref="Y15:Z15"/>
    <mergeCell ref="C16:D16"/>
    <mergeCell ref="Y16:Z16"/>
    <mergeCell ref="C17:D17"/>
    <mergeCell ref="A11:A13"/>
    <mergeCell ref="C11:D11"/>
    <mergeCell ref="R11:R13"/>
    <mergeCell ref="Y11:Z11"/>
    <mergeCell ref="AC11:AC13"/>
    <mergeCell ref="C12:D12"/>
    <mergeCell ref="Y12:Z12"/>
    <mergeCell ref="C13:D13"/>
    <mergeCell ref="Y13:Z13"/>
    <mergeCell ref="Y17:Z17"/>
    <mergeCell ref="C18:D18"/>
    <mergeCell ref="Y18:Z18"/>
    <mergeCell ref="C19:D19"/>
    <mergeCell ref="Y19:Z19"/>
    <mergeCell ref="C20:D20"/>
    <mergeCell ref="Y20:Z20"/>
    <mergeCell ref="A14:A20"/>
    <mergeCell ref="C14:D14"/>
    <mergeCell ref="R14:R20"/>
    <mergeCell ref="Y14:Z14"/>
    <mergeCell ref="Y24:Z24"/>
    <mergeCell ref="C25:D25"/>
    <mergeCell ref="Y25:Z25"/>
    <mergeCell ref="C26:D26"/>
    <mergeCell ref="Y26:Z26"/>
    <mergeCell ref="C27:D27"/>
    <mergeCell ref="Y27:Z27"/>
    <mergeCell ref="A21:A30"/>
    <mergeCell ref="C21:D21"/>
    <mergeCell ref="R21:R30"/>
    <mergeCell ref="Y21:Z21"/>
    <mergeCell ref="C22:D22"/>
    <mergeCell ref="Y22:Z22"/>
    <mergeCell ref="C23:D23"/>
    <mergeCell ref="Y23:Z23"/>
    <mergeCell ref="C24:D24"/>
    <mergeCell ref="AC31:AC39"/>
    <mergeCell ref="C32:D32"/>
    <mergeCell ref="Y32:Z32"/>
    <mergeCell ref="C33:D33"/>
    <mergeCell ref="Y33:Z33"/>
    <mergeCell ref="C34:D34"/>
    <mergeCell ref="C28:D28"/>
    <mergeCell ref="Y28:Z28"/>
    <mergeCell ref="C29:D29"/>
    <mergeCell ref="Y29:Z29"/>
    <mergeCell ref="C30:D30"/>
    <mergeCell ref="Y30:Z30"/>
    <mergeCell ref="AC21:AC30"/>
    <mergeCell ref="Y34:Z34"/>
    <mergeCell ref="C35:D35"/>
    <mergeCell ref="Y35:Z35"/>
    <mergeCell ref="C36:D36"/>
    <mergeCell ref="Y36:Z36"/>
    <mergeCell ref="C37:D37"/>
    <mergeCell ref="Y37:Z37"/>
    <mergeCell ref="A31:A39"/>
    <mergeCell ref="C31:D31"/>
    <mergeCell ref="R31:R39"/>
    <mergeCell ref="Y31:Z31"/>
    <mergeCell ref="C38:D38"/>
    <mergeCell ref="Y38:Z38"/>
    <mergeCell ref="C39:D39"/>
    <mergeCell ref="Y39:Z39"/>
    <mergeCell ref="A40:A48"/>
    <mergeCell ref="C40:D40"/>
    <mergeCell ref="R40:R48"/>
    <mergeCell ref="Y40:Z40"/>
    <mergeCell ref="Y45:Z45"/>
    <mergeCell ref="C46:D46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C47:D47"/>
    <mergeCell ref="Y47:Z47"/>
    <mergeCell ref="C48:D48"/>
    <mergeCell ref="Y48:Z48"/>
    <mergeCell ref="AC49:AC58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58:D58"/>
    <mergeCell ref="Y58:Z58"/>
    <mergeCell ref="A59:A65"/>
    <mergeCell ref="C59:D59"/>
    <mergeCell ref="R59:R65"/>
    <mergeCell ref="Y59:Z59"/>
    <mergeCell ref="C55:D55"/>
    <mergeCell ref="Y55:Z55"/>
    <mergeCell ref="C56:D56"/>
    <mergeCell ref="Y56:Z56"/>
    <mergeCell ref="C57:D57"/>
    <mergeCell ref="Y57:Z57"/>
    <mergeCell ref="A49:A58"/>
    <mergeCell ref="C49:D49"/>
    <mergeCell ref="R49:R58"/>
    <mergeCell ref="Y49:Z49"/>
    <mergeCell ref="Y54:Z54"/>
    <mergeCell ref="AC66:AC70"/>
    <mergeCell ref="C67:D67"/>
    <mergeCell ref="Y67:Z67"/>
    <mergeCell ref="C68:D68"/>
    <mergeCell ref="Y68:Z68"/>
    <mergeCell ref="C69:D69"/>
    <mergeCell ref="AC59:AC65"/>
    <mergeCell ref="C60:D60"/>
    <mergeCell ref="Y60:Z60"/>
    <mergeCell ref="C61:D61"/>
    <mergeCell ref="C64:D64"/>
    <mergeCell ref="Y64:Z64"/>
    <mergeCell ref="C65:D65"/>
    <mergeCell ref="Y65:Z65"/>
    <mergeCell ref="Y69:Z69"/>
    <mergeCell ref="C70:D70"/>
    <mergeCell ref="Y70:Z70"/>
    <mergeCell ref="A71:A79"/>
    <mergeCell ref="C71:D71"/>
    <mergeCell ref="R71:R79"/>
    <mergeCell ref="Y71:Z71"/>
    <mergeCell ref="Y76:Z76"/>
    <mergeCell ref="C77:D77"/>
    <mergeCell ref="Y77:Z77"/>
    <mergeCell ref="A66:A70"/>
    <mergeCell ref="C66:D66"/>
    <mergeCell ref="R66:R70"/>
    <mergeCell ref="Y66:Z66"/>
    <mergeCell ref="C78:D78"/>
    <mergeCell ref="Y78:Z78"/>
    <mergeCell ref="C79:D79"/>
    <mergeCell ref="Y79:Z79"/>
    <mergeCell ref="AC71:AC79"/>
    <mergeCell ref="C72:D72"/>
    <mergeCell ref="Y72:Z72"/>
    <mergeCell ref="C73:D73"/>
    <mergeCell ref="Y73:Z73"/>
    <mergeCell ref="C74:D74"/>
    <mergeCell ref="Y74:Z74"/>
    <mergeCell ref="C75:D75"/>
    <mergeCell ref="Y75:Z75"/>
    <mergeCell ref="C76:D76"/>
  </mergeCells>
  <phoneticPr fontId="3" type="noConversion"/>
  <conditionalFormatting sqref="O69:O76 O79 O5:O11 O13:O15 O58:O66 O20:O54">
    <cfRule type="cellIs" dxfId="1448" priority="68" operator="greaterThan">
      <formula>0</formula>
    </cfRule>
  </conditionalFormatting>
  <conditionalFormatting sqref="P5:P9 P69 AA69 P71:P76 P31:P38 P66 P11 P13:P15 P21:P29 P59:P64 P40:P54 AA5:AA66 AA71:AA79">
    <cfRule type="cellIs" dxfId="1447" priority="72" operator="lessThan">
      <formula>0</formula>
    </cfRule>
  </conditionalFormatting>
  <conditionalFormatting sqref="AB69 Q69:Q76 Q79 Q5:Q11 Q13:Q15 Q58:Q66 Q20:Q54 AB5:AB66 AB71:AB79">
    <cfRule type="cellIs" dxfId="1446" priority="69" operator="greaterThan">
      <formula>1</formula>
    </cfRule>
    <cfRule type="cellIs" dxfId="1445" priority="70" operator="lessThan">
      <formula>0.8</formula>
    </cfRule>
  </conditionalFormatting>
  <conditionalFormatting sqref="AC14:AC15 R14:R15 AC69 R69:R76 R20:R26 AC20:AC26 R79 AC5:AC11 R5:R11 R30:R54 AC30:AC54 AC58:AC66 R58:R66">
    <cfRule type="cellIs" dxfId="1444" priority="74" operator="lessThan">
      <formula>0.8</formula>
    </cfRule>
  </conditionalFormatting>
  <conditionalFormatting sqref="AC49">
    <cfRule type="cellIs" dxfId="1443" priority="76" operator="lessThan">
      <formula>0.8</formula>
    </cfRule>
  </conditionalFormatting>
  <conditionalFormatting sqref="AC21:AC26">
    <cfRule type="cellIs" dxfId="1442" priority="73" operator="lessThan">
      <formula>0.8</formula>
    </cfRule>
  </conditionalFormatting>
  <conditionalFormatting sqref="AC31">
    <cfRule type="cellIs" dxfId="1441" priority="75" operator="lessThan">
      <formula>0.8</formula>
    </cfRule>
  </conditionalFormatting>
  <conditionalFormatting sqref="AC40:AC47">
    <cfRule type="cellIs" dxfId="1440" priority="71" operator="lessThan">
      <formula>0.8</formula>
    </cfRule>
  </conditionalFormatting>
  <conditionalFormatting sqref="AA70">
    <cfRule type="cellIs" dxfId="1439" priority="67" operator="lessThan">
      <formula>0</formula>
    </cfRule>
  </conditionalFormatting>
  <conditionalFormatting sqref="AB70">
    <cfRule type="cellIs" dxfId="1438" priority="65" operator="greaterThan">
      <formula>1</formula>
    </cfRule>
    <cfRule type="cellIs" dxfId="1437" priority="66" operator="lessThan">
      <formula>0.8</formula>
    </cfRule>
  </conditionalFormatting>
  <conditionalFormatting sqref="O16:O17">
    <cfRule type="cellIs" dxfId="1436" priority="60" operator="greaterThan">
      <formula>0</formula>
    </cfRule>
  </conditionalFormatting>
  <conditionalFormatting sqref="P16:P17">
    <cfRule type="cellIs" dxfId="1435" priority="63" operator="lessThan">
      <formula>0</formula>
    </cfRule>
  </conditionalFormatting>
  <conditionalFormatting sqref="Q16:Q17">
    <cfRule type="cellIs" dxfId="1434" priority="61" operator="greaterThan">
      <formula>1</formula>
    </cfRule>
    <cfRule type="cellIs" dxfId="1433" priority="62" operator="lessThan">
      <formula>0.8</formula>
    </cfRule>
  </conditionalFormatting>
  <conditionalFormatting sqref="R16:R17 AC16:AC17">
    <cfRule type="cellIs" dxfId="1432" priority="64" operator="lessThan">
      <formula>0.8</formula>
    </cfRule>
  </conditionalFormatting>
  <conditionalFormatting sqref="O12">
    <cfRule type="cellIs" dxfId="1431" priority="56" operator="greaterThan">
      <formula>0</formula>
    </cfRule>
  </conditionalFormatting>
  <conditionalFormatting sqref="P12">
    <cfRule type="cellIs" dxfId="1430" priority="59" operator="lessThan">
      <formula>0</formula>
    </cfRule>
  </conditionalFormatting>
  <conditionalFormatting sqref="Q12">
    <cfRule type="cellIs" dxfId="1429" priority="57" operator="greaterThan">
      <formula>1</formula>
    </cfRule>
    <cfRule type="cellIs" dxfId="1428" priority="58" operator="lessThan">
      <formula>0.8</formula>
    </cfRule>
  </conditionalFormatting>
  <conditionalFormatting sqref="AC28 R28">
    <cfRule type="cellIs" dxfId="1427" priority="55" operator="lessThan">
      <formula>0.8</formula>
    </cfRule>
  </conditionalFormatting>
  <conditionalFormatting sqref="O68">
    <cfRule type="cellIs" dxfId="1426" priority="50" operator="greaterThan">
      <formula>0</formula>
    </cfRule>
  </conditionalFormatting>
  <conditionalFormatting sqref="P68 AA68">
    <cfRule type="cellIs" dxfId="1425" priority="53" operator="lessThan">
      <formula>0</formula>
    </cfRule>
  </conditionalFormatting>
  <conditionalFormatting sqref="Q68 AB68">
    <cfRule type="cellIs" dxfId="1424" priority="51" operator="greaterThan">
      <formula>1</formula>
    </cfRule>
    <cfRule type="cellIs" dxfId="1423" priority="52" operator="lessThan">
      <formula>0.8</formula>
    </cfRule>
  </conditionalFormatting>
  <conditionalFormatting sqref="R68 AC68">
    <cfRule type="cellIs" dxfId="1422" priority="54" operator="lessThan">
      <formula>0.8</formula>
    </cfRule>
  </conditionalFormatting>
  <conditionalFormatting sqref="O77">
    <cfRule type="cellIs" dxfId="1421" priority="45" operator="greaterThan">
      <formula>0</formula>
    </cfRule>
  </conditionalFormatting>
  <conditionalFormatting sqref="P77">
    <cfRule type="cellIs" dxfId="1420" priority="48" operator="lessThan">
      <formula>0</formula>
    </cfRule>
  </conditionalFormatting>
  <conditionalFormatting sqref="Q77">
    <cfRule type="cellIs" dxfId="1419" priority="46" operator="greaterThan">
      <formula>1</formula>
    </cfRule>
    <cfRule type="cellIs" dxfId="1418" priority="47" operator="lessThan">
      <formula>0.8</formula>
    </cfRule>
  </conditionalFormatting>
  <conditionalFormatting sqref="R77">
    <cfRule type="cellIs" dxfId="1417" priority="49" operator="lessThan">
      <formula>0.8</formula>
    </cfRule>
  </conditionalFormatting>
  <conditionalFormatting sqref="O18:O19">
    <cfRule type="cellIs" dxfId="1416" priority="40" operator="greaterThan">
      <formula>0</formula>
    </cfRule>
  </conditionalFormatting>
  <conditionalFormatting sqref="P18:P19">
    <cfRule type="cellIs" dxfId="1415" priority="43" operator="lessThan">
      <formula>0</formula>
    </cfRule>
  </conditionalFormatting>
  <conditionalFormatting sqref="Q18:Q19">
    <cfRule type="cellIs" dxfId="1414" priority="41" operator="greaterThan">
      <formula>1</formula>
    </cfRule>
    <cfRule type="cellIs" dxfId="1413" priority="42" operator="lessThan">
      <formula>0.8</formula>
    </cfRule>
  </conditionalFormatting>
  <conditionalFormatting sqref="R18:R19 AC18:AC19">
    <cfRule type="cellIs" dxfId="1412" priority="44" operator="lessThan">
      <formula>0.8</formula>
    </cfRule>
  </conditionalFormatting>
  <conditionalFormatting sqref="O55">
    <cfRule type="cellIs" dxfId="1411" priority="34" operator="greaterThan">
      <formula>0</formula>
    </cfRule>
  </conditionalFormatting>
  <conditionalFormatting sqref="P55">
    <cfRule type="cellIs" dxfId="1410" priority="38" operator="lessThan">
      <formula>0</formula>
    </cfRule>
  </conditionalFormatting>
  <conditionalFormatting sqref="Q55">
    <cfRule type="cellIs" dxfId="1409" priority="35" operator="greaterThan">
      <formula>1</formula>
    </cfRule>
    <cfRule type="cellIs" dxfId="1408" priority="36" operator="lessThan">
      <formula>0.8</formula>
    </cfRule>
  </conditionalFormatting>
  <conditionalFormatting sqref="R55 AC55">
    <cfRule type="cellIs" dxfId="1407" priority="39" operator="lessThan">
      <formula>0.8</formula>
    </cfRule>
  </conditionalFormatting>
  <conditionalFormatting sqref="AC55">
    <cfRule type="cellIs" dxfId="1406" priority="37" operator="lessThan">
      <formula>0.8</formula>
    </cfRule>
  </conditionalFormatting>
  <conditionalFormatting sqref="O56">
    <cfRule type="cellIs" dxfId="1405" priority="28" operator="greaterThan">
      <formula>0</formula>
    </cfRule>
  </conditionalFormatting>
  <conditionalFormatting sqref="P56">
    <cfRule type="cellIs" dxfId="1404" priority="32" operator="lessThan">
      <formula>0</formula>
    </cfRule>
  </conditionalFormatting>
  <conditionalFormatting sqref="Q56">
    <cfRule type="cellIs" dxfId="1403" priority="29" operator="greaterThan">
      <formula>1</formula>
    </cfRule>
    <cfRule type="cellIs" dxfId="1402" priority="30" operator="lessThan">
      <formula>0.8</formula>
    </cfRule>
  </conditionalFormatting>
  <conditionalFormatting sqref="R56 AC56">
    <cfRule type="cellIs" dxfId="1401" priority="33" operator="lessThan">
      <formula>0.8</formula>
    </cfRule>
  </conditionalFormatting>
  <conditionalFormatting sqref="AC56">
    <cfRule type="cellIs" dxfId="1400" priority="31" operator="lessThan">
      <formula>0.8</formula>
    </cfRule>
  </conditionalFormatting>
  <conditionalFormatting sqref="AC29 R29">
    <cfRule type="cellIs" dxfId="1399" priority="27" operator="lessThan">
      <formula>0.8</formula>
    </cfRule>
  </conditionalFormatting>
  <conditionalFormatting sqref="R27 AC27">
    <cfRule type="cellIs" dxfId="1398" priority="26" operator="lessThan">
      <formula>0.8</formula>
    </cfRule>
  </conditionalFormatting>
  <conditionalFormatting sqref="AC27">
    <cfRule type="cellIs" dxfId="1397" priority="25" operator="lessThan">
      <formula>0.8</formula>
    </cfRule>
  </conditionalFormatting>
  <conditionalFormatting sqref="O57">
    <cfRule type="cellIs" dxfId="1396" priority="19" operator="greaterThan">
      <formula>0</formula>
    </cfRule>
  </conditionalFormatting>
  <conditionalFormatting sqref="P57">
    <cfRule type="cellIs" dxfId="1395" priority="23" operator="lessThan">
      <formula>0</formula>
    </cfRule>
  </conditionalFormatting>
  <conditionalFormatting sqref="Q57">
    <cfRule type="cellIs" dxfId="1394" priority="20" operator="greaterThan">
      <formula>1</formula>
    </cfRule>
    <cfRule type="cellIs" dxfId="1393" priority="21" operator="lessThan">
      <formula>0.8</formula>
    </cfRule>
  </conditionalFormatting>
  <conditionalFormatting sqref="R57 AC57">
    <cfRule type="cellIs" dxfId="1392" priority="24" operator="lessThan">
      <formula>0.8</formula>
    </cfRule>
  </conditionalFormatting>
  <conditionalFormatting sqref="AC57">
    <cfRule type="cellIs" dxfId="1391" priority="22" operator="lessThan">
      <formula>0.8</formula>
    </cfRule>
  </conditionalFormatting>
  <conditionalFormatting sqref="O67">
    <cfRule type="cellIs" dxfId="1390" priority="14" operator="greaterThan">
      <formula>0</formula>
    </cfRule>
  </conditionalFormatting>
  <conditionalFormatting sqref="P67 AA67">
    <cfRule type="cellIs" dxfId="1389" priority="17" operator="lessThan">
      <formula>0</formula>
    </cfRule>
  </conditionalFormatting>
  <conditionalFormatting sqref="Q67 AB67">
    <cfRule type="cellIs" dxfId="1388" priority="15" operator="greaterThan">
      <formula>1</formula>
    </cfRule>
    <cfRule type="cellIs" dxfId="1387" priority="16" operator="lessThan">
      <formula>0.8</formula>
    </cfRule>
  </conditionalFormatting>
  <conditionalFormatting sqref="R67 AC67">
    <cfRule type="cellIs" dxfId="1386" priority="18" operator="lessThan">
      <formula>0.8</formula>
    </cfRule>
  </conditionalFormatting>
  <conditionalFormatting sqref="P10">
    <cfRule type="cellIs" dxfId="1385" priority="13" operator="lessThan">
      <formula>0</formula>
    </cfRule>
  </conditionalFormatting>
  <conditionalFormatting sqref="P20">
    <cfRule type="cellIs" dxfId="1384" priority="12" operator="lessThan">
      <formula>0</formula>
    </cfRule>
  </conditionalFormatting>
  <conditionalFormatting sqref="P30">
    <cfRule type="cellIs" dxfId="1383" priority="11" operator="lessThan">
      <formula>0</formula>
    </cfRule>
  </conditionalFormatting>
  <conditionalFormatting sqref="P39">
    <cfRule type="cellIs" dxfId="1382" priority="10" operator="lessThan">
      <formula>0</formula>
    </cfRule>
  </conditionalFormatting>
  <conditionalFormatting sqref="P58">
    <cfRule type="cellIs" dxfId="1381" priority="9" operator="lessThan">
      <formula>0</formula>
    </cfRule>
  </conditionalFormatting>
  <conditionalFormatting sqref="P65">
    <cfRule type="cellIs" dxfId="1380" priority="8" operator="lessThan">
      <formula>0</formula>
    </cfRule>
  </conditionalFormatting>
  <conditionalFormatting sqref="P70">
    <cfRule type="cellIs" dxfId="1379" priority="7" operator="lessThan">
      <formula>0</formula>
    </cfRule>
  </conditionalFormatting>
  <conditionalFormatting sqref="P79">
    <cfRule type="cellIs" dxfId="1378" priority="6" operator="lessThan">
      <formula>0</formula>
    </cfRule>
  </conditionalFormatting>
  <conditionalFormatting sqref="O78">
    <cfRule type="cellIs" dxfId="1377" priority="1" operator="greaterThan">
      <formula>0</formula>
    </cfRule>
  </conditionalFormatting>
  <conditionalFormatting sqref="P78">
    <cfRule type="cellIs" dxfId="1376" priority="4" operator="lessThan">
      <formula>0</formula>
    </cfRule>
  </conditionalFormatting>
  <conditionalFormatting sqref="Q78">
    <cfRule type="cellIs" dxfId="1375" priority="2" operator="greaterThan">
      <formula>1</formula>
    </cfRule>
    <cfRule type="cellIs" dxfId="1374" priority="3" operator="lessThan">
      <formula>0.8</formula>
    </cfRule>
  </conditionalFormatting>
  <conditionalFormatting sqref="R78">
    <cfRule type="cellIs" dxfId="1373" priority="5" operator="lessThan">
      <formula>0.8</formula>
    </cfRule>
  </conditionalFormatting>
  <dataValidations count="1">
    <dataValidation type="list" allowBlank="1" showInputMessage="1" showErrorMessage="1" sqref="Z10 Y5:Z9 Y10:Y69 Z12:Z66 Y70:Z7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1332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88</v>
      </c>
      <c r="C3" s="497" t="str">
        <f>TEXT('1116 4度C'!A2,"yyyy.mm.ddaaaa")</f>
        <v>2025.11.16星期日</v>
      </c>
      <c r="D3" s="498"/>
      <c r="E3" s="4" t="s">
        <v>1333</v>
      </c>
      <c r="F3" s="499">
        <f>'1116 4度C'!D1</f>
        <v>207286</v>
      </c>
      <c r="G3" s="500"/>
      <c r="H3" s="4" t="s">
        <v>1334</v>
      </c>
      <c r="I3" s="501">
        <f>'1116 4度C'!F1</f>
        <v>6960029.0699999994</v>
      </c>
      <c r="J3" s="502"/>
      <c r="K3" s="5"/>
      <c r="L3" s="6"/>
      <c r="M3" s="7"/>
      <c r="N3" s="7"/>
    </row>
    <row r="4" spans="2:17" ht="28.5" customHeight="1">
      <c r="B4" s="503" t="s">
        <v>1335</v>
      </c>
      <c r="C4" s="485" t="s">
        <v>1336</v>
      </c>
      <c r="D4" s="486"/>
      <c r="E4" s="506" t="s">
        <v>1337</v>
      </c>
      <c r="F4" s="507"/>
      <c r="G4" s="506" t="s">
        <v>1338</v>
      </c>
      <c r="H4" s="507"/>
      <c r="I4" s="506" t="s">
        <v>1339</v>
      </c>
      <c r="J4" s="507"/>
      <c r="L4" s="7"/>
      <c r="M4" s="7"/>
      <c r="N4" s="7"/>
    </row>
    <row r="5" spans="2:17" ht="28.5" customHeight="1">
      <c r="B5" s="504"/>
      <c r="C5" s="485" t="s">
        <v>1340</v>
      </c>
      <c r="D5" s="486"/>
      <c r="E5" s="485" t="s">
        <v>1341</v>
      </c>
      <c r="F5" s="486"/>
      <c r="G5" s="487" t="s">
        <v>98</v>
      </c>
      <c r="H5" s="488"/>
      <c r="I5" s="489" t="s">
        <v>1342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152.29647493360915</v>
      </c>
      <c r="F6" s="492">
        <f>AVERAGE(D27:O27,D13:J13)</f>
        <v>158.09313781146349</v>
      </c>
      <c r="G6" s="493">
        <f>AVERAGE(D13:J13)</f>
        <v>158.09313781146349</v>
      </c>
      <c r="H6" s="494"/>
      <c r="I6" s="493">
        <f>AVERAGE(K13:M13)</f>
        <v>138.77092821861569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145.77934034938548</v>
      </c>
      <c r="F7" s="478">
        <f>AVERAGE(D28:O28,D14:J14)</f>
        <v>151.50051686368715</v>
      </c>
      <c r="G7" s="479">
        <f>AVERAGE(D14:J14)</f>
        <v>151.50051686368715</v>
      </c>
      <c r="H7" s="480"/>
      <c r="I7" s="479">
        <f>AVERAGE(K14:M14)</f>
        <v>132.4299284826815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0.95674976742819751</v>
      </c>
      <c r="F8" s="482">
        <f>AVERAGE(D15:J15,D29:O29)</f>
        <v>0.95779553432484565</v>
      </c>
      <c r="G8" s="483">
        <f>AVERAGE(D15:J15)</f>
        <v>0.95779553432484565</v>
      </c>
      <c r="H8" s="484"/>
      <c r="I8" s="483">
        <f>AVERAGE(K15:M15)</f>
        <v>0.95430964466935164</v>
      </c>
      <c r="J8" s="484"/>
      <c r="K8" s="8" t="s">
        <v>1343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1344</v>
      </c>
      <c r="C10" s="459"/>
      <c r="D10" s="460" t="s">
        <v>101</v>
      </c>
      <c r="E10" s="461"/>
      <c r="F10" s="461"/>
      <c r="G10" s="461"/>
      <c r="H10" s="461"/>
      <c r="I10" s="461"/>
      <c r="J10" s="462"/>
      <c r="K10" s="463" t="s">
        <v>102</v>
      </c>
      <c r="L10" s="464"/>
      <c r="M10" s="465"/>
      <c r="P10" s="11"/>
      <c r="Q10" s="11"/>
    </row>
    <row r="11" spans="2:17" ht="17.25" customHeight="1">
      <c r="B11" s="466" t="s">
        <v>103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1345</v>
      </c>
      <c r="C13" s="18" t="s">
        <v>1346</v>
      </c>
      <c r="D13" s="19">
        <f>SUMIFS('1116 4度C'!$K:$K,'1116 4度C'!$A:$A,"新豐6線",'1116 4度C'!$B:$B,"平均")</f>
        <v>137.93103448275863</v>
      </c>
      <c r="E13" s="20">
        <f>SUMIFS('1116 4度C'!$K:$K,'1116 4度C'!$A:$A,"新豐2線",'1116 4度C'!$B:$B,"平均")</f>
        <v>81.081081081081081</v>
      </c>
      <c r="F13" s="21">
        <f>SUMIFS('1116 4度C'!$K:$K,'1116 4度C'!$A:$A,"新豐5線",'1116 4度C'!$B:$B,"平均")</f>
        <v>91.397849462365585</v>
      </c>
      <c r="G13" s="21">
        <f>SUMIFS('1116 4度C'!$K:$K,'1116 4度C'!$A:$A,"新豐7線",'1116 4度C'!$B:$B,"平均")</f>
        <v>116.66666666666666</v>
      </c>
      <c r="H13" s="21">
        <f>SUMIFS('1116 4度C'!$K:$K,'1116 4度C'!$A:$A,"新豐3線",'1116 4度C'!$B:$B,"平均")</f>
        <v>265.95744680851061</v>
      </c>
      <c r="I13" s="21">
        <f>SUMIFS('1116 4度C'!$K:$K,'1116 4度C'!$A:$A,"新豐1線",'1116 4度C'!$B:$B,"平均")</f>
        <v>121.95121951219514</v>
      </c>
      <c r="J13" s="22">
        <f>SUMIFS('1116 4度C'!$K:$K,'1116 4度C'!$A:$A,"新豐10線",'1116 4度C'!$B:$B,"平均")</f>
        <v>291.66666666666669</v>
      </c>
      <c r="K13" s="23">
        <f>SUMIFS('1116 4度C'!$K:$K,'1116 4度C'!$A:$A,"新豐8線",'1116 4度C'!$B:$B,"平均")</f>
        <v>128.57142857142856</v>
      </c>
      <c r="L13" s="24">
        <f>SUMIFS('1116 4度C'!$K:$K,'1116 4度C'!$A:$A,"新豐9線",'1116 4度C'!$B:$B,"平均")</f>
        <v>141.1764705882353</v>
      </c>
      <c r="M13" s="22">
        <f>SUMIFS('1116 4度C'!$K:$K,'1116 4度C'!$A:$A,"新豐4線",'1116 4度C'!$B:$B,"平均")</f>
        <v>146.56488549618319</v>
      </c>
    </row>
    <row r="14" spans="2:17" ht="39.6" customHeight="1">
      <c r="B14" s="471"/>
      <c r="C14" s="25" t="s">
        <v>105</v>
      </c>
      <c r="D14" s="26">
        <f>SUMIFS('1116 4度C'!$N:$N,'1116 4度C'!$A:$A,"新豐6線",'1116 4度C'!$B:$B,"平均")</f>
        <v>132.53343226839198</v>
      </c>
      <c r="E14" s="27">
        <f>SUMIFS('1116 4度C'!$N:$N,'1116 4度C'!$A:$A,"新豐2線",'1116 4度C'!$B:$B,"平均")</f>
        <v>77.361230294984253</v>
      </c>
      <c r="F14" s="27">
        <f>SUMIFS('1116 4度C'!$N:$N,'1116 4度C'!$A:$A,"新豐5線",'1116 4度C'!$B:$B,"平均")</f>
        <v>87.300221338023917</v>
      </c>
      <c r="G14" s="27">
        <f>SUMIFS('1116 4度C'!$N:$N,'1116 4度C'!$A:$A,"新豐7線",'1116 4度C'!$B:$B,"平均")</f>
        <v>111.73880573752965</v>
      </c>
      <c r="H14" s="27">
        <f>SUMIFS('1116 4度C'!$N:$N,'1116 4度C'!$A:$A,"新豐3線",'1116 4度C'!$B:$B,"平均")</f>
        <v>255.02737677496648</v>
      </c>
      <c r="I14" s="27">
        <f>SUMIFS('1116 4度C'!$N:$N,'1116 4度C'!$A:$A,"新豐1線",'1116 4度C'!$B:$B,"平均")</f>
        <v>116.98253230427989</v>
      </c>
      <c r="J14" s="28">
        <f>SUMIFS('1116 4度C'!$N:$N,'1116 4度C'!$A:$A,"新豐10線",'1116 4度C'!$B:$B,"平均")</f>
        <v>279.56001932763405</v>
      </c>
      <c r="K14" s="29">
        <f>SUMIFS('1116 4度C'!$N:$N,'1116 4度C'!$A:$A,"新豐8線",'1116 4度C'!$B:$B,"平均")</f>
        <v>122.69935574303726</v>
      </c>
      <c r="L14" s="30">
        <f>SUMIFS('1116 4度C'!$N:$N,'1116 4度C'!$A:$A,"新豐9線",'1116 4度C'!$B:$B,"平均")</f>
        <v>134.75709012769511</v>
      </c>
      <c r="M14" s="28">
        <f>SUMIFS('1116 4度C'!$N:$N,'1116 4度C'!$A:$A,"新豐4線",'1116 4度C'!$B:$B,"平均")</f>
        <v>139.83333957731216</v>
      </c>
    </row>
    <row r="15" spans="2:17" ht="40.15" customHeight="1">
      <c r="B15" s="472"/>
      <c r="C15" s="31" t="s">
        <v>276</v>
      </c>
      <c r="D15" s="32">
        <f t="shared" ref="D15:M15" si="0">D14/D13</f>
        <v>0.9608673839458417</v>
      </c>
      <c r="E15" s="33">
        <f t="shared" si="0"/>
        <v>0.95412184030480585</v>
      </c>
      <c r="F15" s="33">
        <f t="shared" si="0"/>
        <v>0.9551671275807323</v>
      </c>
      <c r="G15" s="33">
        <f t="shared" si="0"/>
        <v>0.95776119203596843</v>
      </c>
      <c r="H15" s="33">
        <f t="shared" si="0"/>
        <v>0.95890293667387405</v>
      </c>
      <c r="I15" s="33">
        <f t="shared" si="0"/>
        <v>0.95925676489509493</v>
      </c>
      <c r="J15" s="34">
        <f t="shared" si="0"/>
        <v>0.95849149483760243</v>
      </c>
      <c r="K15" s="32">
        <f t="shared" si="0"/>
        <v>0.95432832244584542</v>
      </c>
      <c r="L15" s="33">
        <f t="shared" si="0"/>
        <v>0.95452938840450696</v>
      </c>
      <c r="M15" s="34">
        <f t="shared" si="0"/>
        <v>0.95407122315770287</v>
      </c>
    </row>
    <row r="16" spans="2:17" ht="17.25" customHeight="1">
      <c r="B16" s="473" t="s">
        <v>107</v>
      </c>
      <c r="C16" s="35" t="s">
        <v>69</v>
      </c>
      <c r="D16" s="49">
        <f>VLOOKUP("新豐6線",'1116 4度C'!$A:$T,19,0)</f>
        <v>0.70833333333333337</v>
      </c>
      <c r="E16" s="50">
        <f>VLOOKUP("新豐2線",'1116 4度C'!$A:$T,19,0)</f>
        <v>0.20833333333333334</v>
      </c>
      <c r="F16" s="50">
        <f>VLOOKUP("新豐5線",'1116 4度C'!$A:$T,19,0)</f>
        <v>0.125</v>
      </c>
      <c r="G16" s="50">
        <f>VLOOKUP("新豐7線",'1116 4度C'!$A:$T,19,0)</f>
        <v>0.20833333333333334</v>
      </c>
      <c r="H16" s="50">
        <f>VLOOKUP("新豐3線",'1116 4度C'!$A:$T,19,0)</f>
        <v>8.3333333333333329E-2</v>
      </c>
      <c r="I16" s="50">
        <f>VLOOKUP("新豐1線",'1116 4度C'!$A:$T,19,0)</f>
        <v>0.20833333333333334</v>
      </c>
      <c r="J16" s="51">
        <f>VLOOKUP("新豐10線",'1116 4度C'!$A:$T,19,0)</f>
        <v>0.20833333333333334</v>
      </c>
      <c r="K16" s="36">
        <f>VLOOKUP("新豐8線",'1116 4度C'!$A:$T,19,0)</f>
        <v>8.3333333333333329E-2</v>
      </c>
      <c r="L16" s="37">
        <f>VLOOKUP("新豐9線",'1116 4度C'!$A:$T,19,0)</f>
        <v>8.3333333333333329E-2</v>
      </c>
      <c r="M16" s="38">
        <f>VLOOKUP("新豐4線",'1116 4度C'!$A:$T,19,0)</f>
        <v>8.3333333333333329E-2</v>
      </c>
    </row>
    <row r="17" spans="2:13" ht="17.25" customHeight="1">
      <c r="B17" s="474"/>
      <c r="C17" s="35" t="s">
        <v>1347</v>
      </c>
      <c r="D17" s="36">
        <f>LOOKUP(2,1/(('1116 4度C'!$A:$A="新豐6線")*('1116 4度C'!$T:$T&lt;&gt;"")),'1116 4度C'!$T:$T)</f>
        <v>0.92847222222222214</v>
      </c>
      <c r="E17" s="50">
        <f>LOOKUP(2,1/(('1116 4度C'!$A:$A="新豐2線")*('1116 4度C'!$T:$T&lt;&gt;"")),'1116 4度C'!$T:$T)</f>
        <v>0.48749999999999999</v>
      </c>
      <c r="F17" s="50">
        <f>LOOKUP(2,1/(('1116 4度C'!$A:$A="新豐5線")*('1116 4度C'!$T:$T&lt;&gt;"")),'1116 4度C'!$T:$T)</f>
        <v>0.87013888888888902</v>
      </c>
      <c r="G17" s="50">
        <f>LOOKUP(2,1/(('1116 4度C'!$A:$A="新豐7線")*('1116 4度C'!$T:$T&lt;&gt;"")),'1116 4度C'!$T:$T)</f>
        <v>0.92291666666666672</v>
      </c>
      <c r="H17" s="50">
        <f>LOOKUP(2,1/(('1116 4度C'!$A:$A="新豐3線")*('1116 4度C'!$T:$T&lt;&gt;"")),'1116 4度C'!$T:$T)</f>
        <v>0.65555555555555534</v>
      </c>
      <c r="I17" s="50">
        <f>LOOKUP(2,1/(('1116 4度C'!$A:$A="新豐1線")*('1116 4度C'!$T:$T&lt;&gt;"")),'1116 4度C'!$T:$T)</f>
        <v>0.84166666666666667</v>
      </c>
      <c r="J17" s="51">
        <f>LOOKUP(2,1/(('1116 4度C'!$A:$A="新豐10線")*('1116 4度C'!$T:$T&lt;&gt;"")),'1116 4度C'!$T:$T)</f>
        <v>0.46180555555555552</v>
      </c>
      <c r="K17" s="49">
        <f>LOOKUP(2,1/(('1116 4度C'!$A:$A="新豐8線")*('1116 4度C'!$T:$T&lt;&gt;"")),'1116 4度C'!$T:$T)</f>
        <v>0.78333333333333333</v>
      </c>
      <c r="L17" s="50">
        <f>LOOKUP(2,1/(('1116 4度C'!$A:$A="新豐9線")*('1116 4度C'!$T:$T&lt;&gt;"")),'1116 4度C'!$T:$T)</f>
        <v>0.78541666666666665</v>
      </c>
      <c r="M17" s="51">
        <f>LOOKUP(2,1/(('1116 4度C'!$A:$A="新豐4線")*('1116 4度C'!$T:$T&lt;&gt;"")),'1116 4度C'!$T:$T)</f>
        <v>0.72152777777777766</v>
      </c>
    </row>
    <row r="18" spans="2:13" ht="17.25" customHeight="1">
      <c r="B18" s="452" t="s">
        <v>1348</v>
      </c>
      <c r="C18" s="453"/>
      <c r="D18" s="39">
        <f>SUMIFS('1116 4度C'!$I:$I,'1116 4度C'!$A:$A,"新豐6線",'1116 4度C'!$B:$B,"平均")</f>
        <v>14.5</v>
      </c>
      <c r="E18" s="40">
        <f>SUMIFS('1116 4度C'!$I:$I,'1116 4度C'!$A:$A,"新豐2線",'1116 4度C'!$B:$B,"平均")</f>
        <v>18.5</v>
      </c>
      <c r="F18" s="40">
        <f>SUMIFS('1116 4度C'!$I:$I,'1116 4度C'!$A:$A,"新豐5線",'1116 4度C'!$B:$B,"平均")</f>
        <v>18.600000000000001</v>
      </c>
      <c r="G18" s="40">
        <f>SUMIFS('1116 4度C'!$I:$I,'1116 4度C'!$A:$A,"新豐7線",'1116 4度C'!$B:$B,"平均")</f>
        <v>16.666666666666668</v>
      </c>
      <c r="H18" s="40">
        <f>SUMIFS('1116 4度C'!$I:$I,'1116 4度C'!$A:$A,"新豐3線",'1116 4度C'!$B:$B,"平均")</f>
        <v>10.444444444444445</v>
      </c>
      <c r="I18" s="40">
        <f>SUMIFS('1116 4度C'!$I:$I,'1116 4度C'!$A:$A,"新豐1線",'1116 4度C'!$B:$B,"平均")</f>
        <v>16.399999999999999</v>
      </c>
      <c r="J18" s="41">
        <f>SUMIFS('1116 4度C'!$I:$I,'1116 4度C'!$A:$A,"新豐10線",'1116 4度C'!$B:$B,"平均")</f>
        <v>9</v>
      </c>
      <c r="K18" s="39">
        <f>SUMIFS('1116 4度C'!$I:$I,'1116 4度C'!$A:$A,"新豐8線",'1116 4度C'!$B:$B,"平均")</f>
        <v>18.666666666666668</v>
      </c>
      <c r="L18" s="40">
        <f>SUMIFS('1116 4度C'!$I:$I,'1116 4度C'!$A:$A,"新豐9線",'1116 4度C'!$B:$B,"平均")</f>
        <v>17</v>
      </c>
      <c r="M18" s="41">
        <f>SUMIFS('1116 4度C'!$I:$I,'1116 4度C'!$A:$A,"新豐4線",'1116 4度C'!$B:$B,"平均")</f>
        <v>16.375</v>
      </c>
    </row>
    <row r="19" spans="2:13" ht="17.25" customHeight="1">
      <c r="B19" s="452" t="s">
        <v>1349</v>
      </c>
      <c r="C19" s="453"/>
      <c r="D19" s="42" t="s">
        <v>65</v>
      </c>
      <c r="E19" s="43" t="s">
        <v>66</v>
      </c>
      <c r="F19" s="43" t="s">
        <v>1350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1351</v>
      </c>
      <c r="L19" s="43" t="s">
        <v>111</v>
      </c>
      <c r="M19" s="44" t="s">
        <v>1352</v>
      </c>
    </row>
    <row r="20" spans="2:13" ht="17.25" customHeight="1">
      <c r="B20" s="452" t="s">
        <v>1353</v>
      </c>
      <c r="C20" s="453"/>
      <c r="D20" s="42"/>
      <c r="E20" s="43"/>
      <c r="F20" s="43" t="s">
        <v>114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1354</v>
      </c>
      <c r="F21" s="456" t="s">
        <v>117</v>
      </c>
      <c r="G21" s="457"/>
      <c r="H21" s="46" t="s">
        <v>1355</v>
      </c>
      <c r="I21" s="46" t="s">
        <v>119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zoomScale="80" zoomScaleNormal="80" workbookViewId="0">
      <pane ySplit="4" topLeftCell="A41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1356</v>
      </c>
      <c r="B1" s="52"/>
      <c r="C1" s="53" t="s">
        <v>1357</v>
      </c>
      <c r="D1" s="54">
        <f>SUM(F5:F77)</f>
        <v>207286</v>
      </c>
      <c r="E1" s="258" t="s">
        <v>1358</v>
      </c>
      <c r="F1" s="52">
        <f>SUM(G5:G77)</f>
        <v>6960029.0699999994</v>
      </c>
      <c r="G1" s="52" t="s">
        <v>1359</v>
      </c>
      <c r="H1" s="55">
        <f>L9+L12+L57+L63+L18+L68+L38+L47+L28+L77</f>
        <v>156.15277777777777</v>
      </c>
      <c r="I1" s="556" t="s">
        <v>1360</v>
      </c>
      <c r="J1" s="556"/>
      <c r="K1" s="556"/>
      <c r="L1" s="556" t="s">
        <v>1361</v>
      </c>
      <c r="M1" s="556"/>
      <c r="N1" s="556"/>
      <c r="O1" s="556" t="s">
        <v>1362</v>
      </c>
      <c r="P1" s="556"/>
      <c r="Q1" s="556"/>
      <c r="R1" s="556"/>
      <c r="S1" s="556" t="s">
        <v>1363</v>
      </c>
      <c r="T1" s="556"/>
      <c r="U1" s="556"/>
      <c r="V1" s="556"/>
      <c r="W1" s="556"/>
      <c r="X1" s="556"/>
      <c r="Y1" s="556" t="s">
        <v>1364</v>
      </c>
      <c r="Z1" s="556"/>
      <c r="AA1" s="556" t="s">
        <v>1365</v>
      </c>
      <c r="AB1" s="557"/>
      <c r="AC1" s="557"/>
    </row>
    <row r="2" spans="1:29" ht="26.25" customHeight="1">
      <c r="A2" s="57">
        <v>45977</v>
      </c>
      <c r="B2" s="58" t="s">
        <v>213</v>
      </c>
      <c r="C2" s="53" t="s">
        <v>78</v>
      </c>
      <c r="D2" s="59">
        <f>AVERAGE(N9,N12,N57,N63,N18,N68,N28,N38,N47,N77)</f>
        <v>145.77934034938551</v>
      </c>
      <c r="E2" s="60" t="s">
        <v>0</v>
      </c>
      <c r="F2" s="61">
        <f>F1/D1</f>
        <v>33.576937516281852</v>
      </c>
      <c r="G2" s="52" t="s">
        <v>622</v>
      </c>
      <c r="H2" s="268">
        <f>COUNT(H5:H77)</f>
        <v>12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1366</v>
      </c>
      <c r="B3" s="510" t="s">
        <v>1367</v>
      </c>
      <c r="C3" s="510" t="s">
        <v>1368</v>
      </c>
      <c r="D3" s="510"/>
      <c r="E3" s="554" t="s">
        <v>1304</v>
      </c>
      <c r="F3" s="510" t="s">
        <v>1369</v>
      </c>
      <c r="G3" s="554" t="s">
        <v>1370</v>
      </c>
      <c r="H3" s="547" t="s">
        <v>1371</v>
      </c>
      <c r="I3" s="545" t="s">
        <v>397</v>
      </c>
      <c r="J3" s="550" t="s">
        <v>1372</v>
      </c>
      <c r="K3" s="552" t="s">
        <v>78</v>
      </c>
      <c r="L3" s="545" t="s">
        <v>397</v>
      </c>
      <c r="M3" s="550" t="s">
        <v>1372</v>
      </c>
      <c r="N3" s="552" t="s">
        <v>78</v>
      </c>
      <c r="O3" s="545" t="s">
        <v>397</v>
      </c>
      <c r="P3" s="552" t="s">
        <v>78</v>
      </c>
      <c r="Q3" s="551" t="s">
        <v>141</v>
      </c>
      <c r="R3" s="523" t="s">
        <v>1373</v>
      </c>
      <c r="S3" s="553" t="s">
        <v>1</v>
      </c>
      <c r="T3" s="553"/>
      <c r="U3" s="547" t="s">
        <v>2</v>
      </c>
      <c r="V3" s="547" t="s">
        <v>634</v>
      </c>
      <c r="W3" s="510" t="s">
        <v>1374</v>
      </c>
      <c r="X3" s="510"/>
      <c r="Y3" s="548" t="s">
        <v>1239</v>
      </c>
      <c r="Z3" s="549"/>
      <c r="AA3" s="550" t="s">
        <v>1372</v>
      </c>
      <c r="AB3" s="551" t="s">
        <v>141</v>
      </c>
      <c r="AC3" s="523" t="s">
        <v>1373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67" t="s">
        <v>3</v>
      </c>
      <c r="T4" s="267" t="s">
        <v>4</v>
      </c>
      <c r="U4" s="547"/>
      <c r="V4" s="547"/>
      <c r="W4" s="258" t="s">
        <v>1051</v>
      </c>
      <c r="X4" s="258" t="s">
        <v>1375</v>
      </c>
      <c r="Y4" s="549"/>
      <c r="Z4" s="549"/>
      <c r="AA4" s="550"/>
      <c r="AB4" s="551"/>
      <c r="AC4" s="523"/>
    </row>
    <row r="5" spans="1:29">
      <c r="A5" s="544" t="s">
        <v>1376</v>
      </c>
      <c r="B5" s="62" t="s">
        <v>6</v>
      </c>
      <c r="C5" s="546" t="s">
        <v>9</v>
      </c>
      <c r="D5" s="546"/>
      <c r="E5" s="62">
        <v>50.67</v>
      </c>
      <c r="F5" s="267">
        <v>2056</v>
      </c>
      <c r="G5" s="258">
        <f t="shared" ref="G5:G8" si="0">E5*F5</f>
        <v>104177.52</v>
      </c>
      <c r="H5" s="90" t="s">
        <v>5</v>
      </c>
      <c r="I5" s="265">
        <v>17</v>
      </c>
      <c r="J5" s="63">
        <v>2000</v>
      </c>
      <c r="K5" s="64">
        <f t="shared" ref="K5:K68" si="1">J5/I5</f>
        <v>117.64705882352941</v>
      </c>
      <c r="L5" s="265">
        <v>17</v>
      </c>
      <c r="M5" s="65">
        <f t="shared" ref="M5:M8" si="2">F5/V5*60</f>
        <v>1927.500000000002</v>
      </c>
      <c r="N5" s="64">
        <f t="shared" ref="N5:N68" si="3">M5/L5</f>
        <v>113.38235294117659</v>
      </c>
      <c r="O5" s="66">
        <f t="shared" ref="O5:O68" si="4">L5-I5</f>
        <v>0</v>
      </c>
      <c r="P5" s="67">
        <f t="shared" ref="P5:P68" si="5">N5-K5</f>
        <v>-4.2647058823528141</v>
      </c>
      <c r="Q5" s="257">
        <f t="shared" ref="Q5:Q68" si="6">N5/K5</f>
        <v>0.96375000000000111</v>
      </c>
      <c r="R5" s="511">
        <f>Q9</f>
        <v>0.9608673839458417</v>
      </c>
      <c r="S5" s="68">
        <v>0.70833333333333337</v>
      </c>
      <c r="T5" s="68">
        <v>0.75277777777777777</v>
      </c>
      <c r="U5" s="258"/>
      <c r="V5" s="266">
        <f t="shared" ref="V5:V8" si="7">(T5-S5)*24*60</f>
        <v>63.999999999999929</v>
      </c>
      <c r="W5" s="69"/>
      <c r="X5" s="70"/>
      <c r="Y5" s="510"/>
      <c r="Z5" s="510"/>
      <c r="AA5" s="66">
        <f t="shared" ref="AA5:AA68" si="8">M5-J5</f>
        <v>-72.499999999997954</v>
      </c>
      <c r="AB5" s="257">
        <f t="shared" ref="AB5:AB68" si="9">M5/J5</f>
        <v>0.96375000000000099</v>
      </c>
      <c r="AC5" s="511">
        <f>AB9</f>
        <v>0.96086738394584181</v>
      </c>
    </row>
    <row r="6" spans="1:29">
      <c r="A6" s="545" t="s">
        <v>1377</v>
      </c>
      <c r="B6" s="62" t="s">
        <v>6</v>
      </c>
      <c r="C6" s="546" t="s">
        <v>8</v>
      </c>
      <c r="D6" s="546"/>
      <c r="E6" s="62">
        <v>50.49</v>
      </c>
      <c r="F6" s="267">
        <v>2118</v>
      </c>
      <c r="G6" s="258">
        <f t="shared" si="0"/>
        <v>106937.82</v>
      </c>
      <c r="H6" s="90" t="s">
        <v>5</v>
      </c>
      <c r="I6" s="265">
        <v>15</v>
      </c>
      <c r="J6" s="63">
        <v>2000</v>
      </c>
      <c r="K6" s="64">
        <f t="shared" si="1"/>
        <v>133.33333333333334</v>
      </c>
      <c r="L6" s="265">
        <v>15</v>
      </c>
      <c r="M6" s="65">
        <f t="shared" si="2"/>
        <v>1925.454545454543</v>
      </c>
      <c r="N6" s="64">
        <f t="shared" si="3"/>
        <v>128.3636363636362</v>
      </c>
      <c r="O6" s="66">
        <f t="shared" si="4"/>
        <v>0</v>
      </c>
      <c r="P6" s="67">
        <f t="shared" si="5"/>
        <v>-4.9696969696971394</v>
      </c>
      <c r="Q6" s="257">
        <f t="shared" si="6"/>
        <v>0.96272727272727143</v>
      </c>
      <c r="R6" s="511"/>
      <c r="S6" s="68">
        <v>0.75694444444444442</v>
      </c>
      <c r="T6" s="68">
        <v>0.80277777777777781</v>
      </c>
      <c r="U6" s="258">
        <f t="shared" ref="U6:U8" si="10">IF(S6=TIME(17,0,0),"",(S6-T5)*24*60)</f>
        <v>5.9999999999999787</v>
      </c>
      <c r="V6" s="266">
        <f t="shared" si="7"/>
        <v>66.000000000000085</v>
      </c>
      <c r="W6" s="69"/>
      <c r="X6" s="69"/>
      <c r="Y6" s="510"/>
      <c r="Z6" s="510"/>
      <c r="AA6" s="66">
        <f t="shared" si="8"/>
        <v>-74.545454545457005</v>
      </c>
      <c r="AB6" s="257">
        <f t="shared" si="9"/>
        <v>0.96272727272727154</v>
      </c>
      <c r="AC6" s="511"/>
    </row>
    <row r="7" spans="1:29">
      <c r="A7" s="545" t="s">
        <v>1377</v>
      </c>
      <c r="B7" s="62" t="s">
        <v>6</v>
      </c>
      <c r="C7" s="539" t="s">
        <v>886</v>
      </c>
      <c r="D7" s="540"/>
      <c r="E7" s="62">
        <v>57.3</v>
      </c>
      <c r="F7" s="267">
        <v>1500</v>
      </c>
      <c r="G7" s="258">
        <f t="shared" si="0"/>
        <v>85950</v>
      </c>
      <c r="H7" s="90">
        <v>2</v>
      </c>
      <c r="I7" s="265">
        <v>13</v>
      </c>
      <c r="J7" s="63">
        <v>2000</v>
      </c>
      <c r="K7" s="64">
        <f t="shared" si="1"/>
        <v>153.84615384615384</v>
      </c>
      <c r="L7" s="265">
        <v>13</v>
      </c>
      <c r="M7" s="65">
        <f t="shared" si="2"/>
        <v>1914.8936170212769</v>
      </c>
      <c r="N7" s="64">
        <f t="shared" si="3"/>
        <v>147.29950900163669</v>
      </c>
      <c r="O7" s="66">
        <f t="shared" si="4"/>
        <v>0</v>
      </c>
      <c r="P7" s="67">
        <f t="shared" si="5"/>
        <v>-6.5466448445171466</v>
      </c>
      <c r="Q7" s="257">
        <f t="shared" si="6"/>
        <v>0.95744680851063857</v>
      </c>
      <c r="R7" s="511"/>
      <c r="S7" s="68">
        <v>0.80763888888888891</v>
      </c>
      <c r="T7" s="68">
        <v>0.84027777777777779</v>
      </c>
      <c r="U7" s="258">
        <f t="shared" si="10"/>
        <v>6.9999999999999751</v>
      </c>
      <c r="V7" s="266">
        <f t="shared" si="7"/>
        <v>46.999999999999993</v>
      </c>
      <c r="W7" s="69">
        <f>T7</f>
        <v>0.84027777777777779</v>
      </c>
      <c r="X7" s="69">
        <f>S8</f>
        <v>0.88263888888888886</v>
      </c>
      <c r="Y7" s="517"/>
      <c r="Z7" s="518"/>
      <c r="AA7" s="66">
        <f t="shared" si="8"/>
        <v>-85.106382978723104</v>
      </c>
      <c r="AB7" s="257">
        <f t="shared" si="9"/>
        <v>0.95744680851063846</v>
      </c>
      <c r="AC7" s="511"/>
    </row>
    <row r="8" spans="1:29">
      <c r="A8" s="545" t="s">
        <v>1377</v>
      </c>
      <c r="B8" s="62" t="s">
        <v>6</v>
      </c>
      <c r="C8" s="539" t="s">
        <v>886</v>
      </c>
      <c r="D8" s="540"/>
      <c r="E8" s="62">
        <v>57.3</v>
      </c>
      <c r="F8" s="267">
        <v>2111</v>
      </c>
      <c r="G8" s="258">
        <f t="shared" si="0"/>
        <v>120960.29999999999</v>
      </c>
      <c r="H8" s="90" t="s">
        <v>5</v>
      </c>
      <c r="I8" s="265">
        <v>13</v>
      </c>
      <c r="J8" s="63">
        <v>2000</v>
      </c>
      <c r="K8" s="64">
        <f t="shared" si="1"/>
        <v>153.84615384615384</v>
      </c>
      <c r="L8" s="265">
        <v>13</v>
      </c>
      <c r="M8" s="65">
        <f t="shared" si="2"/>
        <v>1919.0909090909113</v>
      </c>
      <c r="N8" s="64">
        <f t="shared" si="3"/>
        <v>147.6223776223778</v>
      </c>
      <c r="O8" s="66">
        <f t="shared" si="4"/>
        <v>0</v>
      </c>
      <c r="P8" s="67">
        <f t="shared" si="5"/>
        <v>-6.2237762237760421</v>
      </c>
      <c r="Q8" s="257">
        <f t="shared" si="6"/>
        <v>0.9595454545454557</v>
      </c>
      <c r="R8" s="511"/>
      <c r="S8" s="68">
        <v>0.88263888888888886</v>
      </c>
      <c r="T8" s="68">
        <v>0.92847222222222214</v>
      </c>
      <c r="U8" s="258">
        <f t="shared" si="10"/>
        <v>60.999999999999943</v>
      </c>
      <c r="V8" s="266">
        <f t="shared" si="7"/>
        <v>65.999999999999929</v>
      </c>
      <c r="W8" s="73"/>
      <c r="X8" s="73"/>
      <c r="Y8" s="517"/>
      <c r="Z8" s="518"/>
      <c r="AA8" s="66">
        <f t="shared" si="8"/>
        <v>-80.909090909088718</v>
      </c>
      <c r="AB8" s="257">
        <f t="shared" si="9"/>
        <v>0.95954545454545559</v>
      </c>
      <c r="AC8" s="511"/>
    </row>
    <row r="9" spans="1:29">
      <c r="A9" s="545" t="s">
        <v>1377</v>
      </c>
      <c r="B9" s="62" t="s">
        <v>79</v>
      </c>
      <c r="C9" s="513"/>
      <c r="D9" s="513"/>
      <c r="E9" s="259"/>
      <c r="F9" s="71"/>
      <c r="G9" s="64"/>
      <c r="H9" s="267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1921.7347678916835</v>
      </c>
      <c r="N9" s="64">
        <f t="shared" si="3"/>
        <v>132.53343226839198</v>
      </c>
      <c r="O9" s="66">
        <f t="shared" si="4"/>
        <v>0</v>
      </c>
      <c r="P9" s="67">
        <f t="shared" si="5"/>
        <v>-5.3976022143666569</v>
      </c>
      <c r="Q9" s="257">
        <f t="shared" si="6"/>
        <v>0.9608673839458417</v>
      </c>
      <c r="R9" s="511"/>
      <c r="S9" s="68"/>
      <c r="T9" s="68"/>
      <c r="U9" s="258"/>
      <c r="V9" s="266"/>
      <c r="W9" s="64"/>
      <c r="X9" s="64"/>
      <c r="Y9" s="510"/>
      <c r="Z9" s="510"/>
      <c r="AA9" s="66">
        <f t="shared" si="8"/>
        <v>-78.265232108316468</v>
      </c>
      <c r="AB9" s="257">
        <f t="shared" si="9"/>
        <v>0.96086738394584181</v>
      </c>
      <c r="AC9" s="511"/>
    </row>
    <row r="10" spans="1:29" ht="15.75" customHeight="1">
      <c r="A10" s="543" t="s">
        <v>1378</v>
      </c>
      <c r="B10" s="62" t="s">
        <v>10</v>
      </c>
      <c r="C10" s="539" t="s">
        <v>12</v>
      </c>
      <c r="D10" s="540"/>
      <c r="E10" s="62">
        <v>39.36</v>
      </c>
      <c r="F10" s="267">
        <v>1838</v>
      </c>
      <c r="G10" s="258">
        <f t="shared" ref="G10:G11" si="11">E10*F10</f>
        <v>72343.679999999993</v>
      </c>
      <c r="H10" s="90" t="s">
        <v>5</v>
      </c>
      <c r="I10" s="265">
        <v>20</v>
      </c>
      <c r="J10" s="63">
        <v>1500</v>
      </c>
      <c r="K10" s="64">
        <f t="shared" si="1"/>
        <v>75</v>
      </c>
      <c r="L10" s="265">
        <v>20</v>
      </c>
      <c r="M10" s="65">
        <f t="shared" ref="M10:M11" si="12">F10/V10*60</f>
        <v>1432.2077922077922</v>
      </c>
      <c r="N10" s="64">
        <f t="shared" si="3"/>
        <v>71.610389610389603</v>
      </c>
      <c r="O10" s="66">
        <f t="shared" si="4"/>
        <v>0</v>
      </c>
      <c r="P10" s="67">
        <f t="shared" si="5"/>
        <v>-3.3896103896103966</v>
      </c>
      <c r="Q10" s="257">
        <f t="shared" si="6"/>
        <v>0.95480519480519466</v>
      </c>
      <c r="R10" s="511">
        <f>Q12</f>
        <v>0.95412184030480585</v>
      </c>
      <c r="S10" s="68">
        <v>0.20833333333333334</v>
      </c>
      <c r="T10" s="68">
        <v>0.26180555555555557</v>
      </c>
      <c r="U10" s="258"/>
      <c r="V10" s="266">
        <f t="shared" ref="V10:V11" si="13">(T10-S10)*24*60</f>
        <v>77</v>
      </c>
      <c r="W10" s="69"/>
      <c r="X10" s="69"/>
      <c r="Y10" s="510"/>
      <c r="Z10" s="510"/>
      <c r="AA10" s="66">
        <f t="shared" si="8"/>
        <v>-67.792207792207819</v>
      </c>
      <c r="AB10" s="257">
        <f t="shared" si="9"/>
        <v>0.95480519480519477</v>
      </c>
      <c r="AC10" s="511">
        <f>AB12</f>
        <v>0.95412184030480574</v>
      </c>
    </row>
    <row r="11" spans="1:29" ht="15.75" customHeight="1">
      <c r="A11" s="543" t="s">
        <v>1378</v>
      </c>
      <c r="B11" s="62" t="s">
        <v>10</v>
      </c>
      <c r="C11" s="539" t="s">
        <v>11</v>
      </c>
      <c r="D11" s="540"/>
      <c r="E11" s="62">
        <v>39.799999999999997</v>
      </c>
      <c r="F11" s="267">
        <v>7556</v>
      </c>
      <c r="G11" s="258">
        <f t="shared" si="11"/>
        <v>300728.8</v>
      </c>
      <c r="H11" s="90" t="s">
        <v>5</v>
      </c>
      <c r="I11" s="265">
        <v>17</v>
      </c>
      <c r="J11" s="63">
        <v>1500</v>
      </c>
      <c r="K11" s="64">
        <f t="shared" si="1"/>
        <v>88.235294117647058</v>
      </c>
      <c r="L11" s="265">
        <v>17</v>
      </c>
      <c r="M11" s="65">
        <f t="shared" si="12"/>
        <v>1430.1577287066248</v>
      </c>
      <c r="N11" s="64">
        <f t="shared" si="3"/>
        <v>84.126925218036746</v>
      </c>
      <c r="O11" s="66">
        <f t="shared" si="4"/>
        <v>0</v>
      </c>
      <c r="P11" s="67">
        <f t="shared" si="5"/>
        <v>-4.108368899610312</v>
      </c>
      <c r="Q11" s="257">
        <f t="shared" si="6"/>
        <v>0.95343848580441648</v>
      </c>
      <c r="R11" s="511"/>
      <c r="S11" s="68">
        <v>0.2673611111111111</v>
      </c>
      <c r="T11" s="68">
        <v>0.48749999999999999</v>
      </c>
      <c r="U11" s="258">
        <f t="shared" ref="U11" si="14">IF(S11=TIME(17,0,0),"",(S11-T10)*24*60)</f>
        <v>7.9999999999999716</v>
      </c>
      <c r="V11" s="266">
        <f t="shared" si="13"/>
        <v>317</v>
      </c>
      <c r="W11" s="69"/>
      <c r="X11" s="69"/>
      <c r="Y11" s="510"/>
      <c r="Z11" s="510"/>
      <c r="AA11" s="66">
        <f t="shared" si="8"/>
        <v>-69.842271293375234</v>
      </c>
      <c r="AB11" s="257">
        <f t="shared" si="9"/>
        <v>0.95343848580441648</v>
      </c>
      <c r="AC11" s="511"/>
    </row>
    <row r="12" spans="1:29" ht="16.5" customHeight="1">
      <c r="A12" s="543" t="s">
        <v>1378</v>
      </c>
      <c r="B12" s="62" t="s">
        <v>79</v>
      </c>
      <c r="C12" s="513"/>
      <c r="D12" s="513"/>
      <c r="E12" s="259"/>
      <c r="F12" s="63"/>
      <c r="G12" s="65"/>
      <c r="H12" s="267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1431.1827604572086</v>
      </c>
      <c r="N12" s="64">
        <f t="shared" si="3"/>
        <v>77.361230294984253</v>
      </c>
      <c r="O12" s="66">
        <f t="shared" si="4"/>
        <v>0</v>
      </c>
      <c r="P12" s="67">
        <f t="shared" si="5"/>
        <v>-3.7198507860968277</v>
      </c>
      <c r="Q12" s="257">
        <f t="shared" si="6"/>
        <v>0.95412184030480585</v>
      </c>
      <c r="R12" s="511"/>
      <c r="S12" s="68"/>
      <c r="T12" s="68"/>
      <c r="U12" s="64"/>
      <c r="V12" s="266"/>
      <c r="W12" s="64"/>
      <c r="X12" s="64"/>
      <c r="Y12" s="510"/>
      <c r="Z12" s="510"/>
      <c r="AA12" s="66">
        <f t="shared" si="8"/>
        <v>-68.817239542791413</v>
      </c>
      <c r="AB12" s="257">
        <f t="shared" si="9"/>
        <v>0.95412184030480574</v>
      </c>
      <c r="AC12" s="511"/>
    </row>
    <row r="13" spans="1:29" ht="16.5" customHeight="1">
      <c r="A13" s="541" t="s">
        <v>1379</v>
      </c>
      <c r="B13" s="267" t="s">
        <v>13</v>
      </c>
      <c r="C13" s="533" t="s">
        <v>14</v>
      </c>
      <c r="D13" s="533"/>
      <c r="E13" s="62">
        <v>41</v>
      </c>
      <c r="F13" s="267">
        <v>2587</v>
      </c>
      <c r="G13" s="258">
        <f t="shared" ref="G13:G17" si="15">E13*F13</f>
        <v>106067</v>
      </c>
      <c r="H13" s="90" t="s">
        <v>5</v>
      </c>
      <c r="I13" s="265">
        <v>26</v>
      </c>
      <c r="J13" s="63">
        <v>1500</v>
      </c>
      <c r="K13" s="64">
        <f t="shared" si="1"/>
        <v>57.692307692307693</v>
      </c>
      <c r="L13" s="265">
        <v>26</v>
      </c>
      <c r="M13" s="65">
        <f t="shared" ref="M13:M17" si="16">F13/V13*60</f>
        <v>1437.2222222222219</v>
      </c>
      <c r="N13" s="64">
        <f t="shared" si="3"/>
        <v>55.277777777777764</v>
      </c>
      <c r="O13" s="66">
        <f t="shared" si="4"/>
        <v>0</v>
      </c>
      <c r="P13" s="67">
        <f t="shared" si="5"/>
        <v>-2.414529914529929</v>
      </c>
      <c r="Q13" s="257">
        <f t="shared" si="6"/>
        <v>0.95814814814814786</v>
      </c>
      <c r="R13" s="511">
        <f>Q18</f>
        <v>0.9551671275807323</v>
      </c>
      <c r="S13" s="68">
        <v>0.125</v>
      </c>
      <c r="T13" s="68">
        <v>0.2</v>
      </c>
      <c r="U13" s="258"/>
      <c r="V13" s="266">
        <f t="shared" ref="V13:V17" si="17">(T13-S13)*24*60</f>
        <v>108.00000000000001</v>
      </c>
      <c r="W13" s="69">
        <f>T13</f>
        <v>0.2</v>
      </c>
      <c r="X13" s="69">
        <f>S14</f>
        <v>0.21944444444444447</v>
      </c>
      <c r="Y13" s="510"/>
      <c r="Z13" s="510"/>
      <c r="AA13" s="66">
        <f t="shared" si="8"/>
        <v>-62.777777777778056</v>
      </c>
      <c r="AB13" s="257">
        <f t="shared" si="9"/>
        <v>0.95814814814814797</v>
      </c>
      <c r="AC13" s="511">
        <f>AB18</f>
        <v>0.95516712758073241</v>
      </c>
    </row>
    <row r="14" spans="1:29" ht="16.5" customHeight="1">
      <c r="A14" s="542" t="s">
        <v>1379</v>
      </c>
      <c r="B14" s="267" t="s">
        <v>10</v>
      </c>
      <c r="C14" s="533" t="s">
        <v>15</v>
      </c>
      <c r="D14" s="533"/>
      <c r="E14" s="62">
        <v>39.619999999999997</v>
      </c>
      <c r="F14" s="267">
        <v>4668</v>
      </c>
      <c r="G14" s="258">
        <f t="shared" si="15"/>
        <v>184946.15999999997</v>
      </c>
      <c r="H14" s="90" t="s">
        <v>5</v>
      </c>
      <c r="I14" s="265">
        <v>19</v>
      </c>
      <c r="J14" s="63">
        <v>1500</v>
      </c>
      <c r="K14" s="64">
        <f t="shared" si="1"/>
        <v>78.94736842105263</v>
      </c>
      <c r="L14" s="265">
        <v>19</v>
      </c>
      <c r="M14" s="65">
        <f t="shared" si="16"/>
        <v>1428.9795918367347</v>
      </c>
      <c r="N14" s="64">
        <f t="shared" si="3"/>
        <v>75.209452201933402</v>
      </c>
      <c r="O14" s="66">
        <f t="shared" si="4"/>
        <v>0</v>
      </c>
      <c r="P14" s="67">
        <f t="shared" si="5"/>
        <v>-3.7379162191192279</v>
      </c>
      <c r="Q14" s="257">
        <f t="shared" si="6"/>
        <v>0.95265306122448978</v>
      </c>
      <c r="R14" s="511"/>
      <c r="S14" s="68">
        <v>0.21944444444444447</v>
      </c>
      <c r="T14" s="68">
        <v>0.35555555555555557</v>
      </c>
      <c r="U14" s="258">
        <f t="shared" ref="U14:U17" si="18">IF(S14=TIME(17,0,0),"",(S14-T13)*24*60)</f>
        <v>28.000000000000021</v>
      </c>
      <c r="V14" s="266">
        <f t="shared" si="17"/>
        <v>196</v>
      </c>
      <c r="W14" s="69"/>
      <c r="X14" s="69"/>
      <c r="Y14" s="510"/>
      <c r="Z14" s="510"/>
      <c r="AA14" s="66">
        <f t="shared" si="8"/>
        <v>-71.020408163265301</v>
      </c>
      <c r="AB14" s="257">
        <f t="shared" si="9"/>
        <v>0.95265306122448978</v>
      </c>
      <c r="AC14" s="511"/>
    </row>
    <row r="15" spans="1:29" ht="16.5" customHeight="1">
      <c r="A15" s="542" t="s">
        <v>1379</v>
      </c>
      <c r="B15" s="267" t="s">
        <v>77</v>
      </c>
      <c r="C15" s="533" t="s">
        <v>76</v>
      </c>
      <c r="D15" s="533"/>
      <c r="E15" s="62">
        <v>57.3</v>
      </c>
      <c r="F15" s="267">
        <v>1198</v>
      </c>
      <c r="G15" s="258">
        <f t="shared" si="15"/>
        <v>68645.399999999994</v>
      </c>
      <c r="H15" s="90" t="s">
        <v>5</v>
      </c>
      <c r="I15" s="265">
        <v>17</v>
      </c>
      <c r="J15" s="63">
        <v>1500</v>
      </c>
      <c r="K15" s="64">
        <f t="shared" si="1"/>
        <v>88.235294117647058</v>
      </c>
      <c r="L15" s="265">
        <v>17</v>
      </c>
      <c r="M15" s="65">
        <f t="shared" si="16"/>
        <v>1437.6000000000004</v>
      </c>
      <c r="N15" s="64">
        <f t="shared" si="3"/>
        <v>84.564705882352968</v>
      </c>
      <c r="O15" s="66">
        <f t="shared" si="4"/>
        <v>0</v>
      </c>
      <c r="P15" s="67">
        <f t="shared" si="5"/>
        <v>-3.6705882352940904</v>
      </c>
      <c r="Q15" s="257">
        <f t="shared" si="6"/>
        <v>0.95840000000000036</v>
      </c>
      <c r="R15" s="511"/>
      <c r="S15" s="68">
        <v>0.35902777777777778</v>
      </c>
      <c r="T15" s="68">
        <v>0.39374999999999999</v>
      </c>
      <c r="U15" s="258">
        <f t="shared" si="18"/>
        <v>4.9999999999999822</v>
      </c>
      <c r="V15" s="266">
        <f t="shared" si="17"/>
        <v>49.999999999999986</v>
      </c>
      <c r="W15" s="69"/>
      <c r="X15" s="69"/>
      <c r="Y15" s="510"/>
      <c r="Z15" s="510"/>
      <c r="AA15" s="66">
        <f t="shared" si="8"/>
        <v>-62.399999999999636</v>
      </c>
      <c r="AB15" s="257">
        <f t="shared" si="9"/>
        <v>0.95840000000000025</v>
      </c>
      <c r="AC15" s="511"/>
    </row>
    <row r="16" spans="1:29" ht="16.5" customHeight="1">
      <c r="A16" s="542" t="s">
        <v>1379</v>
      </c>
      <c r="B16" s="267" t="s">
        <v>6</v>
      </c>
      <c r="C16" s="533" t="s">
        <v>890</v>
      </c>
      <c r="D16" s="533"/>
      <c r="E16" s="62">
        <v>50.98</v>
      </c>
      <c r="F16" s="267">
        <v>3632</v>
      </c>
      <c r="G16" s="258">
        <f t="shared" si="15"/>
        <v>185159.36</v>
      </c>
      <c r="H16" s="90" t="s">
        <v>5</v>
      </c>
      <c r="I16" s="265">
        <v>16</v>
      </c>
      <c r="J16" s="63">
        <v>2000</v>
      </c>
      <c r="K16" s="64">
        <f t="shared" si="1"/>
        <v>125</v>
      </c>
      <c r="L16" s="265">
        <v>16</v>
      </c>
      <c r="M16" s="65">
        <f t="shared" si="16"/>
        <v>1911.5789473684199</v>
      </c>
      <c r="N16" s="64">
        <f t="shared" si="3"/>
        <v>119.47368421052624</v>
      </c>
      <c r="O16" s="66">
        <f t="shared" si="4"/>
        <v>0</v>
      </c>
      <c r="P16" s="67">
        <f t="shared" si="5"/>
        <v>-5.526315789473756</v>
      </c>
      <c r="Q16" s="257">
        <f t="shared" si="6"/>
        <v>0.95578947368420997</v>
      </c>
      <c r="R16" s="511"/>
      <c r="S16" s="68">
        <v>0.70833333333333337</v>
      </c>
      <c r="T16" s="68">
        <v>0.78750000000000009</v>
      </c>
      <c r="U16" s="258" t="str">
        <f t="shared" si="18"/>
        <v/>
      </c>
      <c r="V16" s="266">
        <f t="shared" si="17"/>
        <v>114.00000000000007</v>
      </c>
      <c r="W16" s="69"/>
      <c r="X16" s="69"/>
      <c r="Y16" s="510"/>
      <c r="Z16" s="510"/>
      <c r="AA16" s="66">
        <f t="shared" si="8"/>
        <v>-88.421052631580096</v>
      </c>
      <c r="AB16" s="257">
        <f t="shared" si="9"/>
        <v>0.95578947368420997</v>
      </c>
      <c r="AC16" s="511"/>
    </row>
    <row r="17" spans="1:29" ht="16.5" customHeight="1">
      <c r="A17" s="542" t="s">
        <v>1380</v>
      </c>
      <c r="B17" s="267" t="s">
        <v>6</v>
      </c>
      <c r="C17" s="533" t="s">
        <v>20</v>
      </c>
      <c r="D17" s="533"/>
      <c r="E17" s="62">
        <v>50.92</v>
      </c>
      <c r="F17" s="267">
        <v>3585</v>
      </c>
      <c r="G17" s="258">
        <f t="shared" si="15"/>
        <v>182548.2</v>
      </c>
      <c r="H17" s="90" t="s">
        <v>5</v>
      </c>
      <c r="I17" s="265">
        <v>15</v>
      </c>
      <c r="J17" s="63">
        <v>2000</v>
      </c>
      <c r="K17" s="64">
        <f t="shared" si="1"/>
        <v>133.33333333333334</v>
      </c>
      <c r="L17" s="265">
        <v>15</v>
      </c>
      <c r="M17" s="65">
        <f t="shared" si="16"/>
        <v>1903.5398230088481</v>
      </c>
      <c r="N17" s="64">
        <f t="shared" si="3"/>
        <v>126.90265486725654</v>
      </c>
      <c r="O17" s="66">
        <f t="shared" si="4"/>
        <v>0</v>
      </c>
      <c r="P17" s="67">
        <f t="shared" si="5"/>
        <v>-6.4306784660767988</v>
      </c>
      <c r="Q17" s="257">
        <f t="shared" si="6"/>
        <v>0.95176991150442403</v>
      </c>
      <c r="R17" s="511"/>
      <c r="S17" s="68">
        <v>0.79166666666666674</v>
      </c>
      <c r="T17" s="68">
        <v>0.87013888888888902</v>
      </c>
      <c r="U17" s="258">
        <f t="shared" si="18"/>
        <v>5.9999999999999787</v>
      </c>
      <c r="V17" s="266">
        <f t="shared" si="17"/>
        <v>113.00000000000009</v>
      </c>
      <c r="W17" s="69"/>
      <c r="X17" s="69"/>
      <c r="Y17" s="510"/>
      <c r="Z17" s="510"/>
      <c r="AA17" s="66">
        <f t="shared" si="8"/>
        <v>-96.460176991151911</v>
      </c>
      <c r="AB17" s="257">
        <f t="shared" si="9"/>
        <v>0.95176991150442403</v>
      </c>
      <c r="AC17" s="511"/>
    </row>
    <row r="18" spans="1:29" ht="16.5" customHeight="1">
      <c r="A18" s="542" t="s">
        <v>1379</v>
      </c>
      <c r="B18" s="62" t="s">
        <v>79</v>
      </c>
      <c r="C18" s="513"/>
      <c r="D18" s="513"/>
      <c r="E18" s="259"/>
      <c r="F18" s="71"/>
      <c r="G18" s="64"/>
      <c r="H18" s="267"/>
      <c r="I18" s="72">
        <v>18.600000000000001</v>
      </c>
      <c r="J18" s="63">
        <v>1700</v>
      </c>
      <c r="K18" s="64">
        <f t="shared" si="1"/>
        <v>91.397849462365585</v>
      </c>
      <c r="L18" s="72">
        <v>18.600000000000001</v>
      </c>
      <c r="M18" s="65">
        <f>AVERAGE(M13:M17)</f>
        <v>1623.7841168872451</v>
      </c>
      <c r="N18" s="64">
        <f t="shared" si="3"/>
        <v>87.300221338023917</v>
      </c>
      <c r="O18" s="66">
        <f t="shared" si="4"/>
        <v>0</v>
      </c>
      <c r="P18" s="67">
        <f t="shared" si="5"/>
        <v>-4.0976281243416679</v>
      </c>
      <c r="Q18" s="257">
        <f t="shared" si="6"/>
        <v>0.9551671275807323</v>
      </c>
      <c r="R18" s="511"/>
      <c r="S18" s="68"/>
      <c r="T18" s="68"/>
      <c r="U18" s="258"/>
      <c r="V18" s="266"/>
      <c r="W18" s="64"/>
      <c r="X18" s="64"/>
      <c r="Y18" s="510"/>
      <c r="Z18" s="510"/>
      <c r="AA18" s="66">
        <f t="shared" si="8"/>
        <v>-76.215883112754909</v>
      </c>
      <c r="AB18" s="257">
        <f t="shared" si="9"/>
        <v>0.95516712758073241</v>
      </c>
      <c r="AC18" s="511"/>
    </row>
    <row r="19" spans="1:29" ht="15.75" customHeight="1">
      <c r="A19" s="537" t="s">
        <v>1381</v>
      </c>
      <c r="B19" s="62" t="s">
        <v>13</v>
      </c>
      <c r="C19" s="533" t="s">
        <v>21</v>
      </c>
      <c r="D19" s="533"/>
      <c r="E19" s="62">
        <v>43.14</v>
      </c>
      <c r="F19" s="267">
        <v>1430</v>
      </c>
      <c r="G19" s="258">
        <f t="shared" ref="G19:G27" si="19">E19*F19</f>
        <v>61690.200000000004</v>
      </c>
      <c r="H19" s="90" t="s">
        <v>5</v>
      </c>
      <c r="I19" s="265">
        <v>17</v>
      </c>
      <c r="J19" s="63">
        <v>2000</v>
      </c>
      <c r="K19" s="64">
        <f t="shared" si="1"/>
        <v>117.64705882352941</v>
      </c>
      <c r="L19" s="265">
        <v>17</v>
      </c>
      <c r="M19" s="65">
        <f t="shared" ref="M19:M27" si="20">F19/V19*60</f>
        <v>1906.6666666666667</v>
      </c>
      <c r="N19" s="64">
        <f t="shared" si="3"/>
        <v>112.15686274509804</v>
      </c>
      <c r="O19" s="66">
        <f t="shared" si="4"/>
        <v>0</v>
      </c>
      <c r="P19" s="67">
        <f t="shared" si="5"/>
        <v>-5.4901960784313673</v>
      </c>
      <c r="Q19" s="257">
        <f t="shared" si="6"/>
        <v>0.95333333333333337</v>
      </c>
      <c r="R19" s="511">
        <f>Q28</f>
        <v>0.95776119203596843</v>
      </c>
      <c r="S19" s="68">
        <v>0.20833333333333334</v>
      </c>
      <c r="T19" s="68">
        <v>0.23958333333333334</v>
      </c>
      <c r="U19" s="258"/>
      <c r="V19" s="266">
        <f t="shared" ref="V19:V27" si="21">(T19-S19)*24*60</f>
        <v>45</v>
      </c>
      <c r="W19" s="73"/>
      <c r="X19" s="73"/>
      <c r="Y19" s="510"/>
      <c r="Z19" s="510"/>
      <c r="AA19" s="66">
        <f t="shared" si="8"/>
        <v>-93.333333333333258</v>
      </c>
      <c r="AB19" s="257">
        <f t="shared" si="9"/>
        <v>0.95333333333333337</v>
      </c>
      <c r="AC19" s="511">
        <f>AB28</f>
        <v>0.95776119203596843</v>
      </c>
    </row>
    <row r="20" spans="1:29" ht="15.75" customHeight="1">
      <c r="A20" s="538" t="s">
        <v>978</v>
      </c>
      <c r="B20" s="62" t="s">
        <v>77</v>
      </c>
      <c r="C20" s="533" t="s">
        <v>980</v>
      </c>
      <c r="D20" s="533"/>
      <c r="E20" s="62">
        <v>49.9</v>
      </c>
      <c r="F20" s="267">
        <v>3858</v>
      </c>
      <c r="G20" s="258">
        <f t="shared" si="19"/>
        <v>192514.19999999998</v>
      </c>
      <c r="H20" s="90" t="s">
        <v>5</v>
      </c>
      <c r="I20" s="265">
        <v>19</v>
      </c>
      <c r="J20" s="63">
        <v>2000</v>
      </c>
      <c r="K20" s="64">
        <f t="shared" si="1"/>
        <v>105.26315789473684</v>
      </c>
      <c r="L20" s="265">
        <v>19</v>
      </c>
      <c r="M20" s="65">
        <f t="shared" si="20"/>
        <v>1913.0578512396694</v>
      </c>
      <c r="N20" s="64">
        <f t="shared" si="3"/>
        <v>100.68725532840365</v>
      </c>
      <c r="O20" s="66">
        <f t="shared" si="4"/>
        <v>0</v>
      </c>
      <c r="P20" s="67">
        <f t="shared" si="5"/>
        <v>-4.575902566333184</v>
      </c>
      <c r="Q20" s="257">
        <f t="shared" si="6"/>
        <v>0.95652892561983471</v>
      </c>
      <c r="R20" s="511"/>
      <c r="S20" s="68">
        <v>0.24305555555555555</v>
      </c>
      <c r="T20" s="68">
        <v>0.32708333333333334</v>
      </c>
      <c r="U20" s="258">
        <f t="shared" ref="U20:U27" si="22">IF(S20=TIME(17,0,0),"",(S20-T19)*24*60)</f>
        <v>4.9999999999999822</v>
      </c>
      <c r="V20" s="266">
        <f t="shared" si="21"/>
        <v>121</v>
      </c>
      <c r="W20" s="69"/>
      <c r="X20" s="258"/>
      <c r="Y20" s="510"/>
      <c r="Z20" s="510"/>
      <c r="AA20" s="66">
        <f t="shared" si="8"/>
        <v>-86.94214876033061</v>
      </c>
      <c r="AB20" s="257">
        <f t="shared" si="9"/>
        <v>0.95652892561983471</v>
      </c>
      <c r="AC20" s="511"/>
    </row>
    <row r="21" spans="1:29" ht="15.75" customHeight="1">
      <c r="A21" s="538" t="s">
        <v>978</v>
      </c>
      <c r="B21" s="62" t="s">
        <v>6</v>
      </c>
      <c r="C21" s="533" t="s">
        <v>22</v>
      </c>
      <c r="D21" s="533"/>
      <c r="E21" s="62">
        <v>57.73</v>
      </c>
      <c r="F21" s="267">
        <v>3021</v>
      </c>
      <c r="G21" s="258">
        <f t="shared" si="19"/>
        <v>174402.33</v>
      </c>
      <c r="H21" s="90" t="s">
        <v>5</v>
      </c>
      <c r="I21" s="265">
        <v>14</v>
      </c>
      <c r="J21" s="63">
        <v>2000</v>
      </c>
      <c r="K21" s="64">
        <f t="shared" si="1"/>
        <v>142.85714285714286</v>
      </c>
      <c r="L21" s="265">
        <v>14</v>
      </c>
      <c r="M21" s="65">
        <f t="shared" si="20"/>
        <v>1908.0000000000002</v>
      </c>
      <c r="N21" s="64">
        <f t="shared" si="3"/>
        <v>136.28571428571431</v>
      </c>
      <c r="O21" s="66">
        <f t="shared" si="4"/>
        <v>0</v>
      </c>
      <c r="P21" s="67">
        <f t="shared" si="5"/>
        <v>-6.5714285714285552</v>
      </c>
      <c r="Q21" s="257">
        <f t="shared" si="6"/>
        <v>0.95400000000000007</v>
      </c>
      <c r="R21" s="511"/>
      <c r="S21" s="68">
        <v>0.33055555555555555</v>
      </c>
      <c r="T21" s="68">
        <v>0.39652777777777776</v>
      </c>
      <c r="U21" s="258">
        <f t="shared" si="22"/>
        <v>4.9999999999999822</v>
      </c>
      <c r="V21" s="266">
        <f t="shared" si="21"/>
        <v>94.999999999999986</v>
      </c>
      <c r="W21" s="69"/>
      <c r="X21" s="258"/>
      <c r="Y21" s="510"/>
      <c r="Z21" s="510"/>
      <c r="AA21" s="66">
        <f t="shared" si="8"/>
        <v>-91.999999999999773</v>
      </c>
      <c r="AB21" s="257">
        <f t="shared" si="9"/>
        <v>0.95400000000000007</v>
      </c>
      <c r="AC21" s="511"/>
    </row>
    <row r="22" spans="1:29" ht="15.75" customHeight="1">
      <c r="A22" s="538" t="s">
        <v>978</v>
      </c>
      <c r="B22" s="62" t="s">
        <v>6</v>
      </c>
      <c r="C22" s="533" t="s">
        <v>23</v>
      </c>
      <c r="D22" s="533"/>
      <c r="E22" s="62">
        <v>53.68</v>
      </c>
      <c r="F22" s="267">
        <v>2028</v>
      </c>
      <c r="G22" s="258">
        <f t="shared" si="19"/>
        <v>108863.03999999999</v>
      </c>
      <c r="H22" s="90" t="s">
        <v>5</v>
      </c>
      <c r="I22" s="265">
        <v>16</v>
      </c>
      <c r="J22" s="63">
        <v>2000</v>
      </c>
      <c r="K22" s="64">
        <f t="shared" si="1"/>
        <v>125</v>
      </c>
      <c r="L22" s="265">
        <v>16</v>
      </c>
      <c r="M22" s="65">
        <f t="shared" si="20"/>
        <v>1901.2499999999995</v>
      </c>
      <c r="N22" s="64">
        <f t="shared" si="3"/>
        <v>118.82812499999997</v>
      </c>
      <c r="O22" s="66">
        <f t="shared" si="4"/>
        <v>0</v>
      </c>
      <c r="P22" s="67">
        <f t="shared" si="5"/>
        <v>-6.1718750000000284</v>
      </c>
      <c r="Q22" s="257">
        <f t="shared" si="6"/>
        <v>0.95062499999999972</v>
      </c>
      <c r="R22" s="511"/>
      <c r="S22" s="68">
        <v>0.40138888888888885</v>
      </c>
      <c r="T22" s="68">
        <v>0.4458333333333333</v>
      </c>
      <c r="U22" s="258">
        <f t="shared" si="22"/>
        <v>6.9999999999999751</v>
      </c>
      <c r="V22" s="266">
        <f t="shared" si="21"/>
        <v>64.000000000000014</v>
      </c>
      <c r="W22" s="69"/>
      <c r="X22" s="258"/>
      <c r="Y22" s="510"/>
      <c r="Z22" s="510"/>
      <c r="AA22" s="66">
        <f t="shared" si="8"/>
        <v>-98.750000000000455</v>
      </c>
      <c r="AB22" s="257">
        <f t="shared" si="9"/>
        <v>0.95062499999999972</v>
      </c>
      <c r="AC22" s="511"/>
    </row>
    <row r="23" spans="1:29" ht="15.75" customHeight="1">
      <c r="A23" s="538" t="s">
        <v>978</v>
      </c>
      <c r="B23" s="62" t="s">
        <v>6</v>
      </c>
      <c r="C23" s="533" t="s">
        <v>971</v>
      </c>
      <c r="D23" s="533"/>
      <c r="E23" s="62">
        <v>49.91</v>
      </c>
      <c r="F23" s="267">
        <v>3468</v>
      </c>
      <c r="G23" s="258">
        <f t="shared" si="19"/>
        <v>173087.87999999998</v>
      </c>
      <c r="H23" s="90" t="s">
        <v>5</v>
      </c>
      <c r="I23" s="265">
        <v>19</v>
      </c>
      <c r="J23" s="63">
        <v>2000</v>
      </c>
      <c r="K23" s="64">
        <f t="shared" si="1"/>
        <v>105.26315789473684</v>
      </c>
      <c r="L23" s="265">
        <v>19</v>
      </c>
      <c r="M23" s="65">
        <f t="shared" si="20"/>
        <v>1908.9908256880747</v>
      </c>
      <c r="N23" s="64">
        <f t="shared" si="3"/>
        <v>100.47320135200393</v>
      </c>
      <c r="O23" s="66">
        <f t="shared" si="4"/>
        <v>0</v>
      </c>
      <c r="P23" s="67">
        <f t="shared" si="5"/>
        <v>-4.7899565427329094</v>
      </c>
      <c r="Q23" s="257">
        <f t="shared" si="6"/>
        <v>0.95449541284403738</v>
      </c>
      <c r="R23" s="511"/>
      <c r="S23" s="68">
        <v>0.44930555555555551</v>
      </c>
      <c r="T23" s="68">
        <v>0.52499999999999991</v>
      </c>
      <c r="U23" s="258">
        <f t="shared" si="22"/>
        <v>4.9999999999999822</v>
      </c>
      <c r="V23" s="266">
        <f t="shared" si="21"/>
        <v>108.99999999999993</v>
      </c>
      <c r="W23" s="69"/>
      <c r="X23" s="258"/>
      <c r="Y23" s="510"/>
      <c r="Z23" s="510"/>
      <c r="AA23" s="66">
        <f t="shared" si="8"/>
        <v>-91.009174311925335</v>
      </c>
      <c r="AB23" s="257">
        <f t="shared" si="9"/>
        <v>0.95449541284403738</v>
      </c>
      <c r="AC23" s="511"/>
    </row>
    <row r="24" spans="1:29" ht="15.75" customHeight="1">
      <c r="A24" s="538" t="s">
        <v>1381</v>
      </c>
      <c r="B24" s="62" t="s">
        <v>6</v>
      </c>
      <c r="C24" s="533" t="s">
        <v>24</v>
      </c>
      <c r="D24" s="533"/>
      <c r="E24" s="62">
        <v>54.09</v>
      </c>
      <c r="F24" s="267">
        <v>2466</v>
      </c>
      <c r="G24" s="258">
        <f t="shared" si="19"/>
        <v>133385.94</v>
      </c>
      <c r="H24" s="90" t="s">
        <v>5</v>
      </c>
      <c r="I24" s="265">
        <v>19</v>
      </c>
      <c r="J24" s="63">
        <v>2000</v>
      </c>
      <c r="K24" s="64">
        <f t="shared" si="1"/>
        <v>105.26315789473684</v>
      </c>
      <c r="L24" s="265">
        <v>19</v>
      </c>
      <c r="M24" s="65">
        <f t="shared" si="20"/>
        <v>1921.5584415584406</v>
      </c>
      <c r="N24" s="64">
        <f t="shared" si="3"/>
        <v>101.13465481886529</v>
      </c>
      <c r="O24" s="66">
        <f t="shared" si="4"/>
        <v>0</v>
      </c>
      <c r="P24" s="67">
        <f t="shared" si="5"/>
        <v>-4.1285030758715493</v>
      </c>
      <c r="Q24" s="257">
        <f t="shared" si="6"/>
        <v>0.96077922077922029</v>
      </c>
      <c r="R24" s="511"/>
      <c r="S24" s="68">
        <v>0.70833333333333337</v>
      </c>
      <c r="T24" s="68">
        <v>0.76180555555555562</v>
      </c>
      <c r="U24" s="258" t="str">
        <f t="shared" si="22"/>
        <v/>
      </c>
      <c r="V24" s="266">
        <f t="shared" si="21"/>
        <v>77.000000000000043</v>
      </c>
      <c r="W24" s="69"/>
      <c r="X24" s="73"/>
      <c r="Y24" s="510"/>
      <c r="Z24" s="510"/>
      <c r="AA24" s="66">
        <f t="shared" si="8"/>
        <v>-78.441558441559437</v>
      </c>
      <c r="AB24" s="257">
        <f t="shared" si="9"/>
        <v>0.96077922077922029</v>
      </c>
      <c r="AC24" s="511"/>
    </row>
    <row r="25" spans="1:29" ht="15.75" customHeight="1">
      <c r="A25" s="538" t="s">
        <v>978</v>
      </c>
      <c r="B25" s="62" t="s">
        <v>6</v>
      </c>
      <c r="C25" s="533" t="s">
        <v>81</v>
      </c>
      <c r="D25" s="533"/>
      <c r="E25" s="62">
        <v>50.67</v>
      </c>
      <c r="F25" s="267">
        <v>1000</v>
      </c>
      <c r="G25" s="258">
        <f t="shared" si="19"/>
        <v>50670</v>
      </c>
      <c r="H25" s="90">
        <v>2</v>
      </c>
      <c r="I25" s="265">
        <v>15</v>
      </c>
      <c r="J25" s="63">
        <v>2000</v>
      </c>
      <c r="K25" s="64">
        <f t="shared" si="1"/>
        <v>133.33333333333334</v>
      </c>
      <c r="L25" s="265">
        <v>15</v>
      </c>
      <c r="M25" s="65">
        <f t="shared" si="20"/>
        <v>1935.483870967739</v>
      </c>
      <c r="N25" s="64">
        <f t="shared" si="3"/>
        <v>129.03225806451593</v>
      </c>
      <c r="O25" s="66">
        <f t="shared" si="4"/>
        <v>0</v>
      </c>
      <c r="P25" s="67">
        <f t="shared" si="5"/>
        <v>-4.3010752688174136</v>
      </c>
      <c r="Q25" s="257">
        <f t="shared" si="6"/>
        <v>0.96774193548386944</v>
      </c>
      <c r="R25" s="511"/>
      <c r="S25" s="68">
        <v>0.76666666666666672</v>
      </c>
      <c r="T25" s="68">
        <v>0.78819444444444453</v>
      </c>
      <c r="U25" s="258">
        <f t="shared" si="22"/>
        <v>6.9999999999999751</v>
      </c>
      <c r="V25" s="266">
        <f t="shared" si="21"/>
        <v>31.00000000000005</v>
      </c>
      <c r="W25" s="69"/>
      <c r="X25" s="73"/>
      <c r="Y25" s="517"/>
      <c r="Z25" s="518"/>
      <c r="AA25" s="66">
        <f t="shared" si="8"/>
        <v>-64.516129032261006</v>
      </c>
      <c r="AB25" s="257">
        <f t="shared" si="9"/>
        <v>0.96774193548386944</v>
      </c>
      <c r="AC25" s="511"/>
    </row>
    <row r="26" spans="1:29" ht="15.75" customHeight="1">
      <c r="A26" s="538" t="s">
        <v>978</v>
      </c>
      <c r="B26" s="62" t="s">
        <v>6</v>
      </c>
      <c r="C26" s="534" t="s">
        <v>82</v>
      </c>
      <c r="D26" s="535"/>
      <c r="E26" s="62">
        <v>57.73</v>
      </c>
      <c r="F26" s="267">
        <v>1936</v>
      </c>
      <c r="G26" s="258">
        <f t="shared" si="19"/>
        <v>111765.28</v>
      </c>
      <c r="H26" s="90" t="s">
        <v>5</v>
      </c>
      <c r="I26" s="265">
        <v>16</v>
      </c>
      <c r="J26" s="63">
        <v>1500</v>
      </c>
      <c r="K26" s="64">
        <f t="shared" si="1"/>
        <v>93.75</v>
      </c>
      <c r="L26" s="265">
        <v>16</v>
      </c>
      <c r="M26" s="65">
        <f t="shared" si="20"/>
        <v>1434.0740740740737</v>
      </c>
      <c r="N26" s="64">
        <f t="shared" si="3"/>
        <v>89.629629629629605</v>
      </c>
      <c r="O26" s="66">
        <f t="shared" si="4"/>
        <v>0</v>
      </c>
      <c r="P26" s="67">
        <f t="shared" si="5"/>
        <v>-4.1203703703703951</v>
      </c>
      <c r="Q26" s="257">
        <f t="shared" si="6"/>
        <v>0.95604938271604911</v>
      </c>
      <c r="R26" s="511"/>
      <c r="S26" s="68">
        <v>0.79375000000000007</v>
      </c>
      <c r="T26" s="68">
        <v>0.85000000000000009</v>
      </c>
      <c r="U26" s="258">
        <f t="shared" si="22"/>
        <v>7.9999999999999716</v>
      </c>
      <c r="V26" s="266">
        <f t="shared" si="21"/>
        <v>81.000000000000028</v>
      </c>
      <c r="W26" s="69">
        <f>T26</f>
        <v>0.85000000000000009</v>
      </c>
      <c r="X26" s="69">
        <f>S27</f>
        <v>0.89097222222222228</v>
      </c>
      <c r="Y26" s="517"/>
      <c r="Z26" s="518"/>
      <c r="AA26" s="66">
        <f t="shared" si="8"/>
        <v>-65.925925925926322</v>
      </c>
      <c r="AB26" s="257">
        <f t="shared" si="9"/>
        <v>0.95604938271604911</v>
      </c>
      <c r="AC26" s="511"/>
    </row>
    <row r="27" spans="1:29" ht="15.75" customHeight="1">
      <c r="A27" s="538" t="s">
        <v>978</v>
      </c>
      <c r="B27" s="62" t="s">
        <v>6</v>
      </c>
      <c r="C27" s="534" t="s">
        <v>81</v>
      </c>
      <c r="D27" s="535"/>
      <c r="E27" s="62">
        <v>50.67</v>
      </c>
      <c r="F27" s="267">
        <v>1481</v>
      </c>
      <c r="G27" s="258">
        <f t="shared" si="19"/>
        <v>75042.27</v>
      </c>
      <c r="H27" s="90" t="s">
        <v>5</v>
      </c>
      <c r="I27" s="265">
        <v>15</v>
      </c>
      <c r="J27" s="63">
        <v>2000</v>
      </c>
      <c r="K27" s="64">
        <f t="shared" si="1"/>
        <v>133.33333333333334</v>
      </c>
      <c r="L27" s="265">
        <v>15</v>
      </c>
      <c r="M27" s="65">
        <f t="shared" si="20"/>
        <v>1931.7391304347827</v>
      </c>
      <c r="N27" s="64">
        <f t="shared" si="3"/>
        <v>128.78260869565219</v>
      </c>
      <c r="O27" s="66">
        <f t="shared" si="4"/>
        <v>0</v>
      </c>
      <c r="P27" s="67">
        <f t="shared" si="5"/>
        <v>-4.5507246376811565</v>
      </c>
      <c r="Q27" s="257">
        <f t="shared" si="6"/>
        <v>0.96586956521739131</v>
      </c>
      <c r="R27" s="511"/>
      <c r="S27" s="68">
        <v>0.89097222222222228</v>
      </c>
      <c r="T27" s="68">
        <v>0.92291666666666672</v>
      </c>
      <c r="U27" s="258">
        <f t="shared" si="22"/>
        <v>58.99999999999995</v>
      </c>
      <c r="V27" s="266">
        <f t="shared" si="21"/>
        <v>46</v>
      </c>
      <c r="W27" s="69"/>
      <c r="X27" s="69"/>
      <c r="Y27" s="517"/>
      <c r="Z27" s="518"/>
      <c r="AA27" s="66">
        <f t="shared" si="8"/>
        <v>-68.260869565217263</v>
      </c>
      <c r="AB27" s="257">
        <f t="shared" si="9"/>
        <v>0.96586956521739142</v>
      </c>
      <c r="AC27" s="511"/>
    </row>
    <row r="28" spans="1:29" ht="15.75" customHeight="1">
      <c r="A28" s="538" t="s">
        <v>978</v>
      </c>
      <c r="B28" s="62" t="s">
        <v>79</v>
      </c>
      <c r="C28" s="513"/>
      <c r="D28" s="513"/>
      <c r="E28" s="259"/>
      <c r="F28" s="267"/>
      <c r="G28" s="258"/>
      <c r="H28" s="267"/>
      <c r="I28" s="72">
        <v>16.666666666666668</v>
      </c>
      <c r="J28" s="63">
        <v>1944.4444444444443</v>
      </c>
      <c r="K28" s="64">
        <f t="shared" si="1"/>
        <v>116.66666666666666</v>
      </c>
      <c r="L28" s="72">
        <v>16.666666666666668</v>
      </c>
      <c r="M28" s="65">
        <f>AVERAGE(M19:M27)</f>
        <v>1862.3134289588274</v>
      </c>
      <c r="N28" s="64">
        <f t="shared" si="3"/>
        <v>111.73880573752965</v>
      </c>
      <c r="O28" s="66">
        <f t="shared" si="4"/>
        <v>0</v>
      </c>
      <c r="P28" s="67">
        <f t="shared" si="5"/>
        <v>-4.9278609291370117</v>
      </c>
      <c r="Q28" s="257">
        <f t="shared" si="6"/>
        <v>0.95776119203596843</v>
      </c>
      <c r="R28" s="511"/>
      <c r="S28" s="68"/>
      <c r="T28" s="68"/>
      <c r="U28" s="64"/>
      <c r="V28" s="266"/>
      <c r="W28" s="64"/>
      <c r="X28" s="64"/>
      <c r="Y28" s="510"/>
      <c r="Z28" s="510"/>
      <c r="AA28" s="66">
        <f t="shared" si="8"/>
        <v>-82.131015485616899</v>
      </c>
      <c r="AB28" s="257">
        <f t="shared" si="9"/>
        <v>0.95776119203596843</v>
      </c>
      <c r="AC28" s="511"/>
    </row>
    <row r="29" spans="1:29" ht="15.75" customHeight="1">
      <c r="A29" s="536" t="s">
        <v>1382</v>
      </c>
      <c r="B29" s="62" t="s">
        <v>16</v>
      </c>
      <c r="C29" s="533" t="s">
        <v>30</v>
      </c>
      <c r="D29" s="533"/>
      <c r="E29" s="62">
        <v>31.29</v>
      </c>
      <c r="F29" s="267">
        <v>4500</v>
      </c>
      <c r="G29" s="258">
        <f t="shared" ref="G29:G37" si="23">E29*F29</f>
        <v>140805</v>
      </c>
      <c r="H29" s="90">
        <v>2</v>
      </c>
      <c r="I29" s="265">
        <v>18</v>
      </c>
      <c r="J29" s="63">
        <v>2400</v>
      </c>
      <c r="K29" s="64">
        <f t="shared" si="1"/>
        <v>133.33333333333334</v>
      </c>
      <c r="L29" s="265">
        <v>18</v>
      </c>
      <c r="M29" s="65">
        <f t="shared" ref="M29:M37" si="24">F29/V29*60</f>
        <v>2288.1355932203392</v>
      </c>
      <c r="N29" s="64">
        <f t="shared" si="3"/>
        <v>127.11864406779662</v>
      </c>
      <c r="O29" s="66">
        <f t="shared" si="4"/>
        <v>0</v>
      </c>
      <c r="P29" s="67">
        <f t="shared" si="5"/>
        <v>-6.2146892655367196</v>
      </c>
      <c r="Q29" s="257">
        <f t="shared" si="6"/>
        <v>0.95338983050847459</v>
      </c>
      <c r="R29" s="511">
        <f>Q38</f>
        <v>0.95432832244584542</v>
      </c>
      <c r="S29" s="68">
        <v>8.3333333333333329E-2</v>
      </c>
      <c r="T29" s="68">
        <v>0.16527777777777777</v>
      </c>
      <c r="U29" s="258"/>
      <c r="V29" s="266">
        <f t="shared" ref="V29:V37" si="25">(T29-S29)*24*60</f>
        <v>118</v>
      </c>
      <c r="W29" s="69">
        <f>T29</f>
        <v>0.16527777777777777</v>
      </c>
      <c r="X29" s="69">
        <f>S30</f>
        <v>0.18472222222222223</v>
      </c>
      <c r="Y29" s="510"/>
      <c r="Z29" s="510"/>
      <c r="AA29" s="66">
        <f t="shared" si="8"/>
        <v>-111.86440677966084</v>
      </c>
      <c r="AB29" s="257">
        <f t="shared" si="9"/>
        <v>0.9533898305084747</v>
      </c>
      <c r="AC29" s="511">
        <f>AB38</f>
        <v>0.95432832244584531</v>
      </c>
    </row>
    <row r="30" spans="1:29" ht="15.75" customHeight="1">
      <c r="A30" s="536" t="s">
        <v>1383</v>
      </c>
      <c r="B30" s="62" t="s">
        <v>16</v>
      </c>
      <c r="C30" s="533" t="s">
        <v>28</v>
      </c>
      <c r="D30" s="533"/>
      <c r="E30" s="62">
        <v>26.18</v>
      </c>
      <c r="F30" s="267">
        <v>3771</v>
      </c>
      <c r="G30" s="258">
        <f t="shared" si="23"/>
        <v>98724.78</v>
      </c>
      <c r="H30" s="90" t="s">
        <v>5</v>
      </c>
      <c r="I30" s="265">
        <v>19</v>
      </c>
      <c r="J30" s="63">
        <v>2400</v>
      </c>
      <c r="K30" s="64">
        <f t="shared" si="1"/>
        <v>126.31578947368421</v>
      </c>
      <c r="L30" s="265">
        <v>19</v>
      </c>
      <c r="M30" s="65">
        <f t="shared" si="24"/>
        <v>2285.454545454546</v>
      </c>
      <c r="N30" s="64">
        <f t="shared" si="3"/>
        <v>120.28708133971294</v>
      </c>
      <c r="O30" s="66">
        <f t="shared" si="4"/>
        <v>0</v>
      </c>
      <c r="P30" s="67">
        <f t="shared" si="5"/>
        <v>-6.0287081339712643</v>
      </c>
      <c r="Q30" s="257">
        <f t="shared" si="6"/>
        <v>0.95227272727272749</v>
      </c>
      <c r="R30" s="511"/>
      <c r="S30" s="68">
        <v>0.18472222222222223</v>
      </c>
      <c r="T30" s="68">
        <v>0.25347222222222221</v>
      </c>
      <c r="U30" s="258">
        <f t="shared" ref="U30:U37" si="26">(S30-T29)*24*60</f>
        <v>28.000000000000021</v>
      </c>
      <c r="V30" s="266">
        <f t="shared" si="25"/>
        <v>98.999999999999972</v>
      </c>
      <c r="W30" s="69"/>
      <c r="X30" s="69"/>
      <c r="Y30" s="510"/>
      <c r="Z30" s="510"/>
      <c r="AA30" s="66">
        <f t="shared" si="8"/>
        <v>-114.54545454545405</v>
      </c>
      <c r="AB30" s="257">
        <f t="shared" si="9"/>
        <v>0.95227272727272749</v>
      </c>
      <c r="AC30" s="511"/>
    </row>
    <row r="31" spans="1:29" ht="15.75" customHeight="1">
      <c r="A31" s="536" t="s">
        <v>1383</v>
      </c>
      <c r="B31" s="62" t="s">
        <v>16</v>
      </c>
      <c r="C31" s="533" t="s">
        <v>25</v>
      </c>
      <c r="D31" s="533"/>
      <c r="E31" s="62">
        <v>26.2</v>
      </c>
      <c r="F31" s="267">
        <v>3800</v>
      </c>
      <c r="G31" s="258">
        <f t="shared" si="23"/>
        <v>99560</v>
      </c>
      <c r="H31" s="90">
        <v>2</v>
      </c>
      <c r="I31" s="265">
        <v>20</v>
      </c>
      <c r="J31" s="63">
        <v>2400</v>
      </c>
      <c r="K31" s="64">
        <f t="shared" si="1"/>
        <v>120</v>
      </c>
      <c r="L31" s="265">
        <v>20</v>
      </c>
      <c r="M31" s="65">
        <f t="shared" si="24"/>
        <v>2280.0000000000009</v>
      </c>
      <c r="N31" s="64">
        <f t="shared" si="3"/>
        <v>114.00000000000004</v>
      </c>
      <c r="O31" s="66">
        <f t="shared" si="4"/>
        <v>0</v>
      </c>
      <c r="P31" s="67">
        <f t="shared" si="5"/>
        <v>-5.9999999999999574</v>
      </c>
      <c r="Q31" s="257">
        <f t="shared" si="6"/>
        <v>0.9500000000000004</v>
      </c>
      <c r="R31" s="511"/>
      <c r="S31" s="68">
        <v>0.25763888888888886</v>
      </c>
      <c r="T31" s="68">
        <v>0.32708333333333328</v>
      </c>
      <c r="U31" s="258">
        <f t="shared" si="26"/>
        <v>5.9999999999999787</v>
      </c>
      <c r="V31" s="266">
        <f t="shared" si="25"/>
        <v>99.999999999999972</v>
      </c>
      <c r="W31" s="69"/>
      <c r="X31" s="69"/>
      <c r="Y31" s="510"/>
      <c r="Z31" s="510"/>
      <c r="AA31" s="66">
        <f t="shared" si="8"/>
        <v>-119.99999999999909</v>
      </c>
      <c r="AB31" s="257">
        <f t="shared" si="9"/>
        <v>0.9500000000000004</v>
      </c>
      <c r="AC31" s="511"/>
    </row>
    <row r="32" spans="1:29" ht="15.75" customHeight="1">
      <c r="A32" s="536" t="s">
        <v>1384</v>
      </c>
      <c r="B32" s="62" t="s">
        <v>16</v>
      </c>
      <c r="C32" s="533" t="s">
        <v>83</v>
      </c>
      <c r="D32" s="533"/>
      <c r="E32" s="62">
        <v>25.99</v>
      </c>
      <c r="F32" s="267">
        <v>3600</v>
      </c>
      <c r="G32" s="258">
        <f t="shared" si="23"/>
        <v>93564</v>
      </c>
      <c r="H32" s="90">
        <v>2</v>
      </c>
      <c r="I32" s="265">
        <v>14</v>
      </c>
      <c r="J32" s="63">
        <v>2400</v>
      </c>
      <c r="K32" s="64">
        <f t="shared" si="1"/>
        <v>171.42857142857142</v>
      </c>
      <c r="L32" s="265">
        <v>14</v>
      </c>
      <c r="M32" s="65">
        <f t="shared" si="24"/>
        <v>2297.872340425532</v>
      </c>
      <c r="N32" s="64">
        <f t="shared" si="3"/>
        <v>164.13373860182372</v>
      </c>
      <c r="O32" s="66">
        <f t="shared" si="4"/>
        <v>0</v>
      </c>
      <c r="P32" s="67">
        <f t="shared" si="5"/>
        <v>-7.2948328267476938</v>
      </c>
      <c r="Q32" s="257">
        <f t="shared" si="6"/>
        <v>0.95744680851063846</v>
      </c>
      <c r="R32" s="511"/>
      <c r="S32" s="68">
        <v>0.33055555555555549</v>
      </c>
      <c r="T32" s="68">
        <v>0.39583333333333326</v>
      </c>
      <c r="U32" s="258">
        <f t="shared" si="26"/>
        <v>4.9999999999999822</v>
      </c>
      <c r="V32" s="266">
        <f t="shared" si="25"/>
        <v>93.999999999999986</v>
      </c>
      <c r="W32" s="69"/>
      <c r="X32" s="69"/>
      <c r="Y32" s="510"/>
      <c r="Z32" s="510"/>
      <c r="AA32" s="66">
        <f t="shared" si="8"/>
        <v>-102.127659574468</v>
      </c>
      <c r="AB32" s="257">
        <f t="shared" si="9"/>
        <v>0.95744680851063835</v>
      </c>
      <c r="AC32" s="511"/>
    </row>
    <row r="33" spans="1:29" ht="15.75" customHeight="1">
      <c r="A33" s="536" t="s">
        <v>1382</v>
      </c>
      <c r="B33" s="62" t="s">
        <v>16</v>
      </c>
      <c r="C33" s="533" t="s">
        <v>27</v>
      </c>
      <c r="D33" s="533"/>
      <c r="E33" s="62">
        <v>25.98</v>
      </c>
      <c r="F33" s="267">
        <v>1414</v>
      </c>
      <c r="G33" s="258">
        <f t="shared" si="23"/>
        <v>36735.72</v>
      </c>
      <c r="H33" s="90" t="s">
        <v>5</v>
      </c>
      <c r="I33" s="265">
        <v>17</v>
      </c>
      <c r="J33" s="63">
        <v>2400</v>
      </c>
      <c r="K33" s="64">
        <f t="shared" si="1"/>
        <v>141.1764705882353</v>
      </c>
      <c r="L33" s="265">
        <v>17</v>
      </c>
      <c r="M33" s="65">
        <f t="shared" si="24"/>
        <v>2292.9729729729715</v>
      </c>
      <c r="N33" s="64">
        <f t="shared" si="3"/>
        <v>134.88076311605715</v>
      </c>
      <c r="O33" s="66">
        <f t="shared" si="4"/>
        <v>0</v>
      </c>
      <c r="P33" s="67">
        <f t="shared" si="5"/>
        <v>-6.295707472178151</v>
      </c>
      <c r="Q33" s="257">
        <f t="shared" si="6"/>
        <v>0.95540540540540475</v>
      </c>
      <c r="R33" s="511"/>
      <c r="S33" s="68">
        <v>0.40069444444444435</v>
      </c>
      <c r="T33" s="68">
        <v>0.42638888888888882</v>
      </c>
      <c r="U33" s="258">
        <f t="shared" si="26"/>
        <v>6.9999999999999751</v>
      </c>
      <c r="V33" s="266">
        <f t="shared" si="25"/>
        <v>37.000000000000028</v>
      </c>
      <c r="W33" s="69"/>
      <c r="X33" s="69"/>
      <c r="Y33" s="510"/>
      <c r="Z33" s="510"/>
      <c r="AA33" s="66">
        <f t="shared" si="8"/>
        <v>-107.02702702702845</v>
      </c>
      <c r="AB33" s="257">
        <f t="shared" si="9"/>
        <v>0.95540540540540486</v>
      </c>
      <c r="AC33" s="511"/>
    </row>
    <row r="34" spans="1:29" ht="15.75" customHeight="1">
      <c r="A34" s="536" t="s">
        <v>1382</v>
      </c>
      <c r="B34" s="62" t="s">
        <v>16</v>
      </c>
      <c r="C34" s="533" t="s">
        <v>982</v>
      </c>
      <c r="D34" s="533"/>
      <c r="E34" s="62">
        <v>25.98</v>
      </c>
      <c r="F34" s="267">
        <v>4500</v>
      </c>
      <c r="G34" s="258">
        <f t="shared" si="23"/>
        <v>116910</v>
      </c>
      <c r="H34" s="90">
        <v>2</v>
      </c>
      <c r="I34" s="265">
        <v>21</v>
      </c>
      <c r="J34" s="63">
        <v>2400</v>
      </c>
      <c r="K34" s="64">
        <f t="shared" si="1"/>
        <v>114.28571428571429</v>
      </c>
      <c r="L34" s="265">
        <v>21</v>
      </c>
      <c r="M34" s="65">
        <f t="shared" si="24"/>
        <v>2288.1355932203378</v>
      </c>
      <c r="N34" s="64">
        <f t="shared" si="3"/>
        <v>108.95883777239703</v>
      </c>
      <c r="O34" s="66">
        <f t="shared" si="4"/>
        <v>0</v>
      </c>
      <c r="P34" s="67">
        <f t="shared" si="5"/>
        <v>-5.3268765133172593</v>
      </c>
      <c r="Q34" s="257">
        <f t="shared" si="6"/>
        <v>0.95338983050847403</v>
      </c>
      <c r="R34" s="511"/>
      <c r="S34" s="68">
        <v>0.42986111111111103</v>
      </c>
      <c r="T34" s="68">
        <v>0.51180555555555551</v>
      </c>
      <c r="U34" s="258">
        <f t="shared" si="26"/>
        <v>4.9999999999999822</v>
      </c>
      <c r="V34" s="266">
        <f t="shared" si="25"/>
        <v>118.00000000000006</v>
      </c>
      <c r="W34" s="69">
        <f>T34</f>
        <v>0.51180555555555551</v>
      </c>
      <c r="X34" s="69">
        <f>S35</f>
        <v>0.55069444444444438</v>
      </c>
      <c r="Y34" s="510"/>
      <c r="Z34" s="510"/>
      <c r="AA34" s="66">
        <f t="shared" si="8"/>
        <v>-111.8644067796622</v>
      </c>
      <c r="AB34" s="257">
        <f t="shared" si="9"/>
        <v>0.95338983050847403</v>
      </c>
      <c r="AC34" s="511"/>
    </row>
    <row r="35" spans="1:29" ht="15.75" customHeight="1">
      <c r="A35" s="536" t="s">
        <v>1382</v>
      </c>
      <c r="B35" s="62" t="s">
        <v>16</v>
      </c>
      <c r="C35" s="533" t="s">
        <v>30</v>
      </c>
      <c r="D35" s="533"/>
      <c r="E35" s="62">
        <v>31.29</v>
      </c>
      <c r="F35" s="267">
        <v>6376</v>
      </c>
      <c r="G35" s="258">
        <f t="shared" si="23"/>
        <v>199505.04</v>
      </c>
      <c r="H35" s="90" t="s">
        <v>5</v>
      </c>
      <c r="I35" s="265">
        <v>18</v>
      </c>
      <c r="J35" s="63">
        <v>2400</v>
      </c>
      <c r="K35" s="64">
        <f t="shared" si="1"/>
        <v>133.33333333333334</v>
      </c>
      <c r="L35" s="265">
        <v>18</v>
      </c>
      <c r="M35" s="65">
        <f t="shared" si="24"/>
        <v>2290.7784431137716</v>
      </c>
      <c r="N35" s="64">
        <f t="shared" si="3"/>
        <v>127.2654690618762</v>
      </c>
      <c r="O35" s="66">
        <f t="shared" si="4"/>
        <v>0</v>
      </c>
      <c r="P35" s="67">
        <f t="shared" si="5"/>
        <v>-6.0678642714571396</v>
      </c>
      <c r="Q35" s="257">
        <f t="shared" si="6"/>
        <v>0.95449101796407143</v>
      </c>
      <c r="R35" s="511"/>
      <c r="S35" s="68">
        <v>0.55069444444444438</v>
      </c>
      <c r="T35" s="68">
        <v>0.66666666666666663</v>
      </c>
      <c r="U35" s="258">
        <f t="shared" si="26"/>
        <v>55.999999999999957</v>
      </c>
      <c r="V35" s="266">
        <f t="shared" si="25"/>
        <v>167.00000000000006</v>
      </c>
      <c r="W35" s="69"/>
      <c r="X35" s="69"/>
      <c r="Y35" s="510"/>
      <c r="Z35" s="510"/>
      <c r="AA35" s="66">
        <f t="shared" si="8"/>
        <v>-109.22155688622843</v>
      </c>
      <c r="AB35" s="257">
        <f t="shared" si="9"/>
        <v>0.95449101796407154</v>
      </c>
      <c r="AC35" s="511"/>
    </row>
    <row r="36" spans="1:29" ht="15.75" customHeight="1">
      <c r="A36" s="536" t="s">
        <v>1382</v>
      </c>
      <c r="B36" s="62" t="s">
        <v>16</v>
      </c>
      <c r="C36" s="533" t="s">
        <v>982</v>
      </c>
      <c r="D36" s="533"/>
      <c r="E36" s="62">
        <v>25.98</v>
      </c>
      <c r="F36" s="267">
        <v>3131</v>
      </c>
      <c r="G36" s="258">
        <f t="shared" si="23"/>
        <v>81343.38</v>
      </c>
      <c r="H36" s="90" t="s">
        <v>5</v>
      </c>
      <c r="I36" s="265">
        <v>21</v>
      </c>
      <c r="J36" s="63">
        <v>2400</v>
      </c>
      <c r="K36" s="64">
        <f t="shared" si="1"/>
        <v>114.28571428571429</v>
      </c>
      <c r="L36" s="265">
        <v>21</v>
      </c>
      <c r="M36" s="65">
        <f t="shared" si="24"/>
        <v>2290.9756097560971</v>
      </c>
      <c r="N36" s="64">
        <f t="shared" si="3"/>
        <v>109.09407665505225</v>
      </c>
      <c r="O36" s="66">
        <f t="shared" si="4"/>
        <v>0</v>
      </c>
      <c r="P36" s="67">
        <f t="shared" si="5"/>
        <v>-5.1916376306620435</v>
      </c>
      <c r="Q36" s="257">
        <f t="shared" si="6"/>
        <v>0.95457317073170711</v>
      </c>
      <c r="R36" s="511"/>
      <c r="S36" s="68">
        <v>0.67083333333333328</v>
      </c>
      <c r="T36" s="68">
        <v>0.72777777777777775</v>
      </c>
      <c r="U36" s="258">
        <f t="shared" si="26"/>
        <v>5.9999999999999787</v>
      </c>
      <c r="V36" s="266">
        <f t="shared" si="25"/>
        <v>82.000000000000028</v>
      </c>
      <c r="W36" s="69"/>
      <c r="X36" s="69"/>
      <c r="Y36" s="510"/>
      <c r="Z36" s="510"/>
      <c r="AA36" s="66">
        <f t="shared" si="8"/>
        <v>-109.02439024390287</v>
      </c>
      <c r="AB36" s="257">
        <f t="shared" si="9"/>
        <v>0.95457317073170711</v>
      </c>
      <c r="AC36" s="511"/>
    </row>
    <row r="37" spans="1:29" ht="15.75" customHeight="1">
      <c r="A37" s="536" t="s">
        <v>1382</v>
      </c>
      <c r="B37" s="62" t="s">
        <v>16</v>
      </c>
      <c r="C37" s="534" t="s">
        <v>25</v>
      </c>
      <c r="D37" s="535"/>
      <c r="E37" s="62">
        <v>26.2</v>
      </c>
      <c r="F37" s="267">
        <v>2759</v>
      </c>
      <c r="G37" s="258">
        <f t="shared" si="23"/>
        <v>72285.8</v>
      </c>
      <c r="H37" s="90" t="s">
        <v>5</v>
      </c>
      <c r="I37" s="265">
        <v>20</v>
      </c>
      <c r="J37" s="63">
        <v>2400</v>
      </c>
      <c r="K37" s="64">
        <f t="shared" si="1"/>
        <v>120</v>
      </c>
      <c r="L37" s="265">
        <v>20</v>
      </c>
      <c r="M37" s="65">
        <f t="shared" si="24"/>
        <v>2299.1666666666647</v>
      </c>
      <c r="N37" s="64">
        <f t="shared" si="3"/>
        <v>114.95833333333323</v>
      </c>
      <c r="O37" s="66">
        <f t="shared" si="4"/>
        <v>0</v>
      </c>
      <c r="P37" s="67">
        <f t="shared" si="5"/>
        <v>-5.0416666666667709</v>
      </c>
      <c r="Q37" s="257">
        <f t="shared" si="6"/>
        <v>0.95798611111111021</v>
      </c>
      <c r="R37" s="511"/>
      <c r="S37" s="68">
        <v>0.73333333333333328</v>
      </c>
      <c r="T37" s="68">
        <v>0.78333333333333333</v>
      </c>
      <c r="U37" s="258">
        <f t="shared" si="26"/>
        <v>7.9999999999999716</v>
      </c>
      <c r="V37" s="266">
        <f t="shared" si="25"/>
        <v>72.000000000000057</v>
      </c>
      <c r="W37" s="69"/>
      <c r="X37" s="69"/>
      <c r="Y37" s="517"/>
      <c r="Z37" s="518"/>
      <c r="AA37" s="66">
        <f t="shared" si="8"/>
        <v>-100.8333333333353</v>
      </c>
      <c r="AB37" s="257">
        <f t="shared" si="9"/>
        <v>0.95798611111111032</v>
      </c>
      <c r="AC37" s="511"/>
    </row>
    <row r="38" spans="1:29" ht="15.75" customHeight="1">
      <c r="A38" s="536" t="s">
        <v>1382</v>
      </c>
      <c r="B38" s="62" t="s">
        <v>79</v>
      </c>
      <c r="C38" s="513"/>
      <c r="D38" s="513"/>
      <c r="E38" s="259"/>
      <c r="F38" s="267"/>
      <c r="G38" s="258"/>
      <c r="H38" s="267"/>
      <c r="I38" s="72">
        <v>18.666666666666668</v>
      </c>
      <c r="J38" s="63">
        <v>2400</v>
      </c>
      <c r="K38" s="64">
        <f t="shared" si="1"/>
        <v>128.57142857142856</v>
      </c>
      <c r="L38" s="72">
        <v>18.666666666666668</v>
      </c>
      <c r="M38" s="65">
        <f>AVERAGE(M29:M37)</f>
        <v>2290.3879738700289</v>
      </c>
      <c r="N38" s="64">
        <f t="shared" si="3"/>
        <v>122.69935574303726</v>
      </c>
      <c r="O38" s="66">
        <f t="shared" si="4"/>
        <v>0</v>
      </c>
      <c r="P38" s="67">
        <f t="shared" si="5"/>
        <v>-5.8720728283912962</v>
      </c>
      <c r="Q38" s="257">
        <f t="shared" si="6"/>
        <v>0.95432832244584542</v>
      </c>
      <c r="R38" s="511"/>
      <c r="S38" s="68"/>
      <c r="T38" s="68"/>
      <c r="U38" s="258"/>
      <c r="V38" s="266"/>
      <c r="W38" s="258"/>
      <c r="X38" s="258"/>
      <c r="Y38" s="510"/>
      <c r="Z38" s="510"/>
      <c r="AA38" s="66">
        <f t="shared" si="8"/>
        <v>-109.61202612997113</v>
      </c>
      <c r="AB38" s="257">
        <f t="shared" si="9"/>
        <v>0.95432832244584531</v>
      </c>
      <c r="AC38" s="511"/>
    </row>
    <row r="39" spans="1:29" ht="15.75" customHeight="1">
      <c r="A39" s="531" t="s">
        <v>1385</v>
      </c>
      <c r="B39" s="62" t="s">
        <v>16</v>
      </c>
      <c r="C39" s="512" t="s">
        <v>31</v>
      </c>
      <c r="D39" s="512"/>
      <c r="E39" s="62">
        <v>26.2</v>
      </c>
      <c r="F39" s="267">
        <v>3500</v>
      </c>
      <c r="G39" s="258">
        <f t="shared" ref="G39:G46" si="27">E39*F39</f>
        <v>91700</v>
      </c>
      <c r="H39" s="90">
        <v>2</v>
      </c>
      <c r="I39" s="265">
        <v>18</v>
      </c>
      <c r="J39" s="63">
        <v>2400</v>
      </c>
      <c r="K39" s="64">
        <f t="shared" si="1"/>
        <v>133.33333333333334</v>
      </c>
      <c r="L39" s="265">
        <v>18</v>
      </c>
      <c r="M39" s="65">
        <f t="shared" ref="M39:M46" si="28">F39/V39*60</f>
        <v>2282.608695652174</v>
      </c>
      <c r="N39" s="64">
        <f t="shared" si="3"/>
        <v>126.81159420289856</v>
      </c>
      <c r="O39" s="66">
        <f t="shared" si="4"/>
        <v>0</v>
      </c>
      <c r="P39" s="67">
        <f t="shared" si="5"/>
        <v>-6.5217391304347814</v>
      </c>
      <c r="Q39" s="257">
        <f t="shared" si="6"/>
        <v>0.95108695652173914</v>
      </c>
      <c r="R39" s="511">
        <f>Q47</f>
        <v>0.95452938840450696</v>
      </c>
      <c r="S39" s="68">
        <v>8.3333333333333329E-2</v>
      </c>
      <c r="T39" s="68">
        <v>0.14722222222222223</v>
      </c>
      <c r="U39" s="258"/>
      <c r="V39" s="266">
        <f t="shared" ref="V39:V46" si="29">(T39-S39)*24*60</f>
        <v>92.000000000000014</v>
      </c>
      <c r="W39" s="73">
        <f>T39</f>
        <v>0.14722222222222223</v>
      </c>
      <c r="X39" s="73">
        <f>S40</f>
        <v>0.16666666666666666</v>
      </c>
      <c r="Y39" s="510"/>
      <c r="Z39" s="510"/>
      <c r="AA39" s="66">
        <f t="shared" si="8"/>
        <v>-117.39130434782601</v>
      </c>
      <c r="AB39" s="257">
        <f t="shared" si="9"/>
        <v>0.95108695652173914</v>
      </c>
      <c r="AC39" s="511">
        <f>AB47</f>
        <v>0.95452938840450696</v>
      </c>
    </row>
    <row r="40" spans="1:29" ht="15.75" customHeight="1">
      <c r="A40" s="531" t="s">
        <v>1385</v>
      </c>
      <c r="B40" s="62" t="s">
        <v>16</v>
      </c>
      <c r="C40" s="512" t="s">
        <v>32</v>
      </c>
      <c r="D40" s="512"/>
      <c r="E40" s="62">
        <v>26.39</v>
      </c>
      <c r="F40" s="267">
        <v>4700</v>
      </c>
      <c r="G40" s="258">
        <f t="shared" si="27"/>
        <v>124033</v>
      </c>
      <c r="H40" s="90">
        <v>2</v>
      </c>
      <c r="I40" s="265">
        <v>19</v>
      </c>
      <c r="J40" s="63">
        <v>2400</v>
      </c>
      <c r="K40" s="64">
        <f t="shared" si="1"/>
        <v>126.31578947368421</v>
      </c>
      <c r="L40" s="265">
        <v>19</v>
      </c>
      <c r="M40" s="65">
        <f t="shared" si="28"/>
        <v>2292.6829268292686</v>
      </c>
      <c r="N40" s="64">
        <f t="shared" si="3"/>
        <v>120.66752246469835</v>
      </c>
      <c r="O40" s="66">
        <f t="shared" si="4"/>
        <v>0</v>
      </c>
      <c r="P40" s="67">
        <f t="shared" si="5"/>
        <v>-5.6482670089858544</v>
      </c>
      <c r="Q40" s="257">
        <f t="shared" si="6"/>
        <v>0.9552845528455286</v>
      </c>
      <c r="R40" s="511"/>
      <c r="S40" s="68">
        <v>0.16666666666666666</v>
      </c>
      <c r="T40" s="68">
        <v>0.25208333333333333</v>
      </c>
      <c r="U40" s="258">
        <f t="shared" ref="U40:U46" si="30">(S40-T39)*24*60</f>
        <v>27.999999999999979</v>
      </c>
      <c r="V40" s="266">
        <f t="shared" si="29"/>
        <v>122.99999999999999</v>
      </c>
      <c r="W40" s="258"/>
      <c r="X40" s="258"/>
      <c r="Y40" s="510"/>
      <c r="Z40" s="510"/>
      <c r="AA40" s="66">
        <f t="shared" si="8"/>
        <v>-107.31707317073142</v>
      </c>
      <c r="AB40" s="257">
        <f t="shared" si="9"/>
        <v>0.9552845528455286</v>
      </c>
      <c r="AC40" s="511"/>
    </row>
    <row r="41" spans="1:29">
      <c r="A41" s="532" t="s">
        <v>1386</v>
      </c>
      <c r="B41" s="62" t="s">
        <v>16</v>
      </c>
      <c r="C41" s="512" t="s">
        <v>50</v>
      </c>
      <c r="D41" s="512"/>
      <c r="E41" s="62">
        <v>20.52</v>
      </c>
      <c r="F41" s="267">
        <v>5631</v>
      </c>
      <c r="G41" s="258">
        <f t="shared" si="27"/>
        <v>115548.12</v>
      </c>
      <c r="H41" s="90" t="s">
        <v>5</v>
      </c>
      <c r="I41" s="265">
        <v>18</v>
      </c>
      <c r="J41" s="63">
        <v>2400</v>
      </c>
      <c r="K41" s="64">
        <f t="shared" si="1"/>
        <v>133.33333333333334</v>
      </c>
      <c r="L41" s="265">
        <v>18</v>
      </c>
      <c r="M41" s="65">
        <f t="shared" si="28"/>
        <v>2282.8378378378375</v>
      </c>
      <c r="N41" s="64">
        <f t="shared" si="3"/>
        <v>126.82432432432431</v>
      </c>
      <c r="O41" s="66">
        <f t="shared" si="4"/>
        <v>0</v>
      </c>
      <c r="P41" s="67">
        <f t="shared" si="5"/>
        <v>-6.5090090090090342</v>
      </c>
      <c r="Q41" s="257">
        <f t="shared" si="6"/>
        <v>0.95118243243243228</v>
      </c>
      <c r="R41" s="511"/>
      <c r="S41" s="68">
        <v>0.25624999999999998</v>
      </c>
      <c r="T41" s="68">
        <v>0.35902777777777778</v>
      </c>
      <c r="U41" s="258">
        <f t="shared" si="30"/>
        <v>5.9999999999999787</v>
      </c>
      <c r="V41" s="266">
        <f t="shared" si="29"/>
        <v>148.00000000000003</v>
      </c>
      <c r="W41" s="258"/>
      <c r="X41" s="258"/>
      <c r="Y41" s="510"/>
      <c r="Z41" s="510"/>
      <c r="AA41" s="66">
        <f t="shared" si="8"/>
        <v>-117.16216216216253</v>
      </c>
      <c r="AB41" s="257">
        <f t="shared" si="9"/>
        <v>0.95118243243243228</v>
      </c>
      <c r="AC41" s="511"/>
    </row>
    <row r="42" spans="1:29">
      <c r="A42" s="532" t="s">
        <v>1385</v>
      </c>
      <c r="B42" s="62" t="s">
        <v>16</v>
      </c>
      <c r="C42" s="512" t="s">
        <v>18</v>
      </c>
      <c r="D42" s="512"/>
      <c r="E42" s="62">
        <v>22.35</v>
      </c>
      <c r="F42" s="267">
        <v>2252</v>
      </c>
      <c r="G42" s="258">
        <f t="shared" si="27"/>
        <v>50332.200000000004</v>
      </c>
      <c r="H42" s="90" t="s">
        <v>5</v>
      </c>
      <c r="I42" s="265">
        <v>16</v>
      </c>
      <c r="J42" s="63">
        <v>2400</v>
      </c>
      <c r="K42" s="64">
        <f t="shared" si="1"/>
        <v>150</v>
      </c>
      <c r="L42" s="265">
        <v>16</v>
      </c>
      <c r="M42" s="65">
        <f t="shared" si="28"/>
        <v>2290.1694915254225</v>
      </c>
      <c r="N42" s="64">
        <f t="shared" si="3"/>
        <v>143.1355932203389</v>
      </c>
      <c r="O42" s="66">
        <f t="shared" si="4"/>
        <v>0</v>
      </c>
      <c r="P42" s="67">
        <f t="shared" si="5"/>
        <v>-6.8644067796610955</v>
      </c>
      <c r="Q42" s="257">
        <f t="shared" si="6"/>
        <v>0.95423728813559272</v>
      </c>
      <c r="R42" s="511"/>
      <c r="S42" s="68">
        <v>0.36249999999999999</v>
      </c>
      <c r="T42" s="68">
        <v>0.40347222222222223</v>
      </c>
      <c r="U42" s="258">
        <f t="shared" si="30"/>
        <v>4.9999999999999822</v>
      </c>
      <c r="V42" s="266">
        <f t="shared" si="29"/>
        <v>59.000000000000028</v>
      </c>
      <c r="W42" s="69"/>
      <c r="X42" s="69"/>
      <c r="Y42" s="510"/>
      <c r="Z42" s="510"/>
      <c r="AA42" s="66">
        <f t="shared" si="8"/>
        <v>-109.83050847457753</v>
      </c>
      <c r="AB42" s="257">
        <f t="shared" si="9"/>
        <v>0.95423728813559272</v>
      </c>
      <c r="AC42" s="511"/>
    </row>
    <row r="43" spans="1:29">
      <c r="A43" s="532" t="s">
        <v>1386</v>
      </c>
      <c r="B43" s="62" t="s">
        <v>16</v>
      </c>
      <c r="C43" s="512" t="s">
        <v>33</v>
      </c>
      <c r="D43" s="512"/>
      <c r="E43" s="62">
        <v>24.43</v>
      </c>
      <c r="F43" s="267">
        <v>5500</v>
      </c>
      <c r="G43" s="258">
        <f t="shared" si="27"/>
        <v>134365</v>
      </c>
      <c r="H43" s="90">
        <v>2</v>
      </c>
      <c r="I43" s="265">
        <v>14</v>
      </c>
      <c r="J43" s="63">
        <v>2400</v>
      </c>
      <c r="K43" s="64">
        <f t="shared" si="1"/>
        <v>171.42857142857142</v>
      </c>
      <c r="L43" s="265">
        <v>14</v>
      </c>
      <c r="M43" s="65">
        <f t="shared" si="28"/>
        <v>2291.666666666667</v>
      </c>
      <c r="N43" s="64">
        <f t="shared" si="3"/>
        <v>163.6904761904762</v>
      </c>
      <c r="O43" s="66">
        <f t="shared" si="4"/>
        <v>0</v>
      </c>
      <c r="P43" s="67">
        <f t="shared" si="5"/>
        <v>-7.7380952380952124</v>
      </c>
      <c r="Q43" s="257">
        <f t="shared" si="6"/>
        <v>0.95486111111111127</v>
      </c>
      <c r="R43" s="511"/>
      <c r="S43" s="68">
        <v>0.40833333333333333</v>
      </c>
      <c r="T43" s="68">
        <v>0.5083333333333333</v>
      </c>
      <c r="U43" s="258">
        <f t="shared" si="30"/>
        <v>6.9999999999999751</v>
      </c>
      <c r="V43" s="266">
        <f t="shared" si="29"/>
        <v>143.99999999999997</v>
      </c>
      <c r="W43" s="69">
        <f>T43</f>
        <v>0.5083333333333333</v>
      </c>
      <c r="X43" s="69">
        <f>S44</f>
        <v>0.54930555555555549</v>
      </c>
      <c r="Y43" s="510"/>
      <c r="Z43" s="510"/>
      <c r="AA43" s="66">
        <f t="shared" si="8"/>
        <v>-108.33333333333303</v>
      </c>
      <c r="AB43" s="257">
        <f t="shared" si="9"/>
        <v>0.95486111111111127</v>
      </c>
      <c r="AC43" s="511"/>
    </row>
    <row r="44" spans="1:29">
      <c r="A44" s="532" t="s">
        <v>1385</v>
      </c>
      <c r="B44" s="62" t="s">
        <v>16</v>
      </c>
      <c r="C44" s="512" t="s">
        <v>31</v>
      </c>
      <c r="D44" s="512"/>
      <c r="E44" s="62">
        <v>26.2</v>
      </c>
      <c r="F44" s="267">
        <v>4708</v>
      </c>
      <c r="G44" s="258">
        <f t="shared" si="27"/>
        <v>123349.59999999999</v>
      </c>
      <c r="H44" s="90" t="s">
        <v>5</v>
      </c>
      <c r="I44" s="265">
        <v>18</v>
      </c>
      <c r="J44" s="63">
        <v>2400</v>
      </c>
      <c r="K44" s="64">
        <f t="shared" si="1"/>
        <v>133.33333333333334</v>
      </c>
      <c r="L44" s="265">
        <v>18</v>
      </c>
      <c r="M44" s="65">
        <f t="shared" si="28"/>
        <v>2296.585365853658</v>
      </c>
      <c r="N44" s="64">
        <f t="shared" si="3"/>
        <v>127.58807588075878</v>
      </c>
      <c r="O44" s="66">
        <f t="shared" si="4"/>
        <v>0</v>
      </c>
      <c r="P44" s="67">
        <f t="shared" si="5"/>
        <v>-5.7452574525745632</v>
      </c>
      <c r="Q44" s="257">
        <f t="shared" si="6"/>
        <v>0.95691056910569083</v>
      </c>
      <c r="R44" s="511"/>
      <c r="S44" s="68">
        <v>0.54930555555555549</v>
      </c>
      <c r="T44" s="68">
        <v>0.63472222222222219</v>
      </c>
      <c r="U44" s="258">
        <f t="shared" si="30"/>
        <v>58.99999999999995</v>
      </c>
      <c r="V44" s="266">
        <f t="shared" si="29"/>
        <v>123.00000000000004</v>
      </c>
      <c r="W44" s="69"/>
      <c r="X44" s="69"/>
      <c r="Y44" s="510"/>
      <c r="Z44" s="510"/>
      <c r="AA44" s="66">
        <f t="shared" si="8"/>
        <v>-103.414634146342</v>
      </c>
      <c r="AB44" s="257">
        <f t="shared" si="9"/>
        <v>0.95691056910569083</v>
      </c>
      <c r="AC44" s="511"/>
    </row>
    <row r="45" spans="1:29">
      <c r="A45" s="532" t="s">
        <v>1385</v>
      </c>
      <c r="B45" s="62" t="s">
        <v>16</v>
      </c>
      <c r="C45" s="512" t="s">
        <v>33</v>
      </c>
      <c r="D45" s="512"/>
      <c r="E45" s="62">
        <v>24.43</v>
      </c>
      <c r="F45" s="267">
        <v>4453</v>
      </c>
      <c r="G45" s="258">
        <f t="shared" si="27"/>
        <v>108786.79</v>
      </c>
      <c r="H45" s="90" t="s">
        <v>5</v>
      </c>
      <c r="I45" s="265">
        <v>14</v>
      </c>
      <c r="J45" s="63">
        <v>2400</v>
      </c>
      <c r="K45" s="64">
        <f t="shared" si="1"/>
        <v>171.42857142857142</v>
      </c>
      <c r="L45" s="265">
        <v>14</v>
      </c>
      <c r="M45" s="65">
        <f t="shared" si="28"/>
        <v>2283.5897435897423</v>
      </c>
      <c r="N45" s="64">
        <f t="shared" si="3"/>
        <v>163.11355311355302</v>
      </c>
      <c r="O45" s="66">
        <f t="shared" si="4"/>
        <v>0</v>
      </c>
      <c r="P45" s="67">
        <f t="shared" si="5"/>
        <v>-8.3150183150183921</v>
      </c>
      <c r="Q45" s="257">
        <f t="shared" si="6"/>
        <v>0.951495726495726</v>
      </c>
      <c r="R45" s="511"/>
      <c r="S45" s="68">
        <v>0.63958333333333328</v>
      </c>
      <c r="T45" s="68">
        <v>0.72083333333333333</v>
      </c>
      <c r="U45" s="258">
        <f t="shared" si="30"/>
        <v>6.9999999999999751</v>
      </c>
      <c r="V45" s="266">
        <f t="shared" si="29"/>
        <v>117.00000000000006</v>
      </c>
      <c r="W45" s="69"/>
      <c r="X45" s="69"/>
      <c r="Y45" s="517"/>
      <c r="Z45" s="518"/>
      <c r="AA45" s="66">
        <f t="shared" si="8"/>
        <v>-116.41025641025772</v>
      </c>
      <c r="AB45" s="257">
        <f t="shared" si="9"/>
        <v>0.951495726495726</v>
      </c>
      <c r="AC45" s="511"/>
    </row>
    <row r="46" spans="1:29">
      <c r="A46" s="532" t="s">
        <v>1385</v>
      </c>
      <c r="B46" s="62" t="s">
        <v>16</v>
      </c>
      <c r="C46" s="512" t="s">
        <v>32</v>
      </c>
      <c r="D46" s="512"/>
      <c r="E46" s="62">
        <v>26.39</v>
      </c>
      <c r="F46" s="267">
        <v>3268</v>
      </c>
      <c r="G46" s="258">
        <f t="shared" si="27"/>
        <v>86242.52</v>
      </c>
      <c r="H46" s="90" t="s">
        <v>5</v>
      </c>
      <c r="I46" s="265">
        <v>19</v>
      </c>
      <c r="J46" s="63">
        <v>2400</v>
      </c>
      <c r="K46" s="64">
        <f t="shared" si="1"/>
        <v>126.31578947368421</v>
      </c>
      <c r="L46" s="265">
        <v>19</v>
      </c>
      <c r="M46" s="65">
        <f t="shared" si="28"/>
        <v>2306.823529411764</v>
      </c>
      <c r="N46" s="64">
        <f t="shared" si="3"/>
        <v>121.41176470588232</v>
      </c>
      <c r="O46" s="66">
        <f t="shared" si="4"/>
        <v>0</v>
      </c>
      <c r="P46" s="67">
        <f t="shared" si="5"/>
        <v>-4.9040247678018858</v>
      </c>
      <c r="Q46" s="257">
        <f t="shared" si="6"/>
        <v>0.96117647058823508</v>
      </c>
      <c r="R46" s="511"/>
      <c r="S46" s="68">
        <v>0.72638888888888886</v>
      </c>
      <c r="T46" s="68">
        <v>0.78541666666666665</v>
      </c>
      <c r="U46" s="258">
        <f t="shared" si="30"/>
        <v>7.9999999999999716</v>
      </c>
      <c r="V46" s="266">
        <f t="shared" si="29"/>
        <v>85.000000000000014</v>
      </c>
      <c r="W46" s="69"/>
      <c r="X46" s="69"/>
      <c r="Y46" s="517"/>
      <c r="Z46" s="518"/>
      <c r="AA46" s="66">
        <f t="shared" si="8"/>
        <v>-93.176470588236043</v>
      </c>
      <c r="AB46" s="257">
        <f t="shared" si="9"/>
        <v>0.96117647058823497</v>
      </c>
      <c r="AC46" s="511"/>
    </row>
    <row r="47" spans="1:29">
      <c r="A47" s="532" t="s">
        <v>1385</v>
      </c>
      <c r="B47" s="71" t="s">
        <v>1387</v>
      </c>
      <c r="C47" s="513"/>
      <c r="D47" s="513"/>
      <c r="E47" s="259"/>
      <c r="F47" s="71"/>
      <c r="G47" s="64"/>
      <c r="H47" s="267"/>
      <c r="I47" s="72">
        <v>17</v>
      </c>
      <c r="J47" s="63">
        <v>2400</v>
      </c>
      <c r="K47" s="64">
        <f t="shared" si="1"/>
        <v>141.1764705882353</v>
      </c>
      <c r="L47" s="72">
        <v>17</v>
      </c>
      <c r="M47" s="65">
        <f>AVERAGE(M39:M46)</f>
        <v>2290.8705321708167</v>
      </c>
      <c r="N47" s="64">
        <f t="shared" si="3"/>
        <v>134.75709012769511</v>
      </c>
      <c r="O47" s="66">
        <f t="shared" si="4"/>
        <v>0</v>
      </c>
      <c r="P47" s="67">
        <f t="shared" si="5"/>
        <v>-6.4193804605401965</v>
      </c>
      <c r="Q47" s="257">
        <f t="shared" si="6"/>
        <v>0.95452938840450696</v>
      </c>
      <c r="R47" s="511"/>
      <c r="S47" s="68"/>
      <c r="T47" s="68"/>
      <c r="U47" s="64"/>
      <c r="V47" s="266"/>
      <c r="W47" s="64"/>
      <c r="X47" s="64"/>
      <c r="Y47" s="510"/>
      <c r="Z47" s="510"/>
      <c r="AA47" s="66">
        <f t="shared" si="8"/>
        <v>-109.12946782918334</v>
      </c>
      <c r="AB47" s="257">
        <f t="shared" si="9"/>
        <v>0.95452938840450696</v>
      </c>
      <c r="AC47" s="511"/>
    </row>
    <row r="48" spans="1:29" ht="15.75" customHeight="1">
      <c r="A48" s="525" t="s">
        <v>1388</v>
      </c>
      <c r="B48" s="62" t="s">
        <v>35</v>
      </c>
      <c r="C48" s="521" t="s">
        <v>36</v>
      </c>
      <c r="D48" s="522"/>
      <c r="E48" s="62">
        <v>21.13</v>
      </c>
      <c r="F48" s="267">
        <v>5691</v>
      </c>
      <c r="G48" s="258">
        <f t="shared" ref="G48:G56" si="31">E48*F48</f>
        <v>120250.82999999999</v>
      </c>
      <c r="H48" s="90" t="s">
        <v>5</v>
      </c>
      <c r="I48" s="265">
        <v>10</v>
      </c>
      <c r="J48" s="63">
        <v>3000</v>
      </c>
      <c r="K48" s="64">
        <f t="shared" si="1"/>
        <v>300</v>
      </c>
      <c r="L48" s="265">
        <v>10</v>
      </c>
      <c r="M48" s="65">
        <f t="shared" ref="M48:M56" si="32">F48/V48*60</f>
        <v>2869.411764705882</v>
      </c>
      <c r="N48" s="65">
        <f t="shared" si="3"/>
        <v>286.94117647058818</v>
      </c>
      <c r="O48" s="66">
        <f t="shared" si="4"/>
        <v>0</v>
      </c>
      <c r="P48" s="67">
        <f t="shared" si="5"/>
        <v>-13.058823529411825</v>
      </c>
      <c r="Q48" s="257">
        <f t="shared" si="6"/>
        <v>0.95647058823529396</v>
      </c>
      <c r="R48" s="528">
        <f>Q57</f>
        <v>0.95890293667387405</v>
      </c>
      <c r="S48" s="68">
        <v>8.3333333333333329E-2</v>
      </c>
      <c r="T48" s="68">
        <v>0.16597222222222222</v>
      </c>
      <c r="U48" s="73"/>
      <c r="V48" s="266">
        <f t="shared" ref="V48:V56" si="33">(T48-S48)*24*60</f>
        <v>119</v>
      </c>
      <c r="W48" s="69">
        <f>T48</f>
        <v>0.16597222222222222</v>
      </c>
      <c r="X48" s="69">
        <f>S49</f>
        <v>0.18402777777777776</v>
      </c>
      <c r="Y48" s="517"/>
      <c r="Z48" s="518"/>
      <c r="AA48" s="66">
        <f t="shared" si="8"/>
        <v>-130.58823529411802</v>
      </c>
      <c r="AB48" s="257">
        <f t="shared" si="9"/>
        <v>0.95647058823529396</v>
      </c>
      <c r="AC48" s="528">
        <f>AB57</f>
        <v>0.95890293667387405</v>
      </c>
    </row>
    <row r="49" spans="1:29" ht="15.75" customHeight="1">
      <c r="A49" s="526" t="s">
        <v>1388</v>
      </c>
      <c r="B49" s="62" t="s">
        <v>35</v>
      </c>
      <c r="C49" s="521" t="s">
        <v>37</v>
      </c>
      <c r="D49" s="522"/>
      <c r="E49" s="62">
        <v>27.17</v>
      </c>
      <c r="F49" s="267">
        <v>4300</v>
      </c>
      <c r="G49" s="258">
        <f t="shared" si="31"/>
        <v>116831.00000000001</v>
      </c>
      <c r="H49" s="90">
        <v>2</v>
      </c>
      <c r="I49" s="265">
        <v>10</v>
      </c>
      <c r="J49" s="63">
        <v>3000</v>
      </c>
      <c r="K49" s="64">
        <f t="shared" si="1"/>
        <v>300</v>
      </c>
      <c r="L49" s="265">
        <v>10</v>
      </c>
      <c r="M49" s="65">
        <f t="shared" si="32"/>
        <v>2866.6666666666665</v>
      </c>
      <c r="N49" s="65">
        <f t="shared" si="3"/>
        <v>286.66666666666663</v>
      </c>
      <c r="O49" s="66">
        <f t="shared" si="4"/>
        <v>0</v>
      </c>
      <c r="P49" s="67">
        <f t="shared" si="5"/>
        <v>-13.333333333333371</v>
      </c>
      <c r="Q49" s="257">
        <f t="shared" si="6"/>
        <v>0.95555555555555538</v>
      </c>
      <c r="R49" s="529"/>
      <c r="S49" s="68">
        <v>0.18402777777777776</v>
      </c>
      <c r="T49" s="68">
        <v>0.24652777777777776</v>
      </c>
      <c r="U49" s="258">
        <f t="shared" ref="U49:U56" si="34">(S49-T48)*24*60</f>
        <v>25.999999999999986</v>
      </c>
      <c r="V49" s="266">
        <f t="shared" si="33"/>
        <v>90</v>
      </c>
      <c r="W49" s="69"/>
      <c r="X49" s="69"/>
      <c r="Y49" s="517"/>
      <c r="Z49" s="518"/>
      <c r="AA49" s="66">
        <f t="shared" si="8"/>
        <v>-133.33333333333348</v>
      </c>
      <c r="AB49" s="257">
        <f t="shared" si="9"/>
        <v>0.95555555555555549</v>
      </c>
      <c r="AC49" s="529"/>
    </row>
    <row r="50" spans="1:29" ht="15.75" customHeight="1">
      <c r="A50" s="526" t="s">
        <v>1388</v>
      </c>
      <c r="B50" s="62" t="s">
        <v>35</v>
      </c>
      <c r="C50" s="521" t="s">
        <v>38</v>
      </c>
      <c r="D50" s="522"/>
      <c r="E50" s="62">
        <v>35.119999999999997</v>
      </c>
      <c r="F50" s="267">
        <v>4759</v>
      </c>
      <c r="G50" s="258">
        <f t="shared" si="31"/>
        <v>167136.07999999999</v>
      </c>
      <c r="H50" s="90" t="s">
        <v>5</v>
      </c>
      <c r="I50" s="265">
        <v>10</v>
      </c>
      <c r="J50" s="63">
        <v>3000</v>
      </c>
      <c r="K50" s="64">
        <f t="shared" si="1"/>
        <v>300</v>
      </c>
      <c r="L50" s="265">
        <v>10</v>
      </c>
      <c r="M50" s="65">
        <f t="shared" si="32"/>
        <v>2855.4000000000005</v>
      </c>
      <c r="N50" s="65">
        <f t="shared" si="3"/>
        <v>285.54000000000008</v>
      </c>
      <c r="O50" s="66">
        <f t="shared" si="4"/>
        <v>0</v>
      </c>
      <c r="P50" s="67">
        <f t="shared" si="5"/>
        <v>-14.459999999999923</v>
      </c>
      <c r="Q50" s="257">
        <f t="shared" si="6"/>
        <v>0.95180000000000031</v>
      </c>
      <c r="R50" s="529"/>
      <c r="S50" s="68">
        <v>0.25138888888888888</v>
      </c>
      <c r="T50" s="68">
        <v>0.3208333333333333</v>
      </c>
      <c r="U50" s="258">
        <f t="shared" si="34"/>
        <v>7.0000000000000151</v>
      </c>
      <c r="V50" s="266">
        <f t="shared" si="33"/>
        <v>99.999999999999972</v>
      </c>
      <c r="W50" s="69"/>
      <c r="X50" s="69"/>
      <c r="Y50" s="517"/>
      <c r="Z50" s="518"/>
      <c r="AA50" s="66">
        <f t="shared" si="8"/>
        <v>-144.59999999999945</v>
      </c>
      <c r="AB50" s="257">
        <f t="shared" si="9"/>
        <v>0.9518000000000002</v>
      </c>
      <c r="AC50" s="529"/>
    </row>
    <row r="51" spans="1:29" ht="15.75" customHeight="1">
      <c r="A51" s="526" t="s">
        <v>1388</v>
      </c>
      <c r="B51" s="62" t="s">
        <v>35</v>
      </c>
      <c r="C51" s="521" t="s">
        <v>39</v>
      </c>
      <c r="D51" s="522"/>
      <c r="E51" s="62">
        <v>35.869999999999997</v>
      </c>
      <c r="F51" s="267">
        <v>3026</v>
      </c>
      <c r="G51" s="258">
        <f t="shared" si="31"/>
        <v>108542.62</v>
      </c>
      <c r="H51" s="90" t="s">
        <v>5</v>
      </c>
      <c r="I51" s="265">
        <v>9</v>
      </c>
      <c r="J51" s="63">
        <v>3000</v>
      </c>
      <c r="K51" s="64">
        <f t="shared" si="1"/>
        <v>333.33333333333331</v>
      </c>
      <c r="L51" s="265">
        <v>9</v>
      </c>
      <c r="M51" s="65">
        <f t="shared" si="32"/>
        <v>2881.904761904761</v>
      </c>
      <c r="N51" s="65">
        <f t="shared" si="3"/>
        <v>320.21164021164009</v>
      </c>
      <c r="O51" s="66">
        <f t="shared" si="4"/>
        <v>0</v>
      </c>
      <c r="P51" s="67">
        <f t="shared" si="5"/>
        <v>-13.121693121693227</v>
      </c>
      <c r="Q51" s="257">
        <f t="shared" si="6"/>
        <v>0.96063492063492029</v>
      </c>
      <c r="R51" s="529"/>
      <c r="S51" s="68">
        <v>0.32499999999999996</v>
      </c>
      <c r="T51" s="68">
        <v>0.36874999999999997</v>
      </c>
      <c r="U51" s="258">
        <f t="shared" si="34"/>
        <v>5.9999999999999787</v>
      </c>
      <c r="V51" s="266">
        <f t="shared" si="33"/>
        <v>63.000000000000014</v>
      </c>
      <c r="W51" s="69"/>
      <c r="X51" s="69"/>
      <c r="Y51" s="517"/>
      <c r="Z51" s="518"/>
      <c r="AA51" s="66">
        <f t="shared" si="8"/>
        <v>-118.09523809523898</v>
      </c>
      <c r="AB51" s="257">
        <f t="shared" si="9"/>
        <v>0.96063492063492029</v>
      </c>
      <c r="AC51" s="529"/>
    </row>
    <row r="52" spans="1:29" ht="15.75" customHeight="1">
      <c r="A52" s="526" t="s">
        <v>1388</v>
      </c>
      <c r="B52" s="62" t="s">
        <v>35</v>
      </c>
      <c r="C52" s="521" t="s">
        <v>40</v>
      </c>
      <c r="D52" s="522"/>
      <c r="E52" s="62">
        <v>36.14</v>
      </c>
      <c r="F52" s="267">
        <v>1404</v>
      </c>
      <c r="G52" s="258">
        <f t="shared" si="31"/>
        <v>50740.56</v>
      </c>
      <c r="H52" s="90" t="s">
        <v>5</v>
      </c>
      <c r="I52" s="265">
        <v>9</v>
      </c>
      <c r="J52" s="63">
        <v>3000</v>
      </c>
      <c r="K52" s="64">
        <f t="shared" si="1"/>
        <v>333.33333333333331</v>
      </c>
      <c r="L52" s="265">
        <v>9</v>
      </c>
      <c r="M52" s="65">
        <f t="shared" si="32"/>
        <v>2904.8275862068986</v>
      </c>
      <c r="N52" s="65">
        <f t="shared" si="3"/>
        <v>322.7586206896554</v>
      </c>
      <c r="O52" s="66">
        <f t="shared" si="4"/>
        <v>0</v>
      </c>
      <c r="P52" s="67">
        <f t="shared" si="5"/>
        <v>-10.574712643677913</v>
      </c>
      <c r="Q52" s="257">
        <f t="shared" si="6"/>
        <v>0.96827586206896621</v>
      </c>
      <c r="R52" s="529"/>
      <c r="S52" s="68">
        <v>0.3743055555555555</v>
      </c>
      <c r="T52" s="68">
        <v>0.39444444444444438</v>
      </c>
      <c r="U52" s="258">
        <f t="shared" si="34"/>
        <v>7.9999999999999716</v>
      </c>
      <c r="V52" s="266">
        <f t="shared" si="33"/>
        <v>28.999999999999979</v>
      </c>
      <c r="W52" s="69"/>
      <c r="X52" s="69"/>
      <c r="Y52" s="517"/>
      <c r="Z52" s="518"/>
      <c r="AA52" s="66">
        <f t="shared" si="8"/>
        <v>-95.172413793101441</v>
      </c>
      <c r="AB52" s="257">
        <f t="shared" si="9"/>
        <v>0.96827586206896621</v>
      </c>
      <c r="AC52" s="529"/>
    </row>
    <row r="53" spans="1:29" ht="15.75" customHeight="1">
      <c r="A53" s="526" t="s">
        <v>1388</v>
      </c>
      <c r="B53" s="62" t="s">
        <v>35</v>
      </c>
      <c r="C53" s="521" t="s">
        <v>74</v>
      </c>
      <c r="D53" s="522"/>
      <c r="E53" s="62">
        <v>34.36</v>
      </c>
      <c r="F53" s="267">
        <v>2872</v>
      </c>
      <c r="G53" s="258">
        <f t="shared" si="31"/>
        <v>98681.919999999998</v>
      </c>
      <c r="H53" s="90" t="s">
        <v>5</v>
      </c>
      <c r="I53" s="265">
        <v>10</v>
      </c>
      <c r="J53" s="63">
        <v>3000</v>
      </c>
      <c r="K53" s="64">
        <f t="shared" si="1"/>
        <v>300</v>
      </c>
      <c r="L53" s="265">
        <v>10</v>
      </c>
      <c r="M53" s="65">
        <f t="shared" si="32"/>
        <v>2871.9999999999986</v>
      </c>
      <c r="N53" s="65">
        <f t="shared" si="3"/>
        <v>287.19999999999987</v>
      </c>
      <c r="O53" s="66">
        <f t="shared" si="4"/>
        <v>0</v>
      </c>
      <c r="P53" s="67">
        <f t="shared" si="5"/>
        <v>-12.800000000000125</v>
      </c>
      <c r="Q53" s="257">
        <f t="shared" si="6"/>
        <v>0.95733333333333293</v>
      </c>
      <c r="R53" s="529"/>
      <c r="S53" s="68">
        <v>0.39791666666666659</v>
      </c>
      <c r="T53" s="68">
        <v>0.43958333333333327</v>
      </c>
      <c r="U53" s="258">
        <f t="shared" si="34"/>
        <v>4.9999999999999822</v>
      </c>
      <c r="V53" s="266">
        <f t="shared" si="33"/>
        <v>60.000000000000028</v>
      </c>
      <c r="W53" s="69"/>
      <c r="X53" s="69"/>
      <c r="Y53" s="517"/>
      <c r="Z53" s="518"/>
      <c r="AA53" s="66">
        <f t="shared" si="8"/>
        <v>-128.00000000000136</v>
      </c>
      <c r="AB53" s="257">
        <f t="shared" si="9"/>
        <v>0.95733333333333293</v>
      </c>
      <c r="AC53" s="529"/>
    </row>
    <row r="54" spans="1:29" ht="15.75" customHeight="1">
      <c r="A54" s="526" t="s">
        <v>1388</v>
      </c>
      <c r="B54" s="62" t="s">
        <v>35</v>
      </c>
      <c r="C54" s="521" t="s">
        <v>84</v>
      </c>
      <c r="D54" s="522"/>
      <c r="E54" s="62">
        <v>31</v>
      </c>
      <c r="F54" s="267">
        <v>2500</v>
      </c>
      <c r="G54" s="258">
        <f t="shared" si="31"/>
        <v>77500</v>
      </c>
      <c r="H54" s="90">
        <v>2</v>
      </c>
      <c r="I54" s="265">
        <v>13</v>
      </c>
      <c r="J54" s="63">
        <v>2000</v>
      </c>
      <c r="K54" s="64">
        <f t="shared" si="1"/>
        <v>153.84615384615384</v>
      </c>
      <c r="L54" s="265">
        <v>13</v>
      </c>
      <c r="M54" s="65">
        <f t="shared" si="32"/>
        <v>1923.076923076924</v>
      </c>
      <c r="N54" s="65">
        <f t="shared" si="3"/>
        <v>147.92899408284032</v>
      </c>
      <c r="O54" s="66">
        <f t="shared" si="4"/>
        <v>0</v>
      </c>
      <c r="P54" s="67">
        <f t="shared" si="5"/>
        <v>-5.9171597633135207</v>
      </c>
      <c r="Q54" s="257">
        <f t="shared" si="6"/>
        <v>0.96153846153846212</v>
      </c>
      <c r="R54" s="529"/>
      <c r="S54" s="68">
        <v>0.44374999999999992</v>
      </c>
      <c r="T54" s="68">
        <v>0.49791666666666656</v>
      </c>
      <c r="U54" s="258">
        <f t="shared" si="34"/>
        <v>5.9999999999999787</v>
      </c>
      <c r="V54" s="266">
        <f t="shared" si="33"/>
        <v>77.999999999999957</v>
      </c>
      <c r="W54" s="69">
        <f>T54</f>
        <v>0.49791666666666656</v>
      </c>
      <c r="X54" s="69">
        <f>S55</f>
        <v>0.53888888888888875</v>
      </c>
      <c r="Y54" s="517"/>
      <c r="Z54" s="518"/>
      <c r="AA54" s="66">
        <f t="shared" si="8"/>
        <v>-76.923076923075996</v>
      </c>
      <c r="AB54" s="257">
        <f t="shared" si="9"/>
        <v>0.96153846153846201</v>
      </c>
      <c r="AC54" s="529"/>
    </row>
    <row r="55" spans="1:29" ht="15.75" customHeight="1">
      <c r="A55" s="526" t="s">
        <v>1388</v>
      </c>
      <c r="B55" s="62" t="s">
        <v>35</v>
      </c>
      <c r="C55" s="521" t="s">
        <v>84</v>
      </c>
      <c r="D55" s="522"/>
      <c r="E55" s="62">
        <v>31</v>
      </c>
      <c r="F55" s="267">
        <v>3175</v>
      </c>
      <c r="G55" s="258">
        <f t="shared" si="31"/>
        <v>98425</v>
      </c>
      <c r="H55" s="90" t="s">
        <v>5</v>
      </c>
      <c r="I55" s="265">
        <v>13</v>
      </c>
      <c r="J55" s="63">
        <v>2000</v>
      </c>
      <c r="K55" s="64">
        <f t="shared" si="1"/>
        <v>153.84615384615384</v>
      </c>
      <c r="L55" s="265">
        <v>13</v>
      </c>
      <c r="M55" s="65">
        <f t="shared" si="32"/>
        <v>1905.0000000000007</v>
      </c>
      <c r="N55" s="65">
        <f t="shared" si="3"/>
        <v>146.5384615384616</v>
      </c>
      <c r="O55" s="66">
        <f t="shared" si="4"/>
        <v>0</v>
      </c>
      <c r="P55" s="67">
        <f t="shared" si="5"/>
        <v>-7.3076923076922355</v>
      </c>
      <c r="Q55" s="257">
        <f t="shared" si="6"/>
        <v>0.95250000000000046</v>
      </c>
      <c r="R55" s="529"/>
      <c r="S55" s="68">
        <v>0.53888888888888875</v>
      </c>
      <c r="T55" s="68">
        <v>0.60833333333333317</v>
      </c>
      <c r="U55" s="258">
        <f t="shared" si="34"/>
        <v>58.99999999999995</v>
      </c>
      <c r="V55" s="266">
        <f t="shared" si="33"/>
        <v>99.999999999999972</v>
      </c>
      <c r="W55" s="69"/>
      <c r="X55" s="69"/>
      <c r="Y55" s="517"/>
      <c r="Z55" s="518"/>
      <c r="AA55" s="66">
        <f t="shared" si="8"/>
        <v>-94.999999999999318</v>
      </c>
      <c r="AB55" s="257">
        <f t="shared" si="9"/>
        <v>0.95250000000000035</v>
      </c>
      <c r="AC55" s="529"/>
    </row>
    <row r="56" spans="1:29" ht="15.75" customHeight="1">
      <c r="A56" s="526" t="s">
        <v>1388</v>
      </c>
      <c r="B56" s="62" t="s">
        <v>35</v>
      </c>
      <c r="C56" s="521" t="s">
        <v>37</v>
      </c>
      <c r="D56" s="522"/>
      <c r="E56" s="62">
        <v>27.17</v>
      </c>
      <c r="F56" s="267">
        <v>3039</v>
      </c>
      <c r="G56" s="258">
        <f t="shared" si="31"/>
        <v>82569.63</v>
      </c>
      <c r="H56" s="90" t="s">
        <v>5</v>
      </c>
      <c r="I56" s="265">
        <v>10</v>
      </c>
      <c r="J56" s="63">
        <v>3000</v>
      </c>
      <c r="K56" s="64">
        <f t="shared" si="1"/>
        <v>300</v>
      </c>
      <c r="L56" s="265">
        <v>10</v>
      </c>
      <c r="M56" s="65">
        <f t="shared" si="32"/>
        <v>2894.2857142857174</v>
      </c>
      <c r="N56" s="65">
        <f t="shared" si="3"/>
        <v>289.42857142857173</v>
      </c>
      <c r="O56" s="66">
        <f t="shared" si="4"/>
        <v>0</v>
      </c>
      <c r="P56" s="67">
        <f t="shared" si="5"/>
        <v>-10.571428571428271</v>
      </c>
      <c r="Q56" s="257">
        <f t="shared" si="6"/>
        <v>0.96476190476190571</v>
      </c>
      <c r="R56" s="529"/>
      <c r="S56" s="68">
        <v>0.61180555555555538</v>
      </c>
      <c r="T56" s="68">
        <v>0.65555555555555534</v>
      </c>
      <c r="U56" s="258">
        <f t="shared" si="34"/>
        <v>4.9999999999999822</v>
      </c>
      <c r="V56" s="266">
        <f t="shared" si="33"/>
        <v>62.999999999999936</v>
      </c>
      <c r="W56" s="69"/>
      <c r="X56" s="69"/>
      <c r="Y56" s="517"/>
      <c r="Z56" s="518"/>
      <c r="AA56" s="66">
        <f t="shared" si="8"/>
        <v>-105.7142857142826</v>
      </c>
      <c r="AB56" s="257">
        <f t="shared" si="9"/>
        <v>0.96476190476190582</v>
      </c>
      <c r="AC56" s="529"/>
    </row>
    <row r="57" spans="1:29" ht="15.75" customHeight="1">
      <c r="A57" s="527" t="s">
        <v>1388</v>
      </c>
      <c r="B57" s="62" t="s">
        <v>79</v>
      </c>
      <c r="C57" s="508"/>
      <c r="D57" s="509"/>
      <c r="E57" s="260"/>
      <c r="F57" s="267"/>
      <c r="G57" s="258"/>
      <c r="H57" s="267"/>
      <c r="I57" s="72">
        <v>10.444444444444445</v>
      </c>
      <c r="J57" s="63">
        <v>2777.7777777777778</v>
      </c>
      <c r="K57" s="64">
        <f t="shared" si="1"/>
        <v>265.95744680851061</v>
      </c>
      <c r="L57" s="72">
        <v>10.444444444444445</v>
      </c>
      <c r="M57" s="65">
        <f>AVERAGE(M48:M56)</f>
        <v>2663.619268538539</v>
      </c>
      <c r="N57" s="64">
        <f t="shared" si="3"/>
        <v>255.02737677496648</v>
      </c>
      <c r="O57" s="66">
        <f t="shared" si="4"/>
        <v>0</v>
      </c>
      <c r="P57" s="67">
        <f t="shared" si="5"/>
        <v>-10.930070033544126</v>
      </c>
      <c r="Q57" s="257">
        <f t="shared" si="6"/>
        <v>0.95890293667387405</v>
      </c>
      <c r="R57" s="530"/>
      <c r="S57" s="68"/>
      <c r="T57" s="68"/>
      <c r="U57" s="258"/>
      <c r="V57" s="266"/>
      <c r="W57" s="69"/>
      <c r="X57" s="69"/>
      <c r="Y57" s="517"/>
      <c r="Z57" s="518"/>
      <c r="AA57" s="66">
        <f t="shared" si="8"/>
        <v>-114.15850923923881</v>
      </c>
      <c r="AB57" s="257">
        <f t="shared" si="9"/>
        <v>0.95890293667387405</v>
      </c>
      <c r="AC57" s="530"/>
    </row>
    <row r="58" spans="1:29" ht="15.75" customHeight="1">
      <c r="A58" s="523" t="s">
        <v>80</v>
      </c>
      <c r="B58" s="62" t="s">
        <v>10</v>
      </c>
      <c r="C58" s="512" t="s">
        <v>41</v>
      </c>
      <c r="D58" s="512"/>
      <c r="E58" s="62">
        <v>46</v>
      </c>
      <c r="F58" s="74">
        <v>2701</v>
      </c>
      <c r="G58" s="258">
        <f t="shared" ref="G58:G62" si="35">E58*F58</f>
        <v>124246</v>
      </c>
      <c r="H58" s="90" t="s">
        <v>5</v>
      </c>
      <c r="I58" s="265">
        <v>17</v>
      </c>
      <c r="J58" s="63">
        <v>2000</v>
      </c>
      <c r="K58" s="64">
        <f t="shared" si="1"/>
        <v>117.64705882352941</v>
      </c>
      <c r="L58" s="265">
        <v>17</v>
      </c>
      <c r="M58" s="65">
        <f t="shared" ref="M58:M62" si="36">F58/V58*60</f>
        <v>1906.5882352941182</v>
      </c>
      <c r="N58" s="65">
        <f t="shared" si="3"/>
        <v>112.15224913494814</v>
      </c>
      <c r="O58" s="66">
        <f t="shared" si="4"/>
        <v>0</v>
      </c>
      <c r="P58" s="67">
        <f t="shared" si="5"/>
        <v>-5.4948096885812703</v>
      </c>
      <c r="Q58" s="257">
        <f t="shared" si="6"/>
        <v>0.95329411764705918</v>
      </c>
      <c r="R58" s="511">
        <f>Q63</f>
        <v>0.95925676489509493</v>
      </c>
      <c r="S58" s="68">
        <v>0.20833333333333334</v>
      </c>
      <c r="T58" s="68">
        <v>0.2673611111111111</v>
      </c>
      <c r="U58" s="73"/>
      <c r="V58" s="266">
        <f t="shared" ref="V58:V62" si="37">(T58-S58)*24*60</f>
        <v>84.999999999999972</v>
      </c>
      <c r="W58" s="73"/>
      <c r="X58" s="73"/>
      <c r="Y58" s="510"/>
      <c r="Z58" s="510"/>
      <c r="AA58" s="66">
        <f t="shared" si="8"/>
        <v>-93.411764705881751</v>
      </c>
      <c r="AB58" s="257">
        <f t="shared" si="9"/>
        <v>0.95329411764705907</v>
      </c>
      <c r="AC58" s="511">
        <f>AB63</f>
        <v>0.95925676489509504</v>
      </c>
    </row>
    <row r="59" spans="1:29" ht="15.75" customHeight="1">
      <c r="A59" s="523" t="s">
        <v>80</v>
      </c>
      <c r="B59" s="62" t="s">
        <v>10</v>
      </c>
      <c r="C59" s="512" t="s">
        <v>42</v>
      </c>
      <c r="D59" s="512"/>
      <c r="E59" s="62">
        <v>46</v>
      </c>
      <c r="F59" s="74">
        <v>2960</v>
      </c>
      <c r="G59" s="258">
        <f t="shared" si="35"/>
        <v>136160</v>
      </c>
      <c r="H59" s="90" t="s">
        <v>5</v>
      </c>
      <c r="I59" s="265">
        <v>17</v>
      </c>
      <c r="J59" s="63">
        <v>2000</v>
      </c>
      <c r="K59" s="64">
        <f t="shared" si="1"/>
        <v>117.64705882352941</v>
      </c>
      <c r="L59" s="265">
        <v>17</v>
      </c>
      <c r="M59" s="65">
        <f t="shared" si="36"/>
        <v>1909.677419354839</v>
      </c>
      <c r="N59" s="65">
        <f t="shared" si="3"/>
        <v>112.3339658444023</v>
      </c>
      <c r="O59" s="66">
        <f t="shared" si="4"/>
        <v>0</v>
      </c>
      <c r="P59" s="67">
        <f t="shared" si="5"/>
        <v>-5.3130929791271058</v>
      </c>
      <c r="Q59" s="257">
        <f t="shared" si="6"/>
        <v>0.95483870967741957</v>
      </c>
      <c r="R59" s="511"/>
      <c r="S59" s="68">
        <v>0.27291666666666664</v>
      </c>
      <c r="T59" s="68">
        <v>0.33749999999999997</v>
      </c>
      <c r="U59" s="258">
        <f t="shared" ref="U59:U62" si="38">IF(S59=TIME(17,0,0),"",(S59-T58)*24*60)</f>
        <v>7.9999999999999716</v>
      </c>
      <c r="V59" s="266">
        <f t="shared" si="37"/>
        <v>92.999999999999986</v>
      </c>
      <c r="W59" s="69"/>
      <c r="X59" s="69"/>
      <c r="Y59" s="510"/>
      <c r="Z59" s="510"/>
      <c r="AA59" s="66">
        <f t="shared" si="8"/>
        <v>-90.322580645160997</v>
      </c>
      <c r="AB59" s="257">
        <f t="shared" si="9"/>
        <v>0.95483870967741946</v>
      </c>
      <c r="AC59" s="511"/>
    </row>
    <row r="60" spans="1:29" ht="15.75" customHeight="1">
      <c r="A60" s="523" t="s">
        <v>80</v>
      </c>
      <c r="B60" s="62" t="s">
        <v>6</v>
      </c>
      <c r="C60" s="521" t="s">
        <v>43</v>
      </c>
      <c r="D60" s="522"/>
      <c r="E60" s="62">
        <v>55.56</v>
      </c>
      <c r="F60" s="74">
        <v>2576</v>
      </c>
      <c r="G60" s="258">
        <f t="shared" si="35"/>
        <v>143122.56</v>
      </c>
      <c r="H60" s="90" t="s">
        <v>5</v>
      </c>
      <c r="I60" s="265">
        <v>17</v>
      </c>
      <c r="J60" s="63">
        <v>2000</v>
      </c>
      <c r="K60" s="64">
        <f t="shared" si="1"/>
        <v>117.64705882352941</v>
      </c>
      <c r="L60" s="265">
        <v>17</v>
      </c>
      <c r="M60" s="65">
        <f t="shared" si="36"/>
        <v>1908.1481481481474</v>
      </c>
      <c r="N60" s="65">
        <f t="shared" si="3"/>
        <v>112.2440087145969</v>
      </c>
      <c r="O60" s="66">
        <f t="shared" si="4"/>
        <v>0</v>
      </c>
      <c r="P60" s="67">
        <f t="shared" si="5"/>
        <v>-5.4030501089325043</v>
      </c>
      <c r="Q60" s="257">
        <f t="shared" si="6"/>
        <v>0.95407407407407374</v>
      </c>
      <c r="R60" s="511"/>
      <c r="S60" s="68">
        <v>0.70833333333333337</v>
      </c>
      <c r="T60" s="68">
        <v>0.76458333333333339</v>
      </c>
      <c r="U60" s="258" t="str">
        <f t="shared" si="38"/>
        <v/>
      </c>
      <c r="V60" s="266">
        <f t="shared" si="37"/>
        <v>81.000000000000028</v>
      </c>
      <c r="W60" s="69"/>
      <c r="X60" s="69"/>
      <c r="Y60" s="263"/>
      <c r="Z60" s="264"/>
      <c r="AA60" s="66">
        <f t="shared" si="8"/>
        <v>-91.851851851852643</v>
      </c>
      <c r="AB60" s="257">
        <f t="shared" si="9"/>
        <v>0.95407407407407363</v>
      </c>
      <c r="AC60" s="511"/>
    </row>
    <row r="61" spans="1:29" ht="15.75" customHeight="1">
      <c r="A61" s="523" t="s">
        <v>80</v>
      </c>
      <c r="B61" s="62" t="s">
        <v>6</v>
      </c>
      <c r="C61" s="261" t="s">
        <v>44</v>
      </c>
      <c r="D61" s="262"/>
      <c r="E61" s="62">
        <v>55.32</v>
      </c>
      <c r="F61" s="74">
        <v>2078</v>
      </c>
      <c r="G61" s="258">
        <f t="shared" si="35"/>
        <v>114954.96</v>
      </c>
      <c r="H61" s="90" t="s">
        <v>5</v>
      </c>
      <c r="I61" s="265">
        <v>15</v>
      </c>
      <c r="J61" s="63">
        <v>2000</v>
      </c>
      <c r="K61" s="64">
        <f t="shared" si="1"/>
        <v>133.33333333333334</v>
      </c>
      <c r="L61" s="265">
        <v>15</v>
      </c>
      <c r="M61" s="65">
        <f t="shared" si="36"/>
        <v>1918.1538461538482</v>
      </c>
      <c r="N61" s="65">
        <f t="shared" si="3"/>
        <v>127.87692307692322</v>
      </c>
      <c r="O61" s="66">
        <f t="shared" si="4"/>
        <v>0</v>
      </c>
      <c r="P61" s="67">
        <f t="shared" si="5"/>
        <v>-5.4564102564101233</v>
      </c>
      <c r="Q61" s="257">
        <f t="shared" si="6"/>
        <v>0.95907692307692405</v>
      </c>
      <c r="R61" s="511"/>
      <c r="S61" s="68">
        <v>0.77013888888888893</v>
      </c>
      <c r="T61" s="68">
        <v>0.81527777777777777</v>
      </c>
      <c r="U61" s="258">
        <f t="shared" si="38"/>
        <v>7.9999999999999716</v>
      </c>
      <c r="V61" s="266">
        <f t="shared" si="37"/>
        <v>64.999999999999929</v>
      </c>
      <c r="W61" s="69"/>
      <c r="X61" s="69"/>
      <c r="Y61" s="263"/>
      <c r="Z61" s="264"/>
      <c r="AA61" s="66">
        <f t="shared" si="8"/>
        <v>-81.846153846151765</v>
      </c>
      <c r="AB61" s="257">
        <f t="shared" si="9"/>
        <v>0.95907692307692416</v>
      </c>
      <c r="AC61" s="511"/>
    </row>
    <row r="62" spans="1:29" ht="15.75" customHeight="1">
      <c r="A62" s="523" t="s">
        <v>80</v>
      </c>
      <c r="B62" s="62" t="s">
        <v>6</v>
      </c>
      <c r="C62" s="261" t="s">
        <v>7</v>
      </c>
      <c r="D62" s="262"/>
      <c r="E62" s="62">
        <v>46.93</v>
      </c>
      <c r="F62" s="74">
        <v>975</v>
      </c>
      <c r="G62" s="258">
        <f t="shared" si="35"/>
        <v>45756.75</v>
      </c>
      <c r="H62" s="90" t="s">
        <v>5</v>
      </c>
      <c r="I62" s="265">
        <v>16</v>
      </c>
      <c r="J62" s="63">
        <v>2000</v>
      </c>
      <c r="K62" s="64">
        <f t="shared" si="1"/>
        <v>125</v>
      </c>
      <c r="L62" s="265">
        <v>16</v>
      </c>
      <c r="M62" s="65">
        <f t="shared" si="36"/>
        <v>1949.9999999999966</v>
      </c>
      <c r="N62" s="65">
        <f t="shared" si="3"/>
        <v>121.87499999999979</v>
      </c>
      <c r="O62" s="66">
        <f t="shared" si="4"/>
        <v>0</v>
      </c>
      <c r="P62" s="67">
        <f t="shared" si="5"/>
        <v>-3.1250000000002132</v>
      </c>
      <c r="Q62" s="257">
        <f t="shared" si="6"/>
        <v>0.97499999999999831</v>
      </c>
      <c r="R62" s="511"/>
      <c r="S62" s="68">
        <v>0.8208333333333333</v>
      </c>
      <c r="T62" s="68">
        <v>0.84166666666666667</v>
      </c>
      <c r="U62" s="258">
        <f t="shared" si="38"/>
        <v>7.9999999999999716</v>
      </c>
      <c r="V62" s="266">
        <f t="shared" si="37"/>
        <v>30.000000000000053</v>
      </c>
      <c r="W62" s="69"/>
      <c r="X62" s="69"/>
      <c r="Y62" s="263"/>
      <c r="Z62" s="264"/>
      <c r="AA62" s="66">
        <f t="shared" si="8"/>
        <v>-50.000000000003411</v>
      </c>
      <c r="AB62" s="257">
        <f t="shared" si="9"/>
        <v>0.97499999999999831</v>
      </c>
      <c r="AC62" s="511"/>
    </row>
    <row r="63" spans="1:29">
      <c r="A63" s="524" t="s">
        <v>80</v>
      </c>
      <c r="B63" s="62" t="s">
        <v>79</v>
      </c>
      <c r="C63" s="513"/>
      <c r="D63" s="513"/>
      <c r="E63" s="259"/>
      <c r="F63" s="71"/>
      <c r="G63" s="64"/>
      <c r="H63" s="267"/>
      <c r="I63" s="72">
        <v>16.399999999999999</v>
      </c>
      <c r="J63" s="63">
        <v>2000</v>
      </c>
      <c r="K63" s="64">
        <f t="shared" si="1"/>
        <v>121.95121951219514</v>
      </c>
      <c r="L63" s="72">
        <v>16.399999999999999</v>
      </c>
      <c r="M63" s="65">
        <f>AVERAGE(M58:M62)</f>
        <v>1918.51352979019</v>
      </c>
      <c r="N63" s="64">
        <f t="shared" si="3"/>
        <v>116.98253230427989</v>
      </c>
      <c r="O63" s="66">
        <f t="shared" si="4"/>
        <v>0</v>
      </c>
      <c r="P63" s="67">
        <f t="shared" si="5"/>
        <v>-4.9686872079152522</v>
      </c>
      <c r="Q63" s="257">
        <f t="shared" si="6"/>
        <v>0.95925676489509493</v>
      </c>
      <c r="R63" s="511"/>
      <c r="S63" s="75"/>
      <c r="T63" s="68"/>
      <c r="U63" s="64"/>
      <c r="V63" s="266"/>
      <c r="W63" s="64"/>
      <c r="X63" s="64"/>
      <c r="Y63" s="510"/>
      <c r="Z63" s="510"/>
      <c r="AA63" s="66">
        <f t="shared" si="8"/>
        <v>-81.486470209810022</v>
      </c>
      <c r="AB63" s="257">
        <f t="shared" si="9"/>
        <v>0.95925676489509504</v>
      </c>
      <c r="AC63" s="511"/>
    </row>
    <row r="64" spans="1:29" ht="15.75" customHeight="1">
      <c r="A64" s="519" t="s">
        <v>1389</v>
      </c>
      <c r="B64" s="267" t="s">
        <v>10</v>
      </c>
      <c r="C64" s="512" t="s">
        <v>46</v>
      </c>
      <c r="D64" s="512"/>
      <c r="E64" s="62">
        <v>26.97</v>
      </c>
      <c r="F64" s="74">
        <v>3274</v>
      </c>
      <c r="G64" s="258">
        <f t="shared" ref="G64:G67" si="39">E64*F64</f>
        <v>88299.78</v>
      </c>
      <c r="H64" s="90" t="s">
        <v>5</v>
      </c>
      <c r="I64" s="265">
        <v>8</v>
      </c>
      <c r="J64" s="63">
        <v>1500</v>
      </c>
      <c r="K64" s="64">
        <f t="shared" si="1"/>
        <v>187.5</v>
      </c>
      <c r="L64" s="265">
        <v>8</v>
      </c>
      <c r="M64" s="65">
        <f t="shared" ref="M64:M67" si="40">F64/V64*60</f>
        <v>1433.8686131386855</v>
      </c>
      <c r="N64" s="64">
        <f t="shared" si="3"/>
        <v>179.23357664233569</v>
      </c>
      <c r="O64" s="66">
        <f t="shared" si="4"/>
        <v>0</v>
      </c>
      <c r="P64" s="67">
        <f t="shared" si="5"/>
        <v>-8.2664233576643085</v>
      </c>
      <c r="Q64" s="257">
        <f t="shared" si="6"/>
        <v>0.95591240875912364</v>
      </c>
      <c r="R64" s="511">
        <f>Q68</f>
        <v>0.95849149483760243</v>
      </c>
      <c r="S64" s="68">
        <v>0.20833333333333334</v>
      </c>
      <c r="T64" s="68">
        <v>0.30347222222222225</v>
      </c>
      <c r="U64" s="258"/>
      <c r="V64" s="266">
        <f t="shared" ref="V64:V67" si="41">(T64-S64)*24*60</f>
        <v>137.00000000000006</v>
      </c>
      <c r="W64" s="73"/>
      <c r="X64" s="73"/>
      <c r="Y64" s="510"/>
      <c r="Z64" s="510"/>
      <c r="AA64" s="66">
        <f t="shared" si="8"/>
        <v>-66.131386861314468</v>
      </c>
      <c r="AB64" s="257">
        <f t="shared" si="9"/>
        <v>0.95591240875912364</v>
      </c>
      <c r="AC64" s="511">
        <f>AB68</f>
        <v>0.95849149483760243</v>
      </c>
    </row>
    <row r="65" spans="1:29" ht="15.75" customHeight="1">
      <c r="A65" s="519" t="s">
        <v>1389</v>
      </c>
      <c r="B65" s="267" t="s">
        <v>35</v>
      </c>
      <c r="C65" s="512" t="s">
        <v>45</v>
      </c>
      <c r="D65" s="512"/>
      <c r="E65" s="62">
        <v>26.78</v>
      </c>
      <c r="F65" s="74">
        <v>2846</v>
      </c>
      <c r="G65" s="258">
        <f t="shared" si="39"/>
        <v>76215.88</v>
      </c>
      <c r="H65" s="90" t="s">
        <v>5</v>
      </c>
      <c r="I65" s="265">
        <v>10</v>
      </c>
      <c r="J65" s="63">
        <v>3000</v>
      </c>
      <c r="K65" s="64">
        <f t="shared" si="1"/>
        <v>300</v>
      </c>
      <c r="L65" s="265">
        <v>10</v>
      </c>
      <c r="M65" s="65">
        <f t="shared" si="40"/>
        <v>2894.2372881355918</v>
      </c>
      <c r="N65" s="64">
        <f t="shared" si="3"/>
        <v>289.42372881355919</v>
      </c>
      <c r="O65" s="66">
        <f t="shared" si="4"/>
        <v>0</v>
      </c>
      <c r="P65" s="67">
        <f t="shared" si="5"/>
        <v>-10.576271186440806</v>
      </c>
      <c r="Q65" s="257">
        <f t="shared" si="6"/>
        <v>0.96474576271186396</v>
      </c>
      <c r="R65" s="511"/>
      <c r="S65" s="68">
        <v>0.30833333333333335</v>
      </c>
      <c r="T65" s="68">
        <v>0.34930555555555559</v>
      </c>
      <c r="U65" s="258">
        <f t="shared" ref="U65:U67" si="42">(S65-T64)*24*60</f>
        <v>6.9999999999999751</v>
      </c>
      <c r="V65" s="266">
        <f t="shared" si="41"/>
        <v>59.000000000000028</v>
      </c>
      <c r="W65" s="258"/>
      <c r="X65" s="258"/>
      <c r="Y65" s="510"/>
      <c r="Z65" s="510"/>
      <c r="AA65" s="66">
        <f t="shared" si="8"/>
        <v>-105.76271186440817</v>
      </c>
      <c r="AB65" s="257">
        <f t="shared" si="9"/>
        <v>0.96474576271186396</v>
      </c>
      <c r="AC65" s="511"/>
    </row>
    <row r="66" spans="1:29" ht="15.75" customHeight="1">
      <c r="A66" s="519" t="s">
        <v>1389</v>
      </c>
      <c r="B66" s="267" t="s">
        <v>35</v>
      </c>
      <c r="C66" s="512" t="s">
        <v>75</v>
      </c>
      <c r="D66" s="512"/>
      <c r="E66" s="62">
        <v>37.880000000000003</v>
      </c>
      <c r="F66" s="74">
        <v>3605</v>
      </c>
      <c r="G66" s="258">
        <f t="shared" si="39"/>
        <v>136557.40000000002</v>
      </c>
      <c r="H66" s="90" t="s">
        <v>5</v>
      </c>
      <c r="I66" s="265">
        <v>10</v>
      </c>
      <c r="J66" s="63">
        <v>3000</v>
      </c>
      <c r="K66" s="64">
        <f t="shared" si="1"/>
        <v>300</v>
      </c>
      <c r="L66" s="265">
        <v>10</v>
      </c>
      <c r="M66" s="65">
        <f t="shared" si="40"/>
        <v>2884.0000000000009</v>
      </c>
      <c r="N66" s="64">
        <f t="shared" si="3"/>
        <v>288.40000000000009</v>
      </c>
      <c r="O66" s="66">
        <f t="shared" si="4"/>
        <v>0</v>
      </c>
      <c r="P66" s="67">
        <f t="shared" si="5"/>
        <v>-11.599999999999909</v>
      </c>
      <c r="Q66" s="257">
        <f t="shared" si="6"/>
        <v>0.9613333333333336</v>
      </c>
      <c r="R66" s="511"/>
      <c r="S66" s="68">
        <v>0.35486111111111113</v>
      </c>
      <c r="T66" s="68">
        <v>0.40694444444444444</v>
      </c>
      <c r="U66" s="258">
        <f t="shared" si="42"/>
        <v>7.9999999999999716</v>
      </c>
      <c r="V66" s="266">
        <f t="shared" si="41"/>
        <v>74.999999999999972</v>
      </c>
      <c r="W66" s="258"/>
      <c r="X66" s="258"/>
      <c r="Y66" s="510"/>
      <c r="Z66" s="510"/>
      <c r="AA66" s="66">
        <f t="shared" si="8"/>
        <v>-115.99999999999909</v>
      </c>
      <c r="AB66" s="257">
        <f t="shared" si="9"/>
        <v>0.9613333333333336</v>
      </c>
      <c r="AC66" s="511"/>
    </row>
    <row r="67" spans="1:29" ht="15.75" customHeight="1">
      <c r="A67" s="519" t="s">
        <v>1389</v>
      </c>
      <c r="B67" s="267" t="s">
        <v>35</v>
      </c>
      <c r="C67" s="512" t="s">
        <v>85</v>
      </c>
      <c r="D67" s="512"/>
      <c r="E67" s="62">
        <v>40.51</v>
      </c>
      <c r="F67" s="74">
        <v>3470</v>
      </c>
      <c r="G67" s="258">
        <f t="shared" si="39"/>
        <v>140569.69999999998</v>
      </c>
      <c r="H67" s="90" t="s">
        <v>5</v>
      </c>
      <c r="I67" s="265">
        <v>8</v>
      </c>
      <c r="J67" s="63">
        <v>3000</v>
      </c>
      <c r="K67" s="64">
        <f t="shared" si="1"/>
        <v>375</v>
      </c>
      <c r="L67" s="265">
        <v>8</v>
      </c>
      <c r="M67" s="65">
        <f t="shared" si="40"/>
        <v>2852.0547945205485</v>
      </c>
      <c r="N67" s="64">
        <f t="shared" si="3"/>
        <v>356.50684931506856</v>
      </c>
      <c r="O67" s="66">
        <f t="shared" si="4"/>
        <v>0</v>
      </c>
      <c r="P67" s="67">
        <f t="shared" si="5"/>
        <v>-18.493150684931436</v>
      </c>
      <c r="Q67" s="257">
        <f t="shared" si="6"/>
        <v>0.95068493150684952</v>
      </c>
      <c r="R67" s="511"/>
      <c r="S67" s="68">
        <v>0.41111111111111109</v>
      </c>
      <c r="T67" s="68">
        <v>0.46180555555555552</v>
      </c>
      <c r="U67" s="258">
        <f t="shared" si="42"/>
        <v>5.9999999999999787</v>
      </c>
      <c r="V67" s="266">
        <f t="shared" si="41"/>
        <v>72.999999999999986</v>
      </c>
      <c r="W67" s="258"/>
      <c r="X67" s="258"/>
      <c r="Y67" s="510"/>
      <c r="Z67" s="510"/>
      <c r="AA67" s="66">
        <f t="shared" si="8"/>
        <v>-147.94520547945149</v>
      </c>
      <c r="AB67" s="257">
        <f t="shared" si="9"/>
        <v>0.95068493150684952</v>
      </c>
      <c r="AC67" s="511"/>
    </row>
    <row r="68" spans="1:29">
      <c r="A68" s="520" t="s">
        <v>1389</v>
      </c>
      <c r="B68" s="62" t="s">
        <v>79</v>
      </c>
      <c r="C68" s="513"/>
      <c r="D68" s="513"/>
      <c r="E68" s="259"/>
      <c r="F68" s="71"/>
      <c r="G68" s="64"/>
      <c r="H68" s="267"/>
      <c r="I68" s="72">
        <v>9</v>
      </c>
      <c r="J68" s="63">
        <v>2625</v>
      </c>
      <c r="K68" s="64">
        <f t="shared" si="1"/>
        <v>291.66666666666669</v>
      </c>
      <c r="L68" s="72">
        <v>9</v>
      </c>
      <c r="M68" s="65">
        <f>AVERAGE(M64:M67)</f>
        <v>2516.0401739487065</v>
      </c>
      <c r="N68" s="64">
        <f t="shared" si="3"/>
        <v>279.56001932763405</v>
      </c>
      <c r="O68" s="66">
        <f t="shared" si="4"/>
        <v>0</v>
      </c>
      <c r="P68" s="67">
        <f t="shared" si="5"/>
        <v>-12.106647339032634</v>
      </c>
      <c r="Q68" s="257">
        <f t="shared" si="6"/>
        <v>0.95849149483760243</v>
      </c>
      <c r="R68" s="511"/>
      <c r="S68" s="68"/>
      <c r="T68" s="68"/>
      <c r="U68" s="64"/>
      <c r="V68" s="266"/>
      <c r="W68" s="64"/>
      <c r="X68" s="64"/>
      <c r="Y68" s="510"/>
      <c r="Z68" s="510"/>
      <c r="AA68" s="66">
        <f t="shared" si="8"/>
        <v>-108.95982605129348</v>
      </c>
      <c r="AB68" s="257">
        <f t="shared" si="9"/>
        <v>0.95849149483760243</v>
      </c>
      <c r="AC68" s="511"/>
    </row>
    <row r="69" spans="1:29" ht="15.75" customHeight="1">
      <c r="A69" s="514" t="s">
        <v>1390</v>
      </c>
      <c r="B69" s="267" t="s">
        <v>16</v>
      </c>
      <c r="C69" s="512" t="s">
        <v>48</v>
      </c>
      <c r="D69" s="512"/>
      <c r="E69" s="62">
        <v>20.2</v>
      </c>
      <c r="F69" s="267">
        <v>2901</v>
      </c>
      <c r="G69" s="258">
        <f t="shared" ref="G69:G76" si="43">E69*F69</f>
        <v>58600.2</v>
      </c>
      <c r="H69" s="90" t="s">
        <v>5</v>
      </c>
      <c r="I69" s="265">
        <v>19</v>
      </c>
      <c r="J69" s="63">
        <v>2400</v>
      </c>
      <c r="K69" s="64">
        <f t="shared" ref="K69:K77" si="44">J69/I69</f>
        <v>126.31578947368421</v>
      </c>
      <c r="L69" s="265">
        <v>19</v>
      </c>
      <c r="M69" s="65">
        <f t="shared" ref="M69:M76" si="45">F69/V69*60</f>
        <v>2290.2631578947367</v>
      </c>
      <c r="N69" s="64">
        <f t="shared" ref="N69:N77" si="46">M69/L69</f>
        <v>120.54016620498614</v>
      </c>
      <c r="O69" s="66">
        <f t="shared" ref="O69:O77" si="47">L69-I69</f>
        <v>0</v>
      </c>
      <c r="P69" s="67">
        <f t="shared" ref="P69:P77" si="48">N69-K69</f>
        <v>-5.7756232686980695</v>
      </c>
      <c r="Q69" s="257">
        <f t="shared" ref="Q69:Q77" si="49">N69/K69</f>
        <v>0.95427631578947358</v>
      </c>
      <c r="R69" s="511">
        <f>Q77</f>
        <v>0.95407122315770287</v>
      </c>
      <c r="S69" s="68">
        <v>8.3333333333333329E-2</v>
      </c>
      <c r="T69" s="68">
        <v>0.1361111111111111</v>
      </c>
      <c r="U69" s="73"/>
      <c r="V69" s="266">
        <f t="shared" ref="V69:V76" si="50">(T69-S69)*24*60</f>
        <v>76</v>
      </c>
      <c r="W69" s="69">
        <f>T69</f>
        <v>0.1361111111111111</v>
      </c>
      <c r="X69" s="69">
        <f>S70</f>
        <v>0.15347222222222218</v>
      </c>
      <c r="Y69" s="510"/>
      <c r="Z69" s="510"/>
      <c r="AA69" s="66">
        <f t="shared" ref="AA69:AA77" si="51">M69-J69</f>
        <v>-109.73684210526335</v>
      </c>
      <c r="AB69" s="257">
        <f t="shared" ref="AB69:AB77" si="52">M69/J69</f>
        <v>0.95427631578947358</v>
      </c>
      <c r="AC69" s="511">
        <f>AB77</f>
        <v>0.95407122315770287</v>
      </c>
    </row>
    <row r="70" spans="1:29" ht="15.75" customHeight="1">
      <c r="A70" s="515" t="s">
        <v>1390</v>
      </c>
      <c r="B70" s="267" t="s">
        <v>16</v>
      </c>
      <c r="C70" s="512" t="s">
        <v>51</v>
      </c>
      <c r="D70" s="512"/>
      <c r="E70" s="62">
        <v>24.25</v>
      </c>
      <c r="F70" s="267">
        <v>2678</v>
      </c>
      <c r="G70" s="258">
        <f t="shared" si="43"/>
        <v>64941.5</v>
      </c>
      <c r="H70" s="90" t="s">
        <v>5</v>
      </c>
      <c r="I70" s="265">
        <v>17</v>
      </c>
      <c r="J70" s="63">
        <v>2400</v>
      </c>
      <c r="K70" s="64">
        <f t="shared" si="44"/>
        <v>141.1764705882353</v>
      </c>
      <c r="L70" s="265">
        <v>17</v>
      </c>
      <c r="M70" s="65">
        <f t="shared" si="45"/>
        <v>2295.428571428572</v>
      </c>
      <c r="N70" s="64">
        <f t="shared" si="46"/>
        <v>135.02521008403366</v>
      </c>
      <c r="O70" s="66">
        <f t="shared" si="47"/>
        <v>0</v>
      </c>
      <c r="P70" s="67">
        <f t="shared" si="48"/>
        <v>-6.1512605042016446</v>
      </c>
      <c r="Q70" s="257">
        <f t="shared" si="49"/>
        <v>0.95642857142857174</v>
      </c>
      <c r="R70" s="511"/>
      <c r="S70" s="68">
        <v>0.15347222222222218</v>
      </c>
      <c r="T70" s="68">
        <v>0.20208333333333328</v>
      </c>
      <c r="U70" s="258">
        <f t="shared" ref="U70:U76" si="53">(S70-T69)*24*60</f>
        <v>24.99999999999995</v>
      </c>
      <c r="V70" s="266">
        <f t="shared" si="50"/>
        <v>69.999999999999986</v>
      </c>
      <c r="W70" s="69"/>
      <c r="X70" s="69"/>
      <c r="Y70" s="510"/>
      <c r="Z70" s="510"/>
      <c r="AA70" s="66">
        <f t="shared" si="51"/>
        <v>-104.57142857142799</v>
      </c>
      <c r="AB70" s="257">
        <f t="shared" si="52"/>
        <v>0.95642857142857163</v>
      </c>
      <c r="AC70" s="511"/>
    </row>
    <row r="71" spans="1:29" ht="15.75" customHeight="1">
      <c r="A71" s="515" t="s">
        <v>1390</v>
      </c>
      <c r="B71" s="267" t="s">
        <v>16</v>
      </c>
      <c r="C71" s="512" t="s">
        <v>17</v>
      </c>
      <c r="D71" s="512"/>
      <c r="E71" s="62">
        <v>24.45</v>
      </c>
      <c r="F71" s="267">
        <v>2934</v>
      </c>
      <c r="G71" s="258">
        <f t="shared" si="43"/>
        <v>71736.3</v>
      </c>
      <c r="H71" s="90" t="s">
        <v>5</v>
      </c>
      <c r="I71" s="265">
        <v>20</v>
      </c>
      <c r="J71" s="63">
        <v>2400</v>
      </c>
      <c r="K71" s="64">
        <f t="shared" si="44"/>
        <v>120</v>
      </c>
      <c r="L71" s="265">
        <v>20</v>
      </c>
      <c r="M71" s="65">
        <f t="shared" si="45"/>
        <v>2286.2337662337663</v>
      </c>
      <c r="N71" s="64">
        <f t="shared" si="46"/>
        <v>114.31168831168831</v>
      </c>
      <c r="O71" s="66">
        <f t="shared" si="47"/>
        <v>0</v>
      </c>
      <c r="P71" s="67">
        <f t="shared" si="48"/>
        <v>-5.6883116883116855</v>
      </c>
      <c r="Q71" s="257">
        <f t="shared" si="49"/>
        <v>0.95259740259740266</v>
      </c>
      <c r="R71" s="511"/>
      <c r="S71" s="68">
        <v>0.20763888888888885</v>
      </c>
      <c r="T71" s="68">
        <v>0.26111111111111107</v>
      </c>
      <c r="U71" s="258">
        <f t="shared" si="53"/>
        <v>8.0000000000000107</v>
      </c>
      <c r="V71" s="266">
        <f t="shared" si="50"/>
        <v>77</v>
      </c>
      <c r="W71" s="69"/>
      <c r="X71" s="69"/>
      <c r="Y71" s="510"/>
      <c r="Z71" s="510"/>
      <c r="AA71" s="66">
        <f t="shared" si="51"/>
        <v>-113.76623376623365</v>
      </c>
      <c r="AB71" s="257">
        <f t="shared" si="52"/>
        <v>0.95259740259740266</v>
      </c>
      <c r="AC71" s="511"/>
    </row>
    <row r="72" spans="1:29" ht="15.75" customHeight="1">
      <c r="A72" s="515" t="s">
        <v>1390</v>
      </c>
      <c r="B72" s="267" t="s">
        <v>16</v>
      </c>
      <c r="C72" s="512" t="s">
        <v>34</v>
      </c>
      <c r="D72" s="512"/>
      <c r="E72" s="62">
        <v>24.25</v>
      </c>
      <c r="F72" s="267">
        <v>3624</v>
      </c>
      <c r="G72" s="258">
        <f t="shared" si="43"/>
        <v>87882</v>
      </c>
      <c r="H72" s="90" t="s">
        <v>5</v>
      </c>
      <c r="I72" s="265">
        <v>13</v>
      </c>
      <c r="J72" s="63">
        <v>2400</v>
      </c>
      <c r="K72" s="64">
        <f t="shared" si="44"/>
        <v>184.61538461538461</v>
      </c>
      <c r="L72" s="265">
        <v>13</v>
      </c>
      <c r="M72" s="65">
        <f t="shared" si="45"/>
        <v>2288.8421052631584</v>
      </c>
      <c r="N72" s="64">
        <f t="shared" si="46"/>
        <v>176.06477732793525</v>
      </c>
      <c r="O72" s="66">
        <f t="shared" si="47"/>
        <v>0</v>
      </c>
      <c r="P72" s="67">
        <f t="shared" si="48"/>
        <v>-8.5506072874493668</v>
      </c>
      <c r="Q72" s="257">
        <f t="shared" si="49"/>
        <v>0.95368421052631591</v>
      </c>
      <c r="R72" s="511"/>
      <c r="S72" s="68">
        <v>0.26666666666666661</v>
      </c>
      <c r="T72" s="68">
        <v>0.33263888888888882</v>
      </c>
      <c r="U72" s="258">
        <f t="shared" si="53"/>
        <v>7.9999999999999716</v>
      </c>
      <c r="V72" s="266">
        <f t="shared" si="50"/>
        <v>94.999999999999986</v>
      </c>
      <c r="W72" s="69"/>
      <c r="X72" s="69"/>
      <c r="Y72" s="510"/>
      <c r="Z72" s="510"/>
      <c r="AA72" s="66">
        <f t="shared" si="51"/>
        <v>-111.15789473684163</v>
      </c>
      <c r="AB72" s="257">
        <f t="shared" si="52"/>
        <v>0.95368421052631602</v>
      </c>
      <c r="AC72" s="511"/>
    </row>
    <row r="73" spans="1:29" ht="15.75" customHeight="1">
      <c r="A73" s="515" t="s">
        <v>1390</v>
      </c>
      <c r="B73" s="267" t="s">
        <v>16</v>
      </c>
      <c r="C73" s="512" t="s">
        <v>26</v>
      </c>
      <c r="D73" s="512"/>
      <c r="E73" s="62">
        <v>20.52</v>
      </c>
      <c r="F73" s="267">
        <v>3927</v>
      </c>
      <c r="G73" s="258">
        <f t="shared" si="43"/>
        <v>80582.039999999994</v>
      </c>
      <c r="H73" s="90" t="s">
        <v>5</v>
      </c>
      <c r="I73" s="265">
        <v>18</v>
      </c>
      <c r="J73" s="63">
        <v>2400</v>
      </c>
      <c r="K73" s="64">
        <f t="shared" si="44"/>
        <v>133.33333333333334</v>
      </c>
      <c r="L73" s="265">
        <v>18</v>
      </c>
      <c r="M73" s="65">
        <f t="shared" si="45"/>
        <v>2287.5728155339816</v>
      </c>
      <c r="N73" s="64">
        <f t="shared" si="46"/>
        <v>127.08737864077676</v>
      </c>
      <c r="O73" s="66">
        <f t="shared" si="47"/>
        <v>0</v>
      </c>
      <c r="P73" s="67">
        <f t="shared" si="48"/>
        <v>-6.2459546925565803</v>
      </c>
      <c r="Q73" s="257">
        <f t="shared" si="49"/>
        <v>0.95315533980582567</v>
      </c>
      <c r="R73" s="511"/>
      <c r="S73" s="68">
        <v>0.33611111111111103</v>
      </c>
      <c r="T73" s="68">
        <v>0.40763888888888877</v>
      </c>
      <c r="U73" s="258">
        <f t="shared" si="53"/>
        <v>4.9999999999999822</v>
      </c>
      <c r="V73" s="266">
        <f t="shared" si="50"/>
        <v>102.99999999999996</v>
      </c>
      <c r="W73" s="69"/>
      <c r="X73" s="69"/>
      <c r="Y73" s="510"/>
      <c r="Z73" s="510"/>
      <c r="AA73" s="66">
        <f t="shared" si="51"/>
        <v>-112.42718446601839</v>
      </c>
      <c r="AB73" s="257">
        <f t="shared" si="52"/>
        <v>0.95315533980582567</v>
      </c>
      <c r="AC73" s="511"/>
    </row>
    <row r="74" spans="1:29" ht="15.75" customHeight="1">
      <c r="A74" s="515" t="s">
        <v>1390</v>
      </c>
      <c r="B74" s="267" t="s">
        <v>16</v>
      </c>
      <c r="C74" s="512" t="s">
        <v>49</v>
      </c>
      <c r="D74" s="512"/>
      <c r="E74" s="62">
        <v>19.02</v>
      </c>
      <c r="F74" s="267">
        <v>4700</v>
      </c>
      <c r="G74" s="258">
        <f t="shared" si="43"/>
        <v>89394</v>
      </c>
      <c r="H74" s="90">
        <v>2</v>
      </c>
      <c r="I74" s="265">
        <v>15</v>
      </c>
      <c r="J74" s="63">
        <v>2400</v>
      </c>
      <c r="K74" s="64">
        <f t="shared" si="44"/>
        <v>160</v>
      </c>
      <c r="L74" s="265">
        <v>15</v>
      </c>
      <c r="M74" s="65">
        <f t="shared" si="45"/>
        <v>2292.682926829269</v>
      </c>
      <c r="N74" s="64">
        <f t="shared" si="46"/>
        <v>152.84552845528461</v>
      </c>
      <c r="O74" s="66">
        <f t="shared" si="47"/>
        <v>0</v>
      </c>
      <c r="P74" s="67">
        <f t="shared" si="48"/>
        <v>-7.1544715447153919</v>
      </c>
      <c r="Q74" s="257">
        <f t="shared" si="49"/>
        <v>0.95528455284552882</v>
      </c>
      <c r="R74" s="511"/>
      <c r="S74" s="68">
        <v>0.41111111111111098</v>
      </c>
      <c r="T74" s="68">
        <v>0.49652777777777762</v>
      </c>
      <c r="U74" s="258">
        <f t="shared" si="53"/>
        <v>4.9999999999999822</v>
      </c>
      <c r="V74" s="266">
        <f t="shared" si="50"/>
        <v>122.99999999999996</v>
      </c>
      <c r="W74" s="69">
        <f>T74</f>
        <v>0.49652777777777762</v>
      </c>
      <c r="X74" s="69">
        <f>S75</f>
        <v>0.53749999999999987</v>
      </c>
      <c r="Y74" s="510"/>
      <c r="Z74" s="510"/>
      <c r="AA74" s="66">
        <f t="shared" si="51"/>
        <v>-107.31707317073096</v>
      </c>
      <c r="AB74" s="257">
        <f t="shared" si="52"/>
        <v>0.95528455284552871</v>
      </c>
      <c r="AC74" s="511"/>
    </row>
    <row r="75" spans="1:29" ht="15.75" customHeight="1">
      <c r="A75" s="515" t="s">
        <v>1390</v>
      </c>
      <c r="B75" s="267" t="s">
        <v>16</v>
      </c>
      <c r="C75" s="512" t="s">
        <v>49</v>
      </c>
      <c r="D75" s="512"/>
      <c r="E75" s="62">
        <v>19.02</v>
      </c>
      <c r="F75" s="267">
        <v>7158</v>
      </c>
      <c r="G75" s="258">
        <f t="shared" si="43"/>
        <v>136145.16</v>
      </c>
      <c r="H75" s="90" t="s">
        <v>5</v>
      </c>
      <c r="I75" s="265">
        <v>15</v>
      </c>
      <c r="J75" s="63">
        <v>2400</v>
      </c>
      <c r="K75" s="64">
        <f t="shared" si="44"/>
        <v>160</v>
      </c>
      <c r="L75" s="265">
        <v>15</v>
      </c>
      <c r="M75" s="65">
        <f t="shared" si="45"/>
        <v>2284.4680851063831</v>
      </c>
      <c r="N75" s="64">
        <f t="shared" si="46"/>
        <v>152.29787234042553</v>
      </c>
      <c r="O75" s="66">
        <f t="shared" si="47"/>
        <v>0</v>
      </c>
      <c r="P75" s="67">
        <f t="shared" si="48"/>
        <v>-7.7021276595744723</v>
      </c>
      <c r="Q75" s="257">
        <f t="shared" si="49"/>
        <v>0.95186170212765953</v>
      </c>
      <c r="R75" s="511"/>
      <c r="S75" s="68">
        <v>0.53749999999999987</v>
      </c>
      <c r="T75" s="68">
        <v>0.6680555555555554</v>
      </c>
      <c r="U75" s="258">
        <f t="shared" si="53"/>
        <v>59.000000000000028</v>
      </c>
      <c r="V75" s="266">
        <f t="shared" si="50"/>
        <v>187.99999999999997</v>
      </c>
      <c r="W75" s="69"/>
      <c r="X75" s="69"/>
      <c r="Y75" s="517"/>
      <c r="Z75" s="518"/>
      <c r="AA75" s="66">
        <f t="shared" si="51"/>
        <v>-115.53191489361689</v>
      </c>
      <c r="AB75" s="257">
        <f t="shared" si="52"/>
        <v>0.95186170212765964</v>
      </c>
      <c r="AC75" s="511"/>
    </row>
    <row r="76" spans="1:29" ht="15.75" customHeight="1">
      <c r="A76" s="515" t="s">
        <v>1390</v>
      </c>
      <c r="B76" s="267" t="s">
        <v>16</v>
      </c>
      <c r="C76" s="512" t="s">
        <v>83</v>
      </c>
      <c r="D76" s="512"/>
      <c r="E76" s="62">
        <v>25.99</v>
      </c>
      <c r="F76" s="267">
        <v>2713</v>
      </c>
      <c r="G76" s="258">
        <f t="shared" si="43"/>
        <v>70510.87</v>
      </c>
      <c r="H76" s="90" t="s">
        <v>5</v>
      </c>
      <c r="I76" s="265">
        <v>14</v>
      </c>
      <c r="J76" s="63">
        <v>2400</v>
      </c>
      <c r="K76" s="64">
        <f t="shared" si="44"/>
        <v>171.42857142857142</v>
      </c>
      <c r="L76" s="265">
        <v>14</v>
      </c>
      <c r="M76" s="65">
        <f t="shared" si="45"/>
        <v>2292.6760563380258</v>
      </c>
      <c r="N76" s="64">
        <f t="shared" si="46"/>
        <v>163.76257545271613</v>
      </c>
      <c r="O76" s="66">
        <f t="shared" si="47"/>
        <v>0</v>
      </c>
      <c r="P76" s="67">
        <f t="shared" si="48"/>
        <v>-7.6659959758552816</v>
      </c>
      <c r="Q76" s="257">
        <f t="shared" si="49"/>
        <v>0.95528169014084419</v>
      </c>
      <c r="R76" s="511"/>
      <c r="S76" s="68">
        <v>0.67222222222222205</v>
      </c>
      <c r="T76" s="68">
        <v>0.72152777777777766</v>
      </c>
      <c r="U76" s="258">
        <f t="shared" si="53"/>
        <v>5.9999999999999787</v>
      </c>
      <c r="V76" s="266">
        <f t="shared" si="50"/>
        <v>71.000000000000071</v>
      </c>
      <c r="W76" s="69"/>
      <c r="X76" s="69"/>
      <c r="Y76" s="517"/>
      <c r="Z76" s="518"/>
      <c r="AA76" s="66">
        <f t="shared" si="51"/>
        <v>-107.32394366197423</v>
      </c>
      <c r="AB76" s="257">
        <f t="shared" si="52"/>
        <v>0.95528169014084408</v>
      </c>
      <c r="AC76" s="511"/>
    </row>
    <row r="77" spans="1:29" ht="16.5" customHeight="1">
      <c r="A77" s="516" t="s">
        <v>1390</v>
      </c>
      <c r="B77" s="62" t="s">
        <v>79</v>
      </c>
      <c r="C77" s="508"/>
      <c r="D77" s="509"/>
      <c r="E77" s="259"/>
      <c r="F77" s="71"/>
      <c r="G77" s="64"/>
      <c r="H77" s="267"/>
      <c r="I77" s="72">
        <v>16.375</v>
      </c>
      <c r="J77" s="63">
        <v>2400</v>
      </c>
      <c r="K77" s="64">
        <f t="shared" si="44"/>
        <v>146.56488549618319</v>
      </c>
      <c r="L77" s="72">
        <v>16.375</v>
      </c>
      <c r="M77" s="65">
        <f>AVERAGE(M69:M76)</f>
        <v>2289.7709355784868</v>
      </c>
      <c r="N77" s="64">
        <f t="shared" si="46"/>
        <v>139.83333957731216</v>
      </c>
      <c r="O77" s="66">
        <f t="shared" si="47"/>
        <v>0</v>
      </c>
      <c r="P77" s="67">
        <f t="shared" si="48"/>
        <v>-6.7315459188710349</v>
      </c>
      <c r="Q77" s="257">
        <f t="shared" si="49"/>
        <v>0.95407122315770287</v>
      </c>
      <c r="R77" s="511"/>
      <c r="S77" s="68"/>
      <c r="T77" s="68"/>
      <c r="U77" s="64"/>
      <c r="V77" s="266"/>
      <c r="W77" s="64"/>
      <c r="X77" s="64"/>
      <c r="Y77" s="510"/>
      <c r="Z77" s="510"/>
      <c r="AA77" s="66">
        <f t="shared" si="51"/>
        <v>-110.22906442151316</v>
      </c>
      <c r="AB77" s="257">
        <f t="shared" si="52"/>
        <v>0.95407122315770287</v>
      </c>
      <c r="AC77" s="511"/>
    </row>
    <row r="78" spans="1:29">
      <c r="D78" s="76"/>
      <c r="E78" s="76"/>
    </row>
  </sheetData>
  <mergeCells count="202">
    <mergeCell ref="AC69:AC77"/>
    <mergeCell ref="C70:D70"/>
    <mergeCell ref="Y70:Z70"/>
    <mergeCell ref="C71:D71"/>
    <mergeCell ref="Y71:Z71"/>
    <mergeCell ref="C72:D72"/>
    <mergeCell ref="Y72:Z72"/>
    <mergeCell ref="C73:D73"/>
    <mergeCell ref="Y73:Z73"/>
    <mergeCell ref="C74:D74"/>
    <mergeCell ref="A69:A77"/>
    <mergeCell ref="C69:D69"/>
    <mergeCell ref="R69:R77"/>
    <mergeCell ref="Y69:Z69"/>
    <mergeCell ref="Y74:Z74"/>
    <mergeCell ref="C75:D75"/>
    <mergeCell ref="Y75:Z75"/>
    <mergeCell ref="A64:A68"/>
    <mergeCell ref="C64:D64"/>
    <mergeCell ref="R64:R68"/>
    <mergeCell ref="Y64:Z64"/>
    <mergeCell ref="C76:D76"/>
    <mergeCell ref="Y76:Z76"/>
    <mergeCell ref="C77:D77"/>
    <mergeCell ref="Y77:Z77"/>
    <mergeCell ref="AC64:AC68"/>
    <mergeCell ref="C65:D65"/>
    <mergeCell ref="Y65:Z65"/>
    <mergeCell ref="C66:D66"/>
    <mergeCell ref="Y66:Z66"/>
    <mergeCell ref="C67:D67"/>
    <mergeCell ref="A58:A63"/>
    <mergeCell ref="C58:D58"/>
    <mergeCell ref="R58:R63"/>
    <mergeCell ref="Y58:Z58"/>
    <mergeCell ref="AC58:AC63"/>
    <mergeCell ref="C59:D59"/>
    <mergeCell ref="Y59:Z59"/>
    <mergeCell ref="C60:D60"/>
    <mergeCell ref="C63:D63"/>
    <mergeCell ref="Y63:Z63"/>
    <mergeCell ref="Y67:Z67"/>
    <mergeCell ref="C68:D68"/>
    <mergeCell ref="Y68:Z68"/>
    <mergeCell ref="AC48:AC57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A39:A47"/>
    <mergeCell ref="C39:D39"/>
    <mergeCell ref="R39:R47"/>
    <mergeCell ref="Y39:Z39"/>
    <mergeCell ref="C46:D46"/>
    <mergeCell ref="Y46:Z46"/>
    <mergeCell ref="C47:D47"/>
    <mergeCell ref="Y47:Z47"/>
    <mergeCell ref="A48:A57"/>
    <mergeCell ref="C48:D48"/>
    <mergeCell ref="R48:R57"/>
    <mergeCell ref="Y48:Z48"/>
    <mergeCell ref="Y53:Z53"/>
    <mergeCell ref="C54:D54"/>
    <mergeCell ref="Y54:Z54"/>
    <mergeCell ref="C55:D55"/>
    <mergeCell ref="Y55:Z55"/>
    <mergeCell ref="C56:D56"/>
    <mergeCell ref="Y56:Z56"/>
    <mergeCell ref="C57:D57"/>
    <mergeCell ref="Y57:Z57"/>
    <mergeCell ref="AC39:AC47"/>
    <mergeCell ref="C40:D40"/>
    <mergeCell ref="Y40:Z40"/>
    <mergeCell ref="C41:D41"/>
    <mergeCell ref="Y41:Z41"/>
    <mergeCell ref="C42:D42"/>
    <mergeCell ref="C36:D36"/>
    <mergeCell ref="Y36:Z36"/>
    <mergeCell ref="C37:D37"/>
    <mergeCell ref="Y37:Z37"/>
    <mergeCell ref="C38:D38"/>
    <mergeCell ref="Y38:Z38"/>
    <mergeCell ref="AC29:AC38"/>
    <mergeCell ref="Y42:Z42"/>
    <mergeCell ref="C43:D43"/>
    <mergeCell ref="Y43:Z43"/>
    <mergeCell ref="C44:D44"/>
    <mergeCell ref="Y44:Z44"/>
    <mergeCell ref="C45:D45"/>
    <mergeCell ref="Y45:Z45"/>
    <mergeCell ref="Y32:Z32"/>
    <mergeCell ref="C33:D33"/>
    <mergeCell ref="Y33:Z33"/>
    <mergeCell ref="C34:D34"/>
    <mergeCell ref="Y34:Z34"/>
    <mergeCell ref="C35:D35"/>
    <mergeCell ref="Y35:Z35"/>
    <mergeCell ref="A29:A38"/>
    <mergeCell ref="C29:D29"/>
    <mergeCell ref="R29:R38"/>
    <mergeCell ref="Y29:Z29"/>
    <mergeCell ref="C30:D30"/>
    <mergeCell ref="Y30:Z30"/>
    <mergeCell ref="C31:D31"/>
    <mergeCell ref="Y31:Z31"/>
    <mergeCell ref="C32:D32"/>
    <mergeCell ref="AC19:AC28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19:A28"/>
    <mergeCell ref="C19:D19"/>
    <mergeCell ref="R19:R28"/>
    <mergeCell ref="Y19:Z19"/>
    <mergeCell ref="Y24:Z24"/>
    <mergeCell ref="C25:D25"/>
    <mergeCell ref="A13:A18"/>
    <mergeCell ref="Y25:Z25"/>
    <mergeCell ref="C26:D26"/>
    <mergeCell ref="Y26:Z26"/>
    <mergeCell ref="C27:D27"/>
    <mergeCell ref="Y27:Z27"/>
    <mergeCell ref="C28:D28"/>
    <mergeCell ref="Y28:Z28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8"/>
    <mergeCell ref="Y13:Z13"/>
    <mergeCell ref="AC13:AC18"/>
    <mergeCell ref="C17:D17"/>
    <mergeCell ref="Y17:Z17"/>
    <mergeCell ref="C18:D18"/>
    <mergeCell ref="Y18:Z18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7:O74 O77 O5:O10 O12:O14 O57:O64 O18:O36 O38:O53">
    <cfRule type="cellIs" dxfId="1371" priority="73" operator="greaterThan">
      <formula>0</formula>
    </cfRule>
  </conditionalFormatting>
  <conditionalFormatting sqref="P5:P8 P67 AA67 P69:P74 P29:P36 P64 P10 P12:P14 P19:P27 P58:P62 P39:P53 AA69:AA77 AA5:AA64">
    <cfRule type="cellIs" dxfId="1370" priority="77" operator="lessThan">
      <formula>0</formula>
    </cfRule>
  </conditionalFormatting>
  <conditionalFormatting sqref="AB67 Q67:Q74 Q77 Q5:Q10 Q12:Q14 Q57:Q64 Q18:Q36 Q38:Q53 AB69:AB77 AB5:AB64">
    <cfRule type="cellIs" dxfId="1369" priority="74" operator="greaterThan">
      <formula>1</formula>
    </cfRule>
    <cfRule type="cellIs" dxfId="1368" priority="75" operator="lessThan">
      <formula>0.8</formula>
    </cfRule>
  </conditionalFormatting>
  <conditionalFormatting sqref="AC13:AC14 R13:R14 AC67 R67:R74 R18:R24 AC18:AC24 AC28:AC36 R28:R36 R77 AC5:AC10 R5:R10 R38:R53 AC38:AC53 AC57:AC64 R57:R64">
    <cfRule type="cellIs" dxfId="1367" priority="79" operator="lessThan">
      <formula>0.8</formula>
    </cfRule>
  </conditionalFormatting>
  <conditionalFormatting sqref="AC48">
    <cfRule type="cellIs" dxfId="1366" priority="81" operator="lessThan">
      <formula>0.8</formula>
    </cfRule>
  </conditionalFormatting>
  <conditionalFormatting sqref="AC19:AC24">
    <cfRule type="cellIs" dxfId="1365" priority="78" operator="lessThan">
      <formula>0.8</formula>
    </cfRule>
  </conditionalFormatting>
  <conditionalFormatting sqref="AC29">
    <cfRule type="cellIs" dxfId="1364" priority="80" operator="lessThan">
      <formula>0.8</formula>
    </cfRule>
  </conditionalFormatting>
  <conditionalFormatting sqref="AC39:AC46">
    <cfRule type="cellIs" dxfId="1363" priority="76" operator="lessThan">
      <formula>0.8</formula>
    </cfRule>
  </conditionalFormatting>
  <conditionalFormatting sqref="AA68">
    <cfRule type="cellIs" dxfId="1362" priority="72" operator="lessThan">
      <formula>0</formula>
    </cfRule>
  </conditionalFormatting>
  <conditionalFormatting sqref="AB68">
    <cfRule type="cellIs" dxfId="1361" priority="70" operator="greaterThan">
      <formula>1</formula>
    </cfRule>
    <cfRule type="cellIs" dxfId="1360" priority="71" operator="lessThan">
      <formula>0.8</formula>
    </cfRule>
  </conditionalFormatting>
  <conditionalFormatting sqref="O15:O16">
    <cfRule type="cellIs" dxfId="1359" priority="65" operator="greaterThan">
      <formula>0</formula>
    </cfRule>
  </conditionalFormatting>
  <conditionalFormatting sqref="P15:P16">
    <cfRule type="cellIs" dxfId="1358" priority="68" operator="lessThan">
      <formula>0</formula>
    </cfRule>
  </conditionalFormatting>
  <conditionalFormatting sqref="Q15:Q16">
    <cfRule type="cellIs" dxfId="1357" priority="66" operator="greaterThan">
      <formula>1</formula>
    </cfRule>
    <cfRule type="cellIs" dxfId="1356" priority="67" operator="lessThan">
      <formula>0.8</formula>
    </cfRule>
  </conditionalFormatting>
  <conditionalFormatting sqref="R15:R16 AC15:AC16">
    <cfRule type="cellIs" dxfId="1355" priority="69" operator="lessThan">
      <formula>0.8</formula>
    </cfRule>
  </conditionalFormatting>
  <conditionalFormatting sqref="O11">
    <cfRule type="cellIs" dxfId="1354" priority="61" operator="greaterThan">
      <formula>0</formula>
    </cfRule>
  </conditionalFormatting>
  <conditionalFormatting sqref="P11">
    <cfRule type="cellIs" dxfId="1353" priority="64" operator="lessThan">
      <formula>0</formula>
    </cfRule>
  </conditionalFormatting>
  <conditionalFormatting sqref="Q11">
    <cfRule type="cellIs" dxfId="1352" priority="62" operator="greaterThan">
      <formula>1</formula>
    </cfRule>
    <cfRule type="cellIs" dxfId="1351" priority="63" operator="lessThan">
      <formula>0.8</formula>
    </cfRule>
  </conditionalFormatting>
  <conditionalFormatting sqref="AC26 R26">
    <cfRule type="cellIs" dxfId="1350" priority="60" operator="lessThan">
      <formula>0.8</formula>
    </cfRule>
  </conditionalFormatting>
  <conditionalFormatting sqref="O66">
    <cfRule type="cellIs" dxfId="1349" priority="55" operator="greaterThan">
      <formula>0</formula>
    </cfRule>
  </conditionalFormatting>
  <conditionalFormatting sqref="P66 AA66">
    <cfRule type="cellIs" dxfId="1348" priority="58" operator="lessThan">
      <formula>0</formula>
    </cfRule>
  </conditionalFormatting>
  <conditionalFormatting sqref="Q66 AB66">
    <cfRule type="cellIs" dxfId="1347" priority="56" operator="greaterThan">
      <formula>1</formula>
    </cfRule>
    <cfRule type="cellIs" dxfId="1346" priority="57" operator="lessThan">
      <formula>0.8</formula>
    </cfRule>
  </conditionalFormatting>
  <conditionalFormatting sqref="R66 AC66">
    <cfRule type="cellIs" dxfId="1345" priority="59" operator="lessThan">
      <formula>0.8</formula>
    </cfRule>
  </conditionalFormatting>
  <conditionalFormatting sqref="O37">
    <cfRule type="cellIs" dxfId="1344" priority="50" operator="greaterThan">
      <formula>0</formula>
    </cfRule>
  </conditionalFormatting>
  <conditionalFormatting sqref="P37">
    <cfRule type="cellIs" dxfId="1343" priority="53" operator="lessThan">
      <formula>0</formula>
    </cfRule>
  </conditionalFormatting>
  <conditionalFormatting sqref="Q37">
    <cfRule type="cellIs" dxfId="1342" priority="51" operator="greaterThan">
      <formula>1</formula>
    </cfRule>
    <cfRule type="cellIs" dxfId="1341" priority="52" operator="lessThan">
      <formula>0.8</formula>
    </cfRule>
  </conditionalFormatting>
  <conditionalFormatting sqref="R37 AC37">
    <cfRule type="cellIs" dxfId="1340" priority="54" operator="lessThan">
      <formula>0.8</formula>
    </cfRule>
  </conditionalFormatting>
  <conditionalFormatting sqref="O75">
    <cfRule type="cellIs" dxfId="1339" priority="45" operator="greaterThan">
      <formula>0</formula>
    </cfRule>
  </conditionalFormatting>
  <conditionalFormatting sqref="P75">
    <cfRule type="cellIs" dxfId="1338" priority="48" operator="lessThan">
      <formula>0</formula>
    </cfRule>
  </conditionalFormatting>
  <conditionalFormatting sqref="Q75">
    <cfRule type="cellIs" dxfId="1337" priority="46" operator="greaterThan">
      <formula>1</formula>
    </cfRule>
    <cfRule type="cellIs" dxfId="1336" priority="47" operator="lessThan">
      <formula>0.8</formula>
    </cfRule>
  </conditionalFormatting>
  <conditionalFormatting sqref="R75">
    <cfRule type="cellIs" dxfId="1335" priority="49" operator="lessThan">
      <formula>0.8</formula>
    </cfRule>
  </conditionalFormatting>
  <conditionalFormatting sqref="O17">
    <cfRule type="cellIs" dxfId="1334" priority="40" operator="greaterThan">
      <formula>0</formula>
    </cfRule>
  </conditionalFormatting>
  <conditionalFormatting sqref="P17">
    <cfRule type="cellIs" dxfId="1333" priority="43" operator="lessThan">
      <formula>0</formula>
    </cfRule>
  </conditionalFormatting>
  <conditionalFormatting sqref="Q17">
    <cfRule type="cellIs" dxfId="1332" priority="41" operator="greaterThan">
      <formula>1</formula>
    </cfRule>
    <cfRule type="cellIs" dxfId="1331" priority="42" operator="lessThan">
      <formula>0.8</formula>
    </cfRule>
  </conditionalFormatting>
  <conditionalFormatting sqref="R17 AC17">
    <cfRule type="cellIs" dxfId="1330" priority="44" operator="lessThan">
      <formula>0.8</formula>
    </cfRule>
  </conditionalFormatting>
  <conditionalFormatting sqref="O54">
    <cfRule type="cellIs" dxfId="1329" priority="34" operator="greaterThan">
      <formula>0</formula>
    </cfRule>
  </conditionalFormatting>
  <conditionalFormatting sqref="P54">
    <cfRule type="cellIs" dxfId="1328" priority="38" operator="lessThan">
      <formula>0</formula>
    </cfRule>
  </conditionalFormatting>
  <conditionalFormatting sqref="Q54">
    <cfRule type="cellIs" dxfId="1327" priority="35" operator="greaterThan">
      <formula>1</formula>
    </cfRule>
    <cfRule type="cellIs" dxfId="1326" priority="36" operator="lessThan">
      <formula>0.8</formula>
    </cfRule>
  </conditionalFormatting>
  <conditionalFormatting sqref="R54 AC54">
    <cfRule type="cellIs" dxfId="1325" priority="39" operator="lessThan">
      <formula>0.8</formula>
    </cfRule>
  </conditionalFormatting>
  <conditionalFormatting sqref="AC54">
    <cfRule type="cellIs" dxfId="1324" priority="37" operator="lessThan">
      <formula>0.8</formula>
    </cfRule>
  </conditionalFormatting>
  <conditionalFormatting sqref="O55">
    <cfRule type="cellIs" dxfId="1323" priority="28" operator="greaterThan">
      <formula>0</formula>
    </cfRule>
  </conditionalFormatting>
  <conditionalFormatting sqref="P55">
    <cfRule type="cellIs" dxfId="1322" priority="32" operator="lessThan">
      <formula>0</formula>
    </cfRule>
  </conditionalFormatting>
  <conditionalFormatting sqref="Q55">
    <cfRule type="cellIs" dxfId="1321" priority="29" operator="greaterThan">
      <formula>1</formula>
    </cfRule>
    <cfRule type="cellIs" dxfId="1320" priority="30" operator="lessThan">
      <formula>0.8</formula>
    </cfRule>
  </conditionalFormatting>
  <conditionalFormatting sqref="R55 AC55">
    <cfRule type="cellIs" dxfId="1319" priority="33" operator="lessThan">
      <formula>0.8</formula>
    </cfRule>
  </conditionalFormatting>
  <conditionalFormatting sqref="AC55">
    <cfRule type="cellIs" dxfId="1318" priority="31" operator="lessThan">
      <formula>0.8</formula>
    </cfRule>
  </conditionalFormatting>
  <conditionalFormatting sqref="AC27 R27">
    <cfRule type="cellIs" dxfId="1317" priority="27" operator="lessThan">
      <formula>0.8</formula>
    </cfRule>
  </conditionalFormatting>
  <conditionalFormatting sqref="R25 AC25">
    <cfRule type="cellIs" dxfId="1316" priority="26" operator="lessThan">
      <formula>0.8</formula>
    </cfRule>
  </conditionalFormatting>
  <conditionalFormatting sqref="AC25">
    <cfRule type="cellIs" dxfId="1315" priority="25" operator="lessThan">
      <formula>0.8</formula>
    </cfRule>
  </conditionalFormatting>
  <conditionalFormatting sqref="O56">
    <cfRule type="cellIs" dxfId="1314" priority="19" operator="greaterThan">
      <formula>0</formula>
    </cfRule>
  </conditionalFormatting>
  <conditionalFormatting sqref="P56">
    <cfRule type="cellIs" dxfId="1313" priority="23" operator="lessThan">
      <formula>0</formula>
    </cfRule>
  </conditionalFormatting>
  <conditionalFormatting sqref="Q56">
    <cfRule type="cellIs" dxfId="1312" priority="20" operator="greaterThan">
      <formula>1</formula>
    </cfRule>
    <cfRule type="cellIs" dxfId="1311" priority="21" operator="lessThan">
      <formula>0.8</formula>
    </cfRule>
  </conditionalFormatting>
  <conditionalFormatting sqref="R56 AC56">
    <cfRule type="cellIs" dxfId="1310" priority="24" operator="lessThan">
      <formula>0.8</formula>
    </cfRule>
  </conditionalFormatting>
  <conditionalFormatting sqref="AC56">
    <cfRule type="cellIs" dxfId="1309" priority="22" operator="lessThan">
      <formula>0.8</formula>
    </cfRule>
  </conditionalFormatting>
  <conditionalFormatting sqref="O65">
    <cfRule type="cellIs" dxfId="1308" priority="14" operator="greaterThan">
      <formula>0</formula>
    </cfRule>
  </conditionalFormatting>
  <conditionalFormatting sqref="P65 AA65">
    <cfRule type="cellIs" dxfId="1307" priority="17" operator="lessThan">
      <formula>0</formula>
    </cfRule>
  </conditionalFormatting>
  <conditionalFormatting sqref="Q65 AB65">
    <cfRule type="cellIs" dxfId="1306" priority="15" operator="greaterThan">
      <formula>1</formula>
    </cfRule>
    <cfRule type="cellIs" dxfId="1305" priority="16" operator="lessThan">
      <formula>0.8</formula>
    </cfRule>
  </conditionalFormatting>
  <conditionalFormatting sqref="R65 AC65">
    <cfRule type="cellIs" dxfId="1304" priority="18" operator="lessThan">
      <formula>0.8</formula>
    </cfRule>
  </conditionalFormatting>
  <conditionalFormatting sqref="P9">
    <cfRule type="cellIs" dxfId="1303" priority="13" operator="lessThan">
      <formula>0</formula>
    </cfRule>
  </conditionalFormatting>
  <conditionalFormatting sqref="P18">
    <cfRule type="cellIs" dxfId="1302" priority="12" operator="lessThan">
      <formula>0</formula>
    </cfRule>
  </conditionalFormatting>
  <conditionalFormatting sqref="P28">
    <cfRule type="cellIs" dxfId="1301" priority="11" operator="lessThan">
      <formula>0</formula>
    </cfRule>
  </conditionalFormatting>
  <conditionalFormatting sqref="P38">
    <cfRule type="cellIs" dxfId="1300" priority="10" operator="lessThan">
      <formula>0</formula>
    </cfRule>
  </conditionalFormatting>
  <conditionalFormatting sqref="P57">
    <cfRule type="cellIs" dxfId="1299" priority="9" operator="lessThan">
      <formula>0</formula>
    </cfRule>
  </conditionalFormatting>
  <conditionalFormatting sqref="P63">
    <cfRule type="cellIs" dxfId="1298" priority="8" operator="lessThan">
      <formula>0</formula>
    </cfRule>
  </conditionalFormatting>
  <conditionalFormatting sqref="P68">
    <cfRule type="cellIs" dxfId="1297" priority="7" operator="lessThan">
      <formula>0</formula>
    </cfRule>
  </conditionalFormatting>
  <conditionalFormatting sqref="P77">
    <cfRule type="cellIs" dxfId="1296" priority="6" operator="lessThan">
      <formula>0</formula>
    </cfRule>
  </conditionalFormatting>
  <conditionalFormatting sqref="O76">
    <cfRule type="cellIs" dxfId="1295" priority="1" operator="greaterThan">
      <formula>0</formula>
    </cfRule>
  </conditionalFormatting>
  <conditionalFormatting sqref="P76">
    <cfRule type="cellIs" dxfId="1294" priority="4" operator="lessThan">
      <formula>0</formula>
    </cfRule>
  </conditionalFormatting>
  <conditionalFormatting sqref="Q76">
    <cfRule type="cellIs" dxfId="1293" priority="2" operator="greaterThan">
      <formula>1</formula>
    </cfRule>
    <cfRule type="cellIs" dxfId="1292" priority="3" operator="lessThan">
      <formula>0.8</formula>
    </cfRule>
  </conditionalFormatting>
  <conditionalFormatting sqref="R76">
    <cfRule type="cellIs" dxfId="1291" priority="5" operator="lessThan">
      <formula>0.8</formula>
    </cfRule>
  </conditionalFormatting>
  <dataValidations count="1">
    <dataValidation type="list" allowBlank="1" showInputMessage="1" showErrorMessage="1" sqref="Z9 Y5:Z8 Y68:Z77 Y9:Y67 Z11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V15" sqref="V1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1257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1258</v>
      </c>
      <c r="C3" s="497" t="str">
        <f>TEXT('1115 4度C'!A2,"yyyy.mm.ddaaaa")</f>
        <v>2025.11.15星期六</v>
      </c>
      <c r="D3" s="498"/>
      <c r="E3" s="4" t="s">
        <v>166</v>
      </c>
      <c r="F3" s="499">
        <f>'1115 4度C'!D1</f>
        <v>154943</v>
      </c>
      <c r="G3" s="500"/>
      <c r="H3" s="4" t="s">
        <v>1259</v>
      </c>
      <c r="I3" s="501">
        <f>'1115 4度C'!F1</f>
        <v>5341021.42</v>
      </c>
      <c r="J3" s="502"/>
      <c r="K3" s="5"/>
      <c r="L3" s="6"/>
      <c r="M3" s="7"/>
      <c r="N3" s="7"/>
    </row>
    <row r="4" spans="2:17" ht="28.5" customHeight="1">
      <c r="B4" s="503" t="s">
        <v>1260</v>
      </c>
      <c r="C4" s="485" t="s">
        <v>1261</v>
      </c>
      <c r="D4" s="486"/>
      <c r="E4" s="506" t="s">
        <v>1262</v>
      </c>
      <c r="F4" s="507"/>
      <c r="G4" s="506" t="s">
        <v>1263</v>
      </c>
      <c r="H4" s="507"/>
      <c r="I4" s="506" t="s">
        <v>1264</v>
      </c>
      <c r="J4" s="507"/>
      <c r="L4" s="7"/>
      <c r="M4" s="7"/>
      <c r="N4" s="7"/>
    </row>
    <row r="5" spans="2:17" ht="28.5" customHeight="1">
      <c r="B5" s="504"/>
      <c r="C5" s="485" t="s">
        <v>1265</v>
      </c>
      <c r="D5" s="486"/>
      <c r="E5" s="485" t="s">
        <v>1266</v>
      </c>
      <c r="F5" s="486"/>
      <c r="G5" s="487" t="s">
        <v>1267</v>
      </c>
      <c r="H5" s="488"/>
      <c r="I5" s="489" t="s">
        <v>1268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153.05715114589268</v>
      </c>
      <c r="F6" s="492">
        <f>AVERAGE(D27:O27,D13:J13)</f>
        <v>159.41930081650386</v>
      </c>
      <c r="G6" s="493">
        <f>AVERAGE(D13:J13)</f>
        <v>159.41930081650386</v>
      </c>
      <c r="H6" s="494"/>
      <c r="I6" s="493">
        <f>AVERAGE(K13:M13)</f>
        <v>138.21213524779992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146.66852557688645</v>
      </c>
      <c r="F7" s="478">
        <f>AVERAGE(D28:O28,D14:J14)</f>
        <v>152.80906801610311</v>
      </c>
      <c r="G7" s="479">
        <f>AVERAGE(D14:J14)</f>
        <v>152.80906801610311</v>
      </c>
      <c r="H7" s="480"/>
      <c r="I7" s="479">
        <f>AVERAGE(K14:M14)</f>
        <v>132.34059321871425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0.95756352481849982</v>
      </c>
      <c r="F8" s="482">
        <f>AVERAGE(D15:J15,D29:O29)</f>
        <v>0.95758731306320688</v>
      </c>
      <c r="G8" s="483">
        <f>AVERAGE(D15:J15)</f>
        <v>0.95758731306320688</v>
      </c>
      <c r="H8" s="484"/>
      <c r="I8" s="483">
        <f>AVERAGE(K15:M15)</f>
        <v>0.95750801891418336</v>
      </c>
      <c r="J8" s="484"/>
      <c r="K8" s="8" t="s">
        <v>1269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1270</v>
      </c>
      <c r="C10" s="459"/>
      <c r="D10" s="460" t="s">
        <v>1271</v>
      </c>
      <c r="E10" s="461"/>
      <c r="F10" s="461"/>
      <c r="G10" s="461"/>
      <c r="H10" s="461"/>
      <c r="I10" s="461"/>
      <c r="J10" s="462"/>
      <c r="K10" s="463" t="s">
        <v>1272</v>
      </c>
      <c r="L10" s="464"/>
      <c r="M10" s="465"/>
      <c r="P10" s="11"/>
      <c r="Q10" s="11"/>
    </row>
    <row r="11" spans="2:17" ht="17.25" customHeight="1">
      <c r="B11" s="466" t="s">
        <v>1273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1274</v>
      </c>
      <c r="C13" s="18" t="s">
        <v>1275</v>
      </c>
      <c r="D13" s="19">
        <f>SUMIFS('1115 4度C'!$K:$K,'1115 4度C'!$A:$A,"新豐6線",'1115 4度C'!$B:$B,"平均")</f>
        <v>133.33333333333334</v>
      </c>
      <c r="E13" s="20">
        <f>SUMIFS('1115 4度C'!$K:$K,'1115 4度C'!$A:$A,"新豐2線",'1115 4度C'!$B:$B,"平均")</f>
        <v>81.081081081081081</v>
      </c>
      <c r="F13" s="21">
        <f>SUMIFS('1115 4度C'!$K:$K,'1115 4度C'!$A:$A,"新豐5線",'1115 4度C'!$B:$B,"平均")</f>
        <v>91.397849462365585</v>
      </c>
      <c r="G13" s="21">
        <f>SUMIFS('1115 4度C'!$K:$K,'1115 4度C'!$A:$A,"新豐7線",'1115 4度C'!$B:$B,"平均")</f>
        <v>114.81481481481481</v>
      </c>
      <c r="H13" s="21">
        <f>SUMIFS('1115 4度C'!$K:$K,'1115 4度C'!$A:$A,"新豐3線",'1115 4度C'!$B:$B,"平均")</f>
        <v>281.69014084507046</v>
      </c>
      <c r="I13" s="21">
        <f>SUMIFS('1115 4度C'!$K:$K,'1115 4度C'!$A:$A,"新豐1線",'1115 4度C'!$B:$B,"平均")</f>
        <v>121.95121951219514</v>
      </c>
      <c r="J13" s="22">
        <f>SUMIFS('1115 4度C'!$K:$K,'1115 4度C'!$A:$A,"新豐10線",'1115 4度C'!$B:$B,"平均")</f>
        <v>291.66666666666669</v>
      </c>
      <c r="K13" s="23">
        <f>SUMIFS('1115 4度C'!$K:$K,'1115 4度C'!$A:$A,"新豐8線",'1115 4度C'!$B:$B,"平均")</f>
        <v>132.28346456692913</v>
      </c>
      <c r="L13" s="24">
        <f>SUMIFS('1115 4度C'!$K:$K,'1115 4度C'!$A:$A,"新豐9線",'1115 4度C'!$B:$B,"平均")</f>
        <v>141.1764705882353</v>
      </c>
      <c r="M13" s="22">
        <f>SUMIFS('1115 4度C'!$K:$K,'1115 4度C'!$A:$A,"新豐4線",'1115 4度C'!$B:$B,"平均")</f>
        <v>141.1764705882353</v>
      </c>
    </row>
    <row r="14" spans="2:17" ht="39.6" customHeight="1">
      <c r="B14" s="471"/>
      <c r="C14" s="25" t="s">
        <v>1276</v>
      </c>
      <c r="D14" s="26">
        <f>SUMIFS('1115 4度C'!$N:$N,'1115 4度C'!$A:$A,"新豐6線",'1115 4度C'!$B:$B,"平均")</f>
        <v>127.7432773597755</v>
      </c>
      <c r="E14" s="27">
        <f>SUMIFS('1115 4度C'!$N:$N,'1115 4度C'!$A:$A,"新豐2線",'1115 4度C'!$B:$B,"平均")</f>
        <v>77.215254780472193</v>
      </c>
      <c r="F14" s="27">
        <f>SUMIFS('1115 4度C'!$N:$N,'1115 4度C'!$A:$A,"新豐5線",'1115 4度C'!$B:$B,"平均")</f>
        <v>87.344455488614798</v>
      </c>
      <c r="G14" s="27">
        <f>SUMIFS('1115 4度C'!$N:$N,'1115 4度C'!$A:$A,"新豐7線",'1115 4度C'!$B:$B,"平均")</f>
        <v>110.20090058626131</v>
      </c>
      <c r="H14" s="27">
        <f>SUMIFS('1115 4度C'!$N:$N,'1115 4度C'!$A:$A,"新豐3線",'1115 4度C'!$B:$B,"平均")</f>
        <v>269.79139003838111</v>
      </c>
      <c r="I14" s="27">
        <f>SUMIFS('1115 4度C'!$N:$N,'1115 4度C'!$A:$A,"新豐1線",'1115 4度C'!$B:$B,"平均")</f>
        <v>116.75435274411593</v>
      </c>
      <c r="J14" s="28">
        <f>SUMIFS('1115 4度C'!$N:$N,'1115 4度C'!$A:$A,"新豐10線",'1115 4度C'!$B:$B,"平均")</f>
        <v>280.61384511510101</v>
      </c>
      <c r="K14" s="29">
        <f>SUMIFS('1115 4度C'!$N:$N,'1115 4度C'!$A:$A,"新豐8線",'1115 4度C'!$B:$B,"平均")</f>
        <v>126.60154677423313</v>
      </c>
      <c r="L14" s="30">
        <f>SUMIFS('1115 4度C'!$N:$N,'1115 4度C'!$A:$A,"新豐9線",'1115 4度C'!$B:$B,"平均")</f>
        <v>134.94081870530314</v>
      </c>
      <c r="M14" s="28">
        <f>SUMIFS('1115 4度C'!$N:$N,'1115 4度C'!$A:$A,"新豐4線",'1115 4度C'!$B:$B,"平均")</f>
        <v>135.47941417660641</v>
      </c>
    </row>
    <row r="15" spans="2:17" ht="40.15" customHeight="1">
      <c r="B15" s="472"/>
      <c r="C15" s="31" t="s">
        <v>527</v>
      </c>
      <c r="D15" s="32">
        <f t="shared" ref="D15:M15" si="0">D14/D13</f>
        <v>0.95807458019831626</v>
      </c>
      <c r="E15" s="33">
        <f t="shared" si="0"/>
        <v>0.9523214756258237</v>
      </c>
      <c r="F15" s="33">
        <f t="shared" si="0"/>
        <v>0.95565110122837371</v>
      </c>
      <c r="G15" s="33">
        <f t="shared" si="0"/>
        <v>0.95981429542872765</v>
      </c>
      <c r="H15" s="33">
        <f t="shared" si="0"/>
        <v>0.95775943463625279</v>
      </c>
      <c r="I15" s="33">
        <f t="shared" si="0"/>
        <v>0.95738569250175054</v>
      </c>
      <c r="J15" s="34">
        <f t="shared" si="0"/>
        <v>0.96210461182320339</v>
      </c>
      <c r="K15" s="32">
        <f t="shared" si="0"/>
        <v>0.95704740716235759</v>
      </c>
      <c r="L15" s="33">
        <f t="shared" si="0"/>
        <v>0.95583079916256386</v>
      </c>
      <c r="M15" s="34">
        <f t="shared" si="0"/>
        <v>0.95964585041762873</v>
      </c>
    </row>
    <row r="16" spans="2:17" ht="17.25" customHeight="1">
      <c r="B16" s="473" t="s">
        <v>1277</v>
      </c>
      <c r="C16" s="35" t="s">
        <v>1278</v>
      </c>
      <c r="D16" s="49">
        <f>VLOOKUP("新豐6線",'1115 4度C'!$A:$T,19,0)</f>
        <v>0.70833333333333337</v>
      </c>
      <c r="E16" s="50">
        <f>VLOOKUP("新豐2線",'1115 4度C'!$A:$T,19,0)</f>
        <v>0.20833333333333334</v>
      </c>
      <c r="F16" s="50">
        <f>VLOOKUP("新豐5線",'1115 4度C'!$A:$T,19,0)</f>
        <v>0.125</v>
      </c>
      <c r="G16" s="50">
        <f>VLOOKUP("新豐7線",'1115 4度C'!$A:$T,19,0)</f>
        <v>0.20833333333333334</v>
      </c>
      <c r="H16" s="50">
        <f>VLOOKUP("新豐3線",'1115 4度C'!$A:$T,19,0)</f>
        <v>8.3333333333333329E-2</v>
      </c>
      <c r="I16" s="50">
        <f>VLOOKUP("新豐1線",'1115 4度C'!$A:$T,19,0)</f>
        <v>0.20833333333333334</v>
      </c>
      <c r="J16" s="51">
        <f>VLOOKUP("新豐10線",'1115 4度C'!$A:$T,19,0)</f>
        <v>0.20833333333333334</v>
      </c>
      <c r="K16" s="36">
        <f>VLOOKUP("新豐8線",'1115 4度C'!$A:$T,19,0)</f>
        <v>8.3333333333333329E-2</v>
      </c>
      <c r="L16" s="37">
        <f>VLOOKUP("新豐9線",'1115 4度C'!$A:$T,19,0)</f>
        <v>8.3333333333333329E-2</v>
      </c>
      <c r="M16" s="38">
        <f>VLOOKUP("新豐4線",'1115 4度C'!$A:$T,19,0)</f>
        <v>8.3333333333333329E-2</v>
      </c>
    </row>
    <row r="17" spans="2:13" ht="17.25" customHeight="1">
      <c r="B17" s="474"/>
      <c r="C17" s="35" t="s">
        <v>1279</v>
      </c>
      <c r="D17" s="36">
        <f>LOOKUP(2,1/(('1115 4度C'!$A:$A="新豐6線")*('1115 4度C'!$T:$T&lt;&gt;"")),'1115 4度C'!$T:$T)</f>
        <v>0.86319444444444438</v>
      </c>
      <c r="E17" s="50">
        <f>LOOKUP(2,1/(('1115 4度C'!$A:$A="新豐2線")*('1115 4度C'!$T:$T&lt;&gt;"")),'1115 4度C'!$T:$T)</f>
        <v>0.4194444444444444</v>
      </c>
      <c r="F17" s="50">
        <f>LOOKUP(2,1/(('1115 4度C'!$A:$A="新豐5線")*('1115 4度C'!$T:$T&lt;&gt;"")),'1115 4度C'!$T:$T)</f>
        <v>0.86944444444444446</v>
      </c>
      <c r="G17" s="50">
        <f>LOOKUP(2,1/(('1115 4度C'!$A:$A="新豐7線")*('1115 4度C'!$T:$T&lt;&gt;"")),'1115 4度C'!$T:$T)</f>
        <v>0.86111111111111127</v>
      </c>
      <c r="H17" s="50">
        <f>LOOKUP(2,1/(('1115 4度C'!$A:$A="新豐3線")*('1115 4度C'!$T:$T&lt;&gt;"")),'1115 4度C'!$T:$T)</f>
        <v>0.49166666666666659</v>
      </c>
      <c r="I17" s="50">
        <f>LOOKUP(2,1/(('1115 4度C'!$A:$A="新豐1線")*('1115 4度C'!$T:$T&lt;&gt;"")),'1115 4度C'!$T:$T)</f>
        <v>0.82986111111111116</v>
      </c>
      <c r="J17" s="51">
        <f>LOOKUP(2,1/(('1115 4度C'!$A:$A="新豐10線")*('1115 4度C'!$T:$T&lt;&gt;"")),'1115 4度C'!$T:$T)</f>
        <v>0.41944444444444445</v>
      </c>
      <c r="K17" s="49">
        <f>LOOKUP(2,1/(('1115 4度C'!$A:$A="新豐8線")*('1115 4度C'!$T:$T&lt;&gt;"")),'1115 4度C'!$T:$T)</f>
        <v>0.63541666666666652</v>
      </c>
      <c r="L17" s="50">
        <f>LOOKUP(2,1/(('1115 4度C'!$A:$A="新豐9線")*('1115 4度C'!$T:$T&lt;&gt;"")),'1115 4度C'!$T:$T)</f>
        <v>0.52291666666666659</v>
      </c>
      <c r="M17" s="51">
        <f>LOOKUP(2,1/(('1115 4度C'!$A:$A="新豐4線")*('1115 4度C'!$T:$T&lt;&gt;"")),'1115 4度C'!$T:$T)</f>
        <v>0.47152777777777777</v>
      </c>
    </row>
    <row r="18" spans="2:13" ht="17.25" customHeight="1">
      <c r="B18" s="452" t="s">
        <v>1280</v>
      </c>
      <c r="C18" s="453"/>
      <c r="D18" s="39">
        <f>SUMIFS('1115 4度C'!$I:$I,'1115 4度C'!$A:$A,"新豐6線",'1115 4度C'!$B:$B,"平均")</f>
        <v>15</v>
      </c>
      <c r="E18" s="40">
        <f>SUMIFS('1115 4度C'!$I:$I,'1115 4度C'!$A:$A,"新豐2線",'1115 4度C'!$B:$B,"平均")</f>
        <v>18.5</v>
      </c>
      <c r="F18" s="40">
        <f>SUMIFS('1115 4度C'!$I:$I,'1115 4度C'!$A:$A,"新豐5線",'1115 4度C'!$B:$B,"平均")</f>
        <v>18.600000000000001</v>
      </c>
      <c r="G18" s="40">
        <f>SUMIFS('1115 4度C'!$I:$I,'1115 4度C'!$A:$A,"新豐7線",'1115 4度C'!$B:$B,"平均")</f>
        <v>16.875</v>
      </c>
      <c r="H18" s="40">
        <f>SUMIFS('1115 4度C'!$I:$I,'1115 4度C'!$A:$A,"新豐3線",'1115 4度C'!$B:$B,"平均")</f>
        <v>10.142857142857142</v>
      </c>
      <c r="I18" s="40">
        <f>SUMIFS('1115 4度C'!$I:$I,'1115 4度C'!$A:$A,"新豐1線",'1115 4度C'!$B:$B,"平均")</f>
        <v>16.399999999999999</v>
      </c>
      <c r="J18" s="41">
        <f>SUMIFS('1115 4度C'!$I:$I,'1115 4度C'!$A:$A,"新豐10線",'1115 4度C'!$B:$B,"平均")</f>
        <v>9</v>
      </c>
      <c r="K18" s="39">
        <f>SUMIFS('1115 4度C'!$I:$I,'1115 4度C'!$A:$A,"新豐8線",'1115 4度C'!$B:$B,"平均")</f>
        <v>18.142857142857142</v>
      </c>
      <c r="L18" s="40">
        <f>SUMIFS('1115 4度C'!$I:$I,'1115 4度C'!$A:$A,"新豐9線",'1115 4度C'!$B:$B,"平均")</f>
        <v>17</v>
      </c>
      <c r="M18" s="41">
        <f>SUMIFS('1115 4度C'!$I:$I,'1115 4度C'!$A:$A,"新豐4線",'1115 4度C'!$B:$B,"平均")</f>
        <v>17</v>
      </c>
    </row>
    <row r="19" spans="2:13" ht="17.25" customHeight="1">
      <c r="B19" s="452" t="s">
        <v>1281</v>
      </c>
      <c r="C19" s="453"/>
      <c r="D19" s="42" t="s">
        <v>65</v>
      </c>
      <c r="E19" s="43" t="s">
        <v>66</v>
      </c>
      <c r="F19" s="43" t="s">
        <v>1282</v>
      </c>
      <c r="G19" s="43" t="s">
        <v>1282</v>
      </c>
      <c r="H19" s="43" t="s">
        <v>67</v>
      </c>
      <c r="I19" s="43" t="s">
        <v>65</v>
      </c>
      <c r="J19" s="44" t="s">
        <v>67</v>
      </c>
      <c r="K19" s="42" t="s">
        <v>1283</v>
      </c>
      <c r="L19" s="43" t="s">
        <v>1283</v>
      </c>
      <c r="M19" s="44" t="s">
        <v>1283</v>
      </c>
    </row>
    <row r="20" spans="2:13" ht="17.25" customHeight="1">
      <c r="B20" s="452" t="s">
        <v>1284</v>
      </c>
      <c r="C20" s="453"/>
      <c r="D20" s="42"/>
      <c r="E20" s="43"/>
      <c r="F20" s="43" t="s">
        <v>114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1285</v>
      </c>
      <c r="C21" s="455"/>
      <c r="D21" s="45"/>
      <c r="E21" s="46" t="s">
        <v>1286</v>
      </c>
      <c r="F21" s="456" t="s">
        <v>1287</v>
      </c>
      <c r="G21" s="457"/>
      <c r="H21" s="46" t="s">
        <v>118</v>
      </c>
      <c r="I21" s="46" t="s">
        <v>1288</v>
      </c>
      <c r="J21" s="47" t="s">
        <v>1289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29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7"/>
  <sheetViews>
    <sheetView zoomScale="80" zoomScaleNormal="80" workbookViewId="0">
      <pane ySplit="4" topLeftCell="A5" activePane="bottomLeft" state="frozen"/>
      <selection activeCell="V15" sqref="V15"/>
      <selection pane="bottomLeft" activeCell="Y56" sqref="Y56:Z56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1290</v>
      </c>
      <c r="B1" s="52"/>
      <c r="C1" s="53" t="s">
        <v>1291</v>
      </c>
      <c r="D1" s="54">
        <f>SUM(F5:F66)</f>
        <v>154943</v>
      </c>
      <c r="E1" s="248" t="s">
        <v>1292</v>
      </c>
      <c r="F1" s="52">
        <f>SUM(G5:G66)</f>
        <v>5341021.42</v>
      </c>
      <c r="G1" s="52" t="s">
        <v>1293</v>
      </c>
      <c r="H1" s="55">
        <f>L8+L11+L48+L54+L17+L59+L34+L40+L26+L66</f>
        <v>156.66071428571428</v>
      </c>
      <c r="I1" s="556" t="s">
        <v>1294</v>
      </c>
      <c r="J1" s="556"/>
      <c r="K1" s="556"/>
      <c r="L1" s="556" t="s">
        <v>1295</v>
      </c>
      <c r="M1" s="556"/>
      <c r="N1" s="556"/>
      <c r="O1" s="556" t="s">
        <v>1296</v>
      </c>
      <c r="P1" s="556"/>
      <c r="Q1" s="556"/>
      <c r="R1" s="556"/>
      <c r="S1" s="556" t="s">
        <v>1297</v>
      </c>
      <c r="T1" s="556"/>
      <c r="U1" s="556"/>
      <c r="V1" s="556"/>
      <c r="W1" s="556"/>
      <c r="X1" s="556"/>
      <c r="Y1" s="556" t="s">
        <v>1298</v>
      </c>
      <c r="Z1" s="556"/>
      <c r="AA1" s="556" t="s">
        <v>1299</v>
      </c>
      <c r="AB1" s="557"/>
      <c r="AC1" s="557"/>
    </row>
    <row r="2" spans="1:29" ht="26.25" customHeight="1">
      <c r="A2" s="57">
        <v>45976</v>
      </c>
      <c r="B2" s="58" t="s">
        <v>72</v>
      </c>
      <c r="C2" s="53" t="s">
        <v>1274</v>
      </c>
      <c r="D2" s="59">
        <f>AVERAGE(N8,N11,N48,N54,N17,N59,N26,N34,N40,N66)</f>
        <v>146.66852557688645</v>
      </c>
      <c r="E2" s="60" t="s">
        <v>0</v>
      </c>
      <c r="F2" s="61">
        <f>F1/D1</f>
        <v>34.470879097474551</v>
      </c>
      <c r="G2" s="52" t="s">
        <v>1300</v>
      </c>
      <c r="H2" s="256">
        <f>COUNT(H5:H66)</f>
        <v>1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1301</v>
      </c>
      <c r="B3" s="510" t="s">
        <v>1302</v>
      </c>
      <c r="C3" s="510" t="s">
        <v>1303</v>
      </c>
      <c r="D3" s="510"/>
      <c r="E3" s="554" t="s">
        <v>1304</v>
      </c>
      <c r="F3" s="510" t="s">
        <v>1305</v>
      </c>
      <c r="G3" s="554" t="s">
        <v>1306</v>
      </c>
      <c r="H3" s="547" t="s">
        <v>1307</v>
      </c>
      <c r="I3" s="545" t="s">
        <v>1308</v>
      </c>
      <c r="J3" s="550" t="s">
        <v>1309</v>
      </c>
      <c r="K3" s="552" t="s">
        <v>1274</v>
      </c>
      <c r="L3" s="545" t="s">
        <v>1308</v>
      </c>
      <c r="M3" s="550" t="s">
        <v>1309</v>
      </c>
      <c r="N3" s="552" t="s">
        <v>1274</v>
      </c>
      <c r="O3" s="545" t="s">
        <v>1308</v>
      </c>
      <c r="P3" s="552" t="s">
        <v>1274</v>
      </c>
      <c r="Q3" s="551" t="s">
        <v>1310</v>
      </c>
      <c r="R3" s="523" t="s">
        <v>1311</v>
      </c>
      <c r="S3" s="553" t="s">
        <v>1</v>
      </c>
      <c r="T3" s="553"/>
      <c r="U3" s="547" t="s">
        <v>2</v>
      </c>
      <c r="V3" s="547" t="s">
        <v>1312</v>
      </c>
      <c r="W3" s="510" t="s">
        <v>1313</v>
      </c>
      <c r="X3" s="510"/>
      <c r="Y3" s="548" t="s">
        <v>1314</v>
      </c>
      <c r="Z3" s="549"/>
      <c r="AA3" s="550" t="s">
        <v>1315</v>
      </c>
      <c r="AB3" s="551" t="s">
        <v>1316</v>
      </c>
      <c r="AC3" s="523" t="s">
        <v>1317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55" t="s">
        <v>3</v>
      </c>
      <c r="T4" s="255" t="s">
        <v>4</v>
      </c>
      <c r="U4" s="547"/>
      <c r="V4" s="547"/>
      <c r="W4" s="248" t="s">
        <v>1318</v>
      </c>
      <c r="X4" s="248" t="s">
        <v>1319</v>
      </c>
      <c r="Y4" s="549"/>
      <c r="Z4" s="549"/>
      <c r="AA4" s="550"/>
      <c r="AB4" s="551"/>
      <c r="AC4" s="523"/>
    </row>
    <row r="5" spans="1:29">
      <c r="A5" s="544" t="s">
        <v>1320</v>
      </c>
      <c r="B5" s="62" t="s">
        <v>6</v>
      </c>
      <c r="C5" s="546" t="s">
        <v>9</v>
      </c>
      <c r="D5" s="546"/>
      <c r="E5" s="62">
        <v>50.67</v>
      </c>
      <c r="F5" s="255">
        <v>1940</v>
      </c>
      <c r="G5" s="248">
        <f t="shared" ref="G5:G7" si="0">E5*F5</f>
        <v>98299.8</v>
      </c>
      <c r="H5" s="90" t="s">
        <v>5</v>
      </c>
      <c r="I5" s="253">
        <v>17</v>
      </c>
      <c r="J5" s="63">
        <v>2000</v>
      </c>
      <c r="K5" s="64">
        <f t="shared" ref="K5:K66" si="1">J5/I5</f>
        <v>117.64705882352941</v>
      </c>
      <c r="L5" s="253">
        <v>17</v>
      </c>
      <c r="M5" s="65">
        <f t="shared" ref="M5:M7" si="2">F5/V5*60</f>
        <v>1908.1967213114772</v>
      </c>
      <c r="N5" s="64">
        <f t="shared" ref="N5:N66" si="3">M5/L5</f>
        <v>112.24686595949866</v>
      </c>
      <c r="O5" s="66">
        <f t="shared" ref="O5:O66" si="4">L5-I5</f>
        <v>0</v>
      </c>
      <c r="P5" s="67">
        <f t="shared" ref="P5:P66" si="5">N5-K5</f>
        <v>-5.4001928640307426</v>
      </c>
      <c r="Q5" s="249">
        <f t="shared" ref="Q5:Q66" si="6">N5/K5</f>
        <v>0.95409836065573872</v>
      </c>
      <c r="R5" s="511">
        <f>Q8</f>
        <v>0.95807458019831626</v>
      </c>
      <c r="S5" s="68">
        <v>0.70833333333333337</v>
      </c>
      <c r="T5" s="68">
        <v>0.75069444444444444</v>
      </c>
      <c r="U5" s="248"/>
      <c r="V5" s="254">
        <f t="shared" ref="V5:V7" si="7">(T5-S5)*24*60</f>
        <v>60.999999999999943</v>
      </c>
      <c r="W5" s="69"/>
      <c r="X5" s="70"/>
      <c r="Y5" s="510"/>
      <c r="Z5" s="510"/>
      <c r="AA5" s="66">
        <f t="shared" ref="AA5:AA66" si="8">M5-J5</f>
        <v>-91.803278688522823</v>
      </c>
      <c r="AB5" s="249">
        <f t="shared" ref="AB5:AB66" si="9">M5/J5</f>
        <v>0.95409836065573861</v>
      </c>
      <c r="AC5" s="511">
        <f>AB8</f>
        <v>0.95807458019831626</v>
      </c>
    </row>
    <row r="6" spans="1:29">
      <c r="A6" s="545" t="s">
        <v>1321</v>
      </c>
      <c r="B6" s="62" t="s">
        <v>6</v>
      </c>
      <c r="C6" s="546" t="s">
        <v>8</v>
      </c>
      <c r="D6" s="546"/>
      <c r="E6" s="62">
        <v>50.49</v>
      </c>
      <c r="F6" s="255">
        <v>1797</v>
      </c>
      <c r="G6" s="248">
        <f t="shared" si="0"/>
        <v>90730.53</v>
      </c>
      <c r="H6" s="90" t="s">
        <v>5</v>
      </c>
      <c r="I6" s="253">
        <v>15</v>
      </c>
      <c r="J6" s="63">
        <v>2000</v>
      </c>
      <c r="K6" s="64">
        <f t="shared" si="1"/>
        <v>133.33333333333334</v>
      </c>
      <c r="L6" s="253">
        <v>15</v>
      </c>
      <c r="M6" s="65">
        <f t="shared" si="2"/>
        <v>1925.3571428571443</v>
      </c>
      <c r="N6" s="64">
        <f t="shared" si="3"/>
        <v>128.35714285714295</v>
      </c>
      <c r="O6" s="66">
        <f t="shared" si="4"/>
        <v>0</v>
      </c>
      <c r="P6" s="67">
        <f t="shared" si="5"/>
        <v>-4.9761904761903963</v>
      </c>
      <c r="Q6" s="249">
        <f t="shared" si="6"/>
        <v>0.96267857142857205</v>
      </c>
      <c r="R6" s="511"/>
      <c r="S6" s="68">
        <v>0.75486111111111109</v>
      </c>
      <c r="T6" s="68">
        <v>0.79374999999999996</v>
      </c>
      <c r="U6" s="248">
        <f t="shared" ref="U6:U7" si="10">IF(S6=TIME(17,0,0),"",(S6-T5)*24*60)</f>
        <v>5.9999999999999787</v>
      </c>
      <c r="V6" s="254">
        <f t="shared" si="7"/>
        <v>55.999999999999957</v>
      </c>
      <c r="W6" s="69"/>
      <c r="X6" s="69"/>
      <c r="Y6" s="510"/>
      <c r="Z6" s="510"/>
      <c r="AA6" s="66">
        <f t="shared" si="8"/>
        <v>-74.642857142855746</v>
      </c>
      <c r="AB6" s="249">
        <f t="shared" si="9"/>
        <v>0.96267857142857216</v>
      </c>
      <c r="AC6" s="511"/>
    </row>
    <row r="7" spans="1:29">
      <c r="A7" s="545" t="s">
        <v>1321</v>
      </c>
      <c r="B7" s="62" t="s">
        <v>6</v>
      </c>
      <c r="C7" s="539" t="s">
        <v>886</v>
      </c>
      <c r="D7" s="540"/>
      <c r="E7" s="62">
        <v>57.3</v>
      </c>
      <c r="F7" s="255">
        <v>3000</v>
      </c>
      <c r="G7" s="248">
        <f t="shared" si="0"/>
        <v>171900</v>
      </c>
      <c r="H7" s="90" t="s">
        <v>5</v>
      </c>
      <c r="I7" s="253">
        <v>13</v>
      </c>
      <c r="J7" s="63">
        <v>2000</v>
      </c>
      <c r="K7" s="64">
        <f t="shared" si="1"/>
        <v>153.84615384615384</v>
      </c>
      <c r="L7" s="253">
        <v>13</v>
      </c>
      <c r="M7" s="65">
        <f t="shared" si="2"/>
        <v>1914.8936170212769</v>
      </c>
      <c r="N7" s="64">
        <f t="shared" si="3"/>
        <v>147.29950900163669</v>
      </c>
      <c r="O7" s="66">
        <f t="shared" si="4"/>
        <v>0</v>
      </c>
      <c r="P7" s="67">
        <f t="shared" si="5"/>
        <v>-6.5466448445171466</v>
      </c>
      <c r="Q7" s="249">
        <f t="shared" si="6"/>
        <v>0.95744680851063857</v>
      </c>
      <c r="R7" s="511"/>
      <c r="S7" s="68">
        <v>0.79791666666666661</v>
      </c>
      <c r="T7" s="68">
        <v>0.86319444444444438</v>
      </c>
      <c r="U7" s="248">
        <f t="shared" si="10"/>
        <v>5.9999999999999787</v>
      </c>
      <c r="V7" s="254">
        <f t="shared" si="7"/>
        <v>93.999999999999986</v>
      </c>
      <c r="W7" s="69"/>
      <c r="X7" s="69"/>
      <c r="Y7" s="517"/>
      <c r="Z7" s="518"/>
      <c r="AA7" s="66">
        <f t="shared" si="8"/>
        <v>-85.106382978723104</v>
      </c>
      <c r="AB7" s="249">
        <f t="shared" si="9"/>
        <v>0.95744680851063846</v>
      </c>
      <c r="AC7" s="511"/>
    </row>
    <row r="8" spans="1:29">
      <c r="A8" s="545" t="s">
        <v>1321</v>
      </c>
      <c r="B8" s="62" t="s">
        <v>1322</v>
      </c>
      <c r="C8" s="513"/>
      <c r="D8" s="513"/>
      <c r="E8" s="250"/>
      <c r="F8" s="71"/>
      <c r="G8" s="64"/>
      <c r="H8" s="255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1916.1491603966326</v>
      </c>
      <c r="N8" s="64">
        <f t="shared" si="3"/>
        <v>127.7432773597755</v>
      </c>
      <c r="O8" s="66">
        <f t="shared" si="4"/>
        <v>0</v>
      </c>
      <c r="P8" s="67">
        <f t="shared" si="5"/>
        <v>-5.5900559735578383</v>
      </c>
      <c r="Q8" s="249">
        <f t="shared" si="6"/>
        <v>0.95807458019831626</v>
      </c>
      <c r="R8" s="511"/>
      <c r="S8" s="68"/>
      <c r="T8" s="68"/>
      <c r="U8" s="248"/>
      <c r="V8" s="254"/>
      <c r="W8" s="64"/>
      <c r="X8" s="64"/>
      <c r="Y8" s="510"/>
      <c r="Z8" s="510"/>
      <c r="AA8" s="66">
        <f t="shared" si="8"/>
        <v>-83.850839603367376</v>
      </c>
      <c r="AB8" s="249">
        <f t="shared" si="9"/>
        <v>0.95807458019831626</v>
      </c>
      <c r="AC8" s="511"/>
    </row>
    <row r="9" spans="1:29" ht="15.75" customHeight="1">
      <c r="A9" s="543" t="s">
        <v>1323</v>
      </c>
      <c r="B9" s="62" t="s">
        <v>10</v>
      </c>
      <c r="C9" s="539" t="s">
        <v>12</v>
      </c>
      <c r="D9" s="540"/>
      <c r="E9" s="62">
        <v>39.36</v>
      </c>
      <c r="F9" s="255">
        <v>1571</v>
      </c>
      <c r="G9" s="248">
        <f t="shared" ref="G9:G10" si="11">E9*F9</f>
        <v>61834.559999999998</v>
      </c>
      <c r="H9" s="90" t="s">
        <v>5</v>
      </c>
      <c r="I9" s="253">
        <v>20</v>
      </c>
      <c r="J9" s="63">
        <v>1500</v>
      </c>
      <c r="K9" s="64">
        <f t="shared" si="1"/>
        <v>75</v>
      </c>
      <c r="L9" s="253">
        <v>20</v>
      </c>
      <c r="M9" s="65">
        <f t="shared" ref="M9:M10" si="12">F9/V9*60</f>
        <v>1428.1818181818187</v>
      </c>
      <c r="N9" s="64">
        <f t="shared" si="3"/>
        <v>71.409090909090935</v>
      </c>
      <c r="O9" s="66">
        <f t="shared" si="4"/>
        <v>0</v>
      </c>
      <c r="P9" s="67">
        <f t="shared" si="5"/>
        <v>-3.5909090909090651</v>
      </c>
      <c r="Q9" s="249">
        <f t="shared" si="6"/>
        <v>0.95212121212121248</v>
      </c>
      <c r="R9" s="511">
        <f>Q11</f>
        <v>0.9523214756258237</v>
      </c>
      <c r="S9" s="68">
        <v>0.20833333333333334</v>
      </c>
      <c r="T9" s="68">
        <v>0.25416666666666665</v>
      </c>
      <c r="U9" s="248"/>
      <c r="V9" s="254">
        <f t="shared" ref="V9:V10" si="13">(T9-S9)*24*60</f>
        <v>65.999999999999972</v>
      </c>
      <c r="W9" s="69"/>
      <c r="X9" s="69"/>
      <c r="Y9" s="510"/>
      <c r="Z9" s="510"/>
      <c r="AA9" s="66">
        <f t="shared" si="8"/>
        <v>-71.818181818181301</v>
      </c>
      <c r="AB9" s="249">
        <f t="shared" si="9"/>
        <v>0.95212121212121248</v>
      </c>
      <c r="AC9" s="511">
        <f>AB11</f>
        <v>0.9523214756258237</v>
      </c>
    </row>
    <row r="10" spans="1:29" ht="15.75" customHeight="1">
      <c r="A10" s="543" t="s">
        <v>1323</v>
      </c>
      <c r="B10" s="62" t="s">
        <v>10</v>
      </c>
      <c r="C10" s="539" t="s">
        <v>11</v>
      </c>
      <c r="D10" s="540"/>
      <c r="E10" s="62">
        <v>39.799999999999997</v>
      </c>
      <c r="F10" s="255">
        <v>5477</v>
      </c>
      <c r="G10" s="248">
        <f t="shared" si="11"/>
        <v>217984.59999999998</v>
      </c>
      <c r="H10" s="90" t="s">
        <v>5</v>
      </c>
      <c r="I10" s="253">
        <v>17</v>
      </c>
      <c r="J10" s="63">
        <v>1500</v>
      </c>
      <c r="K10" s="64">
        <f t="shared" si="1"/>
        <v>88.235294117647058</v>
      </c>
      <c r="L10" s="253">
        <v>17</v>
      </c>
      <c r="M10" s="65">
        <f t="shared" si="12"/>
        <v>1428.7826086956525</v>
      </c>
      <c r="N10" s="64">
        <f t="shared" si="3"/>
        <v>84.046035805626616</v>
      </c>
      <c r="O10" s="66">
        <f t="shared" si="4"/>
        <v>0</v>
      </c>
      <c r="P10" s="67">
        <f t="shared" si="5"/>
        <v>-4.1892583120204421</v>
      </c>
      <c r="Q10" s="249">
        <f t="shared" si="6"/>
        <v>0.95252173913043503</v>
      </c>
      <c r="R10" s="511"/>
      <c r="S10" s="68">
        <v>0.25972222222222219</v>
      </c>
      <c r="T10" s="68">
        <v>0.4194444444444444</v>
      </c>
      <c r="U10" s="248">
        <f t="shared" ref="U10" si="14">IF(S10=TIME(17,0,0),"",(S10-T9)*24*60)</f>
        <v>7.9999999999999716</v>
      </c>
      <c r="V10" s="254">
        <f t="shared" si="13"/>
        <v>229.99999999999997</v>
      </c>
      <c r="W10" s="69"/>
      <c r="X10" s="69"/>
      <c r="Y10" s="510"/>
      <c r="Z10" s="510"/>
      <c r="AA10" s="66">
        <f t="shared" si="8"/>
        <v>-71.21739130434753</v>
      </c>
      <c r="AB10" s="249">
        <f t="shared" si="9"/>
        <v>0.95252173913043503</v>
      </c>
      <c r="AC10" s="511"/>
    </row>
    <row r="11" spans="1:29" ht="16.5" customHeight="1">
      <c r="A11" s="543" t="s">
        <v>1323</v>
      </c>
      <c r="B11" s="62" t="s">
        <v>1322</v>
      </c>
      <c r="C11" s="513"/>
      <c r="D11" s="513"/>
      <c r="E11" s="250"/>
      <c r="F11" s="63"/>
      <c r="G11" s="65"/>
      <c r="H11" s="255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1428.4822134387355</v>
      </c>
      <c r="N11" s="64">
        <f t="shared" si="3"/>
        <v>77.215254780472193</v>
      </c>
      <c r="O11" s="66">
        <f t="shared" si="4"/>
        <v>0</v>
      </c>
      <c r="P11" s="67">
        <f t="shared" si="5"/>
        <v>-3.8658263006088873</v>
      </c>
      <c r="Q11" s="249">
        <f t="shared" si="6"/>
        <v>0.9523214756258237</v>
      </c>
      <c r="R11" s="511"/>
      <c r="S11" s="68"/>
      <c r="T11" s="68"/>
      <c r="U11" s="64"/>
      <c r="V11" s="254"/>
      <c r="W11" s="64"/>
      <c r="X11" s="64"/>
      <c r="Y11" s="510"/>
      <c r="Z11" s="510"/>
      <c r="AA11" s="66">
        <f t="shared" si="8"/>
        <v>-71.517786561264529</v>
      </c>
      <c r="AB11" s="249">
        <f t="shared" si="9"/>
        <v>0.9523214756258237</v>
      </c>
      <c r="AC11" s="511"/>
    </row>
    <row r="12" spans="1:29" ht="16.5" customHeight="1">
      <c r="A12" s="541" t="s">
        <v>1324</v>
      </c>
      <c r="B12" s="255" t="s">
        <v>13</v>
      </c>
      <c r="C12" s="533" t="s">
        <v>14</v>
      </c>
      <c r="D12" s="533"/>
      <c r="E12" s="62">
        <v>41</v>
      </c>
      <c r="F12" s="255">
        <v>2113</v>
      </c>
      <c r="G12" s="248">
        <f t="shared" ref="G12:G16" si="15">E12*F12</f>
        <v>86633</v>
      </c>
      <c r="H12" s="90" t="s">
        <v>5</v>
      </c>
      <c r="I12" s="253">
        <v>26</v>
      </c>
      <c r="J12" s="63">
        <v>1500</v>
      </c>
      <c r="K12" s="64">
        <f t="shared" si="1"/>
        <v>57.692307692307693</v>
      </c>
      <c r="L12" s="253">
        <v>26</v>
      </c>
      <c r="M12" s="65">
        <f t="shared" ref="M12:M16" si="16">F12/V12*60</f>
        <v>1440.6818181818182</v>
      </c>
      <c r="N12" s="64">
        <f t="shared" si="3"/>
        <v>55.41083916083916</v>
      </c>
      <c r="O12" s="66">
        <f t="shared" si="4"/>
        <v>0</v>
      </c>
      <c r="P12" s="67">
        <f t="shared" si="5"/>
        <v>-2.2814685314685335</v>
      </c>
      <c r="Q12" s="249">
        <f t="shared" si="6"/>
        <v>0.96045454545454545</v>
      </c>
      <c r="R12" s="511">
        <f>Q17</f>
        <v>0.95565110122837371</v>
      </c>
      <c r="S12" s="68">
        <v>0.125</v>
      </c>
      <c r="T12" s="68">
        <v>0.18611111111111112</v>
      </c>
      <c r="U12" s="248"/>
      <c r="V12" s="254">
        <f t="shared" ref="V12:V16" si="17">(T12-S12)*24*60</f>
        <v>88</v>
      </c>
      <c r="W12" s="69">
        <f>T12</f>
        <v>0.18611111111111112</v>
      </c>
      <c r="X12" s="69">
        <f>S13</f>
        <v>0.20625000000000002</v>
      </c>
      <c r="Y12" s="510"/>
      <c r="Z12" s="510"/>
      <c r="AA12" s="66">
        <f t="shared" si="8"/>
        <v>-59.318181818181756</v>
      </c>
      <c r="AB12" s="249">
        <f t="shared" si="9"/>
        <v>0.96045454545454545</v>
      </c>
      <c r="AC12" s="511">
        <f>AB17</f>
        <v>0.95565110122837371</v>
      </c>
    </row>
    <row r="13" spans="1:29" ht="16.5" customHeight="1">
      <c r="A13" s="542" t="s">
        <v>1324</v>
      </c>
      <c r="B13" s="255" t="s">
        <v>10</v>
      </c>
      <c r="C13" s="533" t="s">
        <v>15</v>
      </c>
      <c r="D13" s="533"/>
      <c r="E13" s="62">
        <v>39.619999999999997</v>
      </c>
      <c r="F13" s="255">
        <v>3594</v>
      </c>
      <c r="G13" s="248">
        <f t="shared" si="15"/>
        <v>142394.28</v>
      </c>
      <c r="H13" s="90" t="s">
        <v>5</v>
      </c>
      <c r="I13" s="253">
        <v>19</v>
      </c>
      <c r="J13" s="63">
        <v>1500</v>
      </c>
      <c r="K13" s="64">
        <f t="shared" si="1"/>
        <v>78.94736842105263</v>
      </c>
      <c r="L13" s="253">
        <v>19</v>
      </c>
      <c r="M13" s="65">
        <f t="shared" si="16"/>
        <v>1428.0794701986754</v>
      </c>
      <c r="N13" s="64">
        <f t="shared" si="3"/>
        <v>75.162077378877655</v>
      </c>
      <c r="O13" s="66">
        <f t="shared" si="4"/>
        <v>0</v>
      </c>
      <c r="P13" s="67">
        <f t="shared" si="5"/>
        <v>-3.7852910421749755</v>
      </c>
      <c r="Q13" s="249">
        <f t="shared" si="6"/>
        <v>0.95205298013245032</v>
      </c>
      <c r="R13" s="511"/>
      <c r="S13" s="68">
        <v>0.20625000000000002</v>
      </c>
      <c r="T13" s="68">
        <v>0.31111111111111112</v>
      </c>
      <c r="U13" s="248">
        <f t="shared" ref="U13:U16" si="18">IF(S13=TIME(17,0,0),"",(S13-T12)*24*60)</f>
        <v>29.000000000000018</v>
      </c>
      <c r="V13" s="254">
        <f t="shared" si="17"/>
        <v>151</v>
      </c>
      <c r="W13" s="69"/>
      <c r="X13" s="69"/>
      <c r="Y13" s="510"/>
      <c r="Z13" s="510"/>
      <c r="AA13" s="66">
        <f t="shared" si="8"/>
        <v>-71.920529801324619</v>
      </c>
      <c r="AB13" s="249">
        <f t="shared" si="9"/>
        <v>0.95205298013245021</v>
      </c>
      <c r="AC13" s="511"/>
    </row>
    <row r="14" spans="1:29" ht="16.5" customHeight="1">
      <c r="A14" s="542" t="s">
        <v>1324</v>
      </c>
      <c r="B14" s="255" t="s">
        <v>77</v>
      </c>
      <c r="C14" s="533" t="s">
        <v>76</v>
      </c>
      <c r="D14" s="533"/>
      <c r="E14" s="62">
        <v>57.3</v>
      </c>
      <c r="F14" s="255">
        <v>1003</v>
      </c>
      <c r="G14" s="248">
        <f t="shared" si="15"/>
        <v>57471.899999999994</v>
      </c>
      <c r="H14" s="90" t="s">
        <v>5</v>
      </c>
      <c r="I14" s="253">
        <v>17</v>
      </c>
      <c r="J14" s="63">
        <v>1500</v>
      </c>
      <c r="K14" s="64">
        <f t="shared" si="1"/>
        <v>88.235294117647058</v>
      </c>
      <c r="L14" s="253">
        <v>17</v>
      </c>
      <c r="M14" s="65">
        <f t="shared" si="16"/>
        <v>1432.8571428571424</v>
      </c>
      <c r="N14" s="64">
        <f t="shared" si="3"/>
        <v>84.285714285714263</v>
      </c>
      <c r="O14" s="66">
        <f t="shared" si="4"/>
        <v>0</v>
      </c>
      <c r="P14" s="67">
        <f t="shared" si="5"/>
        <v>-3.9495798319327946</v>
      </c>
      <c r="Q14" s="249">
        <f t="shared" si="6"/>
        <v>0.955238095238095</v>
      </c>
      <c r="R14" s="511"/>
      <c r="S14" s="68">
        <v>0.31527777777777777</v>
      </c>
      <c r="T14" s="68">
        <v>0.34444444444444444</v>
      </c>
      <c r="U14" s="248">
        <f t="shared" si="18"/>
        <v>5.9999999999999787</v>
      </c>
      <c r="V14" s="254">
        <f t="shared" si="17"/>
        <v>42.000000000000014</v>
      </c>
      <c r="W14" s="69"/>
      <c r="X14" s="69"/>
      <c r="Y14" s="510"/>
      <c r="Z14" s="510"/>
      <c r="AA14" s="66">
        <f t="shared" si="8"/>
        <v>-67.142857142857565</v>
      </c>
      <c r="AB14" s="249">
        <f t="shared" si="9"/>
        <v>0.955238095238095</v>
      </c>
      <c r="AC14" s="511"/>
    </row>
    <row r="15" spans="1:29" ht="16.5" customHeight="1">
      <c r="A15" s="542" t="s">
        <v>153</v>
      </c>
      <c r="B15" s="255" t="s">
        <v>6</v>
      </c>
      <c r="C15" s="533" t="s">
        <v>890</v>
      </c>
      <c r="D15" s="533"/>
      <c r="E15" s="62">
        <v>50.98</v>
      </c>
      <c r="F15" s="255">
        <v>3599</v>
      </c>
      <c r="G15" s="248">
        <f t="shared" si="15"/>
        <v>183477.02</v>
      </c>
      <c r="H15" s="90" t="s">
        <v>5</v>
      </c>
      <c r="I15" s="253">
        <v>16</v>
      </c>
      <c r="J15" s="63">
        <v>2000</v>
      </c>
      <c r="K15" s="64">
        <f t="shared" si="1"/>
        <v>125</v>
      </c>
      <c r="L15" s="253">
        <v>16</v>
      </c>
      <c r="M15" s="65">
        <f t="shared" si="16"/>
        <v>1910.973451327435</v>
      </c>
      <c r="N15" s="64">
        <f t="shared" si="3"/>
        <v>119.43584070796469</v>
      </c>
      <c r="O15" s="66">
        <f t="shared" si="4"/>
        <v>0</v>
      </c>
      <c r="P15" s="67">
        <f t="shared" si="5"/>
        <v>-5.5641592920353133</v>
      </c>
      <c r="Q15" s="249">
        <f t="shared" si="6"/>
        <v>0.95548672566371751</v>
      </c>
      <c r="R15" s="511"/>
      <c r="S15" s="68">
        <v>0.70833333333333337</v>
      </c>
      <c r="T15" s="68">
        <v>0.78680555555555554</v>
      </c>
      <c r="U15" s="248" t="str">
        <f t="shared" si="18"/>
        <v/>
      </c>
      <c r="V15" s="254">
        <f t="shared" si="17"/>
        <v>112.99999999999991</v>
      </c>
      <c r="W15" s="69"/>
      <c r="X15" s="69"/>
      <c r="Y15" s="510"/>
      <c r="Z15" s="510"/>
      <c r="AA15" s="66">
        <f t="shared" si="8"/>
        <v>-89.026548672565013</v>
      </c>
      <c r="AB15" s="249">
        <f t="shared" si="9"/>
        <v>0.95548672566371751</v>
      </c>
      <c r="AC15" s="511"/>
    </row>
    <row r="16" spans="1:29" ht="16.5" customHeight="1">
      <c r="A16" s="542" t="s">
        <v>1324</v>
      </c>
      <c r="B16" s="255" t="s">
        <v>6</v>
      </c>
      <c r="C16" s="533" t="s">
        <v>20</v>
      </c>
      <c r="D16" s="533"/>
      <c r="E16" s="62">
        <v>50.92</v>
      </c>
      <c r="F16" s="255">
        <v>3598</v>
      </c>
      <c r="G16" s="248">
        <f t="shared" si="15"/>
        <v>183210.16</v>
      </c>
      <c r="H16" s="90" t="s">
        <v>5</v>
      </c>
      <c r="I16" s="253">
        <v>15</v>
      </c>
      <c r="J16" s="63">
        <v>2000</v>
      </c>
      <c r="K16" s="64">
        <f t="shared" si="1"/>
        <v>133.33333333333334</v>
      </c>
      <c r="L16" s="253">
        <v>15</v>
      </c>
      <c r="M16" s="65">
        <f t="shared" si="16"/>
        <v>1910.4424778761047</v>
      </c>
      <c r="N16" s="64">
        <f t="shared" si="3"/>
        <v>127.36283185840698</v>
      </c>
      <c r="O16" s="66">
        <f t="shared" si="4"/>
        <v>0</v>
      </c>
      <c r="P16" s="67">
        <f t="shared" si="5"/>
        <v>-5.9705014749263654</v>
      </c>
      <c r="Q16" s="249">
        <f t="shared" si="6"/>
        <v>0.95522123893805222</v>
      </c>
      <c r="R16" s="511"/>
      <c r="S16" s="68">
        <v>0.79097222222222219</v>
      </c>
      <c r="T16" s="68">
        <v>0.86944444444444446</v>
      </c>
      <c r="U16" s="248">
        <f t="shared" si="18"/>
        <v>5.9999999999999787</v>
      </c>
      <c r="V16" s="254">
        <f t="shared" si="17"/>
        <v>113.00000000000009</v>
      </c>
      <c r="W16" s="69"/>
      <c r="X16" s="69"/>
      <c r="Y16" s="510"/>
      <c r="Z16" s="510"/>
      <c r="AA16" s="66">
        <f t="shared" si="8"/>
        <v>-89.557522123895296</v>
      </c>
      <c r="AB16" s="249">
        <f t="shared" si="9"/>
        <v>0.95522123893805233</v>
      </c>
      <c r="AC16" s="511"/>
    </row>
    <row r="17" spans="1:29" ht="16.5" customHeight="1">
      <c r="A17" s="542" t="s">
        <v>1324</v>
      </c>
      <c r="B17" s="62" t="s">
        <v>150</v>
      </c>
      <c r="C17" s="513"/>
      <c r="D17" s="513"/>
      <c r="E17" s="250"/>
      <c r="F17" s="71"/>
      <c r="G17" s="64"/>
      <c r="H17" s="255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1624.6068720882354</v>
      </c>
      <c r="N17" s="64">
        <f t="shared" si="3"/>
        <v>87.344455488614798</v>
      </c>
      <c r="O17" s="66">
        <f t="shared" si="4"/>
        <v>0</v>
      </c>
      <c r="P17" s="67">
        <f t="shared" si="5"/>
        <v>-4.0533939737507865</v>
      </c>
      <c r="Q17" s="249">
        <f t="shared" si="6"/>
        <v>0.95565110122837371</v>
      </c>
      <c r="R17" s="511"/>
      <c r="S17" s="68"/>
      <c r="T17" s="68"/>
      <c r="U17" s="248"/>
      <c r="V17" s="254"/>
      <c r="W17" s="64"/>
      <c r="X17" s="64"/>
      <c r="Y17" s="510"/>
      <c r="Z17" s="510"/>
      <c r="AA17" s="66">
        <f t="shared" si="8"/>
        <v>-75.393127911764623</v>
      </c>
      <c r="AB17" s="249">
        <f t="shared" si="9"/>
        <v>0.95565110122837371</v>
      </c>
      <c r="AC17" s="511"/>
    </row>
    <row r="18" spans="1:29" ht="15.75" customHeight="1">
      <c r="A18" s="537" t="s">
        <v>1325</v>
      </c>
      <c r="B18" s="62" t="s">
        <v>13</v>
      </c>
      <c r="C18" s="533" t="s">
        <v>21</v>
      </c>
      <c r="D18" s="533"/>
      <c r="E18" s="62">
        <v>43.14</v>
      </c>
      <c r="F18" s="255">
        <v>1123</v>
      </c>
      <c r="G18" s="248">
        <f t="shared" ref="G18:G25" si="19">E18*F18</f>
        <v>48446.22</v>
      </c>
      <c r="H18" s="90" t="s">
        <v>5</v>
      </c>
      <c r="I18" s="253">
        <v>17</v>
      </c>
      <c r="J18" s="63">
        <v>2000</v>
      </c>
      <c r="K18" s="64">
        <f t="shared" si="1"/>
        <v>117.64705882352941</v>
      </c>
      <c r="L18" s="253">
        <v>17</v>
      </c>
      <c r="M18" s="65">
        <f t="shared" ref="M18:M25" si="20">F18/V18*60</f>
        <v>1925.1428571428573</v>
      </c>
      <c r="N18" s="64">
        <f t="shared" si="3"/>
        <v>113.24369747899161</v>
      </c>
      <c r="O18" s="66">
        <f t="shared" si="4"/>
        <v>0</v>
      </c>
      <c r="P18" s="67">
        <f t="shared" si="5"/>
        <v>-4.4033613445377995</v>
      </c>
      <c r="Q18" s="249">
        <f t="shared" si="6"/>
        <v>0.96257142857142874</v>
      </c>
      <c r="R18" s="511">
        <f>Q26</f>
        <v>0.95981429542872765</v>
      </c>
      <c r="S18" s="68">
        <v>0.20833333333333334</v>
      </c>
      <c r="T18" s="68">
        <v>0.2326388888888889</v>
      </c>
      <c r="U18" s="248"/>
      <c r="V18" s="254">
        <f t="shared" ref="V18:V25" si="21">(T18-S18)*24*60</f>
        <v>34.999999999999993</v>
      </c>
      <c r="W18" s="73"/>
      <c r="X18" s="73"/>
      <c r="Y18" s="510"/>
      <c r="Z18" s="510"/>
      <c r="AA18" s="66">
        <f t="shared" si="8"/>
        <v>-74.857142857142662</v>
      </c>
      <c r="AB18" s="249">
        <f t="shared" si="9"/>
        <v>0.96257142857142863</v>
      </c>
      <c r="AC18" s="511">
        <f>AB26</f>
        <v>0.95981429542872765</v>
      </c>
    </row>
    <row r="19" spans="1:29" ht="15.75" customHeight="1">
      <c r="A19" s="538" t="s">
        <v>1325</v>
      </c>
      <c r="B19" s="62" t="s">
        <v>77</v>
      </c>
      <c r="C19" s="533" t="s">
        <v>980</v>
      </c>
      <c r="D19" s="533"/>
      <c r="E19" s="62">
        <v>49.9</v>
      </c>
      <c r="F19" s="255">
        <v>2446</v>
      </c>
      <c r="G19" s="248">
        <f t="shared" si="19"/>
        <v>122055.4</v>
      </c>
      <c r="H19" s="90" t="s">
        <v>5</v>
      </c>
      <c r="I19" s="253">
        <v>19</v>
      </c>
      <c r="J19" s="63">
        <v>2000</v>
      </c>
      <c r="K19" s="64">
        <f t="shared" si="1"/>
        <v>105.26315789473684</v>
      </c>
      <c r="L19" s="253">
        <v>19</v>
      </c>
      <c r="M19" s="65">
        <f t="shared" si="20"/>
        <v>1905.9740259740267</v>
      </c>
      <c r="N19" s="64">
        <f t="shared" si="3"/>
        <v>100.31442241968561</v>
      </c>
      <c r="O19" s="66">
        <f t="shared" si="4"/>
        <v>0</v>
      </c>
      <c r="P19" s="67">
        <f t="shared" si="5"/>
        <v>-4.9487354750512225</v>
      </c>
      <c r="Q19" s="249">
        <f t="shared" si="6"/>
        <v>0.95298701298701338</v>
      </c>
      <c r="R19" s="511"/>
      <c r="S19" s="68">
        <v>0.2361111111111111</v>
      </c>
      <c r="T19" s="68">
        <v>0.2895833333333333</v>
      </c>
      <c r="U19" s="248">
        <f t="shared" ref="U19:U25" si="22">IF(S19=TIME(17,0,0),"",(S19-T18)*24*60)</f>
        <v>4.9999999999999822</v>
      </c>
      <c r="V19" s="254">
        <f t="shared" si="21"/>
        <v>76.999999999999972</v>
      </c>
      <c r="W19" s="69"/>
      <c r="X19" s="248"/>
      <c r="Y19" s="510"/>
      <c r="Z19" s="510"/>
      <c r="AA19" s="66">
        <f t="shared" si="8"/>
        <v>-94.025974025973255</v>
      </c>
      <c r="AB19" s="249">
        <f t="shared" si="9"/>
        <v>0.95298701298701338</v>
      </c>
      <c r="AC19" s="511"/>
    </row>
    <row r="20" spans="1:29" ht="15.75" customHeight="1">
      <c r="A20" s="538" t="s">
        <v>1325</v>
      </c>
      <c r="B20" s="62" t="s">
        <v>6</v>
      </c>
      <c r="C20" s="533" t="s">
        <v>22</v>
      </c>
      <c r="D20" s="533"/>
      <c r="E20" s="62">
        <v>57.73</v>
      </c>
      <c r="F20" s="255">
        <v>2216</v>
      </c>
      <c r="G20" s="248">
        <f t="shared" si="19"/>
        <v>127929.68</v>
      </c>
      <c r="H20" s="90" t="s">
        <v>5</v>
      </c>
      <c r="I20" s="253">
        <v>14</v>
      </c>
      <c r="J20" s="63">
        <v>2000</v>
      </c>
      <c r="K20" s="64">
        <f t="shared" si="1"/>
        <v>142.85714285714286</v>
      </c>
      <c r="L20" s="253">
        <v>14</v>
      </c>
      <c r="M20" s="65">
        <f t="shared" si="20"/>
        <v>1926.9565217391305</v>
      </c>
      <c r="N20" s="64">
        <f t="shared" si="3"/>
        <v>137.63975155279505</v>
      </c>
      <c r="O20" s="66">
        <f t="shared" si="4"/>
        <v>0</v>
      </c>
      <c r="P20" s="67">
        <f t="shared" si="5"/>
        <v>-5.2173913043478137</v>
      </c>
      <c r="Q20" s="249">
        <f t="shared" si="6"/>
        <v>0.96347826086956534</v>
      </c>
      <c r="R20" s="511"/>
      <c r="S20" s="68">
        <v>0.29305555555555551</v>
      </c>
      <c r="T20" s="68">
        <v>0.34097222222222218</v>
      </c>
      <c r="U20" s="248">
        <f t="shared" si="22"/>
        <v>4.9999999999999822</v>
      </c>
      <c r="V20" s="254">
        <f t="shared" si="21"/>
        <v>69</v>
      </c>
      <c r="W20" s="69"/>
      <c r="X20" s="248"/>
      <c r="Y20" s="510"/>
      <c r="Z20" s="510"/>
      <c r="AA20" s="66">
        <f t="shared" si="8"/>
        <v>-73.043478260869506</v>
      </c>
      <c r="AB20" s="249">
        <f t="shared" si="9"/>
        <v>0.96347826086956523</v>
      </c>
      <c r="AC20" s="511"/>
    </row>
    <row r="21" spans="1:29" ht="15.75" customHeight="1">
      <c r="A21" s="538" t="s">
        <v>1325</v>
      </c>
      <c r="B21" s="62" t="s">
        <v>6</v>
      </c>
      <c r="C21" s="533" t="s">
        <v>23</v>
      </c>
      <c r="D21" s="533"/>
      <c r="E21" s="62">
        <v>53.68</v>
      </c>
      <c r="F21" s="255">
        <v>1410</v>
      </c>
      <c r="G21" s="248">
        <f t="shared" si="19"/>
        <v>75688.800000000003</v>
      </c>
      <c r="H21" s="90" t="s">
        <v>5</v>
      </c>
      <c r="I21" s="253">
        <v>16</v>
      </c>
      <c r="J21" s="63">
        <v>2000</v>
      </c>
      <c r="K21" s="64">
        <f t="shared" si="1"/>
        <v>125</v>
      </c>
      <c r="L21" s="253">
        <v>16</v>
      </c>
      <c r="M21" s="65">
        <f t="shared" si="20"/>
        <v>1922.7272727272727</v>
      </c>
      <c r="N21" s="64">
        <f t="shared" si="3"/>
        <v>120.17045454545455</v>
      </c>
      <c r="O21" s="66">
        <f t="shared" si="4"/>
        <v>0</v>
      </c>
      <c r="P21" s="67">
        <f t="shared" si="5"/>
        <v>-4.8295454545454533</v>
      </c>
      <c r="Q21" s="249">
        <f t="shared" si="6"/>
        <v>0.96136363636363642</v>
      </c>
      <c r="R21" s="511"/>
      <c r="S21" s="68">
        <v>0.34444444444444439</v>
      </c>
      <c r="T21" s="68">
        <v>0.37499999999999994</v>
      </c>
      <c r="U21" s="248">
        <f t="shared" si="22"/>
        <v>4.9999999999999822</v>
      </c>
      <c r="V21" s="254">
        <f t="shared" si="21"/>
        <v>44</v>
      </c>
      <c r="W21" s="69"/>
      <c r="X21" s="248"/>
      <c r="Y21" s="510"/>
      <c r="Z21" s="510"/>
      <c r="AA21" s="66">
        <f t="shared" si="8"/>
        <v>-77.272727272727252</v>
      </c>
      <c r="AB21" s="249">
        <f t="shared" si="9"/>
        <v>0.96136363636363642</v>
      </c>
      <c r="AC21" s="511"/>
    </row>
    <row r="22" spans="1:29" ht="15.75" customHeight="1">
      <c r="A22" s="538" t="s">
        <v>1325</v>
      </c>
      <c r="B22" s="62" t="s">
        <v>6</v>
      </c>
      <c r="C22" s="533" t="s">
        <v>971</v>
      </c>
      <c r="D22" s="533"/>
      <c r="E22" s="62">
        <v>49.91</v>
      </c>
      <c r="F22" s="255">
        <v>2363</v>
      </c>
      <c r="G22" s="248">
        <f t="shared" si="19"/>
        <v>117937.32999999999</v>
      </c>
      <c r="H22" s="90" t="s">
        <v>5</v>
      </c>
      <c r="I22" s="253">
        <v>19</v>
      </c>
      <c r="J22" s="63">
        <v>2000</v>
      </c>
      <c r="K22" s="64">
        <f t="shared" si="1"/>
        <v>105.26315789473684</v>
      </c>
      <c r="L22" s="253">
        <v>19</v>
      </c>
      <c r="M22" s="65">
        <f t="shared" si="20"/>
        <v>1915.9459459459467</v>
      </c>
      <c r="N22" s="64">
        <f t="shared" si="3"/>
        <v>100.83926031294456</v>
      </c>
      <c r="O22" s="66">
        <f t="shared" si="4"/>
        <v>0</v>
      </c>
      <c r="P22" s="67">
        <f t="shared" si="5"/>
        <v>-4.423897581792275</v>
      </c>
      <c r="Q22" s="249">
        <f t="shared" si="6"/>
        <v>0.95797297297297335</v>
      </c>
      <c r="R22" s="511"/>
      <c r="S22" s="68">
        <v>0.37986111111111104</v>
      </c>
      <c r="T22" s="68">
        <v>0.43124999999999991</v>
      </c>
      <c r="U22" s="248">
        <f t="shared" si="22"/>
        <v>6.9999999999999751</v>
      </c>
      <c r="V22" s="254">
        <f t="shared" si="21"/>
        <v>73.999999999999972</v>
      </c>
      <c r="W22" s="69"/>
      <c r="X22" s="248"/>
      <c r="Y22" s="510"/>
      <c r="Z22" s="510"/>
      <c r="AA22" s="66">
        <f t="shared" si="8"/>
        <v>-84.054054054053267</v>
      </c>
      <c r="AB22" s="249">
        <f t="shared" si="9"/>
        <v>0.95797297297297335</v>
      </c>
      <c r="AC22" s="511"/>
    </row>
    <row r="23" spans="1:29" ht="15.75" customHeight="1">
      <c r="A23" s="538" t="s">
        <v>1325</v>
      </c>
      <c r="B23" s="62" t="s">
        <v>6</v>
      </c>
      <c r="C23" s="533" t="s">
        <v>24</v>
      </c>
      <c r="D23" s="533"/>
      <c r="E23" s="62">
        <v>54.09</v>
      </c>
      <c r="F23" s="255">
        <v>2266</v>
      </c>
      <c r="G23" s="248">
        <f t="shared" si="19"/>
        <v>122567.94</v>
      </c>
      <c r="H23" s="90" t="s">
        <v>5</v>
      </c>
      <c r="I23" s="253">
        <v>19</v>
      </c>
      <c r="J23" s="63">
        <v>2000</v>
      </c>
      <c r="K23" s="64">
        <f t="shared" si="1"/>
        <v>105.26315789473684</v>
      </c>
      <c r="L23" s="253">
        <v>19</v>
      </c>
      <c r="M23" s="65">
        <f t="shared" si="20"/>
        <v>1914.9295774647869</v>
      </c>
      <c r="N23" s="64">
        <f t="shared" si="3"/>
        <v>100.78576723498878</v>
      </c>
      <c r="O23" s="66">
        <f t="shared" si="4"/>
        <v>0</v>
      </c>
      <c r="P23" s="67">
        <f t="shared" si="5"/>
        <v>-4.4773906597480533</v>
      </c>
      <c r="Q23" s="249">
        <f t="shared" si="6"/>
        <v>0.95746478873239349</v>
      </c>
      <c r="R23" s="511"/>
      <c r="S23" s="68">
        <v>0.70833333333333337</v>
      </c>
      <c r="T23" s="68">
        <v>0.75763888888888897</v>
      </c>
      <c r="U23" s="248" t="str">
        <f t="shared" si="22"/>
        <v/>
      </c>
      <c r="V23" s="254">
        <f t="shared" si="21"/>
        <v>71.000000000000071</v>
      </c>
      <c r="W23" s="69"/>
      <c r="X23" s="73"/>
      <c r="Y23" s="510"/>
      <c r="Z23" s="510"/>
      <c r="AA23" s="66">
        <f t="shared" si="8"/>
        <v>-85.070422535213083</v>
      </c>
      <c r="AB23" s="249">
        <f t="shared" si="9"/>
        <v>0.95746478873239349</v>
      </c>
      <c r="AC23" s="511"/>
    </row>
    <row r="24" spans="1:29" ht="15.75" customHeight="1">
      <c r="A24" s="538" t="s">
        <v>1325</v>
      </c>
      <c r="B24" s="62" t="s">
        <v>6</v>
      </c>
      <c r="C24" s="533" t="s">
        <v>81</v>
      </c>
      <c r="D24" s="533"/>
      <c r="E24" s="62">
        <v>50.67</v>
      </c>
      <c r="F24" s="255">
        <v>2188</v>
      </c>
      <c r="G24" s="248">
        <f t="shared" si="19"/>
        <v>110865.96</v>
      </c>
      <c r="H24" s="90" t="s">
        <v>5</v>
      </c>
      <c r="I24" s="253">
        <v>15</v>
      </c>
      <c r="J24" s="63">
        <v>2000</v>
      </c>
      <c r="K24" s="64">
        <f t="shared" si="1"/>
        <v>133.33333333333334</v>
      </c>
      <c r="L24" s="253">
        <v>15</v>
      </c>
      <c r="M24" s="65">
        <f t="shared" si="20"/>
        <v>1930.5882352941153</v>
      </c>
      <c r="N24" s="64">
        <f t="shared" si="3"/>
        <v>128.70588235294102</v>
      </c>
      <c r="O24" s="66">
        <f t="shared" si="4"/>
        <v>0</v>
      </c>
      <c r="P24" s="67">
        <f t="shared" si="5"/>
        <v>-4.6274509803923252</v>
      </c>
      <c r="Q24" s="249">
        <f t="shared" si="6"/>
        <v>0.96529411764705753</v>
      </c>
      <c r="R24" s="511"/>
      <c r="S24" s="68">
        <v>0.76180555555555562</v>
      </c>
      <c r="T24" s="68">
        <v>0.8090277777777779</v>
      </c>
      <c r="U24" s="248">
        <f t="shared" si="22"/>
        <v>5.9999999999999787</v>
      </c>
      <c r="V24" s="254">
        <f t="shared" si="21"/>
        <v>68.000000000000085</v>
      </c>
      <c r="W24" s="69"/>
      <c r="X24" s="73"/>
      <c r="Y24" s="517"/>
      <c r="Z24" s="518"/>
      <c r="AA24" s="66">
        <f t="shared" si="8"/>
        <v>-69.411764705884707</v>
      </c>
      <c r="AB24" s="249">
        <f t="shared" si="9"/>
        <v>0.96529411764705764</v>
      </c>
      <c r="AC24" s="511"/>
    </row>
    <row r="25" spans="1:29" ht="15.75" customHeight="1">
      <c r="A25" s="538" t="s">
        <v>1325</v>
      </c>
      <c r="B25" s="62" t="s">
        <v>6</v>
      </c>
      <c r="C25" s="534" t="s">
        <v>82</v>
      </c>
      <c r="D25" s="535"/>
      <c r="E25" s="62">
        <v>57.73</v>
      </c>
      <c r="F25" s="255">
        <v>1674</v>
      </c>
      <c r="G25" s="248">
        <f t="shared" si="19"/>
        <v>96640.01999999999</v>
      </c>
      <c r="H25" s="90" t="s">
        <v>5</v>
      </c>
      <c r="I25" s="253">
        <v>16</v>
      </c>
      <c r="J25" s="63">
        <v>1500</v>
      </c>
      <c r="K25" s="64">
        <f t="shared" si="1"/>
        <v>93.75</v>
      </c>
      <c r="L25" s="253">
        <v>16</v>
      </c>
      <c r="M25" s="65">
        <f t="shared" si="20"/>
        <v>1434.8571428571413</v>
      </c>
      <c r="N25" s="64">
        <f t="shared" si="3"/>
        <v>89.678571428571331</v>
      </c>
      <c r="O25" s="66">
        <f t="shared" si="4"/>
        <v>0</v>
      </c>
      <c r="P25" s="67">
        <f t="shared" si="5"/>
        <v>-4.0714285714286689</v>
      </c>
      <c r="Q25" s="249">
        <f t="shared" si="6"/>
        <v>0.95657142857142752</v>
      </c>
      <c r="R25" s="511"/>
      <c r="S25" s="68">
        <v>0.81250000000000011</v>
      </c>
      <c r="T25" s="68">
        <v>0.86111111111111127</v>
      </c>
      <c r="U25" s="248">
        <f t="shared" si="22"/>
        <v>4.9999999999999822</v>
      </c>
      <c r="V25" s="254">
        <f t="shared" si="21"/>
        <v>70.000000000000071</v>
      </c>
      <c r="W25" s="69"/>
      <c r="X25" s="69"/>
      <c r="Y25" s="517"/>
      <c r="Z25" s="518"/>
      <c r="AA25" s="66">
        <f t="shared" si="8"/>
        <v>-65.142857142858702</v>
      </c>
      <c r="AB25" s="249">
        <f t="shared" si="9"/>
        <v>0.95657142857142752</v>
      </c>
      <c r="AC25" s="511"/>
    </row>
    <row r="26" spans="1:29" ht="15.75" customHeight="1">
      <c r="A26" s="538" t="s">
        <v>156</v>
      </c>
      <c r="B26" s="62" t="s">
        <v>1322</v>
      </c>
      <c r="C26" s="513"/>
      <c r="D26" s="513"/>
      <c r="E26" s="250"/>
      <c r="F26" s="255"/>
      <c r="G26" s="248"/>
      <c r="H26" s="255"/>
      <c r="I26" s="72">
        <v>16.875</v>
      </c>
      <c r="J26" s="63">
        <v>1937.5</v>
      </c>
      <c r="K26" s="64">
        <f t="shared" si="1"/>
        <v>114.81481481481481</v>
      </c>
      <c r="L26" s="72">
        <v>16.875</v>
      </c>
      <c r="M26" s="65">
        <f>AVERAGE(M18:M25)</f>
        <v>1859.6401973931597</v>
      </c>
      <c r="N26" s="64">
        <f t="shared" si="3"/>
        <v>110.20090058626131</v>
      </c>
      <c r="O26" s="66">
        <f t="shared" si="4"/>
        <v>0</v>
      </c>
      <c r="P26" s="67">
        <f t="shared" si="5"/>
        <v>-4.6139142285534973</v>
      </c>
      <c r="Q26" s="249">
        <f t="shared" si="6"/>
        <v>0.95981429542872765</v>
      </c>
      <c r="R26" s="511"/>
      <c r="S26" s="68"/>
      <c r="T26" s="68"/>
      <c r="U26" s="64"/>
      <c r="V26" s="254"/>
      <c r="W26" s="64"/>
      <c r="X26" s="64"/>
      <c r="Y26" s="510"/>
      <c r="Z26" s="510"/>
      <c r="AA26" s="66">
        <f t="shared" si="8"/>
        <v>-77.859802606840276</v>
      </c>
      <c r="AB26" s="249">
        <f t="shared" si="9"/>
        <v>0.95981429542872765</v>
      </c>
      <c r="AC26" s="511"/>
    </row>
    <row r="27" spans="1:29" ht="15.75" customHeight="1">
      <c r="A27" s="536" t="s">
        <v>159</v>
      </c>
      <c r="B27" s="62" t="s">
        <v>16</v>
      </c>
      <c r="C27" s="533" t="s">
        <v>30</v>
      </c>
      <c r="D27" s="533"/>
      <c r="E27" s="62">
        <v>31.29</v>
      </c>
      <c r="F27" s="255">
        <v>3500</v>
      </c>
      <c r="G27" s="248">
        <f t="shared" ref="G27:G33" si="23">E27*F27</f>
        <v>109515</v>
      </c>
      <c r="H27" s="90">
        <v>2</v>
      </c>
      <c r="I27" s="253">
        <v>18</v>
      </c>
      <c r="J27" s="63">
        <v>2400</v>
      </c>
      <c r="K27" s="64">
        <f t="shared" si="1"/>
        <v>133.33333333333334</v>
      </c>
      <c r="L27" s="253">
        <v>18</v>
      </c>
      <c r="M27" s="65">
        <f t="shared" ref="M27:M33" si="24">F27/V27*60</f>
        <v>2282.608695652174</v>
      </c>
      <c r="N27" s="64">
        <f t="shared" si="3"/>
        <v>126.81159420289856</v>
      </c>
      <c r="O27" s="66">
        <f t="shared" si="4"/>
        <v>0</v>
      </c>
      <c r="P27" s="67">
        <f t="shared" si="5"/>
        <v>-6.5217391304347814</v>
      </c>
      <c r="Q27" s="249">
        <f t="shared" si="6"/>
        <v>0.95108695652173914</v>
      </c>
      <c r="R27" s="511">
        <f>Q34</f>
        <v>0.95704740716235759</v>
      </c>
      <c r="S27" s="68">
        <v>8.3333333333333329E-2</v>
      </c>
      <c r="T27" s="68">
        <v>0.14722222222222223</v>
      </c>
      <c r="U27" s="248"/>
      <c r="V27" s="254">
        <f t="shared" ref="V27:V33" si="25">(T27-S27)*24*60</f>
        <v>92.000000000000014</v>
      </c>
      <c r="W27" s="69">
        <f>T27</f>
        <v>0.14722222222222223</v>
      </c>
      <c r="X27" s="69">
        <f>S28</f>
        <v>0.16527777777777777</v>
      </c>
      <c r="Y27" s="510"/>
      <c r="Z27" s="510"/>
      <c r="AA27" s="66">
        <f t="shared" si="8"/>
        <v>-117.39130434782601</v>
      </c>
      <c r="AB27" s="249">
        <f t="shared" si="9"/>
        <v>0.95108695652173914</v>
      </c>
      <c r="AC27" s="511">
        <f>AB34</f>
        <v>0.95704740716235748</v>
      </c>
    </row>
    <row r="28" spans="1:29" ht="15.75" customHeight="1">
      <c r="A28" s="536" t="s">
        <v>159</v>
      </c>
      <c r="B28" s="62" t="s">
        <v>16</v>
      </c>
      <c r="C28" s="533" t="s">
        <v>28</v>
      </c>
      <c r="D28" s="533"/>
      <c r="E28" s="62">
        <v>26.18</v>
      </c>
      <c r="F28" s="255">
        <v>2524</v>
      </c>
      <c r="G28" s="248">
        <f t="shared" si="23"/>
        <v>66078.319999999992</v>
      </c>
      <c r="H28" s="90" t="s">
        <v>5</v>
      </c>
      <c r="I28" s="253">
        <v>19</v>
      </c>
      <c r="J28" s="63">
        <v>2400</v>
      </c>
      <c r="K28" s="64">
        <f t="shared" si="1"/>
        <v>126.31578947368421</v>
      </c>
      <c r="L28" s="253">
        <v>19</v>
      </c>
      <c r="M28" s="65">
        <f t="shared" si="24"/>
        <v>2294.5454545454545</v>
      </c>
      <c r="N28" s="64">
        <f t="shared" si="3"/>
        <v>120.76555023923444</v>
      </c>
      <c r="O28" s="66">
        <f t="shared" si="4"/>
        <v>0</v>
      </c>
      <c r="P28" s="67">
        <f t="shared" si="5"/>
        <v>-5.5502392344497622</v>
      </c>
      <c r="Q28" s="249">
        <f t="shared" si="6"/>
        <v>0.95606060606060606</v>
      </c>
      <c r="R28" s="511"/>
      <c r="S28" s="68">
        <v>0.16527777777777777</v>
      </c>
      <c r="T28" s="68">
        <v>0.21111111111111111</v>
      </c>
      <c r="U28" s="248">
        <f t="shared" ref="U28:U33" si="26">(S28-T27)*24*60</f>
        <v>25.999999999999986</v>
      </c>
      <c r="V28" s="254">
        <f t="shared" si="25"/>
        <v>66</v>
      </c>
      <c r="W28" s="69"/>
      <c r="X28" s="69"/>
      <c r="Y28" s="510"/>
      <c r="Z28" s="510"/>
      <c r="AA28" s="66">
        <f t="shared" si="8"/>
        <v>-105.4545454545455</v>
      </c>
      <c r="AB28" s="249">
        <f t="shared" si="9"/>
        <v>0.95606060606060606</v>
      </c>
      <c r="AC28" s="511"/>
    </row>
    <row r="29" spans="1:29" ht="15.75" customHeight="1">
      <c r="A29" s="536" t="s">
        <v>159</v>
      </c>
      <c r="B29" s="62" t="s">
        <v>16</v>
      </c>
      <c r="C29" s="533" t="s">
        <v>25</v>
      </c>
      <c r="D29" s="533"/>
      <c r="E29" s="62">
        <v>26.2</v>
      </c>
      <c r="F29" s="255">
        <v>4160</v>
      </c>
      <c r="G29" s="248">
        <f t="shared" si="23"/>
        <v>108992</v>
      </c>
      <c r="H29" s="90" t="s">
        <v>5</v>
      </c>
      <c r="I29" s="253">
        <v>20</v>
      </c>
      <c r="J29" s="63">
        <v>2400</v>
      </c>
      <c r="K29" s="64">
        <f t="shared" si="1"/>
        <v>120</v>
      </c>
      <c r="L29" s="253">
        <v>20</v>
      </c>
      <c r="M29" s="65">
        <f t="shared" si="24"/>
        <v>2289.9082568807348</v>
      </c>
      <c r="N29" s="64">
        <f t="shared" si="3"/>
        <v>114.49541284403674</v>
      </c>
      <c r="O29" s="66">
        <f t="shared" si="4"/>
        <v>0</v>
      </c>
      <c r="P29" s="67">
        <f t="shared" si="5"/>
        <v>-5.5045871559632644</v>
      </c>
      <c r="Q29" s="249">
        <f t="shared" si="6"/>
        <v>0.95412844036697275</v>
      </c>
      <c r="R29" s="511"/>
      <c r="S29" s="68">
        <v>0.21458333333333332</v>
      </c>
      <c r="T29" s="68">
        <v>0.29027777777777775</v>
      </c>
      <c r="U29" s="248">
        <f t="shared" si="26"/>
        <v>4.9999999999999822</v>
      </c>
      <c r="V29" s="254">
        <f t="shared" si="25"/>
        <v>108.99999999999997</v>
      </c>
      <c r="W29" s="69"/>
      <c r="X29" s="69"/>
      <c r="Y29" s="510"/>
      <c r="Z29" s="510"/>
      <c r="AA29" s="66">
        <f t="shared" si="8"/>
        <v>-110.09174311926517</v>
      </c>
      <c r="AB29" s="249">
        <f t="shared" si="9"/>
        <v>0.95412844036697286</v>
      </c>
      <c r="AC29" s="511"/>
    </row>
    <row r="30" spans="1:29" ht="15.75" customHeight="1">
      <c r="A30" s="536" t="s">
        <v>1326</v>
      </c>
      <c r="B30" s="62" t="s">
        <v>16</v>
      </c>
      <c r="C30" s="533" t="s">
        <v>83</v>
      </c>
      <c r="D30" s="533"/>
      <c r="E30" s="62">
        <v>25.99</v>
      </c>
      <c r="F30" s="255">
        <v>4613</v>
      </c>
      <c r="G30" s="248">
        <f t="shared" si="23"/>
        <v>119891.87</v>
      </c>
      <c r="H30" s="90" t="s">
        <v>5</v>
      </c>
      <c r="I30" s="253">
        <v>14</v>
      </c>
      <c r="J30" s="63">
        <v>2400</v>
      </c>
      <c r="K30" s="64">
        <f t="shared" si="1"/>
        <v>171.42857142857142</v>
      </c>
      <c r="L30" s="253">
        <v>14</v>
      </c>
      <c r="M30" s="65">
        <f t="shared" si="24"/>
        <v>2287.4380165289263</v>
      </c>
      <c r="N30" s="64">
        <f t="shared" si="3"/>
        <v>163.38842975206617</v>
      </c>
      <c r="O30" s="66">
        <f t="shared" si="4"/>
        <v>0</v>
      </c>
      <c r="P30" s="67">
        <f t="shared" si="5"/>
        <v>-8.0401416765052431</v>
      </c>
      <c r="Q30" s="249">
        <f t="shared" si="6"/>
        <v>0.95309917355371943</v>
      </c>
      <c r="R30" s="511"/>
      <c r="S30" s="68">
        <v>0.2944444444444444</v>
      </c>
      <c r="T30" s="68">
        <v>0.37847222222222215</v>
      </c>
      <c r="U30" s="248">
        <f t="shared" si="26"/>
        <v>5.9999999999999787</v>
      </c>
      <c r="V30" s="254">
        <f t="shared" si="25"/>
        <v>120.99999999999997</v>
      </c>
      <c r="W30" s="69"/>
      <c r="X30" s="69"/>
      <c r="Y30" s="510"/>
      <c r="Z30" s="510"/>
      <c r="AA30" s="66">
        <f t="shared" si="8"/>
        <v>-112.56198347107375</v>
      </c>
      <c r="AB30" s="249">
        <f t="shared" si="9"/>
        <v>0.95309917355371931</v>
      </c>
      <c r="AC30" s="511"/>
    </row>
    <row r="31" spans="1:29" ht="15.75" customHeight="1">
      <c r="A31" s="536" t="s">
        <v>159</v>
      </c>
      <c r="B31" s="62" t="s">
        <v>16</v>
      </c>
      <c r="C31" s="533" t="s">
        <v>27</v>
      </c>
      <c r="D31" s="533"/>
      <c r="E31" s="62">
        <v>25.98</v>
      </c>
      <c r="F31" s="255">
        <v>856</v>
      </c>
      <c r="G31" s="248">
        <f t="shared" si="23"/>
        <v>22238.880000000001</v>
      </c>
      <c r="H31" s="90" t="s">
        <v>5</v>
      </c>
      <c r="I31" s="253">
        <v>17</v>
      </c>
      <c r="J31" s="63">
        <v>2400</v>
      </c>
      <c r="K31" s="64">
        <f t="shared" si="1"/>
        <v>141.1764705882353</v>
      </c>
      <c r="L31" s="253">
        <v>17</v>
      </c>
      <c r="M31" s="65">
        <f t="shared" si="24"/>
        <v>2334.5454545454545</v>
      </c>
      <c r="N31" s="64">
        <f t="shared" si="3"/>
        <v>137.32620320855614</v>
      </c>
      <c r="O31" s="66">
        <f t="shared" si="4"/>
        <v>0</v>
      </c>
      <c r="P31" s="67">
        <f t="shared" si="5"/>
        <v>-3.8502673796791669</v>
      </c>
      <c r="Q31" s="249">
        <f t="shared" si="6"/>
        <v>0.97272727272727255</v>
      </c>
      <c r="R31" s="511"/>
      <c r="S31" s="68">
        <v>0.38194444444444436</v>
      </c>
      <c r="T31" s="68">
        <v>0.39722222222222214</v>
      </c>
      <c r="U31" s="248">
        <f t="shared" si="26"/>
        <v>4.9999999999999822</v>
      </c>
      <c r="V31" s="254">
        <f t="shared" si="25"/>
        <v>22</v>
      </c>
      <c r="W31" s="69"/>
      <c r="X31" s="69"/>
      <c r="Y31" s="510"/>
      <c r="Z31" s="510"/>
      <c r="AA31" s="66">
        <f t="shared" si="8"/>
        <v>-65.454545454545496</v>
      </c>
      <c r="AB31" s="249">
        <f t="shared" si="9"/>
        <v>0.97272727272727266</v>
      </c>
      <c r="AC31" s="511"/>
    </row>
    <row r="32" spans="1:29" ht="15.75" customHeight="1">
      <c r="A32" s="536" t="s">
        <v>159</v>
      </c>
      <c r="B32" s="62" t="s">
        <v>16</v>
      </c>
      <c r="C32" s="533" t="s">
        <v>982</v>
      </c>
      <c r="D32" s="533"/>
      <c r="E32" s="62">
        <v>25.98</v>
      </c>
      <c r="F32" s="255">
        <v>6753</v>
      </c>
      <c r="G32" s="248">
        <f t="shared" si="23"/>
        <v>175442.94</v>
      </c>
      <c r="H32" s="90" t="s">
        <v>5</v>
      </c>
      <c r="I32" s="253">
        <v>21</v>
      </c>
      <c r="J32" s="63">
        <v>2400</v>
      </c>
      <c r="K32" s="64">
        <f t="shared" si="1"/>
        <v>114.28571428571429</v>
      </c>
      <c r="L32" s="253">
        <v>21</v>
      </c>
      <c r="M32" s="65">
        <f t="shared" si="24"/>
        <v>2289.1525423728813</v>
      </c>
      <c r="N32" s="64">
        <f t="shared" si="3"/>
        <v>109.00726392251815</v>
      </c>
      <c r="O32" s="66">
        <f t="shared" si="4"/>
        <v>0</v>
      </c>
      <c r="P32" s="67">
        <f t="shared" si="5"/>
        <v>-5.2784503631961428</v>
      </c>
      <c r="Q32" s="249">
        <f t="shared" si="6"/>
        <v>0.95381355932203371</v>
      </c>
      <c r="R32" s="511"/>
      <c r="S32" s="68">
        <v>0.4013888888888888</v>
      </c>
      <c r="T32" s="68">
        <v>0.52430555555555547</v>
      </c>
      <c r="U32" s="248">
        <f t="shared" si="26"/>
        <v>5.9999999999999787</v>
      </c>
      <c r="V32" s="254">
        <f t="shared" si="25"/>
        <v>177</v>
      </c>
      <c r="W32" s="69">
        <f>T32</f>
        <v>0.52430555555555547</v>
      </c>
      <c r="X32" s="69">
        <f>S33</f>
        <v>0.56527777777777766</v>
      </c>
      <c r="Y32" s="510"/>
      <c r="Z32" s="510"/>
      <c r="AA32" s="66">
        <f t="shared" si="8"/>
        <v>-110.84745762711873</v>
      </c>
      <c r="AB32" s="249">
        <f t="shared" si="9"/>
        <v>0.95381355932203382</v>
      </c>
      <c r="AC32" s="511"/>
    </row>
    <row r="33" spans="1:29" ht="15.75" customHeight="1">
      <c r="A33" s="536" t="s">
        <v>1326</v>
      </c>
      <c r="B33" s="62" t="s">
        <v>16</v>
      </c>
      <c r="C33" s="533" t="s">
        <v>30</v>
      </c>
      <c r="D33" s="533"/>
      <c r="E33" s="62">
        <v>31.29</v>
      </c>
      <c r="F33" s="255">
        <v>3872</v>
      </c>
      <c r="G33" s="248">
        <f t="shared" si="23"/>
        <v>121154.87999999999</v>
      </c>
      <c r="H33" s="90" t="s">
        <v>5</v>
      </c>
      <c r="I33" s="253">
        <v>18</v>
      </c>
      <c r="J33" s="63">
        <v>2400</v>
      </c>
      <c r="K33" s="64">
        <f t="shared" si="1"/>
        <v>133.33333333333334</v>
      </c>
      <c r="L33" s="253">
        <v>18</v>
      </c>
      <c r="M33" s="65">
        <f t="shared" si="24"/>
        <v>2300.198019801981</v>
      </c>
      <c r="N33" s="64">
        <f t="shared" si="3"/>
        <v>127.78877887788784</v>
      </c>
      <c r="O33" s="66">
        <f t="shared" si="4"/>
        <v>0</v>
      </c>
      <c r="P33" s="67">
        <f t="shared" si="5"/>
        <v>-5.5445544554455068</v>
      </c>
      <c r="Q33" s="249">
        <f t="shared" si="6"/>
        <v>0.95841584158415871</v>
      </c>
      <c r="R33" s="511"/>
      <c r="S33" s="68">
        <v>0.56527777777777766</v>
      </c>
      <c r="T33" s="68">
        <v>0.63541666666666652</v>
      </c>
      <c r="U33" s="248">
        <f t="shared" si="26"/>
        <v>58.99999999999995</v>
      </c>
      <c r="V33" s="254">
        <f t="shared" si="25"/>
        <v>100.99999999999996</v>
      </c>
      <c r="W33" s="69"/>
      <c r="X33" s="69"/>
      <c r="Y33" s="510"/>
      <c r="Z33" s="510"/>
      <c r="AA33" s="66">
        <f t="shared" si="8"/>
        <v>-99.80198019801901</v>
      </c>
      <c r="AB33" s="249">
        <f t="shared" si="9"/>
        <v>0.95841584158415871</v>
      </c>
      <c r="AC33" s="511"/>
    </row>
    <row r="34" spans="1:29" ht="15.75" customHeight="1">
      <c r="A34" s="536" t="s">
        <v>1326</v>
      </c>
      <c r="B34" s="62" t="s">
        <v>1322</v>
      </c>
      <c r="C34" s="513"/>
      <c r="D34" s="513"/>
      <c r="E34" s="250"/>
      <c r="F34" s="255"/>
      <c r="G34" s="248"/>
      <c r="H34" s="255"/>
      <c r="I34" s="72">
        <v>18.142857142857142</v>
      </c>
      <c r="J34" s="63">
        <v>2400</v>
      </c>
      <c r="K34" s="64">
        <f t="shared" si="1"/>
        <v>132.28346456692913</v>
      </c>
      <c r="L34" s="72">
        <v>18.142857142857142</v>
      </c>
      <c r="M34" s="65">
        <f>AVERAGE(M27:M33)</f>
        <v>2296.913777189658</v>
      </c>
      <c r="N34" s="64">
        <f t="shared" si="3"/>
        <v>126.60154677423313</v>
      </c>
      <c r="O34" s="66">
        <f t="shared" si="4"/>
        <v>0</v>
      </c>
      <c r="P34" s="67">
        <f t="shared" si="5"/>
        <v>-5.6819177926959981</v>
      </c>
      <c r="Q34" s="249">
        <f t="shared" si="6"/>
        <v>0.95704740716235759</v>
      </c>
      <c r="R34" s="511"/>
      <c r="S34" s="68"/>
      <c r="T34" s="68"/>
      <c r="U34" s="248"/>
      <c r="V34" s="254"/>
      <c r="W34" s="248"/>
      <c r="X34" s="248"/>
      <c r="Y34" s="510"/>
      <c r="Z34" s="510"/>
      <c r="AA34" s="66">
        <f t="shared" si="8"/>
        <v>-103.08622281034195</v>
      </c>
      <c r="AB34" s="249">
        <f t="shared" si="9"/>
        <v>0.95704740716235748</v>
      </c>
      <c r="AC34" s="511"/>
    </row>
    <row r="35" spans="1:29" ht="15.75" customHeight="1">
      <c r="A35" s="531" t="s">
        <v>1327</v>
      </c>
      <c r="B35" s="62" t="s">
        <v>16</v>
      </c>
      <c r="C35" s="512" t="s">
        <v>31</v>
      </c>
      <c r="D35" s="512"/>
      <c r="E35" s="62">
        <v>26.2</v>
      </c>
      <c r="F35" s="255">
        <v>5354</v>
      </c>
      <c r="G35" s="248">
        <f t="shared" ref="G35:G39" si="27">E35*F35</f>
        <v>140274.79999999999</v>
      </c>
      <c r="H35" s="90" t="s">
        <v>5</v>
      </c>
      <c r="I35" s="253">
        <v>18</v>
      </c>
      <c r="J35" s="63">
        <v>2400</v>
      </c>
      <c r="K35" s="64">
        <f t="shared" si="1"/>
        <v>133.33333333333334</v>
      </c>
      <c r="L35" s="253">
        <v>18</v>
      </c>
      <c r="M35" s="65">
        <f t="shared" ref="M35:M39" si="28">F35/V35*60</f>
        <v>2294.5714285714284</v>
      </c>
      <c r="N35" s="64">
        <f t="shared" si="3"/>
        <v>127.47619047619047</v>
      </c>
      <c r="O35" s="66">
        <f t="shared" si="4"/>
        <v>0</v>
      </c>
      <c r="P35" s="67">
        <f t="shared" si="5"/>
        <v>-5.8571428571428754</v>
      </c>
      <c r="Q35" s="249">
        <f t="shared" si="6"/>
        <v>0.95607142857142846</v>
      </c>
      <c r="R35" s="511">
        <f>Q40</f>
        <v>0.95583079916256386</v>
      </c>
      <c r="S35" s="68">
        <v>8.3333333333333329E-2</v>
      </c>
      <c r="T35" s="68">
        <v>0.18055555555555555</v>
      </c>
      <c r="U35" s="248"/>
      <c r="V35" s="254">
        <f t="shared" ref="V35:V39" si="29">(T35-S35)*24*60</f>
        <v>140</v>
      </c>
      <c r="W35" s="73">
        <f>T35</f>
        <v>0.18055555555555555</v>
      </c>
      <c r="X35" s="73">
        <f>S36</f>
        <v>0.1986111111111111</v>
      </c>
      <c r="Y35" s="510"/>
      <c r="Z35" s="510"/>
      <c r="AA35" s="66">
        <f t="shared" si="8"/>
        <v>-105.42857142857156</v>
      </c>
      <c r="AB35" s="249">
        <f t="shared" si="9"/>
        <v>0.95607142857142857</v>
      </c>
      <c r="AC35" s="511">
        <f>AB40</f>
        <v>0.95583079916256397</v>
      </c>
    </row>
    <row r="36" spans="1:29" ht="15.75" customHeight="1">
      <c r="A36" s="531" t="s">
        <v>1327</v>
      </c>
      <c r="B36" s="62" t="s">
        <v>16</v>
      </c>
      <c r="C36" s="512" t="s">
        <v>32</v>
      </c>
      <c r="D36" s="512"/>
      <c r="E36" s="62">
        <v>26.39</v>
      </c>
      <c r="F36" s="255">
        <v>5177</v>
      </c>
      <c r="G36" s="248">
        <f t="shared" si="27"/>
        <v>136621.03</v>
      </c>
      <c r="H36" s="90" t="s">
        <v>5</v>
      </c>
      <c r="I36" s="253">
        <v>19</v>
      </c>
      <c r="J36" s="63">
        <v>2400</v>
      </c>
      <c r="K36" s="64">
        <f t="shared" si="1"/>
        <v>126.31578947368421</v>
      </c>
      <c r="L36" s="253">
        <v>19</v>
      </c>
      <c r="M36" s="65">
        <f t="shared" si="28"/>
        <v>2283.9705882352951</v>
      </c>
      <c r="N36" s="64">
        <f t="shared" si="3"/>
        <v>120.20897832817343</v>
      </c>
      <c r="O36" s="66">
        <f t="shared" si="4"/>
        <v>0</v>
      </c>
      <c r="P36" s="67">
        <f t="shared" si="5"/>
        <v>-6.1068111455107754</v>
      </c>
      <c r="Q36" s="249">
        <f t="shared" si="6"/>
        <v>0.95165441176470633</v>
      </c>
      <c r="R36" s="511"/>
      <c r="S36" s="68">
        <v>0.1986111111111111</v>
      </c>
      <c r="T36" s="68">
        <v>0.29305555555555551</v>
      </c>
      <c r="U36" s="248">
        <f t="shared" ref="U36:U39" si="30">(S36-T35)*24*60</f>
        <v>25.999999999999986</v>
      </c>
      <c r="V36" s="254">
        <f t="shared" si="29"/>
        <v>135.99999999999994</v>
      </c>
      <c r="W36" s="248"/>
      <c r="X36" s="248"/>
      <c r="Y36" s="510"/>
      <c r="Z36" s="510"/>
      <c r="AA36" s="66">
        <f t="shared" si="8"/>
        <v>-116.02941176470495</v>
      </c>
      <c r="AB36" s="249">
        <f t="shared" si="9"/>
        <v>0.95165441176470622</v>
      </c>
      <c r="AC36" s="511"/>
    </row>
    <row r="37" spans="1:29">
      <c r="A37" s="532" t="s">
        <v>1327</v>
      </c>
      <c r="B37" s="62" t="s">
        <v>16</v>
      </c>
      <c r="C37" s="512" t="s">
        <v>50</v>
      </c>
      <c r="D37" s="512"/>
      <c r="E37" s="62">
        <v>20.52</v>
      </c>
      <c r="F37" s="255">
        <v>3591</v>
      </c>
      <c r="G37" s="248">
        <f t="shared" si="27"/>
        <v>73687.319999999992</v>
      </c>
      <c r="H37" s="90" t="s">
        <v>5</v>
      </c>
      <c r="I37" s="253">
        <v>18</v>
      </c>
      <c r="J37" s="63">
        <v>2400</v>
      </c>
      <c r="K37" s="64">
        <f t="shared" si="1"/>
        <v>133.33333333333334</v>
      </c>
      <c r="L37" s="253">
        <v>18</v>
      </c>
      <c r="M37" s="65">
        <f t="shared" si="28"/>
        <v>2292.1276595744685</v>
      </c>
      <c r="N37" s="64">
        <f t="shared" si="3"/>
        <v>127.34042553191492</v>
      </c>
      <c r="O37" s="66">
        <f t="shared" si="4"/>
        <v>0</v>
      </c>
      <c r="P37" s="67">
        <f t="shared" si="5"/>
        <v>-5.9929078014184256</v>
      </c>
      <c r="Q37" s="249">
        <f t="shared" si="6"/>
        <v>0.95505319148936185</v>
      </c>
      <c r="R37" s="511"/>
      <c r="S37" s="68">
        <v>0.29861111111111105</v>
      </c>
      <c r="T37" s="68">
        <v>0.36388888888888882</v>
      </c>
      <c r="U37" s="248">
        <f t="shared" si="30"/>
        <v>7.9999999999999716</v>
      </c>
      <c r="V37" s="254">
        <f t="shared" si="29"/>
        <v>93.999999999999986</v>
      </c>
      <c r="W37" s="248"/>
      <c r="X37" s="248"/>
      <c r="Y37" s="510"/>
      <c r="Z37" s="510"/>
      <c r="AA37" s="66">
        <f t="shared" si="8"/>
        <v>-107.87234042553155</v>
      </c>
      <c r="AB37" s="249">
        <f t="shared" si="9"/>
        <v>0.95505319148936185</v>
      </c>
      <c r="AC37" s="511"/>
    </row>
    <row r="38" spans="1:29">
      <c r="A38" s="532" t="s">
        <v>1327</v>
      </c>
      <c r="B38" s="62" t="s">
        <v>16</v>
      </c>
      <c r="C38" s="512" t="s">
        <v>18</v>
      </c>
      <c r="D38" s="512"/>
      <c r="E38" s="62">
        <v>22.35</v>
      </c>
      <c r="F38" s="255">
        <v>1499</v>
      </c>
      <c r="G38" s="248">
        <f t="shared" si="27"/>
        <v>33502.65</v>
      </c>
      <c r="H38" s="90" t="s">
        <v>5</v>
      </c>
      <c r="I38" s="253">
        <v>16</v>
      </c>
      <c r="J38" s="63">
        <v>2400</v>
      </c>
      <c r="K38" s="64">
        <f t="shared" si="1"/>
        <v>150</v>
      </c>
      <c r="L38" s="253">
        <v>16</v>
      </c>
      <c r="M38" s="65">
        <f t="shared" si="28"/>
        <v>2306.1538461538448</v>
      </c>
      <c r="N38" s="64">
        <f t="shared" si="3"/>
        <v>144.1346153846153</v>
      </c>
      <c r="O38" s="66">
        <f t="shared" si="4"/>
        <v>0</v>
      </c>
      <c r="P38" s="67">
        <f t="shared" si="5"/>
        <v>-5.8653846153846985</v>
      </c>
      <c r="Q38" s="249">
        <f t="shared" si="6"/>
        <v>0.96089743589743537</v>
      </c>
      <c r="R38" s="511"/>
      <c r="S38" s="68">
        <v>0.36736111111111103</v>
      </c>
      <c r="T38" s="68">
        <v>0.39444444444444438</v>
      </c>
      <c r="U38" s="248">
        <f t="shared" si="30"/>
        <v>4.9999999999999822</v>
      </c>
      <c r="V38" s="254">
        <f t="shared" si="29"/>
        <v>39.000000000000021</v>
      </c>
      <c r="W38" s="69"/>
      <c r="X38" s="69"/>
      <c r="Y38" s="510"/>
      <c r="Z38" s="510"/>
      <c r="AA38" s="66">
        <f t="shared" si="8"/>
        <v>-93.846153846155175</v>
      </c>
      <c r="AB38" s="249">
        <f t="shared" si="9"/>
        <v>0.96089743589743537</v>
      </c>
      <c r="AC38" s="511"/>
    </row>
    <row r="39" spans="1:29">
      <c r="A39" s="532" t="s">
        <v>1327</v>
      </c>
      <c r="B39" s="62" t="s">
        <v>16</v>
      </c>
      <c r="C39" s="512" t="s">
        <v>33</v>
      </c>
      <c r="D39" s="512"/>
      <c r="E39" s="62">
        <v>24.43</v>
      </c>
      <c r="F39" s="255">
        <v>6803</v>
      </c>
      <c r="G39" s="248">
        <f t="shared" si="27"/>
        <v>166197.29</v>
      </c>
      <c r="H39" s="90" t="s">
        <v>5</v>
      </c>
      <c r="I39" s="253">
        <v>14</v>
      </c>
      <c r="J39" s="63">
        <v>2400</v>
      </c>
      <c r="K39" s="64">
        <f t="shared" si="1"/>
        <v>171.42857142857142</v>
      </c>
      <c r="L39" s="253">
        <v>14</v>
      </c>
      <c r="M39" s="65">
        <f t="shared" si="28"/>
        <v>2293.1460674157306</v>
      </c>
      <c r="N39" s="64">
        <f t="shared" si="3"/>
        <v>163.79614767255219</v>
      </c>
      <c r="O39" s="66">
        <f t="shared" si="4"/>
        <v>0</v>
      </c>
      <c r="P39" s="67">
        <f t="shared" si="5"/>
        <v>-7.6324237560192216</v>
      </c>
      <c r="Q39" s="249">
        <f t="shared" si="6"/>
        <v>0.95547752808988784</v>
      </c>
      <c r="R39" s="511"/>
      <c r="S39" s="68">
        <v>0.39930555555555547</v>
      </c>
      <c r="T39" s="68">
        <v>0.52291666666666659</v>
      </c>
      <c r="U39" s="248">
        <f t="shared" si="30"/>
        <v>6.9999999999999751</v>
      </c>
      <c r="V39" s="254">
        <f t="shared" si="29"/>
        <v>178</v>
      </c>
      <c r="W39" s="69"/>
      <c r="X39" s="69"/>
      <c r="Y39" s="510"/>
      <c r="Z39" s="510"/>
      <c r="AA39" s="66">
        <f t="shared" si="8"/>
        <v>-106.85393258426939</v>
      </c>
      <c r="AB39" s="249">
        <f t="shared" si="9"/>
        <v>0.95547752808988773</v>
      </c>
      <c r="AC39" s="511"/>
    </row>
    <row r="40" spans="1:29">
      <c r="A40" s="532" t="s">
        <v>1327</v>
      </c>
      <c r="B40" s="71" t="s">
        <v>1322</v>
      </c>
      <c r="C40" s="513"/>
      <c r="D40" s="513"/>
      <c r="E40" s="250"/>
      <c r="F40" s="71"/>
      <c r="G40" s="64"/>
      <c r="H40" s="255"/>
      <c r="I40" s="72">
        <v>17</v>
      </c>
      <c r="J40" s="63">
        <v>2400</v>
      </c>
      <c r="K40" s="64">
        <f t="shared" si="1"/>
        <v>141.1764705882353</v>
      </c>
      <c r="L40" s="72">
        <v>17</v>
      </c>
      <c r="M40" s="65">
        <f>AVERAGE(M35:M39)</f>
        <v>2293.9939179901535</v>
      </c>
      <c r="N40" s="64">
        <f t="shared" si="3"/>
        <v>134.94081870530314</v>
      </c>
      <c r="O40" s="66">
        <f t="shared" si="4"/>
        <v>0</v>
      </c>
      <c r="P40" s="67">
        <f t="shared" si="5"/>
        <v>-6.2356518829321601</v>
      </c>
      <c r="Q40" s="249">
        <f t="shared" si="6"/>
        <v>0.95583079916256386</v>
      </c>
      <c r="R40" s="511"/>
      <c r="S40" s="68"/>
      <c r="T40" s="68"/>
      <c r="U40" s="64"/>
      <c r="V40" s="254"/>
      <c r="W40" s="64"/>
      <c r="X40" s="64"/>
      <c r="Y40" s="510"/>
      <c r="Z40" s="510"/>
      <c r="AA40" s="66">
        <f t="shared" si="8"/>
        <v>-106.00608200984652</v>
      </c>
      <c r="AB40" s="249">
        <f t="shared" si="9"/>
        <v>0.95583079916256397</v>
      </c>
      <c r="AC40" s="511"/>
    </row>
    <row r="41" spans="1:29" ht="15.75" customHeight="1">
      <c r="A41" s="525" t="s">
        <v>1328</v>
      </c>
      <c r="B41" s="62" t="s">
        <v>35</v>
      </c>
      <c r="C41" s="521" t="s">
        <v>36</v>
      </c>
      <c r="D41" s="522"/>
      <c r="E41" s="62">
        <v>21.13</v>
      </c>
      <c r="F41" s="255">
        <v>4157</v>
      </c>
      <c r="G41" s="248">
        <f t="shared" ref="G41:G47" si="31">E41*F41</f>
        <v>87837.409999999989</v>
      </c>
      <c r="H41" s="90" t="s">
        <v>5</v>
      </c>
      <c r="I41" s="253">
        <v>10</v>
      </c>
      <c r="J41" s="63">
        <v>3000</v>
      </c>
      <c r="K41" s="64">
        <f t="shared" si="1"/>
        <v>300</v>
      </c>
      <c r="L41" s="253">
        <v>10</v>
      </c>
      <c r="M41" s="65">
        <f t="shared" ref="M41:M47" si="32">F41/V41*60</f>
        <v>2866.8965517241381</v>
      </c>
      <c r="N41" s="65">
        <f t="shared" si="3"/>
        <v>286.68965517241384</v>
      </c>
      <c r="O41" s="66">
        <f t="shared" si="4"/>
        <v>0</v>
      </c>
      <c r="P41" s="67">
        <f t="shared" si="5"/>
        <v>-13.310344827586164</v>
      </c>
      <c r="Q41" s="249">
        <f t="shared" si="6"/>
        <v>0.95563218390804616</v>
      </c>
      <c r="R41" s="528">
        <f>Q48</f>
        <v>0.95775943463625279</v>
      </c>
      <c r="S41" s="68">
        <v>8.3333333333333329E-2</v>
      </c>
      <c r="T41" s="68">
        <v>0.14374999999999999</v>
      </c>
      <c r="U41" s="73"/>
      <c r="V41" s="254">
        <f t="shared" ref="V41:V47" si="33">(T41-S41)*24*60</f>
        <v>86.999999999999986</v>
      </c>
      <c r="W41" s="69">
        <f>T41</f>
        <v>0.14374999999999999</v>
      </c>
      <c r="X41" s="69">
        <f>S42</f>
        <v>0.16458333333333333</v>
      </c>
      <c r="Y41" s="517"/>
      <c r="Z41" s="518"/>
      <c r="AA41" s="66">
        <f t="shared" si="8"/>
        <v>-133.10344827586187</v>
      </c>
      <c r="AB41" s="249">
        <f t="shared" si="9"/>
        <v>0.95563218390804605</v>
      </c>
      <c r="AC41" s="528">
        <f>AB48</f>
        <v>0.9577594346362529</v>
      </c>
    </row>
    <row r="42" spans="1:29" ht="15.75" customHeight="1">
      <c r="A42" s="526" t="s">
        <v>1328</v>
      </c>
      <c r="B42" s="62" t="s">
        <v>35</v>
      </c>
      <c r="C42" s="521" t="s">
        <v>37</v>
      </c>
      <c r="D42" s="522"/>
      <c r="E42" s="62">
        <v>27.17</v>
      </c>
      <c r="F42" s="255">
        <v>5241</v>
      </c>
      <c r="G42" s="248">
        <f t="shared" si="31"/>
        <v>142397.97</v>
      </c>
      <c r="H42" s="90" t="s">
        <v>5</v>
      </c>
      <c r="I42" s="253">
        <v>10</v>
      </c>
      <c r="J42" s="63">
        <v>3000</v>
      </c>
      <c r="K42" s="64">
        <f t="shared" si="1"/>
        <v>300</v>
      </c>
      <c r="L42" s="253">
        <v>10</v>
      </c>
      <c r="M42" s="65">
        <f t="shared" si="32"/>
        <v>2858.7272727272734</v>
      </c>
      <c r="N42" s="65">
        <f t="shared" si="3"/>
        <v>285.87272727272733</v>
      </c>
      <c r="O42" s="66">
        <f t="shared" si="4"/>
        <v>0</v>
      </c>
      <c r="P42" s="67">
        <f t="shared" si="5"/>
        <v>-14.127272727272668</v>
      </c>
      <c r="Q42" s="249">
        <f t="shared" si="6"/>
        <v>0.95290909090909115</v>
      </c>
      <c r="R42" s="529"/>
      <c r="S42" s="68">
        <v>0.16458333333333333</v>
      </c>
      <c r="T42" s="68">
        <v>0.2409722222222222</v>
      </c>
      <c r="U42" s="248">
        <f t="shared" ref="U42:U47" si="34">(S42-T41)*24*60</f>
        <v>30.000000000000014</v>
      </c>
      <c r="V42" s="254">
        <f t="shared" si="33"/>
        <v>109.99999999999997</v>
      </c>
      <c r="W42" s="69"/>
      <c r="X42" s="69"/>
      <c r="Y42" s="517"/>
      <c r="Z42" s="518"/>
      <c r="AA42" s="66">
        <f t="shared" si="8"/>
        <v>-141.27272727272657</v>
      </c>
      <c r="AB42" s="249">
        <f t="shared" si="9"/>
        <v>0.95290909090909115</v>
      </c>
      <c r="AC42" s="529"/>
    </row>
    <row r="43" spans="1:29" ht="15.75" customHeight="1">
      <c r="A43" s="526" t="s">
        <v>1328</v>
      </c>
      <c r="B43" s="62" t="s">
        <v>35</v>
      </c>
      <c r="C43" s="521" t="s">
        <v>38</v>
      </c>
      <c r="D43" s="522"/>
      <c r="E43" s="62">
        <v>35.119999999999997</v>
      </c>
      <c r="F43" s="255">
        <v>3659</v>
      </c>
      <c r="G43" s="248">
        <f t="shared" si="31"/>
        <v>128504.07999999999</v>
      </c>
      <c r="H43" s="90" t="s">
        <v>5</v>
      </c>
      <c r="I43" s="253">
        <v>10</v>
      </c>
      <c r="J43" s="63">
        <v>3000</v>
      </c>
      <c r="K43" s="64">
        <f t="shared" si="1"/>
        <v>300</v>
      </c>
      <c r="L43" s="253">
        <v>10</v>
      </c>
      <c r="M43" s="65">
        <f t="shared" si="32"/>
        <v>2851.1688311688308</v>
      </c>
      <c r="N43" s="65">
        <f t="shared" si="3"/>
        <v>285.11688311688306</v>
      </c>
      <c r="O43" s="66">
        <f t="shared" si="4"/>
        <v>0</v>
      </c>
      <c r="P43" s="67">
        <f t="shared" si="5"/>
        <v>-14.883116883116941</v>
      </c>
      <c r="Q43" s="249">
        <f t="shared" si="6"/>
        <v>0.95038961038961023</v>
      </c>
      <c r="R43" s="529"/>
      <c r="S43" s="68">
        <v>0.24583333333333332</v>
      </c>
      <c r="T43" s="68">
        <v>0.29930555555555555</v>
      </c>
      <c r="U43" s="248">
        <f t="shared" si="34"/>
        <v>7.0000000000000151</v>
      </c>
      <c r="V43" s="254">
        <f t="shared" si="33"/>
        <v>77</v>
      </c>
      <c r="W43" s="69"/>
      <c r="X43" s="69"/>
      <c r="Y43" s="517"/>
      <c r="Z43" s="518"/>
      <c r="AA43" s="66">
        <f t="shared" si="8"/>
        <v>-148.83116883116918</v>
      </c>
      <c r="AB43" s="249">
        <f t="shared" si="9"/>
        <v>0.95038961038961023</v>
      </c>
      <c r="AC43" s="529"/>
    </row>
    <row r="44" spans="1:29" ht="15.75" customHeight="1">
      <c r="A44" s="526" t="s">
        <v>1328</v>
      </c>
      <c r="B44" s="62" t="s">
        <v>35</v>
      </c>
      <c r="C44" s="521" t="s">
        <v>39</v>
      </c>
      <c r="D44" s="522"/>
      <c r="E44" s="62">
        <v>35.869999999999997</v>
      </c>
      <c r="F44" s="255">
        <v>2553</v>
      </c>
      <c r="G44" s="248">
        <f t="shared" si="31"/>
        <v>91576.11</v>
      </c>
      <c r="H44" s="90" t="s">
        <v>5</v>
      </c>
      <c r="I44" s="253">
        <v>9</v>
      </c>
      <c r="J44" s="63">
        <v>3000</v>
      </c>
      <c r="K44" s="64">
        <f t="shared" si="1"/>
        <v>333.33333333333331</v>
      </c>
      <c r="L44" s="253">
        <v>9</v>
      </c>
      <c r="M44" s="65">
        <f t="shared" si="32"/>
        <v>2890.1886792452842</v>
      </c>
      <c r="N44" s="65">
        <f t="shared" si="3"/>
        <v>321.13207547169827</v>
      </c>
      <c r="O44" s="66">
        <f t="shared" si="4"/>
        <v>0</v>
      </c>
      <c r="P44" s="67">
        <f t="shared" si="5"/>
        <v>-12.201257861635042</v>
      </c>
      <c r="Q44" s="249">
        <f t="shared" si="6"/>
        <v>0.96339622641509493</v>
      </c>
      <c r="R44" s="529"/>
      <c r="S44" s="68">
        <v>0.3034722222222222</v>
      </c>
      <c r="T44" s="68">
        <v>0.34027777777777773</v>
      </c>
      <c r="U44" s="248">
        <f t="shared" si="34"/>
        <v>5.9999999999999787</v>
      </c>
      <c r="V44" s="254">
        <f t="shared" si="33"/>
        <v>52.999999999999972</v>
      </c>
      <c r="W44" s="69"/>
      <c r="X44" s="69"/>
      <c r="Y44" s="517"/>
      <c r="Z44" s="518"/>
      <c r="AA44" s="66">
        <f t="shared" si="8"/>
        <v>-109.81132075471578</v>
      </c>
      <c r="AB44" s="249">
        <f t="shared" si="9"/>
        <v>0.9633962264150947</v>
      </c>
      <c r="AC44" s="529"/>
    </row>
    <row r="45" spans="1:29" ht="15.75" customHeight="1">
      <c r="A45" s="526" t="s">
        <v>1328</v>
      </c>
      <c r="B45" s="62" t="s">
        <v>35</v>
      </c>
      <c r="C45" s="521" t="s">
        <v>40</v>
      </c>
      <c r="D45" s="522"/>
      <c r="E45" s="62">
        <v>36.14</v>
      </c>
      <c r="F45" s="255">
        <v>1264</v>
      </c>
      <c r="G45" s="248">
        <f t="shared" si="31"/>
        <v>45680.959999999999</v>
      </c>
      <c r="H45" s="90" t="s">
        <v>5</v>
      </c>
      <c r="I45" s="253">
        <v>9</v>
      </c>
      <c r="J45" s="63">
        <v>3000</v>
      </c>
      <c r="K45" s="64">
        <f t="shared" si="1"/>
        <v>333.33333333333331</v>
      </c>
      <c r="L45" s="253">
        <v>9</v>
      </c>
      <c r="M45" s="65">
        <f t="shared" si="32"/>
        <v>2916.9230769230785</v>
      </c>
      <c r="N45" s="65">
        <f t="shared" si="3"/>
        <v>324.10256410256426</v>
      </c>
      <c r="O45" s="66">
        <f t="shared" si="4"/>
        <v>0</v>
      </c>
      <c r="P45" s="67">
        <f t="shared" si="5"/>
        <v>-9.2307692307690559</v>
      </c>
      <c r="Q45" s="249">
        <f t="shared" si="6"/>
        <v>0.97230769230769287</v>
      </c>
      <c r="R45" s="529"/>
      <c r="S45" s="68">
        <v>0.34444444444444439</v>
      </c>
      <c r="T45" s="68">
        <v>0.36249999999999993</v>
      </c>
      <c r="U45" s="248">
        <f t="shared" si="34"/>
        <v>5.9999999999999787</v>
      </c>
      <c r="V45" s="254">
        <f t="shared" si="33"/>
        <v>25.999999999999986</v>
      </c>
      <c r="W45" s="69"/>
      <c r="X45" s="69"/>
      <c r="Y45" s="517"/>
      <c r="Z45" s="518"/>
      <c r="AA45" s="66">
        <f t="shared" si="8"/>
        <v>-83.076923076921503</v>
      </c>
      <c r="AB45" s="249">
        <f t="shared" si="9"/>
        <v>0.97230769230769287</v>
      </c>
      <c r="AC45" s="529"/>
    </row>
    <row r="46" spans="1:29" ht="15.75" customHeight="1">
      <c r="A46" s="526" t="s">
        <v>1328</v>
      </c>
      <c r="B46" s="62" t="s">
        <v>35</v>
      </c>
      <c r="C46" s="521" t="s">
        <v>74</v>
      </c>
      <c r="D46" s="522"/>
      <c r="E46" s="62">
        <v>34.36</v>
      </c>
      <c r="F46" s="255">
        <v>2192</v>
      </c>
      <c r="G46" s="248">
        <f t="shared" si="31"/>
        <v>75317.119999999995</v>
      </c>
      <c r="H46" s="90" t="s">
        <v>5</v>
      </c>
      <c r="I46" s="253">
        <v>10</v>
      </c>
      <c r="J46" s="63">
        <v>3000</v>
      </c>
      <c r="K46" s="64">
        <f t="shared" si="1"/>
        <v>300</v>
      </c>
      <c r="L46" s="253">
        <v>10</v>
      </c>
      <c r="M46" s="65">
        <f t="shared" si="32"/>
        <v>2859.1304347826085</v>
      </c>
      <c r="N46" s="65">
        <f t="shared" si="3"/>
        <v>285.91304347826087</v>
      </c>
      <c r="O46" s="66">
        <f t="shared" si="4"/>
        <v>0</v>
      </c>
      <c r="P46" s="67">
        <f t="shared" si="5"/>
        <v>-14.086956521739125</v>
      </c>
      <c r="Q46" s="249">
        <f t="shared" si="6"/>
        <v>0.95304347826086955</v>
      </c>
      <c r="R46" s="529"/>
      <c r="S46" s="68">
        <v>0.36597222222222214</v>
      </c>
      <c r="T46" s="68">
        <v>0.39791666666666659</v>
      </c>
      <c r="U46" s="248">
        <f t="shared" si="34"/>
        <v>4.9999999999999822</v>
      </c>
      <c r="V46" s="254">
        <f t="shared" si="33"/>
        <v>46</v>
      </c>
      <c r="W46" s="69"/>
      <c r="X46" s="69"/>
      <c r="Y46" s="517"/>
      <c r="Z46" s="518"/>
      <c r="AA46" s="66">
        <f t="shared" si="8"/>
        <v>-140.86956521739148</v>
      </c>
      <c r="AB46" s="249">
        <f t="shared" si="9"/>
        <v>0.95304347826086955</v>
      </c>
      <c r="AC46" s="529"/>
    </row>
    <row r="47" spans="1:29" ht="15.75" customHeight="1">
      <c r="A47" s="526" t="s">
        <v>1328</v>
      </c>
      <c r="B47" s="62" t="s">
        <v>35</v>
      </c>
      <c r="C47" s="521" t="s">
        <v>84</v>
      </c>
      <c r="D47" s="522"/>
      <c r="E47" s="62">
        <v>31</v>
      </c>
      <c r="F47" s="255">
        <v>4143</v>
      </c>
      <c r="G47" s="248">
        <f t="shared" si="31"/>
        <v>128433</v>
      </c>
      <c r="H47" s="90" t="s">
        <v>5</v>
      </c>
      <c r="I47" s="253">
        <v>13</v>
      </c>
      <c r="J47" s="63">
        <v>2000</v>
      </c>
      <c r="K47" s="64">
        <f t="shared" si="1"/>
        <v>153.84615384615384</v>
      </c>
      <c r="L47" s="253">
        <v>13</v>
      </c>
      <c r="M47" s="65">
        <f t="shared" si="32"/>
        <v>1912.1538461538457</v>
      </c>
      <c r="N47" s="65">
        <f t="shared" si="3"/>
        <v>147.08875739644967</v>
      </c>
      <c r="O47" s="66">
        <f t="shared" si="4"/>
        <v>0</v>
      </c>
      <c r="P47" s="67">
        <f t="shared" si="5"/>
        <v>-6.7573964497041743</v>
      </c>
      <c r="Q47" s="249">
        <f t="shared" si="6"/>
        <v>0.95607692307692282</v>
      </c>
      <c r="R47" s="529"/>
      <c r="S47" s="68">
        <v>0.4013888888888888</v>
      </c>
      <c r="T47" s="68">
        <v>0.49166666666666659</v>
      </c>
      <c r="U47" s="248">
        <f t="shared" si="34"/>
        <v>4.9999999999999822</v>
      </c>
      <c r="V47" s="254">
        <f t="shared" si="33"/>
        <v>130.00000000000003</v>
      </c>
      <c r="W47" s="69"/>
      <c r="X47" s="69"/>
      <c r="Y47" s="517"/>
      <c r="Z47" s="518"/>
      <c r="AA47" s="66">
        <f t="shared" si="8"/>
        <v>-87.846153846154266</v>
      </c>
      <c r="AB47" s="249">
        <f t="shared" si="9"/>
        <v>0.95607692307692282</v>
      </c>
      <c r="AC47" s="529"/>
    </row>
    <row r="48" spans="1:29" ht="15.75" customHeight="1">
      <c r="A48" s="527" t="s">
        <v>1328</v>
      </c>
      <c r="B48" s="62" t="s">
        <v>1322</v>
      </c>
      <c r="C48" s="508"/>
      <c r="D48" s="509"/>
      <c r="E48" s="247"/>
      <c r="F48" s="255"/>
      <c r="G48" s="248"/>
      <c r="H48" s="255"/>
      <c r="I48" s="72">
        <v>10.142857142857142</v>
      </c>
      <c r="J48" s="63">
        <v>2857.1428571428573</v>
      </c>
      <c r="K48" s="64">
        <f t="shared" si="1"/>
        <v>281.69014084507046</v>
      </c>
      <c r="L48" s="72">
        <v>10.142857142857142</v>
      </c>
      <c r="M48" s="65">
        <f>AVERAGE(M41:M47)</f>
        <v>2736.4555275321513</v>
      </c>
      <c r="N48" s="64">
        <f t="shared" si="3"/>
        <v>269.79139003838111</v>
      </c>
      <c r="O48" s="66">
        <f t="shared" si="4"/>
        <v>0</v>
      </c>
      <c r="P48" s="67">
        <f t="shared" si="5"/>
        <v>-11.89875080668935</v>
      </c>
      <c r="Q48" s="249">
        <f t="shared" si="6"/>
        <v>0.95775943463625279</v>
      </c>
      <c r="R48" s="530"/>
      <c r="S48" s="68"/>
      <c r="T48" s="68"/>
      <c r="U48" s="248"/>
      <c r="V48" s="254"/>
      <c r="W48" s="69"/>
      <c r="X48" s="69"/>
      <c r="Y48" s="517"/>
      <c r="Z48" s="518"/>
      <c r="AA48" s="66">
        <f t="shared" si="8"/>
        <v>-120.687329610706</v>
      </c>
      <c r="AB48" s="249">
        <f t="shared" si="9"/>
        <v>0.9577594346362529</v>
      </c>
      <c r="AC48" s="530"/>
    </row>
    <row r="49" spans="1:29" ht="15.75" customHeight="1">
      <c r="A49" s="523" t="s">
        <v>1329</v>
      </c>
      <c r="B49" s="62" t="s">
        <v>10</v>
      </c>
      <c r="C49" s="512" t="s">
        <v>41</v>
      </c>
      <c r="D49" s="512"/>
      <c r="E49" s="62">
        <v>46</v>
      </c>
      <c r="F49" s="74">
        <v>2175</v>
      </c>
      <c r="G49" s="248">
        <f t="shared" ref="G49:G53" si="35">E49*F49</f>
        <v>100050</v>
      </c>
      <c r="H49" s="90" t="s">
        <v>5</v>
      </c>
      <c r="I49" s="253">
        <v>17</v>
      </c>
      <c r="J49" s="63">
        <v>2000</v>
      </c>
      <c r="K49" s="64">
        <f t="shared" si="1"/>
        <v>117.64705882352941</v>
      </c>
      <c r="L49" s="253">
        <v>17</v>
      </c>
      <c r="M49" s="65">
        <f t="shared" ref="M49:M53" si="36">F49/V49*60</f>
        <v>1919.1176470588248</v>
      </c>
      <c r="N49" s="65">
        <f t="shared" si="3"/>
        <v>112.88927335640146</v>
      </c>
      <c r="O49" s="66">
        <f t="shared" si="4"/>
        <v>0</v>
      </c>
      <c r="P49" s="67">
        <f t="shared" si="5"/>
        <v>-4.7577854671279454</v>
      </c>
      <c r="Q49" s="249">
        <f t="shared" si="6"/>
        <v>0.95955882352941246</v>
      </c>
      <c r="R49" s="511">
        <f>Q54</f>
        <v>0.95738569250175054</v>
      </c>
      <c r="S49" s="68">
        <v>0.20833333333333334</v>
      </c>
      <c r="T49" s="68">
        <v>0.25555555555555554</v>
      </c>
      <c r="U49" s="73"/>
      <c r="V49" s="254">
        <f t="shared" ref="V49:V53" si="37">(T49-S49)*24*60</f>
        <v>67.999999999999957</v>
      </c>
      <c r="W49" s="73"/>
      <c r="X49" s="73"/>
      <c r="Y49" s="510"/>
      <c r="Z49" s="510"/>
      <c r="AA49" s="66">
        <f t="shared" si="8"/>
        <v>-80.882352941175213</v>
      </c>
      <c r="AB49" s="249">
        <f t="shared" si="9"/>
        <v>0.95955882352941235</v>
      </c>
      <c r="AC49" s="511">
        <f>AB54</f>
        <v>0.95738569250175054</v>
      </c>
    </row>
    <row r="50" spans="1:29" ht="15.75" customHeight="1">
      <c r="A50" s="523" t="s">
        <v>1329</v>
      </c>
      <c r="B50" s="62" t="s">
        <v>10</v>
      </c>
      <c r="C50" s="512" t="s">
        <v>42</v>
      </c>
      <c r="D50" s="512"/>
      <c r="E50" s="62">
        <v>46</v>
      </c>
      <c r="F50" s="74">
        <v>2313</v>
      </c>
      <c r="G50" s="248">
        <f t="shared" si="35"/>
        <v>106398</v>
      </c>
      <c r="H50" s="90" t="s">
        <v>5</v>
      </c>
      <c r="I50" s="253">
        <v>17</v>
      </c>
      <c r="J50" s="63">
        <v>2000</v>
      </c>
      <c r="K50" s="64">
        <f t="shared" si="1"/>
        <v>117.64705882352941</v>
      </c>
      <c r="L50" s="253">
        <v>17</v>
      </c>
      <c r="M50" s="65">
        <f t="shared" si="36"/>
        <v>1901.0958904109593</v>
      </c>
      <c r="N50" s="65">
        <f t="shared" si="3"/>
        <v>111.82917002417408</v>
      </c>
      <c r="O50" s="66">
        <f t="shared" si="4"/>
        <v>0</v>
      </c>
      <c r="P50" s="67">
        <f t="shared" si="5"/>
        <v>-5.8178887993553303</v>
      </c>
      <c r="Q50" s="249">
        <f t="shared" si="6"/>
        <v>0.95054794520547969</v>
      </c>
      <c r="R50" s="511"/>
      <c r="S50" s="68">
        <v>0.26041666666666663</v>
      </c>
      <c r="T50" s="68">
        <v>0.31111111111111106</v>
      </c>
      <c r="U50" s="248">
        <f t="shared" ref="U50:U53" si="38">IF(S50=TIME(17,0,0),"",(S50-T49)*24*60)</f>
        <v>6.9999999999999751</v>
      </c>
      <c r="V50" s="254">
        <f t="shared" si="37"/>
        <v>72.999999999999986</v>
      </c>
      <c r="W50" s="69"/>
      <c r="X50" s="69"/>
      <c r="Y50" s="510"/>
      <c r="Z50" s="510"/>
      <c r="AA50" s="66">
        <f t="shared" si="8"/>
        <v>-98.904109589040672</v>
      </c>
      <c r="AB50" s="249">
        <f t="shared" si="9"/>
        <v>0.95054794520547969</v>
      </c>
      <c r="AC50" s="511"/>
    </row>
    <row r="51" spans="1:29" ht="15.75" customHeight="1">
      <c r="A51" s="523" t="s">
        <v>1329</v>
      </c>
      <c r="B51" s="62" t="s">
        <v>6</v>
      </c>
      <c r="C51" s="521" t="s">
        <v>43</v>
      </c>
      <c r="D51" s="522"/>
      <c r="E51" s="62">
        <v>55.56</v>
      </c>
      <c r="F51" s="74">
        <v>2363</v>
      </c>
      <c r="G51" s="248">
        <f t="shared" si="35"/>
        <v>131288.28</v>
      </c>
      <c r="H51" s="90" t="s">
        <v>5</v>
      </c>
      <c r="I51" s="253">
        <v>17</v>
      </c>
      <c r="J51" s="63">
        <v>2000</v>
      </c>
      <c r="K51" s="64">
        <f t="shared" si="1"/>
        <v>117.64705882352941</v>
      </c>
      <c r="L51" s="253">
        <v>17</v>
      </c>
      <c r="M51" s="65">
        <f t="shared" si="36"/>
        <v>1915.9459459459445</v>
      </c>
      <c r="N51" s="65">
        <f t="shared" si="3"/>
        <v>112.70270270270261</v>
      </c>
      <c r="O51" s="66">
        <f t="shared" si="4"/>
        <v>0</v>
      </c>
      <c r="P51" s="67">
        <f t="shared" si="5"/>
        <v>-4.9443561208267965</v>
      </c>
      <c r="Q51" s="249">
        <f t="shared" si="6"/>
        <v>0.95797297297297224</v>
      </c>
      <c r="R51" s="511"/>
      <c r="S51" s="68">
        <v>0.70833333333333337</v>
      </c>
      <c r="T51" s="68">
        <v>0.7597222222222223</v>
      </c>
      <c r="U51" s="248" t="str">
        <f t="shared" si="38"/>
        <v/>
      </c>
      <c r="V51" s="254">
        <f t="shared" si="37"/>
        <v>74.000000000000057</v>
      </c>
      <c r="W51" s="69"/>
      <c r="X51" s="69"/>
      <c r="Y51" s="245"/>
      <c r="Z51" s="246"/>
      <c r="AA51" s="66">
        <f t="shared" si="8"/>
        <v>-84.054054054055541</v>
      </c>
      <c r="AB51" s="249">
        <f t="shared" si="9"/>
        <v>0.95797297297297224</v>
      </c>
      <c r="AC51" s="511"/>
    </row>
    <row r="52" spans="1:29" ht="15.75" customHeight="1">
      <c r="A52" s="523" t="s">
        <v>1329</v>
      </c>
      <c r="B52" s="62" t="s">
        <v>6</v>
      </c>
      <c r="C52" s="251" t="s">
        <v>44</v>
      </c>
      <c r="D52" s="252"/>
      <c r="E52" s="62">
        <v>55.32</v>
      </c>
      <c r="F52" s="74">
        <v>1865</v>
      </c>
      <c r="G52" s="248">
        <f t="shared" si="35"/>
        <v>103171.8</v>
      </c>
      <c r="H52" s="90" t="s">
        <v>5</v>
      </c>
      <c r="I52" s="253">
        <v>15</v>
      </c>
      <c r="J52" s="63">
        <v>2000</v>
      </c>
      <c r="K52" s="64">
        <f t="shared" si="1"/>
        <v>133.33333333333334</v>
      </c>
      <c r="L52" s="253">
        <v>15</v>
      </c>
      <c r="M52" s="65">
        <f t="shared" si="36"/>
        <v>1929.3103448275874</v>
      </c>
      <c r="N52" s="65">
        <f t="shared" si="3"/>
        <v>128.6206896551725</v>
      </c>
      <c r="O52" s="66">
        <f t="shared" si="4"/>
        <v>0</v>
      </c>
      <c r="P52" s="67">
        <f t="shared" si="5"/>
        <v>-4.7126436781608447</v>
      </c>
      <c r="Q52" s="249">
        <f t="shared" si="6"/>
        <v>0.96465517241379362</v>
      </c>
      <c r="R52" s="511"/>
      <c r="S52" s="68">
        <v>0.76319444444444451</v>
      </c>
      <c r="T52" s="68">
        <v>0.80347222222222225</v>
      </c>
      <c r="U52" s="248">
        <f t="shared" si="38"/>
        <v>4.9999999999999822</v>
      </c>
      <c r="V52" s="254">
        <f t="shared" si="37"/>
        <v>57.999999999999957</v>
      </c>
      <c r="W52" s="69"/>
      <c r="X52" s="69"/>
      <c r="Y52" s="245"/>
      <c r="Z52" s="246"/>
      <c r="AA52" s="66">
        <f t="shared" si="8"/>
        <v>-70.689655172412586</v>
      </c>
      <c r="AB52" s="249">
        <f t="shared" si="9"/>
        <v>0.96465517241379373</v>
      </c>
      <c r="AC52" s="511"/>
    </row>
    <row r="53" spans="1:29" ht="15.75" customHeight="1">
      <c r="A53" s="523" t="s">
        <v>1329</v>
      </c>
      <c r="B53" s="62" t="s">
        <v>6</v>
      </c>
      <c r="C53" s="251" t="s">
        <v>7</v>
      </c>
      <c r="D53" s="252"/>
      <c r="E53" s="62">
        <v>46.93</v>
      </c>
      <c r="F53" s="74">
        <v>986</v>
      </c>
      <c r="G53" s="248">
        <f t="shared" si="35"/>
        <v>46272.98</v>
      </c>
      <c r="H53" s="90" t="s">
        <v>5</v>
      </c>
      <c r="I53" s="253">
        <v>16</v>
      </c>
      <c r="J53" s="63">
        <v>2000</v>
      </c>
      <c r="K53" s="64">
        <f t="shared" si="1"/>
        <v>125</v>
      </c>
      <c r="L53" s="253">
        <v>16</v>
      </c>
      <c r="M53" s="65">
        <f t="shared" si="36"/>
        <v>1908.3870967741905</v>
      </c>
      <c r="N53" s="65">
        <f t="shared" si="3"/>
        <v>119.2741935483869</v>
      </c>
      <c r="O53" s="66">
        <f t="shared" si="4"/>
        <v>0</v>
      </c>
      <c r="P53" s="67">
        <f t="shared" si="5"/>
        <v>-5.7258064516130958</v>
      </c>
      <c r="Q53" s="249">
        <f t="shared" si="6"/>
        <v>0.95419354838709525</v>
      </c>
      <c r="R53" s="511"/>
      <c r="S53" s="68">
        <v>0.80833333333333335</v>
      </c>
      <c r="T53" s="68">
        <v>0.82986111111111116</v>
      </c>
      <c r="U53" s="248">
        <f t="shared" si="38"/>
        <v>6.9999999999999751</v>
      </c>
      <c r="V53" s="254">
        <f t="shared" si="37"/>
        <v>31.00000000000005</v>
      </c>
      <c r="W53" s="69"/>
      <c r="X53" s="69"/>
      <c r="Y53" s="245"/>
      <c r="Z53" s="246"/>
      <c r="AA53" s="66">
        <f t="shared" si="8"/>
        <v>-91.612903225809532</v>
      </c>
      <c r="AB53" s="249">
        <f t="shared" si="9"/>
        <v>0.95419354838709525</v>
      </c>
      <c r="AC53" s="511"/>
    </row>
    <row r="54" spans="1:29">
      <c r="A54" s="524" t="s">
        <v>1329</v>
      </c>
      <c r="B54" s="62" t="s">
        <v>1322</v>
      </c>
      <c r="C54" s="513"/>
      <c r="D54" s="513"/>
      <c r="E54" s="250"/>
      <c r="F54" s="71"/>
      <c r="G54" s="64"/>
      <c r="H54" s="255"/>
      <c r="I54" s="72">
        <v>16.399999999999999</v>
      </c>
      <c r="J54" s="63">
        <v>2000</v>
      </c>
      <c r="K54" s="64">
        <f t="shared" si="1"/>
        <v>121.95121951219514</v>
      </c>
      <c r="L54" s="72">
        <v>16.399999999999999</v>
      </c>
      <c r="M54" s="65">
        <f>AVERAGE(M49:M53)</f>
        <v>1914.7713850035011</v>
      </c>
      <c r="N54" s="64">
        <f t="shared" si="3"/>
        <v>116.75435274411593</v>
      </c>
      <c r="O54" s="66">
        <f t="shared" si="4"/>
        <v>0</v>
      </c>
      <c r="P54" s="67">
        <f t="shared" si="5"/>
        <v>-5.1968667680792038</v>
      </c>
      <c r="Q54" s="249">
        <f t="shared" si="6"/>
        <v>0.95738569250175054</v>
      </c>
      <c r="R54" s="511"/>
      <c r="S54" s="75"/>
      <c r="T54" s="68"/>
      <c r="U54" s="64"/>
      <c r="V54" s="254"/>
      <c r="W54" s="64"/>
      <c r="X54" s="64"/>
      <c r="Y54" s="510"/>
      <c r="Z54" s="510"/>
      <c r="AA54" s="66">
        <f t="shared" si="8"/>
        <v>-85.228614996498891</v>
      </c>
      <c r="AB54" s="249">
        <f t="shared" si="9"/>
        <v>0.95738569250175054</v>
      </c>
      <c r="AC54" s="511"/>
    </row>
    <row r="55" spans="1:29" ht="15.75" customHeight="1">
      <c r="A55" s="519" t="s">
        <v>1330</v>
      </c>
      <c r="B55" s="255" t="s">
        <v>10</v>
      </c>
      <c r="C55" s="512" t="s">
        <v>46</v>
      </c>
      <c r="D55" s="512"/>
      <c r="E55" s="62">
        <v>26.97</v>
      </c>
      <c r="F55" s="74">
        <v>2810</v>
      </c>
      <c r="G55" s="248">
        <f t="shared" ref="G55:G58" si="39">E55*F55</f>
        <v>75785.7</v>
      </c>
      <c r="H55" s="90" t="s">
        <v>5</v>
      </c>
      <c r="I55" s="253">
        <v>8</v>
      </c>
      <c r="J55" s="63">
        <v>1500</v>
      </c>
      <c r="K55" s="64">
        <f t="shared" si="1"/>
        <v>187.5</v>
      </c>
      <c r="L55" s="253">
        <v>8</v>
      </c>
      <c r="M55" s="65">
        <f t="shared" ref="M55:M58" si="40">F55/V55*60</f>
        <v>1441.0256410256407</v>
      </c>
      <c r="N55" s="64">
        <f t="shared" si="3"/>
        <v>180.12820512820508</v>
      </c>
      <c r="O55" s="66">
        <f t="shared" si="4"/>
        <v>0</v>
      </c>
      <c r="P55" s="67">
        <f t="shared" si="5"/>
        <v>-7.3717948717949184</v>
      </c>
      <c r="Q55" s="249">
        <f t="shared" si="6"/>
        <v>0.96068376068376049</v>
      </c>
      <c r="R55" s="511">
        <f>Q59</f>
        <v>0.96210461182320339</v>
      </c>
      <c r="S55" s="68">
        <v>0.20833333333333334</v>
      </c>
      <c r="T55" s="68">
        <v>0.28958333333333336</v>
      </c>
      <c r="U55" s="248"/>
      <c r="V55" s="254">
        <f t="shared" ref="V55:V58" si="41">(T55-S55)*24*60</f>
        <v>117.00000000000003</v>
      </c>
      <c r="W55" s="73"/>
      <c r="X55" s="73"/>
      <c r="Y55" s="510"/>
      <c r="Z55" s="510"/>
      <c r="AA55" s="66">
        <f t="shared" si="8"/>
        <v>-58.974358974359347</v>
      </c>
      <c r="AB55" s="249">
        <f t="shared" si="9"/>
        <v>0.96068376068376049</v>
      </c>
      <c r="AC55" s="511">
        <f>AB59</f>
        <v>0.9621046118232035</v>
      </c>
    </row>
    <row r="56" spans="1:29" ht="15.75" customHeight="1">
      <c r="A56" s="519" t="s">
        <v>1330</v>
      </c>
      <c r="B56" s="255" t="s">
        <v>35</v>
      </c>
      <c r="C56" s="512" t="s">
        <v>45</v>
      </c>
      <c r="D56" s="512"/>
      <c r="E56" s="62">
        <v>26.78</v>
      </c>
      <c r="F56" s="74">
        <v>2262</v>
      </c>
      <c r="G56" s="248">
        <f t="shared" si="39"/>
        <v>60576.36</v>
      </c>
      <c r="H56" s="90" t="s">
        <v>5</v>
      </c>
      <c r="I56" s="253">
        <v>10</v>
      </c>
      <c r="J56" s="63">
        <v>3000</v>
      </c>
      <c r="K56" s="64">
        <f t="shared" si="1"/>
        <v>300</v>
      </c>
      <c r="L56" s="253">
        <v>10</v>
      </c>
      <c r="M56" s="65">
        <f t="shared" si="40"/>
        <v>2887.6595744680853</v>
      </c>
      <c r="N56" s="64">
        <f t="shared" si="3"/>
        <v>288.76595744680856</v>
      </c>
      <c r="O56" s="66">
        <f t="shared" si="4"/>
        <v>0</v>
      </c>
      <c r="P56" s="67">
        <f t="shared" si="5"/>
        <v>-11.234042553191443</v>
      </c>
      <c r="Q56" s="249">
        <f t="shared" si="6"/>
        <v>0.9625531914893618</v>
      </c>
      <c r="R56" s="511"/>
      <c r="S56" s="68">
        <v>0.2951388888888889</v>
      </c>
      <c r="T56" s="68">
        <v>0.32777777777777778</v>
      </c>
      <c r="U56" s="248">
        <f t="shared" ref="U56:U58" si="42">(S56-T55)*24*60</f>
        <v>7.9999999999999716</v>
      </c>
      <c r="V56" s="254">
        <f t="shared" si="41"/>
        <v>46.999999999999993</v>
      </c>
      <c r="W56" s="248"/>
      <c r="X56" s="248"/>
      <c r="Y56" s="510"/>
      <c r="Z56" s="510"/>
      <c r="AA56" s="66">
        <f t="shared" si="8"/>
        <v>-112.34042553191466</v>
      </c>
      <c r="AB56" s="249">
        <f t="shared" si="9"/>
        <v>0.9625531914893618</v>
      </c>
      <c r="AC56" s="511"/>
    </row>
    <row r="57" spans="1:29" ht="15.75" customHeight="1">
      <c r="A57" s="519" t="s">
        <v>1330</v>
      </c>
      <c r="B57" s="255" t="s">
        <v>35</v>
      </c>
      <c r="C57" s="512" t="s">
        <v>75</v>
      </c>
      <c r="D57" s="512"/>
      <c r="E57" s="62">
        <v>37.880000000000003</v>
      </c>
      <c r="F57" s="74">
        <v>2795</v>
      </c>
      <c r="G57" s="248">
        <f t="shared" si="39"/>
        <v>105874.6</v>
      </c>
      <c r="H57" s="90" t="s">
        <v>5</v>
      </c>
      <c r="I57" s="253">
        <v>10</v>
      </c>
      <c r="J57" s="63">
        <v>3000</v>
      </c>
      <c r="K57" s="64">
        <f t="shared" si="1"/>
        <v>300</v>
      </c>
      <c r="L57" s="253">
        <v>10</v>
      </c>
      <c r="M57" s="65">
        <f t="shared" si="40"/>
        <v>2891.3793103448261</v>
      </c>
      <c r="N57" s="64">
        <f t="shared" si="3"/>
        <v>289.13793103448262</v>
      </c>
      <c r="O57" s="66">
        <f t="shared" si="4"/>
        <v>0</v>
      </c>
      <c r="P57" s="67">
        <f t="shared" si="5"/>
        <v>-10.862068965517381</v>
      </c>
      <c r="Q57" s="249">
        <f t="shared" si="6"/>
        <v>0.9637931034482754</v>
      </c>
      <c r="R57" s="511"/>
      <c r="S57" s="68">
        <v>0.33263888888888887</v>
      </c>
      <c r="T57" s="68">
        <v>0.37291666666666667</v>
      </c>
      <c r="U57" s="248">
        <f t="shared" si="42"/>
        <v>6.9999999999999751</v>
      </c>
      <c r="V57" s="254">
        <f t="shared" si="41"/>
        <v>58.000000000000036</v>
      </c>
      <c r="W57" s="248"/>
      <c r="X57" s="248"/>
      <c r="Y57" s="510"/>
      <c r="Z57" s="510"/>
      <c r="AA57" s="66">
        <f t="shared" si="8"/>
        <v>-108.62068965517392</v>
      </c>
      <c r="AB57" s="249">
        <f t="shared" si="9"/>
        <v>0.9637931034482754</v>
      </c>
      <c r="AC57" s="511"/>
    </row>
    <row r="58" spans="1:29" ht="15.75" customHeight="1">
      <c r="A58" s="519" t="s">
        <v>1330</v>
      </c>
      <c r="B58" s="255" t="s">
        <v>35</v>
      </c>
      <c r="C58" s="512" t="s">
        <v>85</v>
      </c>
      <c r="D58" s="512"/>
      <c r="E58" s="62">
        <v>40.51</v>
      </c>
      <c r="F58" s="74">
        <v>2834</v>
      </c>
      <c r="G58" s="248">
        <f t="shared" si="39"/>
        <v>114805.34</v>
      </c>
      <c r="H58" s="90" t="s">
        <v>5</v>
      </c>
      <c r="I58" s="253">
        <v>8</v>
      </c>
      <c r="J58" s="63">
        <v>3000</v>
      </c>
      <c r="K58" s="64">
        <f t="shared" si="1"/>
        <v>375</v>
      </c>
      <c r="L58" s="253">
        <v>8</v>
      </c>
      <c r="M58" s="65">
        <f t="shared" si="40"/>
        <v>2882.0338983050838</v>
      </c>
      <c r="N58" s="64">
        <f t="shared" si="3"/>
        <v>360.25423728813547</v>
      </c>
      <c r="O58" s="66">
        <f t="shared" si="4"/>
        <v>0</v>
      </c>
      <c r="P58" s="67">
        <f t="shared" si="5"/>
        <v>-14.745762711864529</v>
      </c>
      <c r="Q58" s="249">
        <f t="shared" si="6"/>
        <v>0.96067796610169454</v>
      </c>
      <c r="R58" s="511"/>
      <c r="S58" s="68">
        <v>0.37847222222222221</v>
      </c>
      <c r="T58" s="68">
        <v>0.41944444444444445</v>
      </c>
      <c r="U58" s="248">
        <f t="shared" si="42"/>
        <v>7.9999999999999716</v>
      </c>
      <c r="V58" s="254">
        <f t="shared" si="41"/>
        <v>59.000000000000028</v>
      </c>
      <c r="W58" s="248"/>
      <c r="X58" s="248"/>
      <c r="Y58" s="510"/>
      <c r="Z58" s="510"/>
      <c r="AA58" s="66">
        <f t="shared" si="8"/>
        <v>-117.96610169491623</v>
      </c>
      <c r="AB58" s="249">
        <f t="shared" si="9"/>
        <v>0.96067796610169454</v>
      </c>
      <c r="AC58" s="511"/>
    </row>
    <row r="59" spans="1:29">
      <c r="A59" s="520" t="s">
        <v>1330</v>
      </c>
      <c r="B59" s="62" t="s">
        <v>1322</v>
      </c>
      <c r="C59" s="513"/>
      <c r="D59" s="513"/>
      <c r="E59" s="250"/>
      <c r="F59" s="71"/>
      <c r="G59" s="64"/>
      <c r="H59" s="255"/>
      <c r="I59" s="72">
        <v>9</v>
      </c>
      <c r="J59" s="63">
        <v>2625</v>
      </c>
      <c r="K59" s="64">
        <f t="shared" si="1"/>
        <v>291.66666666666669</v>
      </c>
      <c r="L59" s="72">
        <v>9</v>
      </c>
      <c r="M59" s="65">
        <f>AVERAGE(M55:M58)</f>
        <v>2525.5246060359091</v>
      </c>
      <c r="N59" s="64">
        <f t="shared" si="3"/>
        <v>280.61384511510101</v>
      </c>
      <c r="O59" s="66">
        <f t="shared" si="4"/>
        <v>0</v>
      </c>
      <c r="P59" s="67">
        <f t="shared" si="5"/>
        <v>-11.052821551565671</v>
      </c>
      <c r="Q59" s="249">
        <f t="shared" si="6"/>
        <v>0.96210461182320339</v>
      </c>
      <c r="R59" s="511"/>
      <c r="S59" s="68"/>
      <c r="T59" s="68"/>
      <c r="U59" s="64"/>
      <c r="V59" s="254"/>
      <c r="W59" s="64"/>
      <c r="X59" s="64"/>
      <c r="Y59" s="510"/>
      <c r="Z59" s="510"/>
      <c r="AA59" s="66">
        <f t="shared" si="8"/>
        <v>-99.475393964090927</v>
      </c>
      <c r="AB59" s="249">
        <f t="shared" si="9"/>
        <v>0.9621046118232035</v>
      </c>
      <c r="AC59" s="511"/>
    </row>
    <row r="60" spans="1:29" ht="15.75" customHeight="1">
      <c r="A60" s="514" t="s">
        <v>1331</v>
      </c>
      <c r="B60" s="255" t="s">
        <v>16</v>
      </c>
      <c r="C60" s="512" t="s">
        <v>48</v>
      </c>
      <c r="D60" s="512"/>
      <c r="E60" s="62">
        <v>20.2</v>
      </c>
      <c r="F60" s="255">
        <v>1812</v>
      </c>
      <c r="G60" s="248">
        <f t="shared" ref="G60:G65" si="43">E60*F60</f>
        <v>36602.400000000001</v>
      </c>
      <c r="H60" s="90" t="s">
        <v>5</v>
      </c>
      <c r="I60" s="253">
        <v>19</v>
      </c>
      <c r="J60" s="63">
        <v>2400</v>
      </c>
      <c r="K60" s="64">
        <f t="shared" si="1"/>
        <v>126.31578947368421</v>
      </c>
      <c r="L60" s="253">
        <v>19</v>
      </c>
      <c r="M60" s="65">
        <f t="shared" ref="M60:M65" si="44">F60/V60*60</f>
        <v>2313.1914893617013</v>
      </c>
      <c r="N60" s="64">
        <f t="shared" si="3"/>
        <v>121.74692049272112</v>
      </c>
      <c r="O60" s="66">
        <f t="shared" si="4"/>
        <v>0</v>
      </c>
      <c r="P60" s="67">
        <f t="shared" si="5"/>
        <v>-4.5688689809630887</v>
      </c>
      <c r="Q60" s="249">
        <f t="shared" si="6"/>
        <v>0.96382978723404222</v>
      </c>
      <c r="R60" s="511">
        <f>Q66</f>
        <v>0.95964585041762873</v>
      </c>
      <c r="S60" s="68">
        <v>8.3333333333333329E-2</v>
      </c>
      <c r="T60" s="68">
        <v>0.11597222222222223</v>
      </c>
      <c r="U60" s="73"/>
      <c r="V60" s="254">
        <f t="shared" ref="V60:V65" si="45">(T60-S60)*24*60</f>
        <v>47.000000000000014</v>
      </c>
      <c r="W60" s="69">
        <f>T60</f>
        <v>0.11597222222222223</v>
      </c>
      <c r="X60" s="69">
        <f>S61</f>
        <v>0.13611111111111113</v>
      </c>
      <c r="Y60" s="510"/>
      <c r="Z60" s="510"/>
      <c r="AA60" s="66">
        <f t="shared" si="8"/>
        <v>-86.808510638298685</v>
      </c>
      <c r="AB60" s="249">
        <f t="shared" si="9"/>
        <v>0.96382978723404222</v>
      </c>
      <c r="AC60" s="511">
        <f>AB66</f>
        <v>0.95964585041762873</v>
      </c>
    </row>
    <row r="61" spans="1:29" ht="15.75" customHeight="1">
      <c r="A61" s="515" t="s">
        <v>1331</v>
      </c>
      <c r="B61" s="255" t="s">
        <v>16</v>
      </c>
      <c r="C61" s="512" t="s">
        <v>51</v>
      </c>
      <c r="D61" s="512"/>
      <c r="E61" s="62">
        <v>24.25</v>
      </c>
      <c r="F61" s="255">
        <v>1997</v>
      </c>
      <c r="G61" s="248">
        <f t="shared" si="43"/>
        <v>48427.25</v>
      </c>
      <c r="H61" s="90" t="s">
        <v>5</v>
      </c>
      <c r="I61" s="253">
        <v>17</v>
      </c>
      <c r="J61" s="63">
        <v>2400</v>
      </c>
      <c r="K61" s="64">
        <f t="shared" si="1"/>
        <v>141.1764705882353</v>
      </c>
      <c r="L61" s="253">
        <v>17</v>
      </c>
      <c r="M61" s="65">
        <f t="shared" si="44"/>
        <v>2304.2307692307686</v>
      </c>
      <c r="N61" s="64">
        <f t="shared" si="3"/>
        <v>135.54298642533934</v>
      </c>
      <c r="O61" s="66">
        <f t="shared" si="4"/>
        <v>0</v>
      </c>
      <c r="P61" s="67">
        <f t="shared" si="5"/>
        <v>-5.633484162895968</v>
      </c>
      <c r="Q61" s="249">
        <f t="shared" si="6"/>
        <v>0.96009615384615354</v>
      </c>
      <c r="R61" s="511"/>
      <c r="S61" s="68">
        <v>0.13611111111111113</v>
      </c>
      <c r="T61" s="68">
        <v>0.17222222222222225</v>
      </c>
      <c r="U61" s="248">
        <f t="shared" ref="U61:U65" si="46">(S61-T60)*24*60</f>
        <v>29.000000000000018</v>
      </c>
      <c r="V61" s="254">
        <f t="shared" si="45"/>
        <v>52.000000000000014</v>
      </c>
      <c r="W61" s="69"/>
      <c r="X61" s="69"/>
      <c r="Y61" s="510"/>
      <c r="Z61" s="510"/>
      <c r="AA61" s="66">
        <f t="shared" si="8"/>
        <v>-95.769230769231399</v>
      </c>
      <c r="AB61" s="249">
        <f t="shared" si="9"/>
        <v>0.96009615384615354</v>
      </c>
      <c r="AC61" s="511"/>
    </row>
    <row r="62" spans="1:29" ht="15.75" customHeight="1">
      <c r="A62" s="515" t="s">
        <v>1331</v>
      </c>
      <c r="B62" s="255" t="s">
        <v>16</v>
      </c>
      <c r="C62" s="512" t="s">
        <v>17</v>
      </c>
      <c r="D62" s="512"/>
      <c r="E62" s="62">
        <v>24.45</v>
      </c>
      <c r="F62" s="255">
        <v>1862</v>
      </c>
      <c r="G62" s="248">
        <f t="shared" si="43"/>
        <v>45525.9</v>
      </c>
      <c r="H62" s="90" t="s">
        <v>5</v>
      </c>
      <c r="I62" s="253">
        <v>20</v>
      </c>
      <c r="J62" s="63">
        <v>2400</v>
      </c>
      <c r="K62" s="64">
        <f t="shared" si="1"/>
        <v>120</v>
      </c>
      <c r="L62" s="253">
        <v>20</v>
      </c>
      <c r="M62" s="65">
        <f t="shared" si="44"/>
        <v>2327.5000000000009</v>
      </c>
      <c r="N62" s="64">
        <f t="shared" si="3"/>
        <v>116.37500000000004</v>
      </c>
      <c r="O62" s="66">
        <f t="shared" si="4"/>
        <v>0</v>
      </c>
      <c r="P62" s="67">
        <f t="shared" si="5"/>
        <v>-3.6249999999999574</v>
      </c>
      <c r="Q62" s="249">
        <f t="shared" si="6"/>
        <v>0.96979166666666705</v>
      </c>
      <c r="R62" s="511"/>
      <c r="S62" s="68">
        <v>0.17777777777777781</v>
      </c>
      <c r="T62" s="68">
        <v>0.21111111111111114</v>
      </c>
      <c r="U62" s="248">
        <f t="shared" si="46"/>
        <v>8.0000000000000107</v>
      </c>
      <c r="V62" s="254">
        <f t="shared" si="45"/>
        <v>47.999999999999986</v>
      </c>
      <c r="W62" s="69"/>
      <c r="X62" s="69"/>
      <c r="Y62" s="510"/>
      <c r="Z62" s="510"/>
      <c r="AA62" s="66">
        <f t="shared" si="8"/>
        <v>-72.499999999999091</v>
      </c>
      <c r="AB62" s="249">
        <f t="shared" si="9"/>
        <v>0.96979166666666705</v>
      </c>
      <c r="AC62" s="511"/>
    </row>
    <row r="63" spans="1:29" ht="15.75" customHeight="1">
      <c r="A63" s="515" t="s">
        <v>1331</v>
      </c>
      <c r="B63" s="255" t="s">
        <v>16</v>
      </c>
      <c r="C63" s="512" t="s">
        <v>34</v>
      </c>
      <c r="D63" s="512"/>
      <c r="E63" s="62">
        <v>24.25</v>
      </c>
      <c r="F63" s="255">
        <v>2756</v>
      </c>
      <c r="G63" s="248">
        <f t="shared" si="43"/>
        <v>66833</v>
      </c>
      <c r="H63" s="90" t="s">
        <v>5</v>
      </c>
      <c r="I63" s="253">
        <v>13</v>
      </c>
      <c r="J63" s="63">
        <v>2400</v>
      </c>
      <c r="K63" s="64">
        <f t="shared" si="1"/>
        <v>184.61538461538461</v>
      </c>
      <c r="L63" s="253">
        <v>13</v>
      </c>
      <c r="M63" s="65">
        <f t="shared" si="44"/>
        <v>2296.6666666666661</v>
      </c>
      <c r="N63" s="64">
        <f t="shared" si="3"/>
        <v>176.66666666666663</v>
      </c>
      <c r="O63" s="66">
        <f t="shared" si="4"/>
        <v>0</v>
      </c>
      <c r="P63" s="67">
        <f t="shared" si="5"/>
        <v>-7.9487179487179844</v>
      </c>
      <c r="Q63" s="249">
        <f t="shared" si="6"/>
        <v>0.95694444444444426</v>
      </c>
      <c r="R63" s="511"/>
      <c r="S63" s="68">
        <v>0.21527777777777782</v>
      </c>
      <c r="T63" s="68">
        <v>0.26527777777777783</v>
      </c>
      <c r="U63" s="248">
        <f t="shared" si="46"/>
        <v>6.0000000000000187</v>
      </c>
      <c r="V63" s="254">
        <f t="shared" si="45"/>
        <v>72.000000000000028</v>
      </c>
      <c r="W63" s="69"/>
      <c r="X63" s="69"/>
      <c r="Y63" s="510"/>
      <c r="Z63" s="510"/>
      <c r="AA63" s="66">
        <f t="shared" si="8"/>
        <v>-103.33333333333394</v>
      </c>
      <c r="AB63" s="249">
        <f t="shared" si="9"/>
        <v>0.95694444444444415</v>
      </c>
      <c r="AC63" s="511"/>
    </row>
    <row r="64" spans="1:29" ht="15.75" customHeight="1">
      <c r="A64" s="515" t="s">
        <v>1331</v>
      </c>
      <c r="B64" s="255" t="s">
        <v>16</v>
      </c>
      <c r="C64" s="512" t="s">
        <v>26</v>
      </c>
      <c r="D64" s="512"/>
      <c r="E64" s="62">
        <v>20.52</v>
      </c>
      <c r="F64" s="255">
        <v>2751</v>
      </c>
      <c r="G64" s="248">
        <f t="shared" si="43"/>
        <v>56450.52</v>
      </c>
      <c r="H64" s="90" t="s">
        <v>5</v>
      </c>
      <c r="I64" s="253">
        <v>18</v>
      </c>
      <c r="J64" s="63">
        <v>2400</v>
      </c>
      <c r="K64" s="64">
        <f t="shared" si="1"/>
        <v>133.33333333333334</v>
      </c>
      <c r="L64" s="253">
        <v>18</v>
      </c>
      <c r="M64" s="65">
        <f t="shared" si="44"/>
        <v>2292.5000000000005</v>
      </c>
      <c r="N64" s="64">
        <f t="shared" si="3"/>
        <v>127.36111111111114</v>
      </c>
      <c r="O64" s="66">
        <f t="shared" si="4"/>
        <v>0</v>
      </c>
      <c r="P64" s="67">
        <f t="shared" si="5"/>
        <v>-5.9722222222222001</v>
      </c>
      <c r="Q64" s="249">
        <f t="shared" si="6"/>
        <v>0.95520833333333355</v>
      </c>
      <c r="R64" s="511"/>
      <c r="S64" s="68">
        <v>0.27013888888888893</v>
      </c>
      <c r="T64" s="68">
        <v>0.32013888888888892</v>
      </c>
      <c r="U64" s="248">
        <f t="shared" si="46"/>
        <v>6.9999999999999751</v>
      </c>
      <c r="V64" s="254">
        <f t="shared" si="45"/>
        <v>71.999999999999986</v>
      </c>
      <c r="W64" s="69"/>
      <c r="X64" s="69"/>
      <c r="Y64" s="510"/>
      <c r="Z64" s="510"/>
      <c r="AA64" s="66">
        <f t="shared" si="8"/>
        <v>-107.49999999999955</v>
      </c>
      <c r="AB64" s="249">
        <f t="shared" si="9"/>
        <v>0.95520833333333355</v>
      </c>
      <c r="AC64" s="511"/>
    </row>
    <row r="65" spans="1:29" ht="15.75" customHeight="1">
      <c r="A65" s="515" t="s">
        <v>1331</v>
      </c>
      <c r="B65" s="255" t="s">
        <v>16</v>
      </c>
      <c r="C65" s="512" t="s">
        <v>49</v>
      </c>
      <c r="D65" s="512"/>
      <c r="E65" s="62">
        <v>19.02</v>
      </c>
      <c r="F65" s="255">
        <v>8073</v>
      </c>
      <c r="G65" s="248">
        <f t="shared" si="43"/>
        <v>153548.46</v>
      </c>
      <c r="H65" s="90" t="s">
        <v>5</v>
      </c>
      <c r="I65" s="253">
        <v>15</v>
      </c>
      <c r="J65" s="63">
        <v>2400</v>
      </c>
      <c r="K65" s="64">
        <f t="shared" si="1"/>
        <v>160</v>
      </c>
      <c r="L65" s="253">
        <v>15</v>
      </c>
      <c r="M65" s="65">
        <f t="shared" si="44"/>
        <v>2284.8113207547171</v>
      </c>
      <c r="N65" s="64">
        <f t="shared" si="3"/>
        <v>152.32075471698116</v>
      </c>
      <c r="O65" s="66">
        <f t="shared" si="4"/>
        <v>0</v>
      </c>
      <c r="P65" s="67">
        <f t="shared" si="5"/>
        <v>-7.6792452830188438</v>
      </c>
      <c r="Q65" s="249">
        <f t="shared" si="6"/>
        <v>0.9520047169811322</v>
      </c>
      <c r="R65" s="511"/>
      <c r="S65" s="68">
        <v>0.32430555555555557</v>
      </c>
      <c r="T65" s="68">
        <v>0.47152777777777777</v>
      </c>
      <c r="U65" s="248">
        <f t="shared" si="46"/>
        <v>5.9999999999999787</v>
      </c>
      <c r="V65" s="254">
        <f t="shared" si="45"/>
        <v>211.99999999999997</v>
      </c>
      <c r="W65" s="69"/>
      <c r="X65" s="69"/>
      <c r="Y65" s="510"/>
      <c r="Z65" s="510"/>
      <c r="AA65" s="66">
        <f t="shared" si="8"/>
        <v>-115.18867924528286</v>
      </c>
      <c r="AB65" s="249">
        <f t="shared" si="9"/>
        <v>0.95200471698113209</v>
      </c>
      <c r="AC65" s="511"/>
    </row>
    <row r="66" spans="1:29" ht="16.5" customHeight="1">
      <c r="A66" s="516" t="s">
        <v>1331</v>
      </c>
      <c r="B66" s="62" t="s">
        <v>1322</v>
      </c>
      <c r="C66" s="508"/>
      <c r="D66" s="509"/>
      <c r="E66" s="250"/>
      <c r="F66" s="71"/>
      <c r="G66" s="64"/>
      <c r="H66" s="255"/>
      <c r="I66" s="72">
        <v>17</v>
      </c>
      <c r="J66" s="63">
        <v>2400</v>
      </c>
      <c r="K66" s="64">
        <f t="shared" si="1"/>
        <v>141.1764705882353</v>
      </c>
      <c r="L66" s="72">
        <v>17</v>
      </c>
      <c r="M66" s="65">
        <f>AVERAGE(M60:M65)</f>
        <v>2303.1500410023091</v>
      </c>
      <c r="N66" s="64">
        <f t="shared" si="3"/>
        <v>135.47941417660641</v>
      </c>
      <c r="O66" s="66">
        <f t="shared" si="4"/>
        <v>0</v>
      </c>
      <c r="P66" s="67">
        <f t="shared" si="5"/>
        <v>-5.6970564116288926</v>
      </c>
      <c r="Q66" s="249">
        <f t="shared" si="6"/>
        <v>0.95964585041762873</v>
      </c>
      <c r="R66" s="511"/>
      <c r="S66" s="68"/>
      <c r="T66" s="68"/>
      <c r="U66" s="64"/>
      <c r="V66" s="254"/>
      <c r="W66" s="64"/>
      <c r="X66" s="64"/>
      <c r="Y66" s="510"/>
      <c r="Z66" s="510"/>
      <c r="AA66" s="66">
        <f t="shared" si="8"/>
        <v>-96.849958997690919</v>
      </c>
      <c r="AB66" s="249">
        <f t="shared" si="9"/>
        <v>0.95964585041762873</v>
      </c>
      <c r="AC66" s="511"/>
    </row>
    <row r="67" spans="1:29">
      <c r="D67" s="76"/>
      <c r="E67" s="76"/>
    </row>
  </sheetData>
  <mergeCells count="18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A27:A34"/>
    <mergeCell ref="C27:D27"/>
    <mergeCell ref="R27:R34"/>
    <mergeCell ref="Y27:Z27"/>
    <mergeCell ref="Y32:Z32"/>
    <mergeCell ref="AC27:AC34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C34:D34"/>
    <mergeCell ref="Y34:Z34"/>
    <mergeCell ref="A35:A40"/>
    <mergeCell ref="C35:D35"/>
    <mergeCell ref="R35:R40"/>
    <mergeCell ref="Y35:Z35"/>
    <mergeCell ref="Y40:Z40"/>
    <mergeCell ref="AC41:AC48"/>
    <mergeCell ref="C42:D42"/>
    <mergeCell ref="Y42:Z42"/>
    <mergeCell ref="C43:D43"/>
    <mergeCell ref="Y43:Z43"/>
    <mergeCell ref="C44:D44"/>
    <mergeCell ref="AC35:AC40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8:D48"/>
    <mergeCell ref="Y48:Z48"/>
    <mergeCell ref="A49:A54"/>
    <mergeCell ref="C49:D49"/>
    <mergeCell ref="R49:R54"/>
    <mergeCell ref="Y49:Z49"/>
    <mergeCell ref="Y44:Z44"/>
    <mergeCell ref="C45:D45"/>
    <mergeCell ref="Y45:Z45"/>
    <mergeCell ref="C46:D46"/>
    <mergeCell ref="Y46:Z46"/>
    <mergeCell ref="C47:D47"/>
    <mergeCell ref="Y47:Z47"/>
    <mergeCell ref="A41:A48"/>
    <mergeCell ref="C41:D41"/>
    <mergeCell ref="R41:R48"/>
    <mergeCell ref="Y41:Z41"/>
    <mergeCell ref="AC55:AC59"/>
    <mergeCell ref="C56:D56"/>
    <mergeCell ref="Y56:Z56"/>
    <mergeCell ref="C57:D57"/>
    <mergeCell ref="Y57:Z57"/>
    <mergeCell ref="C58:D58"/>
    <mergeCell ref="AC49:AC54"/>
    <mergeCell ref="C50:D50"/>
    <mergeCell ref="Y50:Z50"/>
    <mergeCell ref="C51:D51"/>
    <mergeCell ref="C54:D54"/>
    <mergeCell ref="Y54:Z54"/>
    <mergeCell ref="Y58:Z58"/>
    <mergeCell ref="C59:D59"/>
    <mergeCell ref="Y59:Z59"/>
    <mergeCell ref="A60:A66"/>
    <mergeCell ref="C60:D60"/>
    <mergeCell ref="R60:R66"/>
    <mergeCell ref="Y60:Z60"/>
    <mergeCell ref="Y65:Z65"/>
    <mergeCell ref="C66:D66"/>
    <mergeCell ref="Y66:Z66"/>
    <mergeCell ref="A55:A59"/>
    <mergeCell ref="C55:D55"/>
    <mergeCell ref="R55:R59"/>
    <mergeCell ref="Y55:Z55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58:O66 O5:O9 O11:O13 O48:O55 O17:O46">
    <cfRule type="cellIs" dxfId="1289" priority="45" operator="greaterThan">
      <formula>0</formula>
    </cfRule>
  </conditionalFormatting>
  <conditionalFormatting sqref="P5:P7 P58 AA58 P60:P65 P27:P33 P55 P9 P11:P13 P18:P25 P49:P53 P35:P46 AA5:AA55 AA60:AA66">
    <cfRule type="cellIs" dxfId="1288" priority="49" operator="lessThan">
      <formula>0</formula>
    </cfRule>
  </conditionalFormatting>
  <conditionalFormatting sqref="AB58 Q58:Q66 Q5:Q9 Q11:Q13 Q48:Q55 Q17:Q46 AB5:AB55 AB60:AB66">
    <cfRule type="cellIs" dxfId="1287" priority="46" operator="greaterThan">
      <formula>1</formula>
    </cfRule>
    <cfRule type="cellIs" dxfId="1286" priority="47" operator="lessThan">
      <formula>0.8</formula>
    </cfRule>
  </conditionalFormatting>
  <conditionalFormatting sqref="AC12:AC13 R12:R13 AC58 R17:R23 AC17:AC23 R58:R66 AC5:AC9 R5:R9 R26:R46 AC26:AC46 AC48:AC55 R48:R55">
    <cfRule type="cellIs" dxfId="1285" priority="51" operator="lessThan">
      <formula>0.8</formula>
    </cfRule>
  </conditionalFormatting>
  <conditionalFormatting sqref="AC41">
    <cfRule type="cellIs" dxfId="1284" priority="53" operator="lessThan">
      <formula>0.8</formula>
    </cfRule>
  </conditionalFormatting>
  <conditionalFormatting sqref="AC18:AC23">
    <cfRule type="cellIs" dxfId="1283" priority="50" operator="lessThan">
      <formula>0.8</formula>
    </cfRule>
  </conditionalFormatting>
  <conditionalFormatting sqref="AC27">
    <cfRule type="cellIs" dxfId="1282" priority="52" operator="lessThan">
      <formula>0.8</formula>
    </cfRule>
  </conditionalFormatting>
  <conditionalFormatting sqref="AC35:AC39">
    <cfRule type="cellIs" dxfId="1281" priority="48" operator="lessThan">
      <formula>0.8</formula>
    </cfRule>
  </conditionalFormatting>
  <conditionalFormatting sqref="AA59">
    <cfRule type="cellIs" dxfId="1280" priority="44" operator="lessThan">
      <formula>0</formula>
    </cfRule>
  </conditionalFormatting>
  <conditionalFormatting sqref="AB59">
    <cfRule type="cellIs" dxfId="1279" priority="42" operator="greaterThan">
      <formula>1</formula>
    </cfRule>
    <cfRule type="cellIs" dxfId="1278" priority="43" operator="lessThan">
      <formula>0.8</formula>
    </cfRule>
  </conditionalFormatting>
  <conditionalFormatting sqref="O14:O15">
    <cfRule type="cellIs" dxfId="1277" priority="37" operator="greaterThan">
      <formula>0</formula>
    </cfRule>
  </conditionalFormatting>
  <conditionalFormatting sqref="P14:P15">
    <cfRule type="cellIs" dxfId="1276" priority="40" operator="lessThan">
      <formula>0</formula>
    </cfRule>
  </conditionalFormatting>
  <conditionalFormatting sqref="Q14:Q15">
    <cfRule type="cellIs" dxfId="1275" priority="38" operator="greaterThan">
      <formula>1</formula>
    </cfRule>
    <cfRule type="cellIs" dxfId="1274" priority="39" operator="lessThan">
      <formula>0.8</formula>
    </cfRule>
  </conditionalFormatting>
  <conditionalFormatting sqref="R14:R15 AC14:AC15">
    <cfRule type="cellIs" dxfId="1273" priority="41" operator="lessThan">
      <formula>0.8</formula>
    </cfRule>
  </conditionalFormatting>
  <conditionalFormatting sqref="O10">
    <cfRule type="cellIs" dxfId="1272" priority="33" operator="greaterThan">
      <formula>0</formula>
    </cfRule>
  </conditionalFormatting>
  <conditionalFormatting sqref="P10">
    <cfRule type="cellIs" dxfId="1271" priority="36" operator="lessThan">
      <formula>0</formula>
    </cfRule>
  </conditionalFormatting>
  <conditionalFormatting sqref="Q10">
    <cfRule type="cellIs" dxfId="1270" priority="34" operator="greaterThan">
      <formula>1</formula>
    </cfRule>
    <cfRule type="cellIs" dxfId="1269" priority="35" operator="lessThan">
      <formula>0.8</formula>
    </cfRule>
  </conditionalFormatting>
  <conditionalFormatting sqref="AC25 R25">
    <cfRule type="cellIs" dxfId="1268" priority="32" operator="lessThan">
      <formula>0.8</formula>
    </cfRule>
  </conditionalFormatting>
  <conditionalFormatting sqref="O57">
    <cfRule type="cellIs" dxfId="1267" priority="27" operator="greaterThan">
      <formula>0</formula>
    </cfRule>
  </conditionalFormatting>
  <conditionalFormatting sqref="P57 AA57">
    <cfRule type="cellIs" dxfId="1266" priority="30" operator="lessThan">
      <formula>0</formula>
    </cfRule>
  </conditionalFormatting>
  <conditionalFormatting sqref="Q57 AB57">
    <cfRule type="cellIs" dxfId="1265" priority="28" operator="greaterThan">
      <formula>1</formula>
    </cfRule>
    <cfRule type="cellIs" dxfId="1264" priority="29" operator="lessThan">
      <formula>0.8</formula>
    </cfRule>
  </conditionalFormatting>
  <conditionalFormatting sqref="R57 AC57">
    <cfRule type="cellIs" dxfId="1263" priority="31" operator="lessThan">
      <formula>0.8</formula>
    </cfRule>
  </conditionalFormatting>
  <conditionalFormatting sqref="O16">
    <cfRule type="cellIs" dxfId="1262" priority="22" operator="greaterThan">
      <formula>0</formula>
    </cfRule>
  </conditionalFormatting>
  <conditionalFormatting sqref="P16">
    <cfRule type="cellIs" dxfId="1261" priority="25" operator="lessThan">
      <formula>0</formula>
    </cfRule>
  </conditionalFormatting>
  <conditionalFormatting sqref="Q16">
    <cfRule type="cellIs" dxfId="1260" priority="23" operator="greaterThan">
      <formula>1</formula>
    </cfRule>
    <cfRule type="cellIs" dxfId="1259" priority="24" operator="lessThan">
      <formula>0.8</formula>
    </cfRule>
  </conditionalFormatting>
  <conditionalFormatting sqref="R16 AC16">
    <cfRule type="cellIs" dxfId="1258" priority="26" operator="lessThan">
      <formula>0.8</formula>
    </cfRule>
  </conditionalFormatting>
  <conditionalFormatting sqref="O47">
    <cfRule type="cellIs" dxfId="1257" priority="16" operator="greaterThan">
      <formula>0</formula>
    </cfRule>
  </conditionalFormatting>
  <conditionalFormatting sqref="P47">
    <cfRule type="cellIs" dxfId="1256" priority="20" operator="lessThan">
      <formula>0</formula>
    </cfRule>
  </conditionalFormatting>
  <conditionalFormatting sqref="Q47">
    <cfRule type="cellIs" dxfId="1255" priority="17" operator="greaterThan">
      <formula>1</formula>
    </cfRule>
    <cfRule type="cellIs" dxfId="1254" priority="18" operator="lessThan">
      <formula>0.8</formula>
    </cfRule>
  </conditionalFormatting>
  <conditionalFormatting sqref="R47 AC47">
    <cfRule type="cellIs" dxfId="1253" priority="21" operator="lessThan">
      <formula>0.8</formula>
    </cfRule>
  </conditionalFormatting>
  <conditionalFormatting sqref="AC47">
    <cfRule type="cellIs" dxfId="1252" priority="19" operator="lessThan">
      <formula>0.8</formula>
    </cfRule>
  </conditionalFormatting>
  <conditionalFormatting sqref="R24 AC24">
    <cfRule type="cellIs" dxfId="1251" priority="15" operator="lessThan">
      <formula>0.8</formula>
    </cfRule>
  </conditionalFormatting>
  <conditionalFormatting sqref="AC24">
    <cfRule type="cellIs" dxfId="1250" priority="14" operator="lessThan">
      <formula>0.8</formula>
    </cfRule>
  </conditionalFormatting>
  <conditionalFormatting sqref="O56">
    <cfRule type="cellIs" dxfId="1249" priority="9" operator="greaterThan">
      <formula>0</formula>
    </cfRule>
  </conditionalFormatting>
  <conditionalFormatting sqref="P56 AA56">
    <cfRule type="cellIs" dxfId="1248" priority="12" operator="lessThan">
      <formula>0</formula>
    </cfRule>
  </conditionalFormatting>
  <conditionalFormatting sqref="Q56 AB56">
    <cfRule type="cellIs" dxfId="1247" priority="10" operator="greaterThan">
      <formula>1</formula>
    </cfRule>
    <cfRule type="cellIs" dxfId="1246" priority="11" operator="lessThan">
      <formula>0.8</formula>
    </cfRule>
  </conditionalFormatting>
  <conditionalFormatting sqref="R56 AC56">
    <cfRule type="cellIs" dxfId="1245" priority="13" operator="lessThan">
      <formula>0.8</formula>
    </cfRule>
  </conditionalFormatting>
  <conditionalFormatting sqref="P8">
    <cfRule type="cellIs" dxfId="1244" priority="8" operator="lessThan">
      <formula>0</formula>
    </cfRule>
  </conditionalFormatting>
  <conditionalFormatting sqref="P17">
    <cfRule type="cellIs" dxfId="1243" priority="7" operator="lessThan">
      <formula>0</formula>
    </cfRule>
  </conditionalFormatting>
  <conditionalFormatting sqref="P26">
    <cfRule type="cellIs" dxfId="1242" priority="6" operator="lessThan">
      <formula>0</formula>
    </cfRule>
  </conditionalFormatting>
  <conditionalFormatting sqref="P34">
    <cfRule type="cellIs" dxfId="1241" priority="5" operator="lessThan">
      <formula>0</formula>
    </cfRule>
  </conditionalFormatting>
  <conditionalFormatting sqref="P48">
    <cfRule type="cellIs" dxfId="1240" priority="4" operator="lessThan">
      <formula>0</formula>
    </cfRule>
  </conditionalFormatting>
  <conditionalFormatting sqref="P54">
    <cfRule type="cellIs" dxfId="1239" priority="3" operator="lessThan">
      <formula>0</formula>
    </cfRule>
  </conditionalFormatting>
  <conditionalFormatting sqref="P59">
    <cfRule type="cellIs" dxfId="1238" priority="2" operator="lessThan">
      <formula>0</formula>
    </cfRule>
  </conditionalFormatting>
  <conditionalFormatting sqref="P66">
    <cfRule type="cellIs" dxfId="1237" priority="1" operator="lessThan">
      <formula>0</formula>
    </cfRule>
  </conditionalFormatting>
  <dataValidations count="1">
    <dataValidation type="list" allowBlank="1" showInputMessage="1" showErrorMessage="1" sqref="Z8 Y5:Z7 Y8:Y58 Z10:Z55 Y59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J67" sqref="J6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1179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1180</v>
      </c>
      <c r="C3" s="497" t="str">
        <f>TEXT('1114 4度C'!A2,"yyyy.mm.ddaaaa")</f>
        <v>2025.11.14星期五</v>
      </c>
      <c r="D3" s="498"/>
      <c r="E3" s="4" t="s">
        <v>1181</v>
      </c>
      <c r="F3" s="499">
        <f>'1114 4度C'!D1</f>
        <v>145069</v>
      </c>
      <c r="G3" s="500"/>
      <c r="H3" s="4" t="s">
        <v>1182</v>
      </c>
      <c r="I3" s="501">
        <f>'1114 4度C'!F1</f>
        <v>4927415.42</v>
      </c>
      <c r="J3" s="502"/>
      <c r="K3" s="5"/>
      <c r="L3" s="6"/>
      <c r="M3" s="7"/>
      <c r="N3" s="7"/>
    </row>
    <row r="4" spans="2:17" ht="28.5" customHeight="1">
      <c r="B4" s="503" t="s">
        <v>91</v>
      </c>
      <c r="C4" s="485" t="s">
        <v>1183</v>
      </c>
      <c r="D4" s="486"/>
      <c r="E4" s="506" t="s">
        <v>1184</v>
      </c>
      <c r="F4" s="507"/>
      <c r="G4" s="506" t="s">
        <v>1185</v>
      </c>
      <c r="H4" s="507"/>
      <c r="I4" s="506" t="s">
        <v>1186</v>
      </c>
      <c r="J4" s="507"/>
      <c r="L4" s="7"/>
      <c r="M4" s="7"/>
      <c r="N4" s="7"/>
    </row>
    <row r="5" spans="2:17" ht="28.5" customHeight="1">
      <c r="B5" s="504"/>
      <c r="C5" s="485" t="s">
        <v>1187</v>
      </c>
      <c r="D5" s="486"/>
      <c r="E5" s="485" t="s">
        <v>1188</v>
      </c>
      <c r="F5" s="486"/>
      <c r="G5" s="487" t="s">
        <v>98</v>
      </c>
      <c r="H5" s="488"/>
      <c r="I5" s="489" t="s">
        <v>1189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154.25083406364564</v>
      </c>
      <c r="F6" s="492">
        <f>AVERAGE(D27:O27,D13:J13)</f>
        <v>160.51340857524949</v>
      </c>
      <c r="G6" s="493">
        <f>AVERAGE(D13:J13)</f>
        <v>160.51340857524949</v>
      </c>
      <c r="H6" s="494"/>
      <c r="I6" s="493">
        <f>AVERAGE(K13:M13)</f>
        <v>139.63816020323662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147.88958907026202</v>
      </c>
      <c r="F7" s="478">
        <f>AVERAGE(D28:O28,D14:J14)</f>
        <v>153.95756416628799</v>
      </c>
      <c r="G7" s="479">
        <f>AVERAGE(D14:J14)</f>
        <v>153.95756416628799</v>
      </c>
      <c r="H7" s="480"/>
      <c r="I7" s="479">
        <f>AVERAGE(K14:M14)</f>
        <v>133.730980512868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0.9583470935816869</v>
      </c>
      <c r="F8" s="482">
        <f>AVERAGE(D15:J15,D29:O29)</f>
        <v>0.95860728639434356</v>
      </c>
      <c r="G8" s="483">
        <f>AVERAGE(D15:J15)</f>
        <v>0.95860728639434356</v>
      </c>
      <c r="H8" s="484"/>
      <c r="I8" s="483">
        <f>AVERAGE(K15:M15)</f>
        <v>0.95773997701882152</v>
      </c>
      <c r="J8" s="484"/>
      <c r="K8" s="8" t="s">
        <v>1190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1191</v>
      </c>
      <c r="C10" s="459"/>
      <c r="D10" s="460" t="s">
        <v>1192</v>
      </c>
      <c r="E10" s="461"/>
      <c r="F10" s="461"/>
      <c r="G10" s="461"/>
      <c r="H10" s="461"/>
      <c r="I10" s="461"/>
      <c r="J10" s="462"/>
      <c r="K10" s="463" t="s">
        <v>1193</v>
      </c>
      <c r="L10" s="464"/>
      <c r="M10" s="465"/>
      <c r="P10" s="11"/>
      <c r="Q10" s="11"/>
    </row>
    <row r="11" spans="2:17" ht="17.25" customHeight="1">
      <c r="B11" s="466" t="s">
        <v>1194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1195</v>
      </c>
      <c r="C13" s="18" t="s">
        <v>1196</v>
      </c>
      <c r="D13" s="19">
        <f>SUMIFS('1114 4度C'!$K:$K,'1114 4度C'!$A:$A,"新豐6線",'1114 4度C'!$B:$B,"平均")</f>
        <v>133.33333333333334</v>
      </c>
      <c r="E13" s="20">
        <f>SUMIFS('1114 4度C'!$K:$K,'1114 4度C'!$A:$A,"新豐2線",'1114 4度C'!$B:$B,"平均")</f>
        <v>81.081081081081081</v>
      </c>
      <c r="F13" s="21">
        <f>SUMIFS('1114 4度C'!$K:$K,'1114 4度C'!$A:$A,"新豐5線",'1114 4度C'!$B:$B,"平均")</f>
        <v>99.056603773584897</v>
      </c>
      <c r="G13" s="21">
        <f>SUMIFS('1114 4度C'!$K:$K,'1114 4度C'!$A:$A,"新豐7線",'1114 4度C'!$B:$B,"平均")</f>
        <v>114.81481481481481</v>
      </c>
      <c r="H13" s="21">
        <f>SUMIFS('1114 4度C'!$K:$K,'1114 4度C'!$A:$A,"新豐3線",'1114 4度C'!$B:$B,"平均")</f>
        <v>281.69014084507046</v>
      </c>
      <c r="I13" s="21">
        <f>SUMIFS('1114 4度C'!$K:$K,'1114 4度C'!$A:$A,"新豐1線",'1114 4度C'!$B:$B,"平均")</f>
        <v>121.95121951219514</v>
      </c>
      <c r="J13" s="22">
        <f>SUMIFS('1114 4度C'!$K:$K,'1114 4度C'!$A:$A,"新豐10線",'1114 4度C'!$B:$B,"平均")</f>
        <v>291.66666666666669</v>
      </c>
      <c r="K13" s="23">
        <f>SUMIFS('1114 4度C'!$K:$K,'1114 4度C'!$A:$A,"新豐8線",'1114 4度C'!$B:$B,"平均")</f>
        <v>132.28346456692913</v>
      </c>
      <c r="L13" s="24">
        <f>SUMIFS('1114 4度C'!$K:$K,'1114 4度C'!$A:$A,"新豐9線",'1114 4度C'!$B:$B,"平均")</f>
        <v>145.45454545454547</v>
      </c>
      <c r="M13" s="22">
        <f>SUMIFS('1114 4度C'!$K:$K,'1114 4度C'!$A:$A,"新豐4線",'1114 4度C'!$B:$B,"平均")</f>
        <v>141.1764705882353</v>
      </c>
    </row>
    <row r="14" spans="2:17" ht="39.6" customHeight="1">
      <c r="B14" s="471"/>
      <c r="C14" s="25" t="s">
        <v>1197</v>
      </c>
      <c r="D14" s="26">
        <f>SUMIFS('1114 4度C'!$N:$N,'1114 4度C'!$A:$A,"新豐6線",'1114 4度C'!$B:$B,"平均")</f>
        <v>127.79843859843869</v>
      </c>
      <c r="E14" s="27">
        <f>SUMIFS('1114 4度C'!$N:$N,'1114 4度C'!$A:$A,"新豐2線",'1114 4度C'!$B:$B,"平均")</f>
        <v>77.192069840374927</v>
      </c>
      <c r="F14" s="27">
        <f>SUMIFS('1114 4度C'!$N:$N,'1114 4度C'!$A:$A,"新豐5線",'1114 4度C'!$B:$B,"平均")</f>
        <v>95.080001048966096</v>
      </c>
      <c r="G14" s="27">
        <f>SUMIFS('1114 4度C'!$N:$N,'1114 4度C'!$A:$A,"新豐7線",'1114 4度C'!$B:$B,"平均")</f>
        <v>110.12604853372984</v>
      </c>
      <c r="H14" s="27">
        <f>SUMIFS('1114 4度C'!$N:$N,'1114 4度C'!$A:$A,"新豐3線",'1114 4度C'!$B:$B,"平均")</f>
        <v>269.58832309617935</v>
      </c>
      <c r="I14" s="27">
        <f>SUMIFS('1114 4度C'!$N:$N,'1114 4度C'!$A:$A,"新豐1線",'1114 4度C'!$B:$B,"平均")</f>
        <v>117.23543713955827</v>
      </c>
      <c r="J14" s="28">
        <f>SUMIFS('1114 4度C'!$N:$N,'1114 4度C'!$A:$A,"新豐10線",'1114 4度C'!$B:$B,"平均")</f>
        <v>280.68263090676879</v>
      </c>
      <c r="K14" s="29">
        <f>SUMIFS('1114 4度C'!$N:$N,'1114 4度C'!$A:$A,"新豐8線",'1114 4度C'!$B:$B,"平均")</f>
        <v>126.84731364891867</v>
      </c>
      <c r="L14" s="30">
        <f>SUMIFS('1114 4度C'!$N:$N,'1114 4度C'!$A:$A,"新豐9線",'1114 4度C'!$B:$B,"平均")</f>
        <v>139.04106015331922</v>
      </c>
      <c r="M14" s="28">
        <f>SUMIFS('1114 4度C'!$N:$N,'1114 4度C'!$A:$A,"新豐4線",'1114 4度C'!$B:$B,"平均")</f>
        <v>135.30456773636612</v>
      </c>
    </row>
    <row r="15" spans="2:17" ht="40.15" customHeight="1">
      <c r="B15" s="472"/>
      <c r="C15" s="31" t="s">
        <v>1198</v>
      </c>
      <c r="D15" s="32">
        <f t="shared" ref="D15:M15" si="0">D14/D13</f>
        <v>0.95848828948829012</v>
      </c>
      <c r="E15" s="33">
        <f t="shared" si="0"/>
        <v>0.95203552803129077</v>
      </c>
      <c r="F15" s="33">
        <f t="shared" si="0"/>
        <v>0.95985524868480065</v>
      </c>
      <c r="G15" s="33">
        <f t="shared" si="0"/>
        <v>0.95916235819700191</v>
      </c>
      <c r="H15" s="33">
        <f t="shared" si="0"/>
        <v>0.95703854699143653</v>
      </c>
      <c r="I15" s="33">
        <f t="shared" si="0"/>
        <v>0.9613305845443777</v>
      </c>
      <c r="J15" s="34">
        <f t="shared" si="0"/>
        <v>0.96234044882320724</v>
      </c>
      <c r="K15" s="32">
        <f t="shared" si="0"/>
        <v>0.95890528770313521</v>
      </c>
      <c r="L15" s="33">
        <f t="shared" si="0"/>
        <v>0.95590728855406959</v>
      </c>
      <c r="M15" s="34">
        <f t="shared" si="0"/>
        <v>0.95840735479925998</v>
      </c>
    </row>
    <row r="16" spans="2:17" ht="17.25" customHeight="1">
      <c r="B16" s="473" t="s">
        <v>1199</v>
      </c>
      <c r="C16" s="35" t="s">
        <v>1200</v>
      </c>
      <c r="D16" s="49">
        <f>VLOOKUP("新豐6線",'1114 4度C'!$A:$T,19,0)</f>
        <v>0.70833333333333337</v>
      </c>
      <c r="E16" s="50">
        <f>VLOOKUP("新豐2線",'1114 4度C'!$A:$T,19,0)</f>
        <v>0.20833333333333334</v>
      </c>
      <c r="F16" s="50">
        <f>VLOOKUP("新豐5線",'1114 4度C'!$A:$T,19,0)</f>
        <v>0.125</v>
      </c>
      <c r="G16" s="50">
        <f>VLOOKUP("新豐7線",'1114 4度C'!$A:$T,19,0)</f>
        <v>0.20833333333333334</v>
      </c>
      <c r="H16" s="50">
        <f>VLOOKUP("新豐3線",'1114 4度C'!$A:$T,19,0)</f>
        <v>8.3333333333333329E-2</v>
      </c>
      <c r="I16" s="50">
        <f>VLOOKUP("新豐1線",'1114 4度C'!$A:$T,19,0)</f>
        <v>0.20833333333333334</v>
      </c>
      <c r="J16" s="51">
        <f>VLOOKUP("新豐10線",'1114 4度C'!$A:$T,19,0)</f>
        <v>0.20833333333333334</v>
      </c>
      <c r="K16" s="36">
        <f>VLOOKUP("新豐8線",'1114 4度C'!$A:$T,19,0)</f>
        <v>8.3333333333333329E-2</v>
      </c>
      <c r="L16" s="37">
        <f>VLOOKUP("新豐9線",'1114 4度C'!$A:$T,19,0)</f>
        <v>8.3333333333333329E-2</v>
      </c>
      <c r="M16" s="38">
        <f>VLOOKUP("新豐4線",'1114 4度C'!$A:$T,19,0)</f>
        <v>8.3333333333333329E-2</v>
      </c>
    </row>
    <row r="17" spans="2:13" ht="17.25" customHeight="1">
      <c r="B17" s="474"/>
      <c r="C17" s="35" t="s">
        <v>1201</v>
      </c>
      <c r="D17" s="36">
        <f>LOOKUP(2,1/(('1114 4度C'!$A:$A="新豐6線")*('1114 4度C'!$T:$T&lt;&gt;"")),'1114 4度C'!$T:$T)</f>
        <v>0.83680555555555547</v>
      </c>
      <c r="E17" s="50">
        <f>LOOKUP(2,1/(('1114 4度C'!$A:$A="新豐2線")*('1114 4度C'!$T:$T&lt;&gt;"")),'1114 4度C'!$T:$T)</f>
        <v>0.3979166666666667</v>
      </c>
      <c r="F17" s="50">
        <f>LOOKUP(2,1/(('1114 4度C'!$A:$A="新豐5線")*('1114 4度C'!$T:$T&lt;&gt;"")),'1114 4度C'!$T:$T)</f>
        <v>0.83541666666666681</v>
      </c>
      <c r="G17" s="50">
        <f>LOOKUP(2,1/(('1114 4度C'!$A:$A="新豐7線")*('1114 4度C'!$T:$T&lt;&gt;"")),'1114 4度C'!$T:$T)</f>
        <v>0.84236111111111112</v>
      </c>
      <c r="H17" s="50">
        <f>LOOKUP(2,1/(('1114 4度C'!$A:$A="新豐3線")*('1114 4度C'!$T:$T&lt;&gt;"")),'1114 4度C'!$T:$T)</f>
        <v>0.47986111111111107</v>
      </c>
      <c r="I17" s="50">
        <f>LOOKUP(2,1/(('1114 4度C'!$A:$A="新豐1線")*('1114 4度C'!$T:$T&lt;&gt;"")),'1114 4度C'!$T:$T)</f>
        <v>0.82013888888888886</v>
      </c>
      <c r="J17" s="51">
        <f>LOOKUP(2,1/(('1114 4度C'!$A:$A="新豐10線")*('1114 4度C'!$T:$T&lt;&gt;"")),'1114 4度C'!$T:$T)</f>
        <v>0.40972222222222221</v>
      </c>
      <c r="K17" s="49">
        <f>LOOKUP(2,1/(('1114 4度C'!$A:$A="新豐8線")*('1114 4度C'!$T:$T&lt;&gt;"")),'1114 4度C'!$T:$T)</f>
        <v>0.60902777777777772</v>
      </c>
      <c r="L17" s="50">
        <f>LOOKUP(2,1/(('1114 4度C'!$A:$A="新豐9線")*('1114 4度C'!$T:$T&lt;&gt;"")),'1114 4度C'!$T:$T)</f>
        <v>0.55555555555555547</v>
      </c>
      <c r="M17" s="51">
        <f>LOOKUP(2,1/(('1114 4度C'!$A:$A="新豐4線")*('1114 4度C'!$T:$T&lt;&gt;"")),'1114 4度C'!$T:$T)</f>
        <v>0.4680555555555555</v>
      </c>
    </row>
    <row r="18" spans="2:13" ht="17.25" customHeight="1">
      <c r="B18" s="452" t="s">
        <v>1202</v>
      </c>
      <c r="C18" s="453"/>
      <c r="D18" s="39">
        <f>SUMIFS('1114 4度C'!$I:$I,'1114 4度C'!$A:$A,"新豐6線",'1114 4度C'!$B:$B,"平均")</f>
        <v>15</v>
      </c>
      <c r="E18" s="40">
        <f>SUMIFS('1114 4度C'!$I:$I,'1114 4度C'!$A:$A,"新豐2線",'1114 4度C'!$B:$B,"平均")</f>
        <v>18.5</v>
      </c>
      <c r="F18" s="40">
        <f>SUMIFS('1114 4度C'!$I:$I,'1114 4度C'!$A:$A,"新豐5線",'1114 4度C'!$B:$B,"平均")</f>
        <v>17.666666666666668</v>
      </c>
      <c r="G18" s="40">
        <f>SUMIFS('1114 4度C'!$I:$I,'1114 4度C'!$A:$A,"新豐7線",'1114 4度C'!$B:$B,"平均")</f>
        <v>16.875</v>
      </c>
      <c r="H18" s="40">
        <f>SUMIFS('1114 4度C'!$I:$I,'1114 4度C'!$A:$A,"新豐3線",'1114 4度C'!$B:$B,"平均")</f>
        <v>10.142857142857142</v>
      </c>
      <c r="I18" s="40">
        <f>SUMIFS('1114 4度C'!$I:$I,'1114 4度C'!$A:$A,"新豐1線",'1114 4度C'!$B:$B,"平均")</f>
        <v>16.399999999999999</v>
      </c>
      <c r="J18" s="41">
        <f>SUMIFS('1114 4度C'!$I:$I,'1114 4度C'!$A:$A,"新豐10線",'1114 4度C'!$B:$B,"平均")</f>
        <v>9</v>
      </c>
      <c r="K18" s="39">
        <f>SUMIFS('1114 4度C'!$I:$I,'1114 4度C'!$A:$A,"新豐8線",'1114 4度C'!$B:$B,"平均")</f>
        <v>18.142857142857142</v>
      </c>
      <c r="L18" s="40">
        <f>SUMIFS('1114 4度C'!$I:$I,'1114 4度C'!$A:$A,"新豐9線",'1114 4度C'!$B:$B,"平均")</f>
        <v>16.5</v>
      </c>
      <c r="M18" s="41">
        <f>SUMIFS('1114 4度C'!$I:$I,'1114 4度C'!$A:$A,"新豐4線",'1114 4度C'!$B:$B,"平均")</f>
        <v>17</v>
      </c>
    </row>
    <row r="19" spans="2:13" ht="17.25" customHeight="1">
      <c r="B19" s="452" t="s">
        <v>1203</v>
      </c>
      <c r="C19" s="453"/>
      <c r="D19" s="42" t="s">
        <v>65</v>
      </c>
      <c r="E19" s="43" t="s">
        <v>66</v>
      </c>
      <c r="F19" s="43" t="s">
        <v>1204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1205</v>
      </c>
      <c r="L19" s="43" t="s">
        <v>1206</v>
      </c>
      <c r="M19" s="44" t="s">
        <v>71</v>
      </c>
    </row>
    <row r="20" spans="2:13" ht="17.25" customHeight="1">
      <c r="B20" s="452" t="s">
        <v>1207</v>
      </c>
      <c r="C20" s="453"/>
      <c r="D20" s="42"/>
      <c r="E20" s="43"/>
      <c r="F20" s="43" t="s">
        <v>1208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1209</v>
      </c>
      <c r="F21" s="456" t="s">
        <v>1210</v>
      </c>
      <c r="G21" s="457"/>
      <c r="H21" s="46" t="s">
        <v>1211</v>
      </c>
      <c r="I21" s="46" t="s">
        <v>1212</v>
      </c>
      <c r="J21" s="47" t="s">
        <v>1213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2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zoomScale="80" zoomScaleNormal="80" workbookViewId="0">
      <pane ySplit="4" topLeftCell="A38" activePane="bottomLeft" state="frozen"/>
      <selection activeCell="B6" sqref="B6"/>
      <selection pane="bottomLeft" activeCell="G12" sqref="G12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1214</v>
      </c>
      <c r="B1" s="52"/>
      <c r="C1" s="53" t="s">
        <v>1215</v>
      </c>
      <c r="D1" s="54">
        <f>SUM(F5:F68)</f>
        <v>145069</v>
      </c>
      <c r="E1" s="236" t="s">
        <v>1216</v>
      </c>
      <c r="F1" s="52">
        <f>SUM(G5:G68)</f>
        <v>4927415.42</v>
      </c>
      <c r="G1" s="52" t="s">
        <v>1217</v>
      </c>
      <c r="H1" s="55">
        <f>L8+L11+L50+L56+L18+L61+L35+L42+L27+L68</f>
        <v>155.22738095238094</v>
      </c>
      <c r="I1" s="556" t="s">
        <v>1218</v>
      </c>
      <c r="J1" s="556"/>
      <c r="K1" s="556"/>
      <c r="L1" s="556" t="s">
        <v>1219</v>
      </c>
      <c r="M1" s="556"/>
      <c r="N1" s="556"/>
      <c r="O1" s="556" t="s">
        <v>1220</v>
      </c>
      <c r="P1" s="556"/>
      <c r="Q1" s="556"/>
      <c r="R1" s="556"/>
      <c r="S1" s="556" t="s">
        <v>1221</v>
      </c>
      <c r="T1" s="556"/>
      <c r="U1" s="556"/>
      <c r="V1" s="556"/>
      <c r="W1" s="556"/>
      <c r="X1" s="556"/>
      <c r="Y1" s="556" t="s">
        <v>1222</v>
      </c>
      <c r="Z1" s="556"/>
      <c r="AA1" s="556" t="s">
        <v>1223</v>
      </c>
      <c r="AB1" s="557"/>
      <c r="AC1" s="557"/>
    </row>
    <row r="2" spans="1:29" ht="26.25" customHeight="1">
      <c r="A2" s="57">
        <v>45975</v>
      </c>
      <c r="B2" s="58" t="s">
        <v>621</v>
      </c>
      <c r="C2" s="53" t="s">
        <v>1224</v>
      </c>
      <c r="D2" s="59">
        <f>AVERAGE(N8,N11,N50,N56,N18,N61,N27,N35,N42,N68)</f>
        <v>147.88958907026202</v>
      </c>
      <c r="E2" s="60" t="s">
        <v>0</v>
      </c>
      <c r="F2" s="61">
        <f>F1/D1</f>
        <v>33.966012173517427</v>
      </c>
      <c r="G2" s="52" t="s">
        <v>1225</v>
      </c>
      <c r="H2" s="244">
        <f>COUNT(H5:H68)</f>
        <v>3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1226</v>
      </c>
      <c r="B3" s="510" t="s">
        <v>1227</v>
      </c>
      <c r="C3" s="510" t="s">
        <v>1228</v>
      </c>
      <c r="D3" s="510"/>
      <c r="E3" s="554" t="s">
        <v>1229</v>
      </c>
      <c r="F3" s="510" t="s">
        <v>1230</v>
      </c>
      <c r="G3" s="554" t="s">
        <v>1231</v>
      </c>
      <c r="H3" s="547" t="s">
        <v>1232</v>
      </c>
      <c r="I3" s="545" t="s">
        <v>1233</v>
      </c>
      <c r="J3" s="550" t="s">
        <v>1234</v>
      </c>
      <c r="K3" s="552" t="s">
        <v>1224</v>
      </c>
      <c r="L3" s="545" t="s">
        <v>1233</v>
      </c>
      <c r="M3" s="550" t="s">
        <v>1234</v>
      </c>
      <c r="N3" s="552" t="s">
        <v>1224</v>
      </c>
      <c r="O3" s="545" t="s">
        <v>1233</v>
      </c>
      <c r="P3" s="552" t="s">
        <v>1224</v>
      </c>
      <c r="Q3" s="551" t="s">
        <v>1235</v>
      </c>
      <c r="R3" s="523" t="s">
        <v>1236</v>
      </c>
      <c r="S3" s="553" t="s">
        <v>1</v>
      </c>
      <c r="T3" s="553"/>
      <c r="U3" s="547" t="s">
        <v>2</v>
      </c>
      <c r="V3" s="547" t="s">
        <v>1237</v>
      </c>
      <c r="W3" s="510" t="s">
        <v>1238</v>
      </c>
      <c r="X3" s="510"/>
      <c r="Y3" s="548" t="s">
        <v>1239</v>
      </c>
      <c r="Z3" s="549"/>
      <c r="AA3" s="550" t="s">
        <v>1240</v>
      </c>
      <c r="AB3" s="551" t="s">
        <v>1241</v>
      </c>
      <c r="AC3" s="523" t="s">
        <v>1242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43" t="s">
        <v>3</v>
      </c>
      <c r="T4" s="243" t="s">
        <v>4</v>
      </c>
      <c r="U4" s="547"/>
      <c r="V4" s="547"/>
      <c r="W4" s="236" t="s">
        <v>1243</v>
      </c>
      <c r="X4" s="236" t="s">
        <v>1244</v>
      </c>
      <c r="Y4" s="549"/>
      <c r="Z4" s="549"/>
      <c r="AA4" s="550"/>
      <c r="AB4" s="551"/>
      <c r="AC4" s="523"/>
    </row>
    <row r="5" spans="1:29">
      <c r="A5" s="544" t="s">
        <v>1245</v>
      </c>
      <c r="B5" s="62" t="s">
        <v>6</v>
      </c>
      <c r="C5" s="546" t="s">
        <v>9</v>
      </c>
      <c r="D5" s="546"/>
      <c r="E5" s="62">
        <v>50.67</v>
      </c>
      <c r="F5" s="243">
        <v>1658</v>
      </c>
      <c r="G5" s="236">
        <f t="shared" ref="G5:G7" si="0">E5*F5</f>
        <v>84010.86</v>
      </c>
      <c r="H5" s="90" t="s">
        <v>5</v>
      </c>
      <c r="I5" s="241">
        <v>17</v>
      </c>
      <c r="J5" s="63">
        <v>2000</v>
      </c>
      <c r="K5" s="64">
        <f t="shared" ref="K5:K68" si="1">J5/I5</f>
        <v>117.64705882352941</v>
      </c>
      <c r="L5" s="241">
        <v>17</v>
      </c>
      <c r="M5" s="65">
        <f t="shared" ref="M5:M7" si="2">F5/V5*60</f>
        <v>1913.076923076924</v>
      </c>
      <c r="N5" s="64">
        <f t="shared" ref="N5:N68" si="3">M5/L5</f>
        <v>112.53393665158376</v>
      </c>
      <c r="O5" s="66">
        <f t="shared" ref="O5:O68" si="4">L5-I5</f>
        <v>0</v>
      </c>
      <c r="P5" s="67">
        <f t="shared" ref="P5:P68" si="5">N5-K5</f>
        <v>-5.1131221719456477</v>
      </c>
      <c r="Q5" s="237">
        <f t="shared" ref="Q5:Q68" si="6">N5/K5</f>
        <v>0.956538461538462</v>
      </c>
      <c r="R5" s="511">
        <f>Q8</f>
        <v>0.95848828948829012</v>
      </c>
      <c r="S5" s="68">
        <v>0.70833333333333337</v>
      </c>
      <c r="T5" s="68">
        <v>0.74444444444444446</v>
      </c>
      <c r="U5" s="236"/>
      <c r="V5" s="242">
        <f t="shared" ref="V5:V7" si="7">(T5-S5)*24*60</f>
        <v>51.999999999999972</v>
      </c>
      <c r="W5" s="69"/>
      <c r="X5" s="70"/>
      <c r="Y5" s="510"/>
      <c r="Z5" s="510"/>
      <c r="AA5" s="66">
        <f t="shared" ref="AA5:AA68" si="8">M5-J5</f>
        <v>-86.923076923075996</v>
      </c>
      <c r="AB5" s="237">
        <f t="shared" ref="AB5:AB68" si="9">M5/J5</f>
        <v>0.956538461538462</v>
      </c>
      <c r="AC5" s="511">
        <f>AB8</f>
        <v>0.95848828948829023</v>
      </c>
    </row>
    <row r="6" spans="1:29">
      <c r="A6" s="545" t="s">
        <v>1246</v>
      </c>
      <c r="B6" s="62" t="s">
        <v>6</v>
      </c>
      <c r="C6" s="546" t="s">
        <v>8</v>
      </c>
      <c r="D6" s="546"/>
      <c r="E6" s="62">
        <v>50.49</v>
      </c>
      <c r="F6" s="243">
        <v>1772</v>
      </c>
      <c r="G6" s="236">
        <f t="shared" si="0"/>
        <v>89468.28</v>
      </c>
      <c r="H6" s="90" t="s">
        <v>5</v>
      </c>
      <c r="I6" s="241">
        <v>15</v>
      </c>
      <c r="J6" s="63">
        <v>2000</v>
      </c>
      <c r="K6" s="64">
        <f t="shared" si="1"/>
        <v>133.33333333333334</v>
      </c>
      <c r="L6" s="241">
        <v>15</v>
      </c>
      <c r="M6" s="65">
        <f t="shared" si="2"/>
        <v>1933.0909090909104</v>
      </c>
      <c r="N6" s="64">
        <f t="shared" si="3"/>
        <v>128.87272727272736</v>
      </c>
      <c r="O6" s="66">
        <f t="shared" si="4"/>
        <v>0</v>
      </c>
      <c r="P6" s="67">
        <f t="shared" si="5"/>
        <v>-4.4606060606059827</v>
      </c>
      <c r="Q6" s="237">
        <f t="shared" si="6"/>
        <v>0.96654545454545515</v>
      </c>
      <c r="R6" s="511"/>
      <c r="S6" s="68">
        <v>0.75</v>
      </c>
      <c r="T6" s="68">
        <v>0.78819444444444442</v>
      </c>
      <c r="U6" s="236">
        <f t="shared" ref="U6:U7" si="10">IF(S6=TIME(17,0,0),"",(S6-T5)*24*60)</f>
        <v>7.9999999999999716</v>
      </c>
      <c r="V6" s="242">
        <f t="shared" si="7"/>
        <v>54.999999999999964</v>
      </c>
      <c r="W6" s="69"/>
      <c r="X6" s="69"/>
      <c r="Y6" s="510"/>
      <c r="Z6" s="510"/>
      <c r="AA6" s="66">
        <f t="shared" si="8"/>
        <v>-66.909090909089628</v>
      </c>
      <c r="AB6" s="237">
        <f t="shared" si="9"/>
        <v>0.96654545454545515</v>
      </c>
      <c r="AC6" s="511"/>
    </row>
    <row r="7" spans="1:29">
      <c r="A7" s="545" t="s">
        <v>1246</v>
      </c>
      <c r="B7" s="62" t="s">
        <v>6</v>
      </c>
      <c r="C7" s="539" t="s">
        <v>886</v>
      </c>
      <c r="D7" s="540"/>
      <c r="E7" s="62">
        <v>57.3</v>
      </c>
      <c r="F7" s="243">
        <v>2000</v>
      </c>
      <c r="G7" s="236">
        <f t="shared" si="0"/>
        <v>114600</v>
      </c>
      <c r="H7" s="90">
        <v>2</v>
      </c>
      <c r="I7" s="241">
        <v>13</v>
      </c>
      <c r="J7" s="63">
        <v>2000</v>
      </c>
      <c r="K7" s="64">
        <f t="shared" si="1"/>
        <v>153.84615384615384</v>
      </c>
      <c r="L7" s="241">
        <v>13</v>
      </c>
      <c r="M7" s="65">
        <f t="shared" si="2"/>
        <v>1904.7619047619066</v>
      </c>
      <c r="N7" s="64">
        <f t="shared" si="3"/>
        <v>146.52014652014665</v>
      </c>
      <c r="O7" s="66">
        <f t="shared" si="4"/>
        <v>0</v>
      </c>
      <c r="P7" s="67">
        <f t="shared" si="5"/>
        <v>-7.3260073260071863</v>
      </c>
      <c r="Q7" s="237">
        <f t="shared" si="6"/>
        <v>0.95238095238095333</v>
      </c>
      <c r="R7" s="511"/>
      <c r="S7" s="68">
        <v>0.79305555555555551</v>
      </c>
      <c r="T7" s="68">
        <v>0.83680555555555547</v>
      </c>
      <c r="U7" s="236">
        <f t="shared" si="10"/>
        <v>6.9999999999999751</v>
      </c>
      <c r="V7" s="242">
        <f t="shared" si="7"/>
        <v>62.999999999999936</v>
      </c>
      <c r="W7" s="69"/>
      <c r="X7" s="69"/>
      <c r="Y7" s="517"/>
      <c r="Z7" s="518"/>
      <c r="AA7" s="66">
        <f t="shared" si="8"/>
        <v>-95.238095238093365</v>
      </c>
      <c r="AB7" s="237">
        <f t="shared" si="9"/>
        <v>0.95238095238095333</v>
      </c>
      <c r="AC7" s="511"/>
    </row>
    <row r="8" spans="1:29">
      <c r="A8" s="545" t="s">
        <v>1246</v>
      </c>
      <c r="B8" s="62" t="s">
        <v>1247</v>
      </c>
      <c r="C8" s="513"/>
      <c r="D8" s="513"/>
      <c r="E8" s="238"/>
      <c r="F8" s="71"/>
      <c r="G8" s="64"/>
      <c r="H8" s="243"/>
      <c r="I8" s="72">
        <v>15</v>
      </c>
      <c r="J8" s="63">
        <v>2000</v>
      </c>
      <c r="K8" s="64">
        <f t="shared" si="1"/>
        <v>133.33333333333334</v>
      </c>
      <c r="L8" s="72">
        <v>15</v>
      </c>
      <c r="M8" s="65">
        <f>AVERAGE(M5:M7)</f>
        <v>1916.9765789765804</v>
      </c>
      <c r="N8" s="64">
        <f t="shared" si="3"/>
        <v>127.79843859843869</v>
      </c>
      <c r="O8" s="66">
        <f t="shared" si="4"/>
        <v>0</v>
      </c>
      <c r="P8" s="67">
        <f t="shared" si="5"/>
        <v>-5.5348947348946496</v>
      </c>
      <c r="Q8" s="237">
        <f t="shared" si="6"/>
        <v>0.95848828948829012</v>
      </c>
      <c r="R8" s="511"/>
      <c r="S8" s="68"/>
      <c r="T8" s="68"/>
      <c r="U8" s="236"/>
      <c r="V8" s="242"/>
      <c r="W8" s="64"/>
      <c r="X8" s="64"/>
      <c r="Y8" s="510"/>
      <c r="Z8" s="510"/>
      <c r="AA8" s="66">
        <f t="shared" si="8"/>
        <v>-83.023421023419587</v>
      </c>
      <c r="AB8" s="237">
        <f t="shared" si="9"/>
        <v>0.95848828948829023</v>
      </c>
      <c r="AC8" s="511"/>
    </row>
    <row r="9" spans="1:29" ht="15.75" customHeight="1">
      <c r="A9" s="543" t="s">
        <v>1248</v>
      </c>
      <c r="B9" s="62" t="s">
        <v>10</v>
      </c>
      <c r="C9" s="539" t="s">
        <v>12</v>
      </c>
      <c r="D9" s="540"/>
      <c r="E9" s="62">
        <v>39.36</v>
      </c>
      <c r="F9" s="243">
        <v>1403</v>
      </c>
      <c r="G9" s="236">
        <f t="shared" ref="G9:G10" si="11">E9*F9</f>
        <v>55222.080000000002</v>
      </c>
      <c r="H9" s="90" t="s">
        <v>5</v>
      </c>
      <c r="I9" s="241">
        <v>20</v>
      </c>
      <c r="J9" s="63">
        <v>1500</v>
      </c>
      <c r="K9" s="64">
        <f t="shared" si="1"/>
        <v>75</v>
      </c>
      <c r="L9" s="241">
        <v>20</v>
      </c>
      <c r="M9" s="65">
        <f t="shared" ref="M9:M10" si="12">F9/V9*60</f>
        <v>1426.7796610169494</v>
      </c>
      <c r="N9" s="64">
        <f t="shared" si="3"/>
        <v>71.338983050847474</v>
      </c>
      <c r="O9" s="66">
        <f t="shared" si="4"/>
        <v>0</v>
      </c>
      <c r="P9" s="67">
        <f t="shared" si="5"/>
        <v>-3.6610169491525255</v>
      </c>
      <c r="Q9" s="237">
        <f t="shared" si="6"/>
        <v>0.95118644067796632</v>
      </c>
      <c r="R9" s="511">
        <f>Q11</f>
        <v>0.95203552803129077</v>
      </c>
      <c r="S9" s="68">
        <v>0.20833333333333334</v>
      </c>
      <c r="T9" s="68">
        <v>0.24930555555555556</v>
      </c>
      <c r="U9" s="236"/>
      <c r="V9" s="242">
        <f t="shared" ref="V9:V10" si="13">(T9-S9)*24*60</f>
        <v>58.999999999999993</v>
      </c>
      <c r="W9" s="69"/>
      <c r="X9" s="69"/>
      <c r="Y9" s="510"/>
      <c r="Z9" s="510"/>
      <c r="AA9" s="66">
        <f t="shared" si="8"/>
        <v>-73.220338983050624</v>
      </c>
      <c r="AB9" s="237">
        <f t="shared" si="9"/>
        <v>0.95118644067796621</v>
      </c>
      <c r="AC9" s="511">
        <f>AB11</f>
        <v>0.95203552803129077</v>
      </c>
    </row>
    <row r="10" spans="1:29" ht="15.75" customHeight="1">
      <c r="A10" s="543" t="s">
        <v>1248</v>
      </c>
      <c r="B10" s="62" t="s">
        <v>10</v>
      </c>
      <c r="C10" s="539" t="s">
        <v>11</v>
      </c>
      <c r="D10" s="540"/>
      <c r="E10" s="62">
        <v>39.799999999999997</v>
      </c>
      <c r="F10" s="243">
        <v>4955</v>
      </c>
      <c r="G10" s="236">
        <f t="shared" si="11"/>
        <v>197209</v>
      </c>
      <c r="H10" s="90" t="s">
        <v>5</v>
      </c>
      <c r="I10" s="241">
        <v>17</v>
      </c>
      <c r="J10" s="63">
        <v>1500</v>
      </c>
      <c r="K10" s="64">
        <f t="shared" si="1"/>
        <v>88.235294117647058</v>
      </c>
      <c r="L10" s="241">
        <v>17</v>
      </c>
      <c r="M10" s="65">
        <f t="shared" si="12"/>
        <v>1429.3269230769229</v>
      </c>
      <c r="N10" s="64">
        <f t="shared" si="3"/>
        <v>84.078054298642527</v>
      </c>
      <c r="O10" s="66">
        <f t="shared" si="4"/>
        <v>0</v>
      </c>
      <c r="P10" s="67">
        <f t="shared" si="5"/>
        <v>-4.1572398190045305</v>
      </c>
      <c r="Q10" s="237">
        <f t="shared" si="6"/>
        <v>0.95288461538461533</v>
      </c>
      <c r="R10" s="511"/>
      <c r="S10" s="68">
        <v>0.25347222222222221</v>
      </c>
      <c r="T10" s="68">
        <v>0.3979166666666667</v>
      </c>
      <c r="U10" s="236">
        <f t="shared" ref="U10" si="14">IF(S10=TIME(17,0,0),"",(S10-T9)*24*60)</f>
        <v>5.9999999999999787</v>
      </c>
      <c r="V10" s="242">
        <f t="shared" si="13"/>
        <v>208.00000000000006</v>
      </c>
      <c r="W10" s="69"/>
      <c r="X10" s="69"/>
      <c r="Y10" s="510"/>
      <c r="Z10" s="510"/>
      <c r="AA10" s="66">
        <f t="shared" si="8"/>
        <v>-70.673076923077133</v>
      </c>
      <c r="AB10" s="237">
        <f t="shared" si="9"/>
        <v>0.95288461538461522</v>
      </c>
      <c r="AC10" s="511"/>
    </row>
    <row r="11" spans="1:29" ht="16.5" customHeight="1">
      <c r="A11" s="543" t="s">
        <v>1248</v>
      </c>
      <c r="B11" s="62" t="s">
        <v>1247</v>
      </c>
      <c r="C11" s="513"/>
      <c r="D11" s="513"/>
      <c r="E11" s="238"/>
      <c r="F11" s="63"/>
      <c r="G11" s="65"/>
      <c r="H11" s="243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1428.0532920469361</v>
      </c>
      <c r="N11" s="64">
        <f t="shared" si="3"/>
        <v>77.192069840374927</v>
      </c>
      <c r="O11" s="66">
        <f t="shared" si="4"/>
        <v>0</v>
      </c>
      <c r="P11" s="67">
        <f t="shared" si="5"/>
        <v>-3.8890112407061537</v>
      </c>
      <c r="Q11" s="237">
        <f t="shared" si="6"/>
        <v>0.95203552803129077</v>
      </c>
      <c r="R11" s="511"/>
      <c r="S11" s="68"/>
      <c r="T11" s="68"/>
      <c r="U11" s="64"/>
      <c r="V11" s="242"/>
      <c r="W11" s="64"/>
      <c r="X11" s="64"/>
      <c r="Y11" s="510"/>
      <c r="Z11" s="510"/>
      <c r="AA11" s="66">
        <f t="shared" si="8"/>
        <v>-71.946707953063878</v>
      </c>
      <c r="AB11" s="237">
        <f t="shared" si="9"/>
        <v>0.95203552803129077</v>
      </c>
      <c r="AC11" s="511"/>
    </row>
    <row r="12" spans="1:29" ht="16.5" customHeight="1">
      <c r="A12" s="541" t="s">
        <v>1249</v>
      </c>
      <c r="B12" s="243" t="s">
        <v>13</v>
      </c>
      <c r="C12" s="533" t="s">
        <v>14</v>
      </c>
      <c r="D12" s="533"/>
      <c r="E12" s="62">
        <v>41</v>
      </c>
      <c r="F12" s="243">
        <v>2167</v>
      </c>
      <c r="G12" s="236">
        <f t="shared" ref="G12:G17" si="15">E12*F12</f>
        <v>88847</v>
      </c>
      <c r="H12" s="90" t="s">
        <v>5</v>
      </c>
      <c r="I12" s="241">
        <v>26</v>
      </c>
      <c r="J12" s="63">
        <v>1500</v>
      </c>
      <c r="K12" s="64">
        <f t="shared" si="1"/>
        <v>57.692307692307693</v>
      </c>
      <c r="L12" s="241">
        <v>26</v>
      </c>
      <c r="M12" s="65">
        <f t="shared" ref="M12:M17" si="16">F12/V12*60</f>
        <v>1428.7912087912089</v>
      </c>
      <c r="N12" s="64">
        <f t="shared" si="3"/>
        <v>54.953508030431109</v>
      </c>
      <c r="O12" s="66">
        <f t="shared" si="4"/>
        <v>0</v>
      </c>
      <c r="P12" s="67">
        <f t="shared" si="5"/>
        <v>-2.738799661876584</v>
      </c>
      <c r="Q12" s="237">
        <f t="shared" si="6"/>
        <v>0.9525274725274725</v>
      </c>
      <c r="R12" s="511">
        <f>Q18</f>
        <v>0.95985524868480065</v>
      </c>
      <c r="S12" s="68">
        <v>0.125</v>
      </c>
      <c r="T12" s="68">
        <v>0.18819444444444444</v>
      </c>
      <c r="U12" s="236"/>
      <c r="V12" s="242">
        <f t="shared" ref="V12:V17" si="17">(T12-S12)*24*60</f>
        <v>91</v>
      </c>
      <c r="W12" s="69">
        <f>T12</f>
        <v>0.18819444444444444</v>
      </c>
      <c r="X12" s="69">
        <f>S13</f>
        <v>0.20694444444444446</v>
      </c>
      <c r="Y12" s="510"/>
      <c r="Z12" s="510"/>
      <c r="AA12" s="66">
        <f t="shared" si="8"/>
        <v>-71.208791208791126</v>
      </c>
      <c r="AB12" s="237">
        <f t="shared" si="9"/>
        <v>0.95252747252747261</v>
      </c>
      <c r="AC12" s="511">
        <f>AB18</f>
        <v>0.95985524868480065</v>
      </c>
    </row>
    <row r="13" spans="1:29" ht="16.5" customHeight="1">
      <c r="A13" s="542" t="s">
        <v>1249</v>
      </c>
      <c r="B13" s="243" t="s">
        <v>10</v>
      </c>
      <c r="C13" s="533" t="s">
        <v>15</v>
      </c>
      <c r="D13" s="533"/>
      <c r="E13" s="62">
        <v>39.619999999999997</v>
      </c>
      <c r="F13" s="243">
        <v>3329</v>
      </c>
      <c r="G13" s="236">
        <f t="shared" si="15"/>
        <v>131894.97999999998</v>
      </c>
      <c r="H13" s="90" t="s">
        <v>5</v>
      </c>
      <c r="I13" s="241">
        <v>19</v>
      </c>
      <c r="J13" s="63">
        <v>1500</v>
      </c>
      <c r="K13" s="64">
        <f t="shared" si="1"/>
        <v>78.94736842105263</v>
      </c>
      <c r="L13" s="241">
        <v>19</v>
      </c>
      <c r="M13" s="65">
        <f t="shared" si="16"/>
        <v>1436.9784172661866</v>
      </c>
      <c r="N13" s="64">
        <f t="shared" si="3"/>
        <v>75.630443014009828</v>
      </c>
      <c r="O13" s="66">
        <f t="shared" si="4"/>
        <v>0</v>
      </c>
      <c r="P13" s="67">
        <f t="shared" si="5"/>
        <v>-3.3169254070428025</v>
      </c>
      <c r="Q13" s="237">
        <f t="shared" si="6"/>
        <v>0.9579856115107912</v>
      </c>
      <c r="R13" s="511"/>
      <c r="S13" s="68">
        <v>0.20694444444444446</v>
      </c>
      <c r="T13" s="68">
        <v>0.30347222222222225</v>
      </c>
      <c r="U13" s="236">
        <f t="shared" ref="U13:U17" si="18">IF(S13=TIME(17,0,0),"",(S13-T12)*24*60)</f>
        <v>27.000000000000025</v>
      </c>
      <c r="V13" s="242">
        <f t="shared" si="17"/>
        <v>139.00000000000003</v>
      </c>
      <c r="W13" s="69"/>
      <c r="X13" s="69"/>
      <c r="Y13" s="510"/>
      <c r="Z13" s="510"/>
      <c r="AA13" s="66">
        <f t="shared" si="8"/>
        <v>-63.021582733813375</v>
      </c>
      <c r="AB13" s="237">
        <f t="shared" si="9"/>
        <v>0.95798561151079109</v>
      </c>
      <c r="AC13" s="511"/>
    </row>
    <row r="14" spans="1:29" ht="16.5" customHeight="1">
      <c r="A14" s="542" t="s">
        <v>1249</v>
      </c>
      <c r="B14" s="243" t="s">
        <v>77</v>
      </c>
      <c r="C14" s="533" t="s">
        <v>76</v>
      </c>
      <c r="D14" s="533"/>
      <c r="E14" s="62">
        <v>57.3</v>
      </c>
      <c r="F14" s="243">
        <v>1091</v>
      </c>
      <c r="G14" s="236">
        <f t="shared" si="15"/>
        <v>62514.299999999996</v>
      </c>
      <c r="H14" s="90" t="s">
        <v>5</v>
      </c>
      <c r="I14" s="241">
        <v>17</v>
      </c>
      <c r="J14" s="63">
        <v>1500</v>
      </c>
      <c r="K14" s="64">
        <f t="shared" si="1"/>
        <v>88.235294117647058</v>
      </c>
      <c r="L14" s="241">
        <v>17</v>
      </c>
      <c r="M14" s="65">
        <f t="shared" si="16"/>
        <v>1454.6666666666665</v>
      </c>
      <c r="N14" s="64">
        <f t="shared" si="3"/>
        <v>85.568627450980387</v>
      </c>
      <c r="O14" s="66">
        <f t="shared" si="4"/>
        <v>0</v>
      </c>
      <c r="P14" s="67">
        <f t="shared" si="5"/>
        <v>-2.6666666666666714</v>
      </c>
      <c r="Q14" s="237">
        <f t="shared" si="6"/>
        <v>0.96977777777777774</v>
      </c>
      <c r="R14" s="511"/>
      <c r="S14" s="68">
        <v>0.30902777777777779</v>
      </c>
      <c r="T14" s="68">
        <v>0.34027777777777779</v>
      </c>
      <c r="U14" s="236">
        <f t="shared" si="18"/>
        <v>7.9999999999999716</v>
      </c>
      <c r="V14" s="242">
        <f t="shared" si="17"/>
        <v>45</v>
      </c>
      <c r="W14" s="69"/>
      <c r="X14" s="69"/>
      <c r="Y14" s="510"/>
      <c r="Z14" s="510"/>
      <c r="AA14" s="66">
        <f t="shared" si="8"/>
        <v>-45.333333333333485</v>
      </c>
      <c r="AB14" s="237">
        <f t="shared" si="9"/>
        <v>0.96977777777777763</v>
      </c>
      <c r="AC14" s="511"/>
    </row>
    <row r="15" spans="1:29" ht="16.5" customHeight="1">
      <c r="A15" s="542" t="s">
        <v>1249</v>
      </c>
      <c r="B15" s="243" t="s">
        <v>6</v>
      </c>
      <c r="C15" s="533" t="s">
        <v>890</v>
      </c>
      <c r="D15" s="533"/>
      <c r="E15" s="62">
        <v>50.98</v>
      </c>
      <c r="F15" s="243">
        <v>2271</v>
      </c>
      <c r="G15" s="236">
        <f t="shared" si="15"/>
        <v>115775.57999999999</v>
      </c>
      <c r="H15" s="90" t="s">
        <v>5</v>
      </c>
      <c r="I15" s="241">
        <v>16</v>
      </c>
      <c r="J15" s="63">
        <v>2000</v>
      </c>
      <c r="K15" s="64">
        <f t="shared" si="1"/>
        <v>125</v>
      </c>
      <c r="L15" s="241">
        <v>16</v>
      </c>
      <c r="M15" s="65">
        <f t="shared" si="16"/>
        <v>1919.154929577463</v>
      </c>
      <c r="N15" s="64">
        <f t="shared" si="3"/>
        <v>119.94718309859144</v>
      </c>
      <c r="O15" s="66">
        <f t="shared" si="4"/>
        <v>0</v>
      </c>
      <c r="P15" s="67">
        <f t="shared" si="5"/>
        <v>-5.052816901408562</v>
      </c>
      <c r="Q15" s="237">
        <f t="shared" si="6"/>
        <v>0.95957746478873152</v>
      </c>
      <c r="R15" s="511"/>
      <c r="S15" s="68">
        <v>0.70833333333333337</v>
      </c>
      <c r="T15" s="68">
        <v>0.75763888888888897</v>
      </c>
      <c r="U15" s="236" t="str">
        <f t="shared" si="18"/>
        <v/>
      </c>
      <c r="V15" s="242">
        <f t="shared" si="17"/>
        <v>71.000000000000071</v>
      </c>
      <c r="W15" s="69"/>
      <c r="X15" s="69"/>
      <c r="Y15" s="510"/>
      <c r="Z15" s="510"/>
      <c r="AA15" s="66">
        <f t="shared" si="8"/>
        <v>-80.845070422536992</v>
      </c>
      <c r="AB15" s="237">
        <f t="shared" si="9"/>
        <v>0.95957746478873152</v>
      </c>
      <c r="AC15" s="511"/>
    </row>
    <row r="16" spans="1:29" ht="16.5" customHeight="1">
      <c r="A16" s="542" t="s">
        <v>1249</v>
      </c>
      <c r="B16" s="243" t="s">
        <v>6</v>
      </c>
      <c r="C16" s="533" t="s">
        <v>20</v>
      </c>
      <c r="D16" s="533"/>
      <c r="E16" s="62">
        <v>50.92</v>
      </c>
      <c r="F16" s="243">
        <v>2300</v>
      </c>
      <c r="G16" s="236">
        <f t="shared" si="15"/>
        <v>117116</v>
      </c>
      <c r="H16" s="90" t="s">
        <v>5</v>
      </c>
      <c r="I16" s="241">
        <v>15</v>
      </c>
      <c r="J16" s="63">
        <v>2000</v>
      </c>
      <c r="K16" s="64">
        <f t="shared" si="1"/>
        <v>133.33333333333334</v>
      </c>
      <c r="L16" s="241">
        <v>15</v>
      </c>
      <c r="M16" s="65">
        <f t="shared" si="16"/>
        <v>1916.6666666666652</v>
      </c>
      <c r="N16" s="64">
        <f t="shared" si="3"/>
        <v>127.77777777777767</v>
      </c>
      <c r="O16" s="66">
        <f t="shared" si="4"/>
        <v>0</v>
      </c>
      <c r="P16" s="67">
        <f t="shared" si="5"/>
        <v>-5.5555555555556708</v>
      </c>
      <c r="Q16" s="237">
        <f t="shared" si="6"/>
        <v>0.95833333333333248</v>
      </c>
      <c r="R16" s="511"/>
      <c r="S16" s="68">
        <v>0.76250000000000007</v>
      </c>
      <c r="T16" s="68">
        <v>0.81250000000000011</v>
      </c>
      <c r="U16" s="236">
        <f t="shared" si="18"/>
        <v>6.9999999999999751</v>
      </c>
      <c r="V16" s="242">
        <f t="shared" si="17"/>
        <v>72.000000000000057</v>
      </c>
      <c r="W16" s="69"/>
      <c r="X16" s="69"/>
      <c r="Y16" s="510"/>
      <c r="Z16" s="510"/>
      <c r="AA16" s="66">
        <f t="shared" si="8"/>
        <v>-83.333333333334849</v>
      </c>
      <c r="AB16" s="237">
        <f t="shared" si="9"/>
        <v>0.95833333333333259</v>
      </c>
      <c r="AC16" s="511"/>
    </row>
    <row r="17" spans="1:29" ht="16.5" customHeight="1">
      <c r="A17" s="542" t="s">
        <v>1249</v>
      </c>
      <c r="B17" s="243" t="s">
        <v>6</v>
      </c>
      <c r="C17" s="534" t="s">
        <v>886</v>
      </c>
      <c r="D17" s="535"/>
      <c r="E17" s="62">
        <v>57.3</v>
      </c>
      <c r="F17" s="243">
        <v>865</v>
      </c>
      <c r="G17" s="236">
        <f t="shared" si="15"/>
        <v>49564.5</v>
      </c>
      <c r="H17" s="90" t="s">
        <v>5</v>
      </c>
      <c r="I17" s="241">
        <v>13</v>
      </c>
      <c r="J17" s="63">
        <v>2000</v>
      </c>
      <c r="K17" s="64">
        <f t="shared" si="1"/>
        <v>153.84615384615384</v>
      </c>
      <c r="L17" s="241">
        <v>13</v>
      </c>
      <c r="M17" s="65">
        <f t="shared" si="16"/>
        <v>1922.2222222222176</v>
      </c>
      <c r="N17" s="64">
        <f t="shared" si="3"/>
        <v>147.86324786324752</v>
      </c>
      <c r="O17" s="66">
        <f t="shared" si="4"/>
        <v>0</v>
      </c>
      <c r="P17" s="67">
        <f t="shared" si="5"/>
        <v>-5.9829059829063169</v>
      </c>
      <c r="Q17" s="237">
        <f t="shared" si="6"/>
        <v>0.96111111111110892</v>
      </c>
      <c r="R17" s="511"/>
      <c r="S17" s="68">
        <v>0.81666666666666676</v>
      </c>
      <c r="T17" s="68">
        <v>0.83541666666666681</v>
      </c>
      <c r="U17" s="236">
        <f t="shared" si="18"/>
        <v>5.9999999999999787</v>
      </c>
      <c r="V17" s="242">
        <f t="shared" si="17"/>
        <v>27.000000000000064</v>
      </c>
      <c r="W17" s="69"/>
      <c r="X17" s="69"/>
      <c r="Y17" s="517"/>
      <c r="Z17" s="518"/>
      <c r="AA17" s="66">
        <f t="shared" si="8"/>
        <v>-77.777777777782376</v>
      </c>
      <c r="AB17" s="237">
        <f t="shared" si="9"/>
        <v>0.96111111111110881</v>
      </c>
      <c r="AC17" s="511"/>
    </row>
    <row r="18" spans="1:29" ht="16.5" customHeight="1">
      <c r="A18" s="542" t="s">
        <v>1249</v>
      </c>
      <c r="B18" s="62" t="s">
        <v>1247</v>
      </c>
      <c r="C18" s="513"/>
      <c r="D18" s="513"/>
      <c r="E18" s="238"/>
      <c r="F18" s="71"/>
      <c r="G18" s="64"/>
      <c r="H18" s="243"/>
      <c r="I18" s="72">
        <v>17.666666666666668</v>
      </c>
      <c r="J18" s="63">
        <v>1750</v>
      </c>
      <c r="K18" s="64">
        <f t="shared" si="1"/>
        <v>99.056603773584897</v>
      </c>
      <c r="L18" s="72">
        <v>17.666666666666668</v>
      </c>
      <c r="M18" s="65">
        <f>AVERAGE(M12:M17)</f>
        <v>1679.7466851984011</v>
      </c>
      <c r="N18" s="64">
        <f t="shared" si="3"/>
        <v>95.080001048966096</v>
      </c>
      <c r="O18" s="66">
        <f t="shared" si="4"/>
        <v>0</v>
      </c>
      <c r="P18" s="67">
        <f t="shared" si="5"/>
        <v>-3.9766027246188003</v>
      </c>
      <c r="Q18" s="237">
        <f t="shared" si="6"/>
        <v>0.95985524868480065</v>
      </c>
      <c r="R18" s="511"/>
      <c r="S18" s="68"/>
      <c r="T18" s="68"/>
      <c r="U18" s="236"/>
      <c r="V18" s="242"/>
      <c r="W18" s="64"/>
      <c r="X18" s="64"/>
      <c r="Y18" s="510"/>
      <c r="Z18" s="510"/>
      <c r="AA18" s="66">
        <f t="shared" si="8"/>
        <v>-70.25331480159889</v>
      </c>
      <c r="AB18" s="237">
        <f t="shared" si="9"/>
        <v>0.95985524868480065</v>
      </c>
      <c r="AC18" s="511"/>
    </row>
    <row r="19" spans="1:29" ht="15.75" customHeight="1">
      <c r="A19" s="537" t="s">
        <v>1250</v>
      </c>
      <c r="B19" s="62" t="s">
        <v>13</v>
      </c>
      <c r="C19" s="533" t="s">
        <v>21</v>
      </c>
      <c r="D19" s="533"/>
      <c r="E19" s="62">
        <v>43.14</v>
      </c>
      <c r="F19" s="243">
        <v>1129</v>
      </c>
      <c r="G19" s="236">
        <f t="shared" ref="G19:G26" si="19">E19*F19</f>
        <v>48705.06</v>
      </c>
      <c r="H19" s="90" t="s">
        <v>5</v>
      </c>
      <c r="I19" s="241">
        <v>17</v>
      </c>
      <c r="J19" s="63">
        <v>2000</v>
      </c>
      <c r="K19" s="64">
        <f t="shared" si="1"/>
        <v>117.64705882352941</v>
      </c>
      <c r="L19" s="241">
        <v>17</v>
      </c>
      <c r="M19" s="65">
        <f t="shared" ref="M19:M26" si="20">F19/V19*60</f>
        <v>1935.428571428572</v>
      </c>
      <c r="N19" s="64">
        <f t="shared" si="3"/>
        <v>113.84873949579836</v>
      </c>
      <c r="O19" s="66">
        <f t="shared" si="4"/>
        <v>0</v>
      </c>
      <c r="P19" s="67">
        <f t="shared" si="5"/>
        <v>-3.7983193277310505</v>
      </c>
      <c r="Q19" s="237">
        <f t="shared" si="6"/>
        <v>0.96771428571428608</v>
      </c>
      <c r="R19" s="511">
        <f>Q27</f>
        <v>0.95916235819700191</v>
      </c>
      <c r="S19" s="68">
        <v>0.20833333333333334</v>
      </c>
      <c r="T19" s="68">
        <v>0.2326388888888889</v>
      </c>
      <c r="U19" s="236"/>
      <c r="V19" s="242">
        <f t="shared" ref="V19:V26" si="21">(T19-S19)*24*60</f>
        <v>34.999999999999993</v>
      </c>
      <c r="W19" s="73"/>
      <c r="X19" s="73"/>
      <c r="Y19" s="510"/>
      <c r="Z19" s="510"/>
      <c r="AA19" s="66">
        <f t="shared" si="8"/>
        <v>-64.571428571427987</v>
      </c>
      <c r="AB19" s="237">
        <f t="shared" si="9"/>
        <v>0.96771428571428597</v>
      </c>
      <c r="AC19" s="511">
        <f>AB27</f>
        <v>0.9591623581970018</v>
      </c>
    </row>
    <row r="20" spans="1:29" ht="15.75" customHeight="1">
      <c r="A20" s="538" t="s">
        <v>1250</v>
      </c>
      <c r="B20" s="62" t="s">
        <v>77</v>
      </c>
      <c r="C20" s="533" t="s">
        <v>980</v>
      </c>
      <c r="D20" s="533"/>
      <c r="E20" s="62">
        <v>49.9</v>
      </c>
      <c r="F20" s="243">
        <v>2006</v>
      </c>
      <c r="G20" s="236">
        <f t="shared" si="19"/>
        <v>100099.4</v>
      </c>
      <c r="H20" s="90" t="s">
        <v>5</v>
      </c>
      <c r="I20" s="241">
        <v>19</v>
      </c>
      <c r="J20" s="63">
        <v>2000</v>
      </c>
      <c r="K20" s="64">
        <f t="shared" si="1"/>
        <v>105.26315789473684</v>
      </c>
      <c r="L20" s="241">
        <v>19</v>
      </c>
      <c r="M20" s="65">
        <f t="shared" si="20"/>
        <v>1910.4761904761901</v>
      </c>
      <c r="N20" s="64">
        <f t="shared" si="3"/>
        <v>100.55137844611527</v>
      </c>
      <c r="O20" s="66">
        <f t="shared" si="4"/>
        <v>0</v>
      </c>
      <c r="P20" s="67">
        <f t="shared" si="5"/>
        <v>-4.7117794486215701</v>
      </c>
      <c r="Q20" s="237">
        <f t="shared" si="6"/>
        <v>0.95523809523809511</v>
      </c>
      <c r="R20" s="511"/>
      <c r="S20" s="68">
        <v>0.2361111111111111</v>
      </c>
      <c r="T20" s="68">
        <v>0.27986111111111112</v>
      </c>
      <c r="U20" s="236">
        <f t="shared" ref="U20:U26" si="22">IF(S20=TIME(17,0,0),"",(S20-T19)*24*60)</f>
        <v>4.9999999999999822</v>
      </c>
      <c r="V20" s="242">
        <f t="shared" si="21"/>
        <v>63.000000000000014</v>
      </c>
      <c r="W20" s="69"/>
      <c r="X20" s="236"/>
      <c r="Y20" s="510"/>
      <c r="Z20" s="510"/>
      <c r="AA20" s="66">
        <f t="shared" si="8"/>
        <v>-89.523809523809859</v>
      </c>
      <c r="AB20" s="237">
        <f t="shared" si="9"/>
        <v>0.95523809523809511</v>
      </c>
      <c r="AC20" s="511"/>
    </row>
    <row r="21" spans="1:29" ht="15.75" customHeight="1">
      <c r="A21" s="538" t="s">
        <v>1250</v>
      </c>
      <c r="B21" s="62" t="s">
        <v>6</v>
      </c>
      <c r="C21" s="533" t="s">
        <v>22</v>
      </c>
      <c r="D21" s="533"/>
      <c r="E21" s="62">
        <v>57.73</v>
      </c>
      <c r="F21" s="243">
        <v>2229</v>
      </c>
      <c r="G21" s="236">
        <f t="shared" si="19"/>
        <v>128680.17</v>
      </c>
      <c r="H21" s="90" t="s">
        <v>5</v>
      </c>
      <c r="I21" s="241">
        <v>14</v>
      </c>
      <c r="J21" s="63">
        <v>2000</v>
      </c>
      <c r="K21" s="64">
        <f t="shared" si="1"/>
        <v>142.85714285714286</v>
      </c>
      <c r="L21" s="241">
        <v>14</v>
      </c>
      <c r="M21" s="65">
        <f t="shared" si="20"/>
        <v>1910.5714285714289</v>
      </c>
      <c r="N21" s="64">
        <f t="shared" si="3"/>
        <v>136.46938775510208</v>
      </c>
      <c r="O21" s="66">
        <f t="shared" si="4"/>
        <v>0</v>
      </c>
      <c r="P21" s="67">
        <f t="shared" si="5"/>
        <v>-6.387755102040785</v>
      </c>
      <c r="Q21" s="237">
        <f t="shared" si="6"/>
        <v>0.95528571428571452</v>
      </c>
      <c r="R21" s="511"/>
      <c r="S21" s="68">
        <v>0.28541666666666665</v>
      </c>
      <c r="T21" s="68">
        <v>0.33402777777777776</v>
      </c>
      <c r="U21" s="236">
        <f t="shared" si="22"/>
        <v>7.9999999999999716</v>
      </c>
      <c r="V21" s="242">
        <f t="shared" si="21"/>
        <v>69.999999999999986</v>
      </c>
      <c r="W21" s="69"/>
      <c r="X21" s="236"/>
      <c r="Y21" s="510"/>
      <c r="Z21" s="510"/>
      <c r="AA21" s="66">
        <f t="shared" si="8"/>
        <v>-89.428571428571104</v>
      </c>
      <c r="AB21" s="237">
        <f t="shared" si="9"/>
        <v>0.9552857142857144</v>
      </c>
      <c r="AC21" s="511"/>
    </row>
    <row r="22" spans="1:29" ht="15.75" customHeight="1">
      <c r="A22" s="538" t="s">
        <v>1250</v>
      </c>
      <c r="B22" s="62" t="s">
        <v>6</v>
      </c>
      <c r="C22" s="533" t="s">
        <v>23</v>
      </c>
      <c r="D22" s="533"/>
      <c r="E22" s="62">
        <v>53.68</v>
      </c>
      <c r="F22" s="243">
        <v>1506</v>
      </c>
      <c r="G22" s="236">
        <f t="shared" si="19"/>
        <v>80842.080000000002</v>
      </c>
      <c r="H22" s="90" t="s">
        <v>5</v>
      </c>
      <c r="I22" s="241">
        <v>16</v>
      </c>
      <c r="J22" s="63">
        <v>2000</v>
      </c>
      <c r="K22" s="64">
        <f t="shared" si="1"/>
        <v>125</v>
      </c>
      <c r="L22" s="241">
        <v>16</v>
      </c>
      <c r="M22" s="65">
        <f t="shared" si="20"/>
        <v>1922.553191489362</v>
      </c>
      <c r="N22" s="64">
        <f t="shared" si="3"/>
        <v>120.15957446808513</v>
      </c>
      <c r="O22" s="66">
        <f t="shared" si="4"/>
        <v>0</v>
      </c>
      <c r="P22" s="67">
        <f t="shared" si="5"/>
        <v>-4.8404255319148746</v>
      </c>
      <c r="Q22" s="237">
        <f t="shared" si="6"/>
        <v>0.96127659574468105</v>
      </c>
      <c r="R22" s="511"/>
      <c r="S22" s="68">
        <v>0.33749999999999997</v>
      </c>
      <c r="T22" s="68">
        <v>0.37013888888888885</v>
      </c>
      <c r="U22" s="236">
        <f t="shared" si="22"/>
        <v>4.9999999999999822</v>
      </c>
      <c r="V22" s="242">
        <f t="shared" si="21"/>
        <v>46.999999999999993</v>
      </c>
      <c r="W22" s="69"/>
      <c r="X22" s="236"/>
      <c r="Y22" s="510"/>
      <c r="Z22" s="510"/>
      <c r="AA22" s="66">
        <f t="shared" si="8"/>
        <v>-77.446808510637993</v>
      </c>
      <c r="AB22" s="237">
        <f t="shared" si="9"/>
        <v>0.96127659574468105</v>
      </c>
      <c r="AC22" s="511"/>
    </row>
    <row r="23" spans="1:29" ht="15.75" customHeight="1">
      <c r="A23" s="538" t="s">
        <v>1250</v>
      </c>
      <c r="B23" s="62" t="s">
        <v>6</v>
      </c>
      <c r="C23" s="533" t="s">
        <v>971</v>
      </c>
      <c r="D23" s="533"/>
      <c r="E23" s="62">
        <v>49.91</v>
      </c>
      <c r="F23" s="243">
        <v>2062</v>
      </c>
      <c r="G23" s="236">
        <f t="shared" si="19"/>
        <v>102914.42</v>
      </c>
      <c r="H23" s="90" t="s">
        <v>5</v>
      </c>
      <c r="I23" s="241">
        <v>19</v>
      </c>
      <c r="J23" s="63">
        <v>2000</v>
      </c>
      <c r="K23" s="64">
        <f t="shared" si="1"/>
        <v>105.26315789473684</v>
      </c>
      <c r="L23" s="241">
        <v>19</v>
      </c>
      <c r="M23" s="65">
        <f t="shared" si="20"/>
        <v>1933.1249999999995</v>
      </c>
      <c r="N23" s="64">
        <f t="shared" si="3"/>
        <v>101.74342105263156</v>
      </c>
      <c r="O23" s="66">
        <f t="shared" si="4"/>
        <v>0</v>
      </c>
      <c r="P23" s="67">
        <f t="shared" si="5"/>
        <v>-3.5197368421052744</v>
      </c>
      <c r="Q23" s="237">
        <f t="shared" si="6"/>
        <v>0.96656249999999988</v>
      </c>
      <c r="R23" s="511"/>
      <c r="S23" s="68">
        <v>0.37569444444444439</v>
      </c>
      <c r="T23" s="68">
        <v>0.42013888888888884</v>
      </c>
      <c r="U23" s="236">
        <f t="shared" si="22"/>
        <v>7.9999999999999716</v>
      </c>
      <c r="V23" s="242">
        <f t="shared" si="21"/>
        <v>64.000000000000014</v>
      </c>
      <c r="W23" s="69"/>
      <c r="X23" s="236"/>
      <c r="Y23" s="510"/>
      <c r="Z23" s="510"/>
      <c r="AA23" s="66">
        <f t="shared" si="8"/>
        <v>-66.875000000000455</v>
      </c>
      <c r="AB23" s="237">
        <f t="shared" si="9"/>
        <v>0.96656249999999977</v>
      </c>
      <c r="AC23" s="511"/>
    </row>
    <row r="24" spans="1:29" ht="15.75" customHeight="1">
      <c r="A24" s="538" t="s">
        <v>1250</v>
      </c>
      <c r="B24" s="62" t="s">
        <v>6</v>
      </c>
      <c r="C24" s="533" t="s">
        <v>24</v>
      </c>
      <c r="D24" s="533"/>
      <c r="E24" s="62">
        <v>54.09</v>
      </c>
      <c r="F24" s="243">
        <v>1977</v>
      </c>
      <c r="G24" s="236">
        <f t="shared" si="19"/>
        <v>106935.93000000001</v>
      </c>
      <c r="H24" s="90" t="s">
        <v>5</v>
      </c>
      <c r="I24" s="241">
        <v>19</v>
      </c>
      <c r="J24" s="63">
        <v>2000</v>
      </c>
      <c r="K24" s="64">
        <f t="shared" si="1"/>
        <v>105.26315789473684</v>
      </c>
      <c r="L24" s="241">
        <v>19</v>
      </c>
      <c r="M24" s="65">
        <f t="shared" si="20"/>
        <v>1913.2258064516145</v>
      </c>
      <c r="N24" s="64">
        <f t="shared" si="3"/>
        <v>100.69609507640077</v>
      </c>
      <c r="O24" s="66">
        <f t="shared" si="4"/>
        <v>0</v>
      </c>
      <c r="P24" s="67">
        <f t="shared" si="5"/>
        <v>-4.5670628183360691</v>
      </c>
      <c r="Q24" s="237">
        <f t="shared" si="6"/>
        <v>0.95661290322580739</v>
      </c>
      <c r="R24" s="511"/>
      <c r="S24" s="68">
        <v>0.70833333333333337</v>
      </c>
      <c r="T24" s="68">
        <v>0.75138888888888888</v>
      </c>
      <c r="U24" s="236" t="str">
        <f t="shared" si="22"/>
        <v/>
      </c>
      <c r="V24" s="242">
        <f t="shared" si="21"/>
        <v>61.999999999999943</v>
      </c>
      <c r="W24" s="69"/>
      <c r="X24" s="73"/>
      <c r="Y24" s="510"/>
      <c r="Z24" s="510"/>
      <c r="AA24" s="66">
        <f t="shared" si="8"/>
        <v>-86.774193548385483</v>
      </c>
      <c r="AB24" s="237">
        <f t="shared" si="9"/>
        <v>0.95661290322580728</v>
      </c>
      <c r="AC24" s="511"/>
    </row>
    <row r="25" spans="1:29" ht="15.75" customHeight="1">
      <c r="A25" s="538" t="s">
        <v>1250</v>
      </c>
      <c r="B25" s="62" t="s">
        <v>6</v>
      </c>
      <c r="C25" s="533" t="s">
        <v>81</v>
      </c>
      <c r="D25" s="533"/>
      <c r="E25" s="62">
        <v>50.67</v>
      </c>
      <c r="F25" s="243">
        <v>1590</v>
      </c>
      <c r="G25" s="236">
        <f t="shared" si="19"/>
        <v>80565.3</v>
      </c>
      <c r="H25" s="90" t="s">
        <v>5</v>
      </c>
      <c r="I25" s="241">
        <v>15</v>
      </c>
      <c r="J25" s="63">
        <v>2000</v>
      </c>
      <c r="K25" s="64">
        <f t="shared" si="1"/>
        <v>133.33333333333334</v>
      </c>
      <c r="L25" s="241">
        <v>15</v>
      </c>
      <c r="M25" s="65">
        <f t="shared" si="20"/>
        <v>1908.0000000000005</v>
      </c>
      <c r="N25" s="64">
        <f t="shared" si="3"/>
        <v>127.20000000000003</v>
      </c>
      <c r="O25" s="66">
        <f t="shared" si="4"/>
        <v>0</v>
      </c>
      <c r="P25" s="67">
        <f t="shared" si="5"/>
        <v>-6.1333333333333115</v>
      </c>
      <c r="Q25" s="237">
        <f t="shared" si="6"/>
        <v>0.95400000000000018</v>
      </c>
      <c r="R25" s="511"/>
      <c r="S25" s="68">
        <v>0.75694444444444442</v>
      </c>
      <c r="T25" s="68">
        <v>0.79166666666666663</v>
      </c>
      <c r="U25" s="236">
        <f t="shared" si="22"/>
        <v>7.9999999999999716</v>
      </c>
      <c r="V25" s="242">
        <f t="shared" si="21"/>
        <v>49.999999999999986</v>
      </c>
      <c r="W25" s="69"/>
      <c r="X25" s="73"/>
      <c r="Y25" s="517"/>
      <c r="Z25" s="518"/>
      <c r="AA25" s="66">
        <f t="shared" si="8"/>
        <v>-91.999999999999545</v>
      </c>
      <c r="AB25" s="237">
        <f t="shared" si="9"/>
        <v>0.95400000000000018</v>
      </c>
      <c r="AC25" s="511"/>
    </row>
    <row r="26" spans="1:29" ht="15.75" customHeight="1">
      <c r="A26" s="538" t="s">
        <v>1250</v>
      </c>
      <c r="B26" s="62" t="s">
        <v>6</v>
      </c>
      <c r="C26" s="534" t="s">
        <v>82</v>
      </c>
      <c r="D26" s="535"/>
      <c r="E26" s="62">
        <v>57.73</v>
      </c>
      <c r="F26" s="243">
        <v>1577</v>
      </c>
      <c r="G26" s="236">
        <f t="shared" si="19"/>
        <v>91040.209999999992</v>
      </c>
      <c r="H26" s="90" t="s">
        <v>5</v>
      </c>
      <c r="I26" s="241">
        <v>16</v>
      </c>
      <c r="J26" s="63">
        <v>1500</v>
      </c>
      <c r="K26" s="64">
        <f t="shared" si="1"/>
        <v>93.75</v>
      </c>
      <c r="L26" s="241">
        <v>16</v>
      </c>
      <c r="M26" s="65">
        <f t="shared" si="20"/>
        <v>1433.6363636363617</v>
      </c>
      <c r="N26" s="64">
        <f t="shared" si="3"/>
        <v>89.602272727272606</v>
      </c>
      <c r="O26" s="66">
        <f t="shared" si="4"/>
        <v>0</v>
      </c>
      <c r="P26" s="67">
        <f t="shared" si="5"/>
        <v>-4.1477272727273942</v>
      </c>
      <c r="Q26" s="237">
        <f t="shared" si="6"/>
        <v>0.95575757575757447</v>
      </c>
      <c r="R26" s="511"/>
      <c r="S26" s="68">
        <v>0.79652777777777772</v>
      </c>
      <c r="T26" s="68">
        <v>0.84236111111111112</v>
      </c>
      <c r="U26" s="236">
        <f t="shared" si="22"/>
        <v>6.9999999999999751</v>
      </c>
      <c r="V26" s="242">
        <f t="shared" si="21"/>
        <v>66.000000000000085</v>
      </c>
      <c r="W26" s="69"/>
      <c r="X26" s="69"/>
      <c r="Y26" s="517"/>
      <c r="Z26" s="518"/>
      <c r="AA26" s="66">
        <f t="shared" si="8"/>
        <v>-66.363636363638307</v>
      </c>
      <c r="AB26" s="237">
        <f t="shared" si="9"/>
        <v>0.95575757575757447</v>
      </c>
      <c r="AC26" s="511"/>
    </row>
    <row r="27" spans="1:29" ht="15.75" customHeight="1">
      <c r="A27" s="538" t="s">
        <v>1250</v>
      </c>
      <c r="B27" s="62" t="s">
        <v>1247</v>
      </c>
      <c r="C27" s="513"/>
      <c r="D27" s="513"/>
      <c r="E27" s="238"/>
      <c r="F27" s="243"/>
      <c r="G27" s="236"/>
      <c r="H27" s="243"/>
      <c r="I27" s="72">
        <v>16.875</v>
      </c>
      <c r="J27" s="63">
        <v>1937.5</v>
      </c>
      <c r="K27" s="64">
        <f t="shared" si="1"/>
        <v>114.81481481481481</v>
      </c>
      <c r="L27" s="72">
        <v>16.875</v>
      </c>
      <c r="M27" s="65">
        <f>AVERAGE(M19:M26)</f>
        <v>1858.377069006691</v>
      </c>
      <c r="N27" s="64">
        <f t="shared" si="3"/>
        <v>110.12604853372984</v>
      </c>
      <c r="O27" s="66">
        <f t="shared" si="4"/>
        <v>0</v>
      </c>
      <c r="P27" s="67">
        <f t="shared" si="5"/>
        <v>-4.6887662810849662</v>
      </c>
      <c r="Q27" s="237">
        <f t="shared" si="6"/>
        <v>0.95916235819700191</v>
      </c>
      <c r="R27" s="511"/>
      <c r="S27" s="68"/>
      <c r="T27" s="68"/>
      <c r="U27" s="64"/>
      <c r="V27" s="242"/>
      <c r="W27" s="64"/>
      <c r="X27" s="64"/>
      <c r="Y27" s="510"/>
      <c r="Z27" s="510"/>
      <c r="AA27" s="66">
        <f t="shared" si="8"/>
        <v>-79.122930993308955</v>
      </c>
      <c r="AB27" s="237">
        <f t="shared" si="9"/>
        <v>0.9591623581970018</v>
      </c>
      <c r="AC27" s="511"/>
    </row>
    <row r="28" spans="1:29" ht="15.75" customHeight="1">
      <c r="A28" s="536" t="s">
        <v>1251</v>
      </c>
      <c r="B28" s="62" t="s">
        <v>16</v>
      </c>
      <c r="C28" s="533" t="s">
        <v>30</v>
      </c>
      <c r="D28" s="533"/>
      <c r="E28" s="62">
        <v>31.29</v>
      </c>
      <c r="F28" s="243">
        <v>4100</v>
      </c>
      <c r="G28" s="236">
        <f t="shared" ref="G28:G34" si="23">E28*F28</f>
        <v>128289</v>
      </c>
      <c r="H28" s="90">
        <v>2</v>
      </c>
      <c r="I28" s="241">
        <v>18</v>
      </c>
      <c r="J28" s="63">
        <v>2400</v>
      </c>
      <c r="K28" s="64">
        <f t="shared" si="1"/>
        <v>133.33333333333334</v>
      </c>
      <c r="L28" s="241">
        <v>18</v>
      </c>
      <c r="M28" s="65">
        <f t="shared" ref="M28:M34" si="24">F28/V28*60</f>
        <v>2299.065420560748</v>
      </c>
      <c r="N28" s="64">
        <f t="shared" si="3"/>
        <v>127.72585669781932</v>
      </c>
      <c r="O28" s="66">
        <f t="shared" si="4"/>
        <v>0</v>
      </c>
      <c r="P28" s="67">
        <f t="shared" si="5"/>
        <v>-5.6074766355140184</v>
      </c>
      <c r="Q28" s="237">
        <f t="shared" si="6"/>
        <v>0.95794392523364491</v>
      </c>
      <c r="R28" s="511">
        <f>Q35</f>
        <v>0.95890528770313521</v>
      </c>
      <c r="S28" s="68">
        <v>8.3333333333333329E-2</v>
      </c>
      <c r="T28" s="68">
        <v>0.15763888888888888</v>
      </c>
      <c r="U28" s="236"/>
      <c r="V28" s="242">
        <f t="shared" ref="V28:V34" si="25">(T28-S28)*24*60</f>
        <v>107</v>
      </c>
      <c r="W28" s="69">
        <f>T28</f>
        <v>0.15763888888888888</v>
      </c>
      <c r="X28" s="69">
        <f>S29</f>
        <v>0.17777777777777778</v>
      </c>
      <c r="Y28" s="510"/>
      <c r="Z28" s="510"/>
      <c r="AA28" s="66">
        <f t="shared" si="8"/>
        <v>-100.93457943925205</v>
      </c>
      <c r="AB28" s="237">
        <f t="shared" si="9"/>
        <v>0.95794392523364502</v>
      </c>
      <c r="AC28" s="511">
        <f>AB35</f>
        <v>0.9589052877031351</v>
      </c>
    </row>
    <row r="29" spans="1:29" ht="15.75" customHeight="1">
      <c r="A29" s="536" t="s">
        <v>1251</v>
      </c>
      <c r="B29" s="62" t="s">
        <v>16</v>
      </c>
      <c r="C29" s="533" t="s">
        <v>28</v>
      </c>
      <c r="D29" s="533"/>
      <c r="E29" s="62">
        <v>26.18</v>
      </c>
      <c r="F29" s="243">
        <v>2543</v>
      </c>
      <c r="G29" s="236">
        <f t="shared" si="23"/>
        <v>66575.740000000005</v>
      </c>
      <c r="H29" s="90" t="s">
        <v>5</v>
      </c>
      <c r="I29" s="241">
        <v>19</v>
      </c>
      <c r="J29" s="63">
        <v>2400</v>
      </c>
      <c r="K29" s="64">
        <f t="shared" si="1"/>
        <v>126.31578947368421</v>
      </c>
      <c r="L29" s="241">
        <v>19</v>
      </c>
      <c r="M29" s="65">
        <f t="shared" si="24"/>
        <v>2311.818181818182</v>
      </c>
      <c r="N29" s="64">
        <f t="shared" si="3"/>
        <v>121.67464114832536</v>
      </c>
      <c r="O29" s="66">
        <f t="shared" si="4"/>
        <v>0</v>
      </c>
      <c r="P29" s="67">
        <f t="shared" si="5"/>
        <v>-4.6411483253588415</v>
      </c>
      <c r="Q29" s="237">
        <f t="shared" si="6"/>
        <v>0.96325757575757587</v>
      </c>
      <c r="R29" s="511"/>
      <c r="S29" s="68">
        <v>0.17777777777777778</v>
      </c>
      <c r="T29" s="68">
        <v>0.22361111111111112</v>
      </c>
      <c r="U29" s="236">
        <f t="shared" ref="U29:U34" si="26">(S29-T28)*24*60</f>
        <v>29.000000000000018</v>
      </c>
      <c r="V29" s="242">
        <f t="shared" si="25"/>
        <v>66</v>
      </c>
      <c r="W29" s="69"/>
      <c r="X29" s="69"/>
      <c r="Y29" s="510"/>
      <c r="Z29" s="510"/>
      <c r="AA29" s="66">
        <f t="shared" si="8"/>
        <v>-88.181818181818016</v>
      </c>
      <c r="AB29" s="237">
        <f t="shared" si="9"/>
        <v>0.96325757575757587</v>
      </c>
      <c r="AC29" s="511"/>
    </row>
    <row r="30" spans="1:29" ht="15.75" customHeight="1">
      <c r="A30" s="536" t="s">
        <v>1251</v>
      </c>
      <c r="B30" s="62" t="s">
        <v>16</v>
      </c>
      <c r="C30" s="533" t="s">
        <v>25</v>
      </c>
      <c r="D30" s="533"/>
      <c r="E30" s="62">
        <v>26.2</v>
      </c>
      <c r="F30" s="243">
        <v>4124</v>
      </c>
      <c r="G30" s="236">
        <f t="shared" si="23"/>
        <v>108048.8</v>
      </c>
      <c r="H30" s="90" t="s">
        <v>5</v>
      </c>
      <c r="I30" s="241">
        <v>20</v>
      </c>
      <c r="J30" s="63">
        <v>2400</v>
      </c>
      <c r="K30" s="64">
        <f t="shared" si="1"/>
        <v>120</v>
      </c>
      <c r="L30" s="241">
        <v>20</v>
      </c>
      <c r="M30" s="65">
        <f t="shared" si="24"/>
        <v>2291.1111111111118</v>
      </c>
      <c r="N30" s="64">
        <f t="shared" si="3"/>
        <v>114.55555555555559</v>
      </c>
      <c r="O30" s="66">
        <f t="shared" si="4"/>
        <v>0</v>
      </c>
      <c r="P30" s="67">
        <f t="shared" si="5"/>
        <v>-5.4444444444444144</v>
      </c>
      <c r="Q30" s="237">
        <f t="shared" si="6"/>
        <v>0.95462962962962983</v>
      </c>
      <c r="R30" s="511"/>
      <c r="S30" s="68">
        <v>0.22708333333333333</v>
      </c>
      <c r="T30" s="68">
        <v>0.30208333333333331</v>
      </c>
      <c r="U30" s="236">
        <f t="shared" si="26"/>
        <v>4.9999999999999822</v>
      </c>
      <c r="V30" s="242">
        <f t="shared" si="25"/>
        <v>107.99999999999997</v>
      </c>
      <c r="W30" s="69"/>
      <c r="X30" s="69"/>
      <c r="Y30" s="510"/>
      <c r="Z30" s="510"/>
      <c r="AA30" s="66">
        <f t="shared" si="8"/>
        <v>-108.88888888888823</v>
      </c>
      <c r="AB30" s="237">
        <f t="shared" si="9"/>
        <v>0.95462962962962994</v>
      </c>
      <c r="AC30" s="511"/>
    </row>
    <row r="31" spans="1:29" ht="15.75" customHeight="1">
      <c r="A31" s="536" t="s">
        <v>1251</v>
      </c>
      <c r="B31" s="62" t="s">
        <v>16</v>
      </c>
      <c r="C31" s="533" t="s">
        <v>83</v>
      </c>
      <c r="D31" s="533"/>
      <c r="E31" s="62">
        <v>25.99</v>
      </c>
      <c r="F31" s="243">
        <v>4579</v>
      </c>
      <c r="G31" s="236">
        <f t="shared" si="23"/>
        <v>119008.20999999999</v>
      </c>
      <c r="H31" s="90" t="s">
        <v>5</v>
      </c>
      <c r="I31" s="241">
        <v>14</v>
      </c>
      <c r="J31" s="63">
        <v>2400</v>
      </c>
      <c r="K31" s="64">
        <f t="shared" si="1"/>
        <v>171.42857142857142</v>
      </c>
      <c r="L31" s="241">
        <v>14</v>
      </c>
      <c r="M31" s="65">
        <f t="shared" si="24"/>
        <v>2289.5000000000009</v>
      </c>
      <c r="N31" s="64">
        <f t="shared" si="3"/>
        <v>163.53571428571436</v>
      </c>
      <c r="O31" s="66">
        <f t="shared" si="4"/>
        <v>0</v>
      </c>
      <c r="P31" s="67">
        <f t="shared" si="5"/>
        <v>-7.8928571428570535</v>
      </c>
      <c r="Q31" s="237">
        <f t="shared" si="6"/>
        <v>0.9539583333333338</v>
      </c>
      <c r="R31" s="511"/>
      <c r="S31" s="68">
        <v>0.30694444444444441</v>
      </c>
      <c r="T31" s="68">
        <v>0.39027777777777772</v>
      </c>
      <c r="U31" s="236">
        <f t="shared" si="26"/>
        <v>6.9999999999999751</v>
      </c>
      <c r="V31" s="242">
        <f t="shared" si="25"/>
        <v>119.99999999999997</v>
      </c>
      <c r="W31" s="69"/>
      <c r="X31" s="69"/>
      <c r="Y31" s="510"/>
      <c r="Z31" s="510"/>
      <c r="AA31" s="66">
        <f t="shared" si="8"/>
        <v>-110.49999999999909</v>
      </c>
      <c r="AB31" s="237">
        <f t="shared" si="9"/>
        <v>0.95395833333333369</v>
      </c>
      <c r="AC31" s="511"/>
    </row>
    <row r="32" spans="1:29" ht="15.75" customHeight="1">
      <c r="A32" s="536" t="s">
        <v>1251</v>
      </c>
      <c r="B32" s="62" t="s">
        <v>16</v>
      </c>
      <c r="C32" s="533" t="s">
        <v>27</v>
      </c>
      <c r="D32" s="533"/>
      <c r="E32" s="62">
        <v>25.98</v>
      </c>
      <c r="F32" s="243">
        <v>938</v>
      </c>
      <c r="G32" s="236">
        <f t="shared" si="23"/>
        <v>24369.24</v>
      </c>
      <c r="H32" s="90" t="s">
        <v>5</v>
      </c>
      <c r="I32" s="241">
        <v>17</v>
      </c>
      <c r="J32" s="63">
        <v>2400</v>
      </c>
      <c r="K32" s="64">
        <f t="shared" si="1"/>
        <v>141.1764705882353</v>
      </c>
      <c r="L32" s="241">
        <v>17</v>
      </c>
      <c r="M32" s="65">
        <f t="shared" si="24"/>
        <v>2345.0000000000005</v>
      </c>
      <c r="N32" s="64">
        <f t="shared" si="3"/>
        <v>137.94117647058826</v>
      </c>
      <c r="O32" s="66">
        <f t="shared" si="4"/>
        <v>0</v>
      </c>
      <c r="P32" s="67">
        <f t="shared" si="5"/>
        <v>-3.2352941176470438</v>
      </c>
      <c r="Q32" s="237">
        <f t="shared" si="6"/>
        <v>0.97708333333333341</v>
      </c>
      <c r="R32" s="511"/>
      <c r="S32" s="68">
        <v>0.39444444444444438</v>
      </c>
      <c r="T32" s="68">
        <v>0.41111111111111104</v>
      </c>
      <c r="U32" s="236">
        <f t="shared" si="26"/>
        <v>5.9999999999999787</v>
      </c>
      <c r="V32" s="242">
        <f t="shared" si="25"/>
        <v>23.999999999999993</v>
      </c>
      <c r="W32" s="69"/>
      <c r="X32" s="69"/>
      <c r="Y32" s="510"/>
      <c r="Z32" s="510"/>
      <c r="AA32" s="66">
        <f t="shared" si="8"/>
        <v>-54.999999999999545</v>
      </c>
      <c r="AB32" s="237">
        <f t="shared" si="9"/>
        <v>0.97708333333333353</v>
      </c>
      <c r="AC32" s="511"/>
    </row>
    <row r="33" spans="1:29" ht="15.75" customHeight="1">
      <c r="A33" s="536" t="s">
        <v>1251</v>
      </c>
      <c r="B33" s="62" t="s">
        <v>16</v>
      </c>
      <c r="C33" s="533" t="s">
        <v>982</v>
      </c>
      <c r="D33" s="533"/>
      <c r="E33" s="62">
        <v>25.98</v>
      </c>
      <c r="F33" s="243">
        <v>5376</v>
      </c>
      <c r="G33" s="236">
        <f t="shared" si="23"/>
        <v>139668.48000000001</v>
      </c>
      <c r="H33" s="90" t="s">
        <v>5</v>
      </c>
      <c r="I33" s="241">
        <v>21</v>
      </c>
      <c r="J33" s="63">
        <v>2400</v>
      </c>
      <c r="K33" s="64">
        <f t="shared" si="1"/>
        <v>114.28571428571429</v>
      </c>
      <c r="L33" s="241">
        <v>21</v>
      </c>
      <c r="M33" s="65">
        <f t="shared" si="24"/>
        <v>2287.659574468084</v>
      </c>
      <c r="N33" s="64">
        <f t="shared" si="3"/>
        <v>108.9361702127659</v>
      </c>
      <c r="O33" s="66">
        <f t="shared" si="4"/>
        <v>0</v>
      </c>
      <c r="P33" s="67">
        <f t="shared" si="5"/>
        <v>-5.3495440729483903</v>
      </c>
      <c r="Q33" s="237">
        <f t="shared" si="6"/>
        <v>0.95319148936170162</v>
      </c>
      <c r="R33" s="511"/>
      <c r="S33" s="68">
        <v>0.41597222222222213</v>
      </c>
      <c r="T33" s="68">
        <v>0.51388888888888884</v>
      </c>
      <c r="U33" s="236">
        <f t="shared" si="26"/>
        <v>6.9999999999999751</v>
      </c>
      <c r="V33" s="242">
        <f t="shared" si="25"/>
        <v>141.00000000000006</v>
      </c>
      <c r="W33" s="69">
        <f>T33</f>
        <v>0.51388888888888884</v>
      </c>
      <c r="X33" s="69">
        <f>S34</f>
        <v>0.55555555555555547</v>
      </c>
      <c r="Y33" s="510"/>
      <c r="Z33" s="510"/>
      <c r="AA33" s="66">
        <f t="shared" si="8"/>
        <v>-112.34042553191603</v>
      </c>
      <c r="AB33" s="237">
        <f t="shared" si="9"/>
        <v>0.95319148936170162</v>
      </c>
      <c r="AC33" s="511"/>
    </row>
    <row r="34" spans="1:29" ht="15.75" customHeight="1">
      <c r="A34" s="536" t="s">
        <v>1251</v>
      </c>
      <c r="B34" s="62" t="s">
        <v>16</v>
      </c>
      <c r="C34" s="533" t="s">
        <v>30</v>
      </c>
      <c r="D34" s="533"/>
      <c r="E34" s="62">
        <v>31.29</v>
      </c>
      <c r="F34" s="243">
        <v>2933</v>
      </c>
      <c r="G34" s="236">
        <f t="shared" si="23"/>
        <v>91773.569999999992</v>
      </c>
      <c r="H34" s="90" t="s">
        <v>5</v>
      </c>
      <c r="I34" s="241">
        <v>18</v>
      </c>
      <c r="J34" s="63">
        <v>2400</v>
      </c>
      <c r="K34" s="64">
        <f t="shared" si="1"/>
        <v>133.33333333333334</v>
      </c>
      <c r="L34" s="241">
        <v>18</v>
      </c>
      <c r="M34" s="65">
        <f t="shared" si="24"/>
        <v>2285.4545454545441</v>
      </c>
      <c r="N34" s="64">
        <f t="shared" si="3"/>
        <v>126.9696969696969</v>
      </c>
      <c r="O34" s="66">
        <f t="shared" si="4"/>
        <v>0</v>
      </c>
      <c r="P34" s="67">
        <f t="shared" si="5"/>
        <v>-6.363636363636445</v>
      </c>
      <c r="Q34" s="237">
        <f t="shared" si="6"/>
        <v>0.95227272727272672</v>
      </c>
      <c r="R34" s="511"/>
      <c r="S34" s="68">
        <v>0.55555555555555547</v>
      </c>
      <c r="T34" s="68">
        <v>0.60902777777777772</v>
      </c>
      <c r="U34" s="236">
        <f t="shared" si="26"/>
        <v>59.999999999999943</v>
      </c>
      <c r="V34" s="242">
        <f t="shared" si="25"/>
        <v>77.000000000000043</v>
      </c>
      <c r="W34" s="69"/>
      <c r="X34" s="69"/>
      <c r="Y34" s="510"/>
      <c r="Z34" s="510"/>
      <c r="AA34" s="66">
        <f t="shared" si="8"/>
        <v>-114.54545454545587</v>
      </c>
      <c r="AB34" s="237">
        <f t="shared" si="9"/>
        <v>0.95227272727272672</v>
      </c>
      <c r="AC34" s="511"/>
    </row>
    <row r="35" spans="1:29" ht="15.75" customHeight="1">
      <c r="A35" s="536" t="s">
        <v>1251</v>
      </c>
      <c r="B35" s="62" t="s">
        <v>1247</v>
      </c>
      <c r="C35" s="513"/>
      <c r="D35" s="513"/>
      <c r="E35" s="238"/>
      <c r="F35" s="243"/>
      <c r="G35" s="236"/>
      <c r="H35" s="243"/>
      <c r="I35" s="72">
        <v>18.142857142857142</v>
      </c>
      <c r="J35" s="63">
        <v>2400</v>
      </c>
      <c r="K35" s="64">
        <f t="shared" si="1"/>
        <v>132.28346456692913</v>
      </c>
      <c r="L35" s="72">
        <v>18.142857142857142</v>
      </c>
      <c r="M35" s="65">
        <f>AVERAGE(M28:M34)</f>
        <v>2301.3726904875243</v>
      </c>
      <c r="N35" s="64">
        <f t="shared" si="3"/>
        <v>126.84731364891867</v>
      </c>
      <c r="O35" s="66">
        <f t="shared" si="4"/>
        <v>0</v>
      </c>
      <c r="P35" s="67">
        <f t="shared" si="5"/>
        <v>-5.4361509180104548</v>
      </c>
      <c r="Q35" s="237">
        <f t="shared" si="6"/>
        <v>0.95890528770313521</v>
      </c>
      <c r="R35" s="511"/>
      <c r="S35" s="68"/>
      <c r="T35" s="68"/>
      <c r="U35" s="236"/>
      <c r="V35" s="242"/>
      <c r="W35" s="236"/>
      <c r="X35" s="236"/>
      <c r="Y35" s="510"/>
      <c r="Z35" s="510"/>
      <c r="AA35" s="66">
        <f t="shared" si="8"/>
        <v>-98.627309512475676</v>
      </c>
      <c r="AB35" s="237">
        <f t="shared" si="9"/>
        <v>0.9589052877031351</v>
      </c>
      <c r="AC35" s="511"/>
    </row>
    <row r="36" spans="1:29" ht="15.75" customHeight="1">
      <c r="A36" s="531" t="s">
        <v>1252</v>
      </c>
      <c r="B36" s="62" t="s">
        <v>16</v>
      </c>
      <c r="C36" s="512" t="s">
        <v>31</v>
      </c>
      <c r="D36" s="512"/>
      <c r="E36" s="62">
        <v>26.2</v>
      </c>
      <c r="F36" s="243">
        <v>5268</v>
      </c>
      <c r="G36" s="236">
        <f t="shared" ref="G36:G41" si="27">E36*F36</f>
        <v>138021.6</v>
      </c>
      <c r="H36" s="90" t="s">
        <v>5</v>
      </c>
      <c r="I36" s="241">
        <v>18</v>
      </c>
      <c r="J36" s="63">
        <v>2400</v>
      </c>
      <c r="K36" s="64">
        <f t="shared" si="1"/>
        <v>133.33333333333334</v>
      </c>
      <c r="L36" s="241">
        <v>18</v>
      </c>
      <c r="M36" s="65">
        <f t="shared" ref="M36:M41" si="28">F36/V36*60</f>
        <v>2290.434782608696</v>
      </c>
      <c r="N36" s="64">
        <f t="shared" si="3"/>
        <v>127.24637681159422</v>
      </c>
      <c r="O36" s="66">
        <f t="shared" si="4"/>
        <v>0</v>
      </c>
      <c r="P36" s="67">
        <f t="shared" si="5"/>
        <v>-6.0869565217391255</v>
      </c>
      <c r="Q36" s="237">
        <f t="shared" si="6"/>
        <v>0.95434782608695656</v>
      </c>
      <c r="R36" s="511">
        <f>Q42</f>
        <v>0.95590728855406959</v>
      </c>
      <c r="S36" s="68">
        <v>8.3333333333333329E-2</v>
      </c>
      <c r="T36" s="68">
        <v>0.17916666666666664</v>
      </c>
      <c r="U36" s="236"/>
      <c r="V36" s="242">
        <f t="shared" ref="V36:V41" si="29">(T36-S36)*24*60</f>
        <v>137.99999999999997</v>
      </c>
      <c r="W36" s="73">
        <f>T36</f>
        <v>0.17916666666666664</v>
      </c>
      <c r="X36" s="73">
        <f>S37</f>
        <v>0.19999999999999998</v>
      </c>
      <c r="Y36" s="510"/>
      <c r="Z36" s="510"/>
      <c r="AA36" s="66">
        <f t="shared" si="8"/>
        <v>-109.56521739130403</v>
      </c>
      <c r="AB36" s="237">
        <f t="shared" si="9"/>
        <v>0.95434782608695667</v>
      </c>
      <c r="AC36" s="511">
        <f>AB42</f>
        <v>0.9559072885540697</v>
      </c>
    </row>
    <row r="37" spans="1:29" ht="15.75" customHeight="1">
      <c r="A37" s="531" t="s">
        <v>1252</v>
      </c>
      <c r="B37" s="62" t="s">
        <v>16</v>
      </c>
      <c r="C37" s="512" t="s">
        <v>32</v>
      </c>
      <c r="D37" s="512"/>
      <c r="E37" s="62">
        <v>26.39</v>
      </c>
      <c r="F37" s="243">
        <v>5105</v>
      </c>
      <c r="G37" s="236">
        <f t="shared" si="27"/>
        <v>134720.95000000001</v>
      </c>
      <c r="H37" s="90" t="s">
        <v>5</v>
      </c>
      <c r="I37" s="241">
        <v>19</v>
      </c>
      <c r="J37" s="63">
        <v>2400</v>
      </c>
      <c r="K37" s="64">
        <f t="shared" si="1"/>
        <v>126.31578947368421</v>
      </c>
      <c r="L37" s="241">
        <v>19</v>
      </c>
      <c r="M37" s="65">
        <f t="shared" si="28"/>
        <v>2285.820895522389</v>
      </c>
      <c r="N37" s="64">
        <f t="shared" si="3"/>
        <v>120.306362922231</v>
      </c>
      <c r="O37" s="66">
        <f t="shared" si="4"/>
        <v>0</v>
      </c>
      <c r="P37" s="67">
        <f t="shared" si="5"/>
        <v>-6.0094265514532026</v>
      </c>
      <c r="Q37" s="237">
        <f t="shared" si="6"/>
        <v>0.95242537313432885</v>
      </c>
      <c r="R37" s="511"/>
      <c r="S37" s="68">
        <v>0.19999999999999998</v>
      </c>
      <c r="T37" s="68">
        <v>0.29305555555555551</v>
      </c>
      <c r="U37" s="236">
        <f t="shared" ref="U37:U41" si="30">(S37-T36)*24*60</f>
        <v>30.000000000000014</v>
      </c>
      <c r="V37" s="242">
        <f t="shared" si="29"/>
        <v>133.99999999999994</v>
      </c>
      <c r="W37" s="236"/>
      <c r="X37" s="236"/>
      <c r="Y37" s="510"/>
      <c r="Z37" s="510"/>
      <c r="AA37" s="66">
        <f t="shared" si="8"/>
        <v>-114.17910447761096</v>
      </c>
      <c r="AB37" s="237">
        <f t="shared" si="9"/>
        <v>0.95242537313432873</v>
      </c>
      <c r="AC37" s="511"/>
    </row>
    <row r="38" spans="1:29">
      <c r="A38" s="532" t="s">
        <v>1252</v>
      </c>
      <c r="B38" s="62" t="s">
        <v>16</v>
      </c>
      <c r="C38" s="512" t="s">
        <v>50</v>
      </c>
      <c r="D38" s="512"/>
      <c r="E38" s="62">
        <v>20.52</v>
      </c>
      <c r="F38" s="243">
        <v>3523</v>
      </c>
      <c r="G38" s="236">
        <f t="shared" si="27"/>
        <v>72291.959999999992</v>
      </c>
      <c r="H38" s="90" t="s">
        <v>5</v>
      </c>
      <c r="I38" s="241">
        <v>18</v>
      </c>
      <c r="J38" s="63">
        <v>2400</v>
      </c>
      <c r="K38" s="64">
        <f t="shared" si="1"/>
        <v>133.33333333333334</v>
      </c>
      <c r="L38" s="241">
        <v>18</v>
      </c>
      <c r="M38" s="65">
        <f t="shared" si="28"/>
        <v>2297.608695652174</v>
      </c>
      <c r="N38" s="64">
        <f t="shared" si="3"/>
        <v>127.64492753623189</v>
      </c>
      <c r="O38" s="66">
        <f t="shared" si="4"/>
        <v>0</v>
      </c>
      <c r="P38" s="67">
        <f t="shared" si="5"/>
        <v>-5.6884057971014528</v>
      </c>
      <c r="Q38" s="237">
        <f t="shared" si="6"/>
        <v>0.95733695652173911</v>
      </c>
      <c r="R38" s="511"/>
      <c r="S38" s="68">
        <v>0.29722222222222217</v>
      </c>
      <c r="T38" s="68">
        <v>0.36111111111111105</v>
      </c>
      <c r="U38" s="236">
        <f t="shared" si="30"/>
        <v>5.9999999999999787</v>
      </c>
      <c r="V38" s="242">
        <f t="shared" si="29"/>
        <v>92</v>
      </c>
      <c r="W38" s="236"/>
      <c r="X38" s="236"/>
      <c r="Y38" s="510"/>
      <c r="Z38" s="510"/>
      <c r="AA38" s="66">
        <f t="shared" si="8"/>
        <v>-102.39130434782601</v>
      </c>
      <c r="AB38" s="237">
        <f t="shared" si="9"/>
        <v>0.95733695652173911</v>
      </c>
      <c r="AC38" s="511"/>
    </row>
    <row r="39" spans="1:29">
      <c r="A39" s="532" t="s">
        <v>1252</v>
      </c>
      <c r="B39" s="62" t="s">
        <v>16</v>
      </c>
      <c r="C39" s="512" t="s">
        <v>18</v>
      </c>
      <c r="D39" s="512"/>
      <c r="E39" s="62">
        <v>22.35</v>
      </c>
      <c r="F39" s="243">
        <v>1528</v>
      </c>
      <c r="G39" s="236">
        <f t="shared" si="27"/>
        <v>34150.800000000003</v>
      </c>
      <c r="H39" s="90" t="s">
        <v>5</v>
      </c>
      <c r="I39" s="241">
        <v>16</v>
      </c>
      <c r="J39" s="63">
        <v>2400</v>
      </c>
      <c r="K39" s="64">
        <f t="shared" si="1"/>
        <v>150</v>
      </c>
      <c r="L39" s="241">
        <v>16</v>
      </c>
      <c r="M39" s="65">
        <f t="shared" si="28"/>
        <v>2291.9999999999991</v>
      </c>
      <c r="N39" s="64">
        <f t="shared" si="3"/>
        <v>143.24999999999994</v>
      </c>
      <c r="O39" s="66">
        <f t="shared" si="4"/>
        <v>0</v>
      </c>
      <c r="P39" s="67">
        <f t="shared" si="5"/>
        <v>-6.7500000000000568</v>
      </c>
      <c r="Q39" s="237">
        <f t="shared" si="6"/>
        <v>0.95499999999999963</v>
      </c>
      <c r="R39" s="511"/>
      <c r="S39" s="68">
        <v>0.36597222222222214</v>
      </c>
      <c r="T39" s="68">
        <v>0.39374999999999993</v>
      </c>
      <c r="U39" s="236">
        <f t="shared" si="30"/>
        <v>6.9999999999999751</v>
      </c>
      <c r="V39" s="242">
        <f t="shared" si="29"/>
        <v>40.000000000000014</v>
      </c>
      <c r="W39" s="69"/>
      <c r="X39" s="69"/>
      <c r="Y39" s="510"/>
      <c r="Z39" s="510"/>
      <c r="AA39" s="66">
        <f t="shared" si="8"/>
        <v>-108.00000000000091</v>
      </c>
      <c r="AB39" s="237">
        <f t="shared" si="9"/>
        <v>0.95499999999999963</v>
      </c>
      <c r="AC39" s="511"/>
    </row>
    <row r="40" spans="1:29">
      <c r="A40" s="532" t="s">
        <v>1252</v>
      </c>
      <c r="B40" s="62" t="s">
        <v>16</v>
      </c>
      <c r="C40" s="512" t="s">
        <v>33</v>
      </c>
      <c r="D40" s="512"/>
      <c r="E40" s="62">
        <v>24.43</v>
      </c>
      <c r="F40" s="243">
        <v>4900</v>
      </c>
      <c r="G40" s="236">
        <f t="shared" si="27"/>
        <v>119707</v>
      </c>
      <c r="H40" s="90">
        <v>2</v>
      </c>
      <c r="I40" s="241">
        <v>14</v>
      </c>
      <c r="J40" s="63">
        <v>2400</v>
      </c>
      <c r="K40" s="64">
        <f t="shared" si="1"/>
        <v>171.42857142857142</v>
      </c>
      <c r="L40" s="241">
        <v>14</v>
      </c>
      <c r="M40" s="65">
        <f t="shared" si="28"/>
        <v>2296.8749999999995</v>
      </c>
      <c r="N40" s="64">
        <f t="shared" si="3"/>
        <v>164.06249999999997</v>
      </c>
      <c r="O40" s="66">
        <f t="shared" si="4"/>
        <v>0</v>
      </c>
      <c r="P40" s="67">
        <f t="shared" si="5"/>
        <v>-7.3660714285714448</v>
      </c>
      <c r="Q40" s="237">
        <f t="shared" si="6"/>
        <v>0.95703124999999989</v>
      </c>
      <c r="R40" s="511"/>
      <c r="S40" s="68">
        <v>0.39861111111111103</v>
      </c>
      <c r="T40" s="68">
        <v>0.48749999999999993</v>
      </c>
      <c r="U40" s="236">
        <f t="shared" si="30"/>
        <v>6.9999999999999751</v>
      </c>
      <c r="V40" s="242">
        <f t="shared" si="29"/>
        <v>128.00000000000003</v>
      </c>
      <c r="W40" s="73">
        <f>T40</f>
        <v>0.48749999999999993</v>
      </c>
      <c r="X40" s="73">
        <f>S41</f>
        <v>0.52569444444444435</v>
      </c>
      <c r="Y40" s="510"/>
      <c r="Z40" s="510"/>
      <c r="AA40" s="66">
        <f t="shared" si="8"/>
        <v>-103.12500000000045</v>
      </c>
      <c r="AB40" s="237">
        <f t="shared" si="9"/>
        <v>0.95703124999999978</v>
      </c>
      <c r="AC40" s="511"/>
    </row>
    <row r="41" spans="1:29">
      <c r="A41" s="532" t="s">
        <v>1252</v>
      </c>
      <c r="B41" s="62" t="s">
        <v>16</v>
      </c>
      <c r="C41" s="512" t="s">
        <v>33</v>
      </c>
      <c r="D41" s="512"/>
      <c r="E41" s="62">
        <v>24.43</v>
      </c>
      <c r="F41" s="243">
        <v>1650</v>
      </c>
      <c r="G41" s="236">
        <f t="shared" si="27"/>
        <v>40309.5</v>
      </c>
      <c r="H41" s="90" t="s">
        <v>5</v>
      </c>
      <c r="I41" s="241">
        <v>14</v>
      </c>
      <c r="J41" s="63">
        <v>2400</v>
      </c>
      <c r="K41" s="64">
        <f t="shared" si="1"/>
        <v>171.42857142857142</v>
      </c>
      <c r="L41" s="241">
        <v>14</v>
      </c>
      <c r="M41" s="65">
        <f t="shared" si="28"/>
        <v>2302.3255813953483</v>
      </c>
      <c r="N41" s="64">
        <f t="shared" si="3"/>
        <v>164.45182724252487</v>
      </c>
      <c r="O41" s="66">
        <f t="shared" si="4"/>
        <v>0</v>
      </c>
      <c r="P41" s="67">
        <f t="shared" si="5"/>
        <v>-6.9767441860465453</v>
      </c>
      <c r="Q41" s="237">
        <f t="shared" si="6"/>
        <v>0.95930232558139517</v>
      </c>
      <c r="R41" s="511"/>
      <c r="S41" s="68">
        <v>0.52569444444444435</v>
      </c>
      <c r="T41" s="68">
        <v>0.55555555555555547</v>
      </c>
      <c r="U41" s="236">
        <f t="shared" si="30"/>
        <v>54.999999999999964</v>
      </c>
      <c r="V41" s="242">
        <f t="shared" si="29"/>
        <v>43.000000000000007</v>
      </c>
      <c r="W41" s="69"/>
      <c r="X41" s="69"/>
      <c r="Y41" s="510"/>
      <c r="Z41" s="510"/>
      <c r="AA41" s="66">
        <f t="shared" si="8"/>
        <v>-97.674418604651692</v>
      </c>
      <c r="AB41" s="237">
        <f t="shared" si="9"/>
        <v>0.95930232558139517</v>
      </c>
      <c r="AC41" s="511"/>
    </row>
    <row r="42" spans="1:29">
      <c r="A42" s="532" t="s">
        <v>1252</v>
      </c>
      <c r="B42" s="71" t="s">
        <v>1247</v>
      </c>
      <c r="C42" s="513"/>
      <c r="D42" s="513"/>
      <c r="E42" s="238"/>
      <c r="F42" s="71"/>
      <c r="G42" s="64"/>
      <c r="H42" s="243"/>
      <c r="I42" s="72">
        <v>16.5</v>
      </c>
      <c r="J42" s="63">
        <v>2400</v>
      </c>
      <c r="K42" s="64">
        <f t="shared" si="1"/>
        <v>145.45454545454547</v>
      </c>
      <c r="L42" s="72">
        <v>16.5</v>
      </c>
      <c r="M42" s="65">
        <f>AVERAGE(M36:M41)</f>
        <v>2294.1774925297673</v>
      </c>
      <c r="N42" s="64">
        <f t="shared" si="3"/>
        <v>139.04106015331922</v>
      </c>
      <c r="O42" s="66">
        <f t="shared" si="4"/>
        <v>0</v>
      </c>
      <c r="P42" s="67">
        <f t="shared" si="5"/>
        <v>-6.4134853012262454</v>
      </c>
      <c r="Q42" s="237">
        <f t="shared" si="6"/>
        <v>0.95590728855406959</v>
      </c>
      <c r="R42" s="511"/>
      <c r="S42" s="68"/>
      <c r="T42" s="68"/>
      <c r="U42" s="64"/>
      <c r="V42" s="242"/>
      <c r="W42" s="64"/>
      <c r="X42" s="64"/>
      <c r="Y42" s="510"/>
      <c r="Z42" s="510"/>
      <c r="AA42" s="66">
        <f t="shared" si="8"/>
        <v>-105.82250747023272</v>
      </c>
      <c r="AB42" s="237">
        <f t="shared" si="9"/>
        <v>0.9559072885540697</v>
      </c>
      <c r="AC42" s="511"/>
    </row>
    <row r="43" spans="1:29" ht="15.75" customHeight="1">
      <c r="A43" s="525" t="s">
        <v>1253</v>
      </c>
      <c r="B43" s="62" t="s">
        <v>35</v>
      </c>
      <c r="C43" s="521" t="s">
        <v>36</v>
      </c>
      <c r="D43" s="522"/>
      <c r="E43" s="62">
        <v>21.13</v>
      </c>
      <c r="F43" s="243">
        <v>3913</v>
      </c>
      <c r="G43" s="236">
        <f t="shared" ref="G43:G49" si="31">E43*F43</f>
        <v>82681.69</v>
      </c>
      <c r="H43" s="90" t="s">
        <v>5</v>
      </c>
      <c r="I43" s="241">
        <v>10</v>
      </c>
      <c r="J43" s="63">
        <v>3000</v>
      </c>
      <c r="K43" s="64">
        <f t="shared" si="1"/>
        <v>300</v>
      </c>
      <c r="L43" s="241">
        <v>10</v>
      </c>
      <c r="M43" s="65">
        <f t="shared" ref="M43:M49" si="32">F43/V43*60</f>
        <v>2863.1707317073169</v>
      </c>
      <c r="N43" s="65">
        <f t="shared" si="3"/>
        <v>286.3170731707317</v>
      </c>
      <c r="O43" s="66">
        <f t="shared" si="4"/>
        <v>0</v>
      </c>
      <c r="P43" s="67">
        <f t="shared" si="5"/>
        <v>-13.682926829268297</v>
      </c>
      <c r="Q43" s="237">
        <f t="shared" si="6"/>
        <v>0.95439024390243898</v>
      </c>
      <c r="R43" s="528">
        <f>Q50</f>
        <v>0.95703854699143653</v>
      </c>
      <c r="S43" s="68">
        <v>8.3333333333333329E-2</v>
      </c>
      <c r="T43" s="68">
        <v>0.14027777777777778</v>
      </c>
      <c r="U43" s="73"/>
      <c r="V43" s="242">
        <f t="shared" ref="V43:V49" si="33">(T43-S43)*24*60</f>
        <v>82</v>
      </c>
      <c r="W43" s="69">
        <f>T43</f>
        <v>0.14027777777777778</v>
      </c>
      <c r="X43" s="69">
        <f>S44</f>
        <v>0.15972222222222224</v>
      </c>
      <c r="Y43" s="517"/>
      <c r="Z43" s="518"/>
      <c r="AA43" s="66">
        <f t="shared" si="8"/>
        <v>-136.82926829268308</v>
      </c>
      <c r="AB43" s="237">
        <f t="shared" si="9"/>
        <v>0.95439024390243898</v>
      </c>
      <c r="AC43" s="528">
        <f>AB50</f>
        <v>0.95703854699143664</v>
      </c>
    </row>
    <row r="44" spans="1:29" ht="15.75" customHeight="1">
      <c r="A44" s="526" t="s">
        <v>1253</v>
      </c>
      <c r="B44" s="62" t="s">
        <v>35</v>
      </c>
      <c r="C44" s="521" t="s">
        <v>37</v>
      </c>
      <c r="D44" s="522"/>
      <c r="E44" s="62">
        <v>27.17</v>
      </c>
      <c r="F44" s="243">
        <v>4883</v>
      </c>
      <c r="G44" s="236">
        <f t="shared" si="31"/>
        <v>132671.11000000002</v>
      </c>
      <c r="H44" s="90" t="s">
        <v>5</v>
      </c>
      <c r="I44" s="241">
        <v>10</v>
      </c>
      <c r="J44" s="63">
        <v>3000</v>
      </c>
      <c r="K44" s="64">
        <f t="shared" si="1"/>
        <v>300</v>
      </c>
      <c r="L44" s="241">
        <v>10</v>
      </c>
      <c r="M44" s="65">
        <f t="shared" si="32"/>
        <v>2872.3529411764707</v>
      </c>
      <c r="N44" s="65">
        <f t="shared" si="3"/>
        <v>287.23529411764707</v>
      </c>
      <c r="O44" s="66">
        <f t="shared" si="4"/>
        <v>0</v>
      </c>
      <c r="P44" s="67">
        <f t="shared" si="5"/>
        <v>-12.764705882352928</v>
      </c>
      <c r="Q44" s="237">
        <f t="shared" si="6"/>
        <v>0.95745098039215693</v>
      </c>
      <c r="R44" s="529"/>
      <c r="S44" s="68">
        <v>0.15972222222222224</v>
      </c>
      <c r="T44" s="68">
        <v>0.23055555555555557</v>
      </c>
      <c r="U44" s="236">
        <f t="shared" ref="U44:U49" si="34">(S44-T43)*24*60</f>
        <v>28.000000000000021</v>
      </c>
      <c r="V44" s="242">
        <f t="shared" si="33"/>
        <v>102</v>
      </c>
      <c r="W44" s="69"/>
      <c r="X44" s="69"/>
      <c r="Y44" s="517"/>
      <c r="Z44" s="518"/>
      <c r="AA44" s="66">
        <f t="shared" si="8"/>
        <v>-127.64705882352928</v>
      </c>
      <c r="AB44" s="237">
        <f t="shared" si="9"/>
        <v>0.95745098039215693</v>
      </c>
      <c r="AC44" s="529"/>
    </row>
    <row r="45" spans="1:29" ht="15.75" customHeight="1">
      <c r="A45" s="526" t="s">
        <v>1253</v>
      </c>
      <c r="B45" s="62" t="s">
        <v>35</v>
      </c>
      <c r="C45" s="521" t="s">
        <v>38</v>
      </c>
      <c r="D45" s="522"/>
      <c r="E45" s="62">
        <v>35.119999999999997</v>
      </c>
      <c r="F45" s="243">
        <v>3445</v>
      </c>
      <c r="G45" s="236">
        <f t="shared" si="31"/>
        <v>120988.4</v>
      </c>
      <c r="H45" s="90" t="s">
        <v>5</v>
      </c>
      <c r="I45" s="241">
        <v>10</v>
      </c>
      <c r="J45" s="63">
        <v>3000</v>
      </c>
      <c r="K45" s="64">
        <f t="shared" si="1"/>
        <v>300</v>
      </c>
      <c r="L45" s="241">
        <v>10</v>
      </c>
      <c r="M45" s="65">
        <f t="shared" si="32"/>
        <v>2870.8333333333321</v>
      </c>
      <c r="N45" s="65">
        <f t="shared" si="3"/>
        <v>287.0833333333332</v>
      </c>
      <c r="O45" s="66">
        <f t="shared" si="4"/>
        <v>0</v>
      </c>
      <c r="P45" s="67">
        <f t="shared" si="5"/>
        <v>-12.916666666666799</v>
      </c>
      <c r="Q45" s="237">
        <f t="shared" si="6"/>
        <v>0.95694444444444404</v>
      </c>
      <c r="R45" s="529"/>
      <c r="S45" s="68">
        <v>0.23541666666666669</v>
      </c>
      <c r="T45" s="68">
        <v>0.28541666666666671</v>
      </c>
      <c r="U45" s="236">
        <f t="shared" si="34"/>
        <v>7.0000000000000151</v>
      </c>
      <c r="V45" s="242">
        <f t="shared" si="33"/>
        <v>72.000000000000028</v>
      </c>
      <c r="W45" s="69"/>
      <c r="X45" s="69"/>
      <c r="Y45" s="517"/>
      <c r="Z45" s="518"/>
      <c r="AA45" s="66">
        <f t="shared" si="8"/>
        <v>-129.16666666666788</v>
      </c>
      <c r="AB45" s="237">
        <f t="shared" si="9"/>
        <v>0.95694444444444404</v>
      </c>
      <c r="AC45" s="529"/>
    </row>
    <row r="46" spans="1:29" ht="15.75" customHeight="1">
      <c r="A46" s="526" t="s">
        <v>1253</v>
      </c>
      <c r="B46" s="62" t="s">
        <v>35</v>
      </c>
      <c r="C46" s="521" t="s">
        <v>39</v>
      </c>
      <c r="D46" s="522"/>
      <c r="E46" s="62">
        <v>35.869999999999997</v>
      </c>
      <c r="F46" s="243">
        <v>2475</v>
      </c>
      <c r="G46" s="236">
        <f t="shared" si="31"/>
        <v>88778.25</v>
      </c>
      <c r="H46" s="90" t="s">
        <v>5</v>
      </c>
      <c r="I46" s="241">
        <v>9</v>
      </c>
      <c r="J46" s="63">
        <v>3000</v>
      </c>
      <c r="K46" s="64">
        <f t="shared" si="1"/>
        <v>333.33333333333331</v>
      </c>
      <c r="L46" s="241">
        <v>9</v>
      </c>
      <c r="M46" s="65">
        <f t="shared" si="32"/>
        <v>2855.7692307692323</v>
      </c>
      <c r="N46" s="65">
        <f t="shared" si="3"/>
        <v>317.30769230769249</v>
      </c>
      <c r="O46" s="66">
        <f t="shared" si="4"/>
        <v>0</v>
      </c>
      <c r="P46" s="67">
        <f t="shared" si="5"/>
        <v>-16.025641025640823</v>
      </c>
      <c r="Q46" s="237">
        <f t="shared" si="6"/>
        <v>0.95192307692307754</v>
      </c>
      <c r="R46" s="529"/>
      <c r="S46" s="68">
        <v>0.29097222222222224</v>
      </c>
      <c r="T46" s="68">
        <v>0.32708333333333334</v>
      </c>
      <c r="U46" s="236">
        <f t="shared" si="34"/>
        <v>7.9999999999999716</v>
      </c>
      <c r="V46" s="242">
        <f t="shared" si="33"/>
        <v>51.999999999999972</v>
      </c>
      <c r="W46" s="69"/>
      <c r="X46" s="69"/>
      <c r="Y46" s="517"/>
      <c r="Z46" s="518"/>
      <c r="AA46" s="66">
        <f t="shared" si="8"/>
        <v>-144.23076923076769</v>
      </c>
      <c r="AB46" s="237">
        <f t="shared" si="9"/>
        <v>0.95192307692307743</v>
      </c>
      <c r="AC46" s="529"/>
    </row>
    <row r="47" spans="1:29" ht="15.75" customHeight="1">
      <c r="A47" s="526" t="s">
        <v>1253</v>
      </c>
      <c r="B47" s="62" t="s">
        <v>35</v>
      </c>
      <c r="C47" s="521" t="s">
        <v>40</v>
      </c>
      <c r="D47" s="522"/>
      <c r="E47" s="62">
        <v>36.14</v>
      </c>
      <c r="F47" s="243">
        <v>1161</v>
      </c>
      <c r="G47" s="236">
        <f t="shared" si="31"/>
        <v>41958.54</v>
      </c>
      <c r="H47" s="90" t="s">
        <v>5</v>
      </c>
      <c r="I47" s="241">
        <v>9</v>
      </c>
      <c r="J47" s="63">
        <v>3000</v>
      </c>
      <c r="K47" s="64">
        <f t="shared" si="1"/>
        <v>333.33333333333331</v>
      </c>
      <c r="L47" s="241">
        <v>9</v>
      </c>
      <c r="M47" s="65">
        <f t="shared" si="32"/>
        <v>2902.5000000000009</v>
      </c>
      <c r="N47" s="65">
        <f t="shared" si="3"/>
        <v>322.50000000000011</v>
      </c>
      <c r="O47" s="66">
        <f t="shared" si="4"/>
        <v>0</v>
      </c>
      <c r="P47" s="67">
        <f t="shared" si="5"/>
        <v>-10.833333333333201</v>
      </c>
      <c r="Q47" s="237">
        <f t="shared" si="6"/>
        <v>0.96750000000000036</v>
      </c>
      <c r="R47" s="529"/>
      <c r="S47" s="68">
        <v>0.33055555555555555</v>
      </c>
      <c r="T47" s="68">
        <v>0.34722222222222221</v>
      </c>
      <c r="U47" s="236">
        <f t="shared" si="34"/>
        <v>4.9999999999999822</v>
      </c>
      <c r="V47" s="242">
        <f t="shared" si="33"/>
        <v>23.999999999999993</v>
      </c>
      <c r="W47" s="69"/>
      <c r="X47" s="69"/>
      <c r="Y47" s="517"/>
      <c r="Z47" s="518"/>
      <c r="AA47" s="66">
        <f t="shared" si="8"/>
        <v>-97.499999999999091</v>
      </c>
      <c r="AB47" s="237">
        <f t="shared" si="9"/>
        <v>0.96750000000000025</v>
      </c>
      <c r="AC47" s="529"/>
    </row>
    <row r="48" spans="1:29" ht="15.75" customHeight="1">
      <c r="A48" s="526" t="s">
        <v>1253</v>
      </c>
      <c r="B48" s="62" t="s">
        <v>35</v>
      </c>
      <c r="C48" s="521" t="s">
        <v>74</v>
      </c>
      <c r="D48" s="522"/>
      <c r="E48" s="62">
        <v>34.36</v>
      </c>
      <c r="F48" s="243">
        <v>2052</v>
      </c>
      <c r="G48" s="236">
        <f t="shared" si="31"/>
        <v>70506.720000000001</v>
      </c>
      <c r="H48" s="90" t="s">
        <v>5</v>
      </c>
      <c r="I48" s="241">
        <v>10</v>
      </c>
      <c r="J48" s="63">
        <v>3000</v>
      </c>
      <c r="K48" s="64">
        <f t="shared" si="1"/>
        <v>300</v>
      </c>
      <c r="L48" s="241">
        <v>10</v>
      </c>
      <c r="M48" s="65">
        <f t="shared" si="32"/>
        <v>2863.2558139534881</v>
      </c>
      <c r="N48" s="65">
        <f t="shared" si="3"/>
        <v>286.32558139534882</v>
      </c>
      <c r="O48" s="66">
        <f t="shared" si="4"/>
        <v>0</v>
      </c>
      <c r="P48" s="67">
        <f t="shared" si="5"/>
        <v>-13.67441860465118</v>
      </c>
      <c r="Q48" s="237">
        <f t="shared" si="6"/>
        <v>0.95441860465116268</v>
      </c>
      <c r="R48" s="529"/>
      <c r="S48" s="68">
        <v>0.35069444444444442</v>
      </c>
      <c r="T48" s="68">
        <v>0.38055555555555554</v>
      </c>
      <c r="U48" s="236">
        <f t="shared" si="34"/>
        <v>4.9999999999999822</v>
      </c>
      <c r="V48" s="242">
        <f t="shared" si="33"/>
        <v>43.000000000000007</v>
      </c>
      <c r="W48" s="69"/>
      <c r="X48" s="69"/>
      <c r="Y48" s="517"/>
      <c r="Z48" s="518"/>
      <c r="AA48" s="66">
        <f t="shared" si="8"/>
        <v>-136.74418604651191</v>
      </c>
      <c r="AB48" s="237">
        <f t="shared" si="9"/>
        <v>0.95441860465116268</v>
      </c>
      <c r="AC48" s="529"/>
    </row>
    <row r="49" spans="1:29" ht="15.75" customHeight="1">
      <c r="A49" s="526" t="s">
        <v>1253</v>
      </c>
      <c r="B49" s="62" t="s">
        <v>35</v>
      </c>
      <c r="C49" s="521" t="s">
        <v>84</v>
      </c>
      <c r="D49" s="522"/>
      <c r="E49" s="62">
        <v>31</v>
      </c>
      <c r="F49" s="243">
        <v>4304</v>
      </c>
      <c r="G49" s="236">
        <f t="shared" si="31"/>
        <v>133424</v>
      </c>
      <c r="H49" s="90" t="s">
        <v>5</v>
      </c>
      <c r="I49" s="241">
        <v>13</v>
      </c>
      <c r="J49" s="63">
        <v>2000</v>
      </c>
      <c r="K49" s="64">
        <f t="shared" si="1"/>
        <v>153.84615384615384</v>
      </c>
      <c r="L49" s="241">
        <v>13</v>
      </c>
      <c r="M49" s="65">
        <f t="shared" si="32"/>
        <v>1912.8888888888889</v>
      </c>
      <c r="N49" s="65">
        <f t="shared" si="3"/>
        <v>147.14529914529913</v>
      </c>
      <c r="O49" s="66">
        <f t="shared" si="4"/>
        <v>0</v>
      </c>
      <c r="P49" s="67">
        <f t="shared" si="5"/>
        <v>-6.7008547008547055</v>
      </c>
      <c r="Q49" s="237">
        <f t="shared" si="6"/>
        <v>0.95644444444444443</v>
      </c>
      <c r="R49" s="529"/>
      <c r="S49" s="68">
        <v>0.38611111111111107</v>
      </c>
      <c r="T49" s="68">
        <v>0.47986111111111107</v>
      </c>
      <c r="U49" s="236">
        <f t="shared" si="34"/>
        <v>7.9999999999999716</v>
      </c>
      <c r="V49" s="242">
        <f t="shared" si="33"/>
        <v>135</v>
      </c>
      <c r="W49" s="69"/>
      <c r="X49" s="69"/>
      <c r="Y49" s="517"/>
      <c r="Z49" s="518"/>
      <c r="AA49" s="66">
        <f t="shared" si="8"/>
        <v>-87.111111111111086</v>
      </c>
      <c r="AB49" s="237">
        <f t="shared" si="9"/>
        <v>0.95644444444444443</v>
      </c>
      <c r="AC49" s="529"/>
    </row>
    <row r="50" spans="1:29" ht="15.75" customHeight="1">
      <c r="A50" s="527" t="s">
        <v>1253</v>
      </c>
      <c r="B50" s="62" t="s">
        <v>1247</v>
      </c>
      <c r="C50" s="508"/>
      <c r="D50" s="509"/>
      <c r="E50" s="235"/>
      <c r="F50" s="243"/>
      <c r="G50" s="236"/>
      <c r="H50" s="243"/>
      <c r="I50" s="72">
        <v>10.142857142857142</v>
      </c>
      <c r="J50" s="63">
        <v>2857.1428571428573</v>
      </c>
      <c r="K50" s="64">
        <f t="shared" si="1"/>
        <v>281.69014084507046</v>
      </c>
      <c r="L50" s="72">
        <v>10.142857142857142</v>
      </c>
      <c r="M50" s="65">
        <f>AVERAGE(M43:M49)</f>
        <v>2734.395848546962</v>
      </c>
      <c r="N50" s="64">
        <f t="shared" si="3"/>
        <v>269.58832309617935</v>
      </c>
      <c r="O50" s="66">
        <f t="shared" si="4"/>
        <v>0</v>
      </c>
      <c r="P50" s="67">
        <f t="shared" si="5"/>
        <v>-12.101817748891108</v>
      </c>
      <c r="Q50" s="237">
        <f t="shared" si="6"/>
        <v>0.95703854699143653</v>
      </c>
      <c r="R50" s="530"/>
      <c r="S50" s="68"/>
      <c r="T50" s="68"/>
      <c r="U50" s="236"/>
      <c r="V50" s="242"/>
      <c r="W50" s="69"/>
      <c r="X50" s="69"/>
      <c r="Y50" s="517"/>
      <c r="Z50" s="518"/>
      <c r="AA50" s="66">
        <f t="shared" si="8"/>
        <v>-122.7470085958953</v>
      </c>
      <c r="AB50" s="237">
        <f t="shared" si="9"/>
        <v>0.95703854699143664</v>
      </c>
      <c r="AC50" s="530"/>
    </row>
    <row r="51" spans="1:29" ht="15.75" customHeight="1">
      <c r="A51" s="523" t="s">
        <v>1254</v>
      </c>
      <c r="B51" s="62" t="s">
        <v>10</v>
      </c>
      <c r="C51" s="512" t="s">
        <v>41</v>
      </c>
      <c r="D51" s="512"/>
      <c r="E51" s="62">
        <v>46</v>
      </c>
      <c r="F51" s="74">
        <v>1870</v>
      </c>
      <c r="G51" s="236">
        <f t="shared" ref="G51:G55" si="35">E51*F51</f>
        <v>86020</v>
      </c>
      <c r="H51" s="90" t="s">
        <v>5</v>
      </c>
      <c r="I51" s="241">
        <v>17</v>
      </c>
      <c r="J51" s="63">
        <v>2000</v>
      </c>
      <c r="K51" s="64">
        <f t="shared" si="1"/>
        <v>117.64705882352941</v>
      </c>
      <c r="L51" s="241">
        <v>17</v>
      </c>
      <c r="M51" s="65">
        <f t="shared" ref="M51:M55" si="36">F51/V51*60</f>
        <v>1934.48275862069</v>
      </c>
      <c r="N51" s="65">
        <f t="shared" si="3"/>
        <v>113.79310344827589</v>
      </c>
      <c r="O51" s="66">
        <f t="shared" si="4"/>
        <v>0</v>
      </c>
      <c r="P51" s="67">
        <f t="shared" si="5"/>
        <v>-3.8539553752535198</v>
      </c>
      <c r="Q51" s="237">
        <f t="shared" si="6"/>
        <v>0.96724137931034504</v>
      </c>
      <c r="R51" s="511">
        <f>Q56</f>
        <v>0.9613305845443777</v>
      </c>
      <c r="S51" s="68">
        <v>0.20833333333333334</v>
      </c>
      <c r="T51" s="68">
        <v>0.24861111111111112</v>
      </c>
      <c r="U51" s="73"/>
      <c r="V51" s="242">
        <f t="shared" ref="V51:V55" si="37">(T51-S51)*24*60</f>
        <v>57.999999999999993</v>
      </c>
      <c r="W51" s="73"/>
      <c r="X51" s="73"/>
      <c r="Y51" s="510"/>
      <c r="Z51" s="510"/>
      <c r="AA51" s="66">
        <f t="shared" si="8"/>
        <v>-65.517241379310008</v>
      </c>
      <c r="AB51" s="237">
        <f t="shared" si="9"/>
        <v>0.96724137931034504</v>
      </c>
      <c r="AC51" s="511">
        <f>AB56</f>
        <v>0.96133058454437781</v>
      </c>
    </row>
    <row r="52" spans="1:29" ht="15.75" customHeight="1">
      <c r="A52" s="523" t="s">
        <v>1254</v>
      </c>
      <c r="B52" s="62" t="s">
        <v>10</v>
      </c>
      <c r="C52" s="512" t="s">
        <v>42</v>
      </c>
      <c r="D52" s="512"/>
      <c r="E52" s="62">
        <v>46</v>
      </c>
      <c r="F52" s="74">
        <v>2078</v>
      </c>
      <c r="G52" s="236">
        <f t="shared" si="35"/>
        <v>95588</v>
      </c>
      <c r="H52" s="90" t="s">
        <v>5</v>
      </c>
      <c r="I52" s="241">
        <v>17</v>
      </c>
      <c r="J52" s="63">
        <v>2000</v>
      </c>
      <c r="K52" s="64">
        <f t="shared" si="1"/>
        <v>117.64705882352941</v>
      </c>
      <c r="L52" s="241">
        <v>17</v>
      </c>
      <c r="M52" s="65">
        <f t="shared" si="36"/>
        <v>1918.1538461538457</v>
      </c>
      <c r="N52" s="65">
        <f t="shared" si="3"/>
        <v>112.83257918552033</v>
      </c>
      <c r="O52" s="66">
        <f t="shared" si="4"/>
        <v>0</v>
      </c>
      <c r="P52" s="67">
        <f t="shared" si="5"/>
        <v>-4.8144796380090753</v>
      </c>
      <c r="Q52" s="237">
        <f t="shared" si="6"/>
        <v>0.95907692307692283</v>
      </c>
      <c r="R52" s="511"/>
      <c r="S52" s="68">
        <v>0.25347222222222221</v>
      </c>
      <c r="T52" s="68">
        <v>0.2986111111111111</v>
      </c>
      <c r="U52" s="236">
        <f t="shared" ref="U52:U55" si="38">IF(S52=TIME(17,0,0),"",(S52-T51)*24*60)</f>
        <v>6.9999999999999751</v>
      </c>
      <c r="V52" s="242">
        <f t="shared" si="37"/>
        <v>65.000000000000014</v>
      </c>
      <c r="W52" s="69"/>
      <c r="X52" s="69"/>
      <c r="Y52" s="510"/>
      <c r="Z52" s="510"/>
      <c r="AA52" s="66">
        <f t="shared" si="8"/>
        <v>-81.846153846154266</v>
      </c>
      <c r="AB52" s="237">
        <f t="shared" si="9"/>
        <v>0.95907692307692283</v>
      </c>
      <c r="AC52" s="511"/>
    </row>
    <row r="53" spans="1:29" ht="15.75" customHeight="1">
      <c r="A53" s="523" t="s">
        <v>1254</v>
      </c>
      <c r="B53" s="62" t="s">
        <v>6</v>
      </c>
      <c r="C53" s="521" t="s">
        <v>43</v>
      </c>
      <c r="D53" s="522"/>
      <c r="E53" s="62">
        <v>55.56</v>
      </c>
      <c r="F53" s="74">
        <v>2015</v>
      </c>
      <c r="G53" s="236">
        <f t="shared" si="35"/>
        <v>111953.40000000001</v>
      </c>
      <c r="H53" s="90" t="s">
        <v>5</v>
      </c>
      <c r="I53" s="241">
        <v>17</v>
      </c>
      <c r="J53" s="63">
        <v>2000</v>
      </c>
      <c r="K53" s="64">
        <f t="shared" si="1"/>
        <v>117.64705882352941</v>
      </c>
      <c r="L53" s="241">
        <v>17</v>
      </c>
      <c r="M53" s="65">
        <f t="shared" si="36"/>
        <v>1919.0476190476211</v>
      </c>
      <c r="N53" s="65">
        <f t="shared" si="3"/>
        <v>112.88515406162477</v>
      </c>
      <c r="O53" s="66">
        <f t="shared" si="4"/>
        <v>0</v>
      </c>
      <c r="P53" s="67">
        <f t="shared" si="5"/>
        <v>-4.7619047619046313</v>
      </c>
      <c r="Q53" s="237">
        <f t="shared" si="6"/>
        <v>0.95952380952381067</v>
      </c>
      <c r="R53" s="511"/>
      <c r="S53" s="68">
        <v>0.70833333333333337</v>
      </c>
      <c r="T53" s="68">
        <v>0.75208333333333333</v>
      </c>
      <c r="U53" s="236" t="str">
        <f t="shared" si="38"/>
        <v/>
      </c>
      <c r="V53" s="242">
        <f t="shared" si="37"/>
        <v>62.999999999999936</v>
      </c>
      <c r="W53" s="69"/>
      <c r="X53" s="69"/>
      <c r="Y53" s="233"/>
      <c r="Z53" s="234"/>
      <c r="AA53" s="66">
        <f t="shared" si="8"/>
        <v>-80.952380952378917</v>
      </c>
      <c r="AB53" s="237">
        <f t="shared" si="9"/>
        <v>0.95952380952381056</v>
      </c>
      <c r="AC53" s="511"/>
    </row>
    <row r="54" spans="1:29" ht="15.75" customHeight="1">
      <c r="A54" s="523" t="s">
        <v>1254</v>
      </c>
      <c r="B54" s="62" t="s">
        <v>6</v>
      </c>
      <c r="C54" s="239" t="s">
        <v>44</v>
      </c>
      <c r="D54" s="240"/>
      <c r="E54" s="62">
        <v>55.32</v>
      </c>
      <c r="F54" s="74">
        <v>1536</v>
      </c>
      <c r="G54" s="236">
        <f t="shared" si="35"/>
        <v>84971.520000000004</v>
      </c>
      <c r="H54" s="90" t="s">
        <v>5</v>
      </c>
      <c r="I54" s="241">
        <v>15</v>
      </c>
      <c r="J54" s="63">
        <v>2000</v>
      </c>
      <c r="K54" s="64">
        <f t="shared" si="1"/>
        <v>133.33333333333334</v>
      </c>
      <c r="L54" s="241">
        <v>15</v>
      </c>
      <c r="M54" s="65">
        <f t="shared" si="36"/>
        <v>1920.0000000000005</v>
      </c>
      <c r="N54" s="65">
        <f t="shared" si="3"/>
        <v>128.00000000000003</v>
      </c>
      <c r="O54" s="66">
        <f t="shared" si="4"/>
        <v>0</v>
      </c>
      <c r="P54" s="67">
        <f t="shared" si="5"/>
        <v>-5.3333333333333144</v>
      </c>
      <c r="Q54" s="237">
        <f t="shared" si="6"/>
        <v>0.96000000000000019</v>
      </c>
      <c r="R54" s="511"/>
      <c r="S54" s="68">
        <v>0.75694444444444442</v>
      </c>
      <c r="T54" s="68">
        <v>0.79027777777777775</v>
      </c>
      <c r="U54" s="236">
        <f t="shared" si="38"/>
        <v>6.9999999999999751</v>
      </c>
      <c r="V54" s="242">
        <f t="shared" si="37"/>
        <v>47.999999999999986</v>
      </c>
      <c r="W54" s="69"/>
      <c r="X54" s="69"/>
      <c r="Y54" s="233"/>
      <c r="Z54" s="234"/>
      <c r="AA54" s="66">
        <f t="shared" si="8"/>
        <v>-79.999999999999545</v>
      </c>
      <c r="AB54" s="237">
        <f t="shared" si="9"/>
        <v>0.96000000000000019</v>
      </c>
      <c r="AC54" s="511"/>
    </row>
    <row r="55" spans="1:29" ht="15.75" customHeight="1">
      <c r="A55" s="523" t="s">
        <v>1254</v>
      </c>
      <c r="B55" s="62" t="s">
        <v>6</v>
      </c>
      <c r="C55" s="239" t="s">
        <v>7</v>
      </c>
      <c r="D55" s="240"/>
      <c r="E55" s="62">
        <v>46.93</v>
      </c>
      <c r="F55" s="74">
        <v>1185</v>
      </c>
      <c r="G55" s="236">
        <f t="shared" si="35"/>
        <v>55612.05</v>
      </c>
      <c r="H55" s="90" t="s">
        <v>5</v>
      </c>
      <c r="I55" s="241">
        <v>16</v>
      </c>
      <c r="J55" s="63">
        <v>2000</v>
      </c>
      <c r="K55" s="64">
        <f t="shared" si="1"/>
        <v>125</v>
      </c>
      <c r="L55" s="241">
        <v>16</v>
      </c>
      <c r="M55" s="65">
        <f t="shared" si="36"/>
        <v>1921.6216216216203</v>
      </c>
      <c r="N55" s="65">
        <f t="shared" si="3"/>
        <v>120.10135135135127</v>
      </c>
      <c r="O55" s="66">
        <f t="shared" si="4"/>
        <v>0</v>
      </c>
      <c r="P55" s="67">
        <f t="shared" si="5"/>
        <v>-4.8986486486487308</v>
      </c>
      <c r="Q55" s="237">
        <f t="shared" si="6"/>
        <v>0.9608108108108101</v>
      </c>
      <c r="R55" s="511"/>
      <c r="S55" s="68">
        <v>0.7944444444444444</v>
      </c>
      <c r="T55" s="68">
        <v>0.82013888888888886</v>
      </c>
      <c r="U55" s="236">
        <f t="shared" si="38"/>
        <v>5.9999999999999787</v>
      </c>
      <c r="V55" s="242">
        <f t="shared" si="37"/>
        <v>37.000000000000028</v>
      </c>
      <c r="W55" s="69"/>
      <c r="X55" s="69"/>
      <c r="Y55" s="233"/>
      <c r="Z55" s="234"/>
      <c r="AA55" s="66">
        <f t="shared" si="8"/>
        <v>-78.378378378379693</v>
      </c>
      <c r="AB55" s="237">
        <f t="shared" si="9"/>
        <v>0.9608108108108101</v>
      </c>
      <c r="AC55" s="511"/>
    </row>
    <row r="56" spans="1:29">
      <c r="A56" s="524" t="s">
        <v>1254</v>
      </c>
      <c r="B56" s="62" t="s">
        <v>1247</v>
      </c>
      <c r="C56" s="513"/>
      <c r="D56" s="513"/>
      <c r="E56" s="238"/>
      <c r="F56" s="71"/>
      <c r="G56" s="64"/>
      <c r="H56" s="243"/>
      <c r="I56" s="72">
        <v>16.399999999999999</v>
      </c>
      <c r="J56" s="63">
        <v>2000</v>
      </c>
      <c r="K56" s="64">
        <f t="shared" si="1"/>
        <v>121.95121951219514</v>
      </c>
      <c r="L56" s="72">
        <v>16.399999999999999</v>
      </c>
      <c r="M56" s="65">
        <f>AVERAGE(M51:M55)</f>
        <v>1922.6611690887555</v>
      </c>
      <c r="N56" s="64">
        <f t="shared" si="3"/>
        <v>117.23543713955827</v>
      </c>
      <c r="O56" s="66">
        <f t="shared" si="4"/>
        <v>0</v>
      </c>
      <c r="P56" s="67">
        <f t="shared" si="5"/>
        <v>-4.7157823726368662</v>
      </c>
      <c r="Q56" s="237">
        <f t="shared" si="6"/>
        <v>0.9613305845443777</v>
      </c>
      <c r="R56" s="511"/>
      <c r="S56" s="75"/>
      <c r="T56" s="68"/>
      <c r="U56" s="64"/>
      <c r="V56" s="242"/>
      <c r="W56" s="64"/>
      <c r="X56" s="64"/>
      <c r="Y56" s="510"/>
      <c r="Z56" s="510"/>
      <c r="AA56" s="66">
        <f t="shared" si="8"/>
        <v>-77.338830911244486</v>
      </c>
      <c r="AB56" s="237">
        <f t="shared" si="9"/>
        <v>0.96133058454437781</v>
      </c>
      <c r="AC56" s="511"/>
    </row>
    <row r="57" spans="1:29" ht="15.75" customHeight="1">
      <c r="A57" s="519" t="s">
        <v>1255</v>
      </c>
      <c r="B57" s="243" t="s">
        <v>10</v>
      </c>
      <c r="C57" s="512" t="s">
        <v>46</v>
      </c>
      <c r="D57" s="512"/>
      <c r="E57" s="62">
        <v>26.97</v>
      </c>
      <c r="F57" s="74">
        <v>2574</v>
      </c>
      <c r="G57" s="236">
        <f t="shared" ref="G57:G60" si="39">E57*F57</f>
        <v>69420.78</v>
      </c>
      <c r="H57" s="90" t="s">
        <v>5</v>
      </c>
      <c r="I57" s="241">
        <v>8</v>
      </c>
      <c r="J57" s="63">
        <v>1500</v>
      </c>
      <c r="K57" s="64">
        <f t="shared" si="1"/>
        <v>187.5</v>
      </c>
      <c r="L57" s="241">
        <v>8</v>
      </c>
      <c r="M57" s="65">
        <f t="shared" ref="M57:M60" si="40">F57/V57*60</f>
        <v>1430.0000000000005</v>
      </c>
      <c r="N57" s="64">
        <f t="shared" si="3"/>
        <v>178.75000000000006</v>
      </c>
      <c r="O57" s="66">
        <f t="shared" si="4"/>
        <v>0</v>
      </c>
      <c r="P57" s="67">
        <f t="shared" si="5"/>
        <v>-8.7499999999999432</v>
      </c>
      <c r="Q57" s="237">
        <f t="shared" si="6"/>
        <v>0.95333333333333359</v>
      </c>
      <c r="R57" s="511">
        <f>Q61</f>
        <v>0.96234044882320724</v>
      </c>
      <c r="S57" s="68">
        <v>0.20833333333333334</v>
      </c>
      <c r="T57" s="68">
        <v>0.28333333333333333</v>
      </c>
      <c r="U57" s="236"/>
      <c r="V57" s="242">
        <f t="shared" ref="V57:V60" si="41">(T57-S57)*24*60</f>
        <v>107.99999999999997</v>
      </c>
      <c r="W57" s="73"/>
      <c r="X57" s="73"/>
      <c r="Y57" s="510"/>
      <c r="Z57" s="510"/>
      <c r="AA57" s="66">
        <f t="shared" si="8"/>
        <v>-69.999999999999545</v>
      </c>
      <c r="AB57" s="237">
        <f t="shared" si="9"/>
        <v>0.95333333333333359</v>
      </c>
      <c r="AC57" s="511">
        <f>AB61</f>
        <v>0.96234044882320724</v>
      </c>
    </row>
    <row r="58" spans="1:29" ht="15.75" customHeight="1">
      <c r="A58" s="519" t="s">
        <v>1255</v>
      </c>
      <c r="B58" s="243" t="s">
        <v>35</v>
      </c>
      <c r="C58" s="512" t="s">
        <v>45</v>
      </c>
      <c r="D58" s="512"/>
      <c r="E58" s="62">
        <v>26.78</v>
      </c>
      <c r="F58" s="74">
        <v>2188</v>
      </c>
      <c r="G58" s="236">
        <f t="shared" si="39"/>
        <v>58594.64</v>
      </c>
      <c r="H58" s="90" t="s">
        <v>5</v>
      </c>
      <c r="I58" s="241">
        <v>10</v>
      </c>
      <c r="J58" s="63">
        <v>3000</v>
      </c>
      <c r="K58" s="64">
        <f t="shared" si="1"/>
        <v>300</v>
      </c>
      <c r="L58" s="241">
        <v>10</v>
      </c>
      <c r="M58" s="65">
        <f t="shared" si="40"/>
        <v>2917.333333333333</v>
      </c>
      <c r="N58" s="64">
        <f t="shared" si="3"/>
        <v>291.73333333333329</v>
      </c>
      <c r="O58" s="66">
        <f t="shared" si="4"/>
        <v>0</v>
      </c>
      <c r="P58" s="67">
        <f t="shared" si="5"/>
        <v>-8.2666666666667084</v>
      </c>
      <c r="Q58" s="237">
        <f t="shared" si="6"/>
        <v>0.97244444444444433</v>
      </c>
      <c r="R58" s="511"/>
      <c r="S58" s="68">
        <v>0.28888888888888886</v>
      </c>
      <c r="T58" s="68">
        <v>0.32013888888888886</v>
      </c>
      <c r="U58" s="236">
        <f t="shared" ref="U58:U60" si="42">(S58-T57)*24*60</f>
        <v>7.9999999999999716</v>
      </c>
      <c r="V58" s="242">
        <f t="shared" si="41"/>
        <v>45</v>
      </c>
      <c r="W58" s="236"/>
      <c r="X58" s="236"/>
      <c r="Y58" s="510"/>
      <c r="Z58" s="510"/>
      <c r="AA58" s="66">
        <f t="shared" si="8"/>
        <v>-82.66666666666697</v>
      </c>
      <c r="AB58" s="237">
        <f t="shared" si="9"/>
        <v>0.97244444444444433</v>
      </c>
      <c r="AC58" s="511"/>
    </row>
    <row r="59" spans="1:29" ht="15.75" customHeight="1">
      <c r="A59" s="519" t="s">
        <v>1255</v>
      </c>
      <c r="B59" s="243" t="s">
        <v>35</v>
      </c>
      <c r="C59" s="512" t="s">
        <v>75</v>
      </c>
      <c r="D59" s="512"/>
      <c r="E59" s="62">
        <v>37.880000000000003</v>
      </c>
      <c r="F59" s="74">
        <v>2791</v>
      </c>
      <c r="G59" s="236">
        <f t="shared" si="39"/>
        <v>105723.08</v>
      </c>
      <c r="H59" s="90" t="s">
        <v>5</v>
      </c>
      <c r="I59" s="241">
        <v>10</v>
      </c>
      <c r="J59" s="63">
        <v>3000</v>
      </c>
      <c r="K59" s="64">
        <f t="shared" si="1"/>
        <v>300</v>
      </c>
      <c r="L59" s="241">
        <v>10</v>
      </c>
      <c r="M59" s="65">
        <f t="shared" si="40"/>
        <v>2887.2413793103433</v>
      </c>
      <c r="N59" s="64">
        <f t="shared" si="3"/>
        <v>288.72413793103431</v>
      </c>
      <c r="O59" s="66">
        <f t="shared" si="4"/>
        <v>0</v>
      </c>
      <c r="P59" s="67">
        <f t="shared" si="5"/>
        <v>-11.275862068965694</v>
      </c>
      <c r="Q59" s="237">
        <f t="shared" si="6"/>
        <v>0.96241379310344766</v>
      </c>
      <c r="R59" s="511"/>
      <c r="S59" s="68">
        <v>0.32361111111111107</v>
      </c>
      <c r="T59" s="68">
        <v>0.36388888888888887</v>
      </c>
      <c r="U59" s="236">
        <f t="shared" si="42"/>
        <v>4.9999999999999822</v>
      </c>
      <c r="V59" s="242">
        <f t="shared" si="41"/>
        <v>58.000000000000036</v>
      </c>
      <c r="W59" s="236"/>
      <c r="X59" s="236"/>
      <c r="Y59" s="510"/>
      <c r="Z59" s="510"/>
      <c r="AA59" s="66">
        <f t="shared" si="8"/>
        <v>-112.75862068965671</v>
      </c>
      <c r="AB59" s="237">
        <f t="shared" si="9"/>
        <v>0.96241379310344777</v>
      </c>
      <c r="AC59" s="511"/>
    </row>
    <row r="60" spans="1:29" ht="15.75" customHeight="1">
      <c r="A60" s="519" t="s">
        <v>1255</v>
      </c>
      <c r="B60" s="243" t="s">
        <v>35</v>
      </c>
      <c r="C60" s="512" t="s">
        <v>85</v>
      </c>
      <c r="D60" s="512"/>
      <c r="E60" s="62">
        <v>40.51</v>
      </c>
      <c r="F60" s="74">
        <v>2870</v>
      </c>
      <c r="G60" s="236">
        <f t="shared" si="39"/>
        <v>116263.7</v>
      </c>
      <c r="H60" s="90" t="s">
        <v>5</v>
      </c>
      <c r="I60" s="241">
        <v>8</v>
      </c>
      <c r="J60" s="63">
        <v>3000</v>
      </c>
      <c r="K60" s="64">
        <f t="shared" si="1"/>
        <v>375</v>
      </c>
      <c r="L60" s="241">
        <v>8</v>
      </c>
      <c r="M60" s="65">
        <f t="shared" si="40"/>
        <v>2869.9999999999986</v>
      </c>
      <c r="N60" s="64">
        <f t="shared" si="3"/>
        <v>358.74999999999983</v>
      </c>
      <c r="O60" s="66">
        <f t="shared" si="4"/>
        <v>0</v>
      </c>
      <c r="P60" s="67">
        <f t="shared" si="5"/>
        <v>-16.250000000000171</v>
      </c>
      <c r="Q60" s="237">
        <f t="shared" si="6"/>
        <v>0.95666666666666622</v>
      </c>
      <c r="R60" s="511"/>
      <c r="S60" s="68">
        <v>0.36805555555555552</v>
      </c>
      <c r="T60" s="68">
        <v>0.40972222222222221</v>
      </c>
      <c r="U60" s="236">
        <f t="shared" si="42"/>
        <v>5.9999999999999787</v>
      </c>
      <c r="V60" s="242">
        <f t="shared" si="41"/>
        <v>60.000000000000028</v>
      </c>
      <c r="W60" s="236"/>
      <c r="X60" s="236"/>
      <c r="Y60" s="510"/>
      <c r="Z60" s="510"/>
      <c r="AA60" s="66">
        <f t="shared" si="8"/>
        <v>-130.00000000000136</v>
      </c>
      <c r="AB60" s="237">
        <f t="shared" si="9"/>
        <v>0.95666666666666622</v>
      </c>
      <c r="AC60" s="511"/>
    </row>
    <row r="61" spans="1:29">
      <c r="A61" s="520" t="s">
        <v>1255</v>
      </c>
      <c r="B61" s="62" t="s">
        <v>1247</v>
      </c>
      <c r="C61" s="513"/>
      <c r="D61" s="513"/>
      <c r="E61" s="238"/>
      <c r="F61" s="71"/>
      <c r="G61" s="64"/>
      <c r="H61" s="243"/>
      <c r="I61" s="72">
        <v>9</v>
      </c>
      <c r="J61" s="63">
        <v>2625</v>
      </c>
      <c r="K61" s="64">
        <f t="shared" si="1"/>
        <v>291.66666666666669</v>
      </c>
      <c r="L61" s="72">
        <v>9</v>
      </c>
      <c r="M61" s="65">
        <f>AVERAGE(M57:M60)</f>
        <v>2526.1436781609191</v>
      </c>
      <c r="N61" s="64">
        <f t="shared" si="3"/>
        <v>280.68263090676879</v>
      </c>
      <c r="O61" s="66">
        <f t="shared" si="4"/>
        <v>0</v>
      </c>
      <c r="P61" s="67">
        <f t="shared" si="5"/>
        <v>-10.984035759897893</v>
      </c>
      <c r="Q61" s="237">
        <f t="shared" si="6"/>
        <v>0.96234044882320724</v>
      </c>
      <c r="R61" s="511"/>
      <c r="S61" s="68"/>
      <c r="T61" s="68"/>
      <c r="U61" s="64"/>
      <c r="V61" s="242"/>
      <c r="W61" s="64"/>
      <c r="X61" s="64"/>
      <c r="Y61" s="510"/>
      <c r="Z61" s="510"/>
      <c r="AA61" s="66">
        <f t="shared" si="8"/>
        <v>-98.85632183908092</v>
      </c>
      <c r="AB61" s="237">
        <f t="shared" si="9"/>
        <v>0.96234044882320724</v>
      </c>
      <c r="AC61" s="511"/>
    </row>
    <row r="62" spans="1:29" ht="15.75" customHeight="1">
      <c r="A62" s="514" t="s">
        <v>1256</v>
      </c>
      <c r="B62" s="243" t="s">
        <v>16</v>
      </c>
      <c r="C62" s="512" t="s">
        <v>48</v>
      </c>
      <c r="D62" s="512"/>
      <c r="E62" s="62">
        <v>20.2</v>
      </c>
      <c r="F62" s="243">
        <v>1840</v>
      </c>
      <c r="G62" s="236">
        <f t="shared" ref="G62:G67" si="43">E62*F62</f>
        <v>37168</v>
      </c>
      <c r="H62" s="90" t="s">
        <v>5</v>
      </c>
      <c r="I62" s="241">
        <v>19</v>
      </c>
      <c r="J62" s="63">
        <v>2400</v>
      </c>
      <c r="K62" s="64">
        <f t="shared" si="1"/>
        <v>126.31578947368421</v>
      </c>
      <c r="L62" s="241">
        <v>19</v>
      </c>
      <c r="M62" s="65">
        <f t="shared" ref="M62:M67" si="44">F62/V62*60</f>
        <v>2299.9999999999995</v>
      </c>
      <c r="N62" s="64">
        <f t="shared" si="3"/>
        <v>121.05263157894734</v>
      </c>
      <c r="O62" s="66">
        <f t="shared" si="4"/>
        <v>0</v>
      </c>
      <c r="P62" s="67">
        <f t="shared" si="5"/>
        <v>-5.2631578947368638</v>
      </c>
      <c r="Q62" s="237">
        <f t="shared" si="6"/>
        <v>0.95833333333333315</v>
      </c>
      <c r="R62" s="511">
        <f>Q68</f>
        <v>0.95840735479925998</v>
      </c>
      <c r="S62" s="68">
        <v>8.3333333333333329E-2</v>
      </c>
      <c r="T62" s="68">
        <v>0.11666666666666667</v>
      </c>
      <c r="U62" s="73"/>
      <c r="V62" s="242">
        <f t="shared" ref="V62:V67" si="45">(T62-S62)*24*60</f>
        <v>48.000000000000007</v>
      </c>
      <c r="W62" s="69">
        <f>T62</f>
        <v>0.11666666666666667</v>
      </c>
      <c r="X62" s="69">
        <f>S63</f>
        <v>0.13541666666666669</v>
      </c>
      <c r="Y62" s="510"/>
      <c r="Z62" s="510"/>
      <c r="AA62" s="66">
        <f t="shared" si="8"/>
        <v>-100.00000000000045</v>
      </c>
      <c r="AB62" s="237">
        <f t="shared" si="9"/>
        <v>0.95833333333333315</v>
      </c>
      <c r="AC62" s="511">
        <f>AB68</f>
        <v>0.95840735479926009</v>
      </c>
    </row>
    <row r="63" spans="1:29" ht="15.75" customHeight="1">
      <c r="A63" s="515" t="s">
        <v>1256</v>
      </c>
      <c r="B63" s="243" t="s">
        <v>16</v>
      </c>
      <c r="C63" s="512" t="s">
        <v>51</v>
      </c>
      <c r="D63" s="512"/>
      <c r="E63" s="62">
        <v>24.25</v>
      </c>
      <c r="F63" s="243">
        <v>2087</v>
      </c>
      <c r="G63" s="236">
        <f t="shared" si="43"/>
        <v>50609.75</v>
      </c>
      <c r="H63" s="90" t="s">
        <v>5</v>
      </c>
      <c r="I63" s="241">
        <v>17</v>
      </c>
      <c r="J63" s="63">
        <v>2400</v>
      </c>
      <c r="K63" s="64">
        <f t="shared" si="1"/>
        <v>141.1764705882353</v>
      </c>
      <c r="L63" s="241">
        <v>17</v>
      </c>
      <c r="M63" s="65">
        <f t="shared" si="44"/>
        <v>2318.8888888888887</v>
      </c>
      <c r="N63" s="64">
        <f t="shared" si="3"/>
        <v>136.40522875816993</v>
      </c>
      <c r="O63" s="66">
        <f t="shared" si="4"/>
        <v>0</v>
      </c>
      <c r="P63" s="67">
        <f t="shared" si="5"/>
        <v>-4.7712418300653781</v>
      </c>
      <c r="Q63" s="237">
        <f t="shared" si="6"/>
        <v>0.96620370370370356</v>
      </c>
      <c r="R63" s="511"/>
      <c r="S63" s="68">
        <v>0.13541666666666669</v>
      </c>
      <c r="T63" s="68">
        <v>0.17291666666666669</v>
      </c>
      <c r="U63" s="236">
        <f t="shared" ref="U63:U67" si="46">(S63-T62)*24*60</f>
        <v>27.000000000000025</v>
      </c>
      <c r="V63" s="242">
        <f t="shared" si="45"/>
        <v>54.000000000000007</v>
      </c>
      <c r="W63" s="69"/>
      <c r="X63" s="69"/>
      <c r="Y63" s="510"/>
      <c r="Z63" s="510"/>
      <c r="AA63" s="66">
        <f t="shared" si="8"/>
        <v>-81.111111111111313</v>
      </c>
      <c r="AB63" s="237">
        <f t="shared" si="9"/>
        <v>0.96620370370370356</v>
      </c>
      <c r="AC63" s="511"/>
    </row>
    <row r="64" spans="1:29" ht="15.75" customHeight="1">
      <c r="A64" s="515" t="s">
        <v>1256</v>
      </c>
      <c r="B64" s="243" t="s">
        <v>16</v>
      </c>
      <c r="C64" s="512" t="s">
        <v>17</v>
      </c>
      <c r="D64" s="512"/>
      <c r="E64" s="62">
        <v>24.45</v>
      </c>
      <c r="F64" s="243">
        <v>1930</v>
      </c>
      <c r="G64" s="236">
        <f t="shared" si="43"/>
        <v>47188.5</v>
      </c>
      <c r="H64" s="90" t="s">
        <v>5</v>
      </c>
      <c r="I64" s="241">
        <v>20</v>
      </c>
      <c r="J64" s="63">
        <v>2400</v>
      </c>
      <c r="K64" s="64">
        <f t="shared" si="1"/>
        <v>120</v>
      </c>
      <c r="L64" s="241">
        <v>20</v>
      </c>
      <c r="M64" s="65">
        <f t="shared" si="44"/>
        <v>2316.0000000000005</v>
      </c>
      <c r="N64" s="64">
        <f t="shared" si="3"/>
        <v>115.80000000000003</v>
      </c>
      <c r="O64" s="66">
        <f t="shared" si="4"/>
        <v>0</v>
      </c>
      <c r="P64" s="67">
        <f t="shared" si="5"/>
        <v>-4.1999999999999744</v>
      </c>
      <c r="Q64" s="237">
        <f t="shared" si="6"/>
        <v>0.96500000000000019</v>
      </c>
      <c r="R64" s="511"/>
      <c r="S64" s="68">
        <v>0.17708333333333337</v>
      </c>
      <c r="T64" s="68">
        <v>0.21180555555555558</v>
      </c>
      <c r="U64" s="236">
        <f t="shared" si="46"/>
        <v>6.0000000000000187</v>
      </c>
      <c r="V64" s="242">
        <f t="shared" si="45"/>
        <v>49.999999999999986</v>
      </c>
      <c r="W64" s="69"/>
      <c r="X64" s="69"/>
      <c r="Y64" s="510"/>
      <c r="Z64" s="510"/>
      <c r="AA64" s="66">
        <f t="shared" si="8"/>
        <v>-83.999999999999545</v>
      </c>
      <c r="AB64" s="237">
        <f t="shared" si="9"/>
        <v>0.96500000000000019</v>
      </c>
      <c r="AC64" s="511"/>
    </row>
    <row r="65" spans="1:29" ht="15.75" customHeight="1">
      <c r="A65" s="515" t="s">
        <v>1256</v>
      </c>
      <c r="B65" s="243" t="s">
        <v>16</v>
      </c>
      <c r="C65" s="512" t="s">
        <v>34</v>
      </c>
      <c r="D65" s="512"/>
      <c r="E65" s="62">
        <v>24.25</v>
      </c>
      <c r="F65" s="243">
        <v>2891</v>
      </c>
      <c r="G65" s="236">
        <f t="shared" si="43"/>
        <v>70106.75</v>
      </c>
      <c r="H65" s="90" t="s">
        <v>5</v>
      </c>
      <c r="I65" s="241">
        <v>13</v>
      </c>
      <c r="J65" s="63">
        <v>2400</v>
      </c>
      <c r="K65" s="64">
        <f t="shared" si="1"/>
        <v>184.61538461538461</v>
      </c>
      <c r="L65" s="241">
        <v>13</v>
      </c>
      <c r="M65" s="65">
        <f t="shared" si="44"/>
        <v>2282.3684210526326</v>
      </c>
      <c r="N65" s="64">
        <f t="shared" si="3"/>
        <v>175.56680161943328</v>
      </c>
      <c r="O65" s="66">
        <f t="shared" si="4"/>
        <v>0</v>
      </c>
      <c r="P65" s="67">
        <f t="shared" si="5"/>
        <v>-9.0485829959513353</v>
      </c>
      <c r="Q65" s="237">
        <f t="shared" si="6"/>
        <v>0.95098684210526363</v>
      </c>
      <c r="R65" s="511"/>
      <c r="S65" s="68">
        <v>0.21527777777777779</v>
      </c>
      <c r="T65" s="68">
        <v>0.26805555555555555</v>
      </c>
      <c r="U65" s="236">
        <f t="shared" si="46"/>
        <v>4.9999999999999822</v>
      </c>
      <c r="V65" s="242">
        <f t="shared" si="45"/>
        <v>75.999999999999972</v>
      </c>
      <c r="W65" s="69"/>
      <c r="X65" s="69"/>
      <c r="Y65" s="510"/>
      <c r="Z65" s="510"/>
      <c r="AA65" s="66">
        <f t="shared" si="8"/>
        <v>-117.63157894736742</v>
      </c>
      <c r="AB65" s="237">
        <f t="shared" si="9"/>
        <v>0.95098684210526363</v>
      </c>
      <c r="AC65" s="511"/>
    </row>
    <row r="66" spans="1:29" ht="15.75" customHeight="1">
      <c r="A66" s="515" t="s">
        <v>1256</v>
      </c>
      <c r="B66" s="243" t="s">
        <v>16</v>
      </c>
      <c r="C66" s="512" t="s">
        <v>26</v>
      </c>
      <c r="D66" s="512"/>
      <c r="E66" s="62">
        <v>20.52</v>
      </c>
      <c r="F66" s="243">
        <v>2682</v>
      </c>
      <c r="G66" s="236">
        <f t="shared" si="43"/>
        <v>55034.64</v>
      </c>
      <c r="H66" s="90" t="s">
        <v>5</v>
      </c>
      <c r="I66" s="241">
        <v>18</v>
      </c>
      <c r="J66" s="63">
        <v>2400</v>
      </c>
      <c r="K66" s="64">
        <f t="shared" si="1"/>
        <v>133.33333333333334</v>
      </c>
      <c r="L66" s="241">
        <v>18</v>
      </c>
      <c r="M66" s="65">
        <f t="shared" si="44"/>
        <v>2298.8571428571436</v>
      </c>
      <c r="N66" s="64">
        <f t="shared" si="3"/>
        <v>127.71428571428575</v>
      </c>
      <c r="O66" s="66">
        <f t="shared" si="4"/>
        <v>0</v>
      </c>
      <c r="P66" s="67">
        <f t="shared" si="5"/>
        <v>-5.619047619047592</v>
      </c>
      <c r="Q66" s="237">
        <f t="shared" si="6"/>
        <v>0.95785714285714307</v>
      </c>
      <c r="R66" s="511"/>
      <c r="S66" s="68">
        <v>0.2722222222222222</v>
      </c>
      <c r="T66" s="68">
        <v>0.3208333333333333</v>
      </c>
      <c r="U66" s="236">
        <f t="shared" si="46"/>
        <v>5.9999999999999787</v>
      </c>
      <c r="V66" s="242">
        <f t="shared" si="45"/>
        <v>69.999999999999986</v>
      </c>
      <c r="W66" s="69"/>
      <c r="X66" s="69"/>
      <c r="Y66" s="510"/>
      <c r="Z66" s="510"/>
      <c r="AA66" s="66">
        <f t="shared" si="8"/>
        <v>-101.14285714285643</v>
      </c>
      <c r="AB66" s="237">
        <f t="shared" si="9"/>
        <v>0.95785714285714318</v>
      </c>
      <c r="AC66" s="511"/>
    </row>
    <row r="67" spans="1:29" ht="15.75" customHeight="1">
      <c r="A67" s="515" t="s">
        <v>1256</v>
      </c>
      <c r="B67" s="243" t="s">
        <v>16</v>
      </c>
      <c r="C67" s="512" t="s">
        <v>49</v>
      </c>
      <c r="D67" s="512"/>
      <c r="E67" s="62">
        <v>19.02</v>
      </c>
      <c r="F67" s="243">
        <v>7845</v>
      </c>
      <c r="G67" s="236">
        <f t="shared" si="43"/>
        <v>149211.9</v>
      </c>
      <c r="H67" s="90" t="s">
        <v>5</v>
      </c>
      <c r="I67" s="241">
        <v>15</v>
      </c>
      <c r="J67" s="63">
        <v>2400</v>
      </c>
      <c r="K67" s="64">
        <f t="shared" si="1"/>
        <v>160</v>
      </c>
      <c r="L67" s="241">
        <v>15</v>
      </c>
      <c r="M67" s="65">
        <f t="shared" si="44"/>
        <v>2284.9514563106795</v>
      </c>
      <c r="N67" s="64">
        <f t="shared" si="3"/>
        <v>152.33009708737865</v>
      </c>
      <c r="O67" s="66">
        <f t="shared" si="4"/>
        <v>0</v>
      </c>
      <c r="P67" s="67">
        <f t="shared" si="5"/>
        <v>-7.6699029126213532</v>
      </c>
      <c r="Q67" s="237">
        <f t="shared" si="6"/>
        <v>0.9520631067961165</v>
      </c>
      <c r="R67" s="511"/>
      <c r="S67" s="68">
        <v>0.32499999999999996</v>
      </c>
      <c r="T67" s="68">
        <v>0.4680555555555555</v>
      </c>
      <c r="U67" s="236">
        <f t="shared" si="46"/>
        <v>5.9999999999999787</v>
      </c>
      <c r="V67" s="242">
        <f t="shared" si="45"/>
        <v>206</v>
      </c>
      <c r="W67" s="69"/>
      <c r="X67" s="69"/>
      <c r="Y67" s="510"/>
      <c r="Z67" s="510"/>
      <c r="AA67" s="66">
        <f t="shared" si="8"/>
        <v>-115.04854368932047</v>
      </c>
      <c r="AB67" s="237">
        <f t="shared" si="9"/>
        <v>0.9520631067961165</v>
      </c>
      <c r="AC67" s="511"/>
    </row>
    <row r="68" spans="1:29" ht="16.5" customHeight="1">
      <c r="A68" s="516" t="s">
        <v>1256</v>
      </c>
      <c r="B68" s="62" t="s">
        <v>1247</v>
      </c>
      <c r="C68" s="508"/>
      <c r="D68" s="509"/>
      <c r="E68" s="238"/>
      <c r="F68" s="71"/>
      <c r="G68" s="64"/>
      <c r="H68" s="243"/>
      <c r="I68" s="72">
        <v>17</v>
      </c>
      <c r="J68" s="63">
        <v>2400</v>
      </c>
      <c r="K68" s="64">
        <f t="shared" si="1"/>
        <v>141.1764705882353</v>
      </c>
      <c r="L68" s="72">
        <v>17</v>
      </c>
      <c r="M68" s="65">
        <f>AVERAGE(M62:M67)</f>
        <v>2300.1776515182241</v>
      </c>
      <c r="N68" s="64">
        <f t="shared" si="3"/>
        <v>135.30456773636612</v>
      </c>
      <c r="O68" s="66">
        <f t="shared" si="4"/>
        <v>0</v>
      </c>
      <c r="P68" s="67">
        <f t="shared" si="5"/>
        <v>-5.87190285186918</v>
      </c>
      <c r="Q68" s="237">
        <f t="shared" si="6"/>
        <v>0.95840735479925998</v>
      </c>
      <c r="R68" s="511"/>
      <c r="S68" s="68"/>
      <c r="T68" s="68"/>
      <c r="U68" s="64"/>
      <c r="V68" s="242"/>
      <c r="W68" s="64"/>
      <c r="X68" s="64"/>
      <c r="Y68" s="510"/>
      <c r="Z68" s="510"/>
      <c r="AA68" s="66">
        <f t="shared" si="8"/>
        <v>-99.822348481775862</v>
      </c>
      <c r="AB68" s="237">
        <f t="shared" si="9"/>
        <v>0.95840735479926009</v>
      </c>
      <c r="AC68" s="511"/>
    </row>
    <row r="69" spans="1:29">
      <c r="D69" s="76"/>
      <c r="E69" s="76"/>
      <c r="H69" s="160"/>
    </row>
    <row r="70" spans="1:29">
      <c r="H70" s="160"/>
    </row>
    <row r="71" spans="1:29">
      <c r="H71" s="160"/>
    </row>
    <row r="72" spans="1:29">
      <c r="H72" s="160"/>
    </row>
  </sheetData>
  <mergeCells count="184">
    <mergeCell ref="AC62:AC68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A62:A68"/>
    <mergeCell ref="C62:D62"/>
    <mergeCell ref="R62:R68"/>
    <mergeCell ref="Y62:Z62"/>
    <mergeCell ref="Y67:Z67"/>
    <mergeCell ref="C68:D68"/>
    <mergeCell ref="Y68:Z68"/>
    <mergeCell ref="A57:A61"/>
    <mergeCell ref="C57:D57"/>
    <mergeCell ref="R57:R61"/>
    <mergeCell ref="Y57:Z57"/>
    <mergeCell ref="AC57:AC61"/>
    <mergeCell ref="C58:D58"/>
    <mergeCell ref="Y58:Z58"/>
    <mergeCell ref="C59:D59"/>
    <mergeCell ref="Y59:Z59"/>
    <mergeCell ref="C60:D60"/>
    <mergeCell ref="AC51:AC56"/>
    <mergeCell ref="C52:D52"/>
    <mergeCell ref="Y52:Z52"/>
    <mergeCell ref="C53:D53"/>
    <mergeCell ref="C56:D56"/>
    <mergeCell ref="Y56:Z56"/>
    <mergeCell ref="Y60:Z60"/>
    <mergeCell ref="C61:D61"/>
    <mergeCell ref="Y61:Z61"/>
    <mergeCell ref="Y50:Z50"/>
    <mergeCell ref="A51:A56"/>
    <mergeCell ref="C51:D51"/>
    <mergeCell ref="R51:R56"/>
    <mergeCell ref="Y51:Z51"/>
    <mergeCell ref="Y46:Z46"/>
    <mergeCell ref="C47:D47"/>
    <mergeCell ref="Y47:Z47"/>
    <mergeCell ref="C48:D48"/>
    <mergeCell ref="Y48:Z48"/>
    <mergeCell ref="C49:D49"/>
    <mergeCell ref="Y49:Z49"/>
    <mergeCell ref="A43:A50"/>
    <mergeCell ref="C43:D43"/>
    <mergeCell ref="R43:R50"/>
    <mergeCell ref="Y43:Z43"/>
    <mergeCell ref="A36:A42"/>
    <mergeCell ref="C36:D36"/>
    <mergeCell ref="R36:R42"/>
    <mergeCell ref="Y36:Z36"/>
    <mergeCell ref="Y41:Z41"/>
    <mergeCell ref="C42:D42"/>
    <mergeCell ref="Y42:Z42"/>
    <mergeCell ref="AC43:AC50"/>
    <mergeCell ref="C44:D44"/>
    <mergeCell ref="Y44:Z44"/>
    <mergeCell ref="C45:D45"/>
    <mergeCell ref="Y45:Z45"/>
    <mergeCell ref="C46:D46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50:D50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19:A27"/>
    <mergeCell ref="C19:D19"/>
    <mergeCell ref="R19:R27"/>
    <mergeCell ref="Y19:Z19"/>
    <mergeCell ref="C26:D26"/>
    <mergeCell ref="Y26:Z26"/>
    <mergeCell ref="C27:D27"/>
    <mergeCell ref="Y27:Z27"/>
    <mergeCell ref="A28:A35"/>
    <mergeCell ref="C28:D28"/>
    <mergeCell ref="R28:R35"/>
    <mergeCell ref="Y28:Z28"/>
    <mergeCell ref="Y33:Z33"/>
    <mergeCell ref="C34:D34"/>
    <mergeCell ref="AC19:AC27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C25:D25"/>
    <mergeCell ref="Y25:Z25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0:O68 O5:O9 O11:O13 O50:O57 O18:O48">
    <cfRule type="cellIs" dxfId="1235" priority="45" operator="greaterThan">
      <formula>0</formula>
    </cfRule>
  </conditionalFormatting>
  <conditionalFormatting sqref="P5:P7 P60 AA60 P62:P67 P28:P34 P57 P9 P11:P13 P19:P26 P51:P55 P36:P48 AA5:AA57 AA62:AA68">
    <cfRule type="cellIs" dxfId="1234" priority="49" operator="lessThan">
      <formula>0</formula>
    </cfRule>
  </conditionalFormatting>
  <conditionalFormatting sqref="AB60 Q60:Q68 Q5:Q9 Q11:Q13 Q50:Q57 Q18:Q48 AB5:AB57 AB62:AB68">
    <cfRule type="cellIs" dxfId="1233" priority="46" operator="greaterThan">
      <formula>1</formula>
    </cfRule>
    <cfRule type="cellIs" dxfId="1232" priority="47" operator="lessThan">
      <formula>0.8</formula>
    </cfRule>
  </conditionalFormatting>
  <conditionalFormatting sqref="AC12:AC13 R12:R13 AC60 R18:R24 AC18:AC24 R60:R68 AC5:AC9 R5:R9 R27:R48 AC27:AC48 AC50:AC57 R50:R57">
    <cfRule type="cellIs" dxfId="1231" priority="51" operator="lessThan">
      <formula>0.8</formula>
    </cfRule>
  </conditionalFormatting>
  <conditionalFormatting sqref="AC43">
    <cfRule type="cellIs" dxfId="1230" priority="53" operator="lessThan">
      <formula>0.8</formula>
    </cfRule>
  </conditionalFormatting>
  <conditionalFormatting sqref="AC19:AC24">
    <cfRule type="cellIs" dxfId="1229" priority="50" operator="lessThan">
      <formula>0.8</formula>
    </cfRule>
  </conditionalFormatting>
  <conditionalFormatting sqref="AC28">
    <cfRule type="cellIs" dxfId="1228" priority="52" operator="lessThan">
      <formula>0.8</formula>
    </cfRule>
  </conditionalFormatting>
  <conditionalFormatting sqref="AC36:AC41">
    <cfRule type="cellIs" dxfId="1227" priority="48" operator="lessThan">
      <formula>0.8</formula>
    </cfRule>
  </conditionalFormatting>
  <conditionalFormatting sqref="AA61">
    <cfRule type="cellIs" dxfId="1226" priority="44" operator="lessThan">
      <formula>0</formula>
    </cfRule>
  </conditionalFormatting>
  <conditionalFormatting sqref="AB61">
    <cfRule type="cellIs" dxfId="1225" priority="42" operator="greaterThan">
      <formula>1</formula>
    </cfRule>
    <cfRule type="cellIs" dxfId="1224" priority="43" operator="lessThan">
      <formula>0.8</formula>
    </cfRule>
  </conditionalFormatting>
  <conditionalFormatting sqref="O14:O15">
    <cfRule type="cellIs" dxfId="1223" priority="37" operator="greaterThan">
      <formula>0</formula>
    </cfRule>
  </conditionalFormatting>
  <conditionalFormatting sqref="P14:P15">
    <cfRule type="cellIs" dxfId="1222" priority="40" operator="lessThan">
      <formula>0</formula>
    </cfRule>
  </conditionalFormatting>
  <conditionalFormatting sqref="Q14:Q15">
    <cfRule type="cellIs" dxfId="1221" priority="38" operator="greaterThan">
      <formula>1</formula>
    </cfRule>
    <cfRule type="cellIs" dxfId="1220" priority="39" operator="lessThan">
      <formula>0.8</formula>
    </cfRule>
  </conditionalFormatting>
  <conditionalFormatting sqref="R14:R15 AC14:AC15">
    <cfRule type="cellIs" dxfId="1219" priority="41" operator="lessThan">
      <formula>0.8</formula>
    </cfRule>
  </conditionalFormatting>
  <conditionalFormatting sqref="O10">
    <cfRule type="cellIs" dxfId="1218" priority="33" operator="greaterThan">
      <formula>0</formula>
    </cfRule>
  </conditionalFormatting>
  <conditionalFormatting sqref="P10">
    <cfRule type="cellIs" dxfId="1217" priority="36" operator="lessThan">
      <formula>0</formula>
    </cfRule>
  </conditionalFormatting>
  <conditionalFormatting sqref="Q10">
    <cfRule type="cellIs" dxfId="1216" priority="34" operator="greaterThan">
      <formula>1</formula>
    </cfRule>
    <cfRule type="cellIs" dxfId="1215" priority="35" operator="lessThan">
      <formula>0.8</formula>
    </cfRule>
  </conditionalFormatting>
  <conditionalFormatting sqref="AC26 R26">
    <cfRule type="cellIs" dxfId="1214" priority="32" operator="lessThan">
      <formula>0.8</formula>
    </cfRule>
  </conditionalFormatting>
  <conditionalFormatting sqref="O59">
    <cfRule type="cellIs" dxfId="1213" priority="27" operator="greaterThan">
      <formula>0</formula>
    </cfRule>
  </conditionalFormatting>
  <conditionalFormatting sqref="P59 AA59">
    <cfRule type="cellIs" dxfId="1212" priority="30" operator="lessThan">
      <formula>0</formula>
    </cfRule>
  </conditionalFormatting>
  <conditionalFormatting sqref="Q59 AB59">
    <cfRule type="cellIs" dxfId="1211" priority="28" operator="greaterThan">
      <formula>1</formula>
    </cfRule>
    <cfRule type="cellIs" dxfId="1210" priority="29" operator="lessThan">
      <formula>0.8</formula>
    </cfRule>
  </conditionalFormatting>
  <conditionalFormatting sqref="R59 AC59">
    <cfRule type="cellIs" dxfId="1209" priority="31" operator="lessThan">
      <formula>0.8</formula>
    </cfRule>
  </conditionalFormatting>
  <conditionalFormatting sqref="O16:O17">
    <cfRule type="cellIs" dxfId="1208" priority="22" operator="greaterThan">
      <formula>0</formula>
    </cfRule>
  </conditionalFormatting>
  <conditionalFormatting sqref="P16:P17">
    <cfRule type="cellIs" dxfId="1207" priority="25" operator="lessThan">
      <formula>0</formula>
    </cfRule>
  </conditionalFormatting>
  <conditionalFormatting sqref="Q16:Q17">
    <cfRule type="cellIs" dxfId="1206" priority="23" operator="greaterThan">
      <formula>1</formula>
    </cfRule>
    <cfRule type="cellIs" dxfId="1205" priority="24" operator="lessThan">
      <formula>0.8</formula>
    </cfRule>
  </conditionalFormatting>
  <conditionalFormatting sqref="R16:R17 AC16:AC17">
    <cfRule type="cellIs" dxfId="1204" priority="26" operator="lessThan">
      <formula>0.8</formula>
    </cfRule>
  </conditionalFormatting>
  <conditionalFormatting sqref="O49">
    <cfRule type="cellIs" dxfId="1203" priority="16" operator="greaterThan">
      <formula>0</formula>
    </cfRule>
  </conditionalFormatting>
  <conditionalFormatting sqref="P49">
    <cfRule type="cellIs" dxfId="1202" priority="20" operator="lessThan">
      <formula>0</formula>
    </cfRule>
  </conditionalFormatting>
  <conditionalFormatting sqref="Q49">
    <cfRule type="cellIs" dxfId="1201" priority="17" operator="greaterThan">
      <formula>1</formula>
    </cfRule>
    <cfRule type="cellIs" dxfId="1200" priority="18" operator="lessThan">
      <formula>0.8</formula>
    </cfRule>
  </conditionalFormatting>
  <conditionalFormatting sqref="R49 AC49">
    <cfRule type="cellIs" dxfId="1199" priority="21" operator="lessThan">
      <formula>0.8</formula>
    </cfRule>
  </conditionalFormatting>
  <conditionalFormatting sqref="AC49">
    <cfRule type="cellIs" dxfId="1198" priority="19" operator="lessThan">
      <formula>0.8</formula>
    </cfRule>
  </conditionalFormatting>
  <conditionalFormatting sqref="R25 AC25">
    <cfRule type="cellIs" dxfId="1197" priority="15" operator="lessThan">
      <formula>0.8</formula>
    </cfRule>
  </conditionalFormatting>
  <conditionalFormatting sqref="AC25">
    <cfRule type="cellIs" dxfId="1196" priority="14" operator="lessThan">
      <formula>0.8</formula>
    </cfRule>
  </conditionalFormatting>
  <conditionalFormatting sqref="O58">
    <cfRule type="cellIs" dxfId="1195" priority="9" operator="greaterThan">
      <formula>0</formula>
    </cfRule>
  </conditionalFormatting>
  <conditionalFormatting sqref="P58 AA58">
    <cfRule type="cellIs" dxfId="1194" priority="12" operator="lessThan">
      <formula>0</formula>
    </cfRule>
  </conditionalFormatting>
  <conditionalFormatting sqref="Q58 AB58">
    <cfRule type="cellIs" dxfId="1193" priority="10" operator="greaterThan">
      <formula>1</formula>
    </cfRule>
    <cfRule type="cellIs" dxfId="1192" priority="11" operator="lessThan">
      <formula>0.8</formula>
    </cfRule>
  </conditionalFormatting>
  <conditionalFormatting sqref="R58 AC58">
    <cfRule type="cellIs" dxfId="1191" priority="13" operator="lessThan">
      <formula>0.8</formula>
    </cfRule>
  </conditionalFormatting>
  <conditionalFormatting sqref="P8">
    <cfRule type="cellIs" dxfId="1190" priority="8" operator="lessThan">
      <formula>0</formula>
    </cfRule>
  </conditionalFormatting>
  <conditionalFormatting sqref="P18">
    <cfRule type="cellIs" dxfId="1189" priority="7" operator="lessThan">
      <formula>0</formula>
    </cfRule>
  </conditionalFormatting>
  <conditionalFormatting sqref="P27">
    <cfRule type="cellIs" dxfId="1188" priority="6" operator="lessThan">
      <formula>0</formula>
    </cfRule>
  </conditionalFormatting>
  <conditionalFormatting sqref="P35">
    <cfRule type="cellIs" dxfId="1187" priority="5" operator="lessThan">
      <formula>0</formula>
    </cfRule>
  </conditionalFormatting>
  <conditionalFormatting sqref="P50">
    <cfRule type="cellIs" dxfId="1186" priority="4" operator="lessThan">
      <formula>0</formula>
    </cfRule>
  </conditionalFormatting>
  <conditionalFormatting sqref="P56">
    <cfRule type="cellIs" dxfId="1185" priority="3" operator="lessThan">
      <formula>0</formula>
    </cfRule>
  </conditionalFormatting>
  <conditionalFormatting sqref="P61">
    <cfRule type="cellIs" dxfId="1184" priority="2" operator="lessThan">
      <formula>0</formula>
    </cfRule>
  </conditionalFormatting>
  <conditionalFormatting sqref="P68">
    <cfRule type="cellIs" dxfId="1183" priority="1" operator="lessThan">
      <formula>0</formula>
    </cfRule>
  </conditionalFormatting>
  <dataValidations count="1">
    <dataValidation type="list" allowBlank="1" showInputMessage="1" showErrorMessage="1" sqref="Z8 Y5:Z7 Y8:Y60 Z10:Z57 Y61:Z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J59" sqref="J5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1093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1094</v>
      </c>
      <c r="C3" s="497" t="str">
        <f>TEXT('1113 4度C'!A2,"yyyy.mm.ddaaaa")</f>
        <v>2025.11.13星期四</v>
      </c>
      <c r="D3" s="498"/>
      <c r="E3" s="4" t="s">
        <v>1095</v>
      </c>
      <c r="F3" s="499">
        <f>'1113 4度C'!D1</f>
        <v>183721</v>
      </c>
      <c r="G3" s="500"/>
      <c r="H3" s="4" t="s">
        <v>1096</v>
      </c>
      <c r="I3" s="501">
        <f>'1113 4度C'!F1</f>
        <v>6103591.0499999998</v>
      </c>
      <c r="J3" s="502"/>
      <c r="K3" s="5"/>
      <c r="L3" s="6"/>
      <c r="M3" s="7"/>
      <c r="N3" s="7"/>
    </row>
    <row r="4" spans="2:17" ht="28.5" customHeight="1">
      <c r="B4" s="503" t="s">
        <v>1097</v>
      </c>
      <c r="C4" s="485" t="s">
        <v>1098</v>
      </c>
      <c r="D4" s="486"/>
      <c r="E4" s="506" t="s">
        <v>1099</v>
      </c>
      <c r="F4" s="507"/>
      <c r="G4" s="506" t="s">
        <v>1100</v>
      </c>
      <c r="H4" s="507"/>
      <c r="I4" s="506" t="s">
        <v>1101</v>
      </c>
      <c r="J4" s="507"/>
      <c r="L4" s="7"/>
      <c r="M4" s="7"/>
      <c r="N4" s="7"/>
    </row>
    <row r="5" spans="2:17" ht="28.5" customHeight="1">
      <c r="B5" s="504"/>
      <c r="C5" s="485" t="s">
        <v>1102</v>
      </c>
      <c r="D5" s="486"/>
      <c r="E5" s="485" t="s">
        <v>1103</v>
      </c>
      <c r="F5" s="486"/>
      <c r="G5" s="487" t="s">
        <v>1104</v>
      </c>
      <c r="H5" s="488"/>
      <c r="I5" s="489" t="s">
        <v>1105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153.92127410571965</v>
      </c>
      <c r="F6" s="492">
        <f>AVERAGE(D27:O27,D13:J13)</f>
        <v>160.65099310488111</v>
      </c>
      <c r="G6" s="493">
        <f>AVERAGE(D13:J13)</f>
        <v>160.65099310488111</v>
      </c>
      <c r="H6" s="494"/>
      <c r="I6" s="493">
        <f>AVERAGE(K13:M13)</f>
        <v>138.21859644100948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147.4645487072697</v>
      </c>
      <c r="F7" s="478">
        <f>AVERAGE(D28:O28,D14:J14)</f>
        <v>153.95471400062462</v>
      </c>
      <c r="G7" s="479">
        <f>AVERAGE(D14:J14)</f>
        <v>153.95471400062462</v>
      </c>
      <c r="H7" s="480"/>
      <c r="I7" s="479">
        <f>AVERAGE(K14:M14)</f>
        <v>132.32082968944147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0.95795549781875045</v>
      </c>
      <c r="F8" s="482">
        <f>AVERAGE(D15:J15,D29:O29)</f>
        <v>0.95820856495863038</v>
      </c>
      <c r="G8" s="483">
        <f>AVERAGE(D15:J15)</f>
        <v>0.95820856495863038</v>
      </c>
      <c r="H8" s="484"/>
      <c r="I8" s="483">
        <f>AVERAGE(K15:M15)</f>
        <v>0.95736500782569722</v>
      </c>
      <c r="J8" s="484"/>
      <c r="K8" s="8" t="s">
        <v>1106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1107</v>
      </c>
      <c r="C10" s="459"/>
      <c r="D10" s="460" t="s">
        <v>1108</v>
      </c>
      <c r="E10" s="461"/>
      <c r="F10" s="461"/>
      <c r="G10" s="461"/>
      <c r="H10" s="461"/>
      <c r="I10" s="461"/>
      <c r="J10" s="462"/>
      <c r="K10" s="463" t="s">
        <v>1109</v>
      </c>
      <c r="L10" s="464"/>
      <c r="M10" s="465"/>
      <c r="P10" s="11"/>
      <c r="Q10" s="11"/>
    </row>
    <row r="11" spans="2:17" ht="17.25" customHeight="1">
      <c r="B11" s="466" t="s">
        <v>1110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1111</v>
      </c>
      <c r="C13" s="18" t="s">
        <v>1112</v>
      </c>
      <c r="D13" s="19">
        <f>SUMIFS('1113 4度C'!$K:$K,'1113 4度C'!$A:$A,"新豐6線",'1113 4度C'!$B:$B,"平均")</f>
        <v>137.93103448275863</v>
      </c>
      <c r="E13" s="20">
        <f>SUMIFS('1113 4度C'!$K:$K,'1113 4度C'!$A:$A,"新豐2線",'1113 4度C'!$B:$B,"平均")</f>
        <v>81.081081081081081</v>
      </c>
      <c r="F13" s="21">
        <f>SUMIFS('1113 4度C'!$K:$K,'1113 4度C'!$A:$A,"新豐5線",'1113 4度C'!$B:$B,"平均")</f>
        <v>91.397849462365585</v>
      </c>
      <c r="G13" s="21">
        <f>SUMIFS('1113 4度C'!$K:$K,'1113 4度C'!$A:$A,"新豐7線",'1113 4度C'!$B:$B,"平均")</f>
        <v>114.81481481481481</v>
      </c>
      <c r="H13" s="21">
        <f>SUMIFS('1113 4度C'!$K:$K,'1113 4度C'!$A:$A,"新豐3線",'1113 4度C'!$B:$B,"平均")</f>
        <v>285.71428571428572</v>
      </c>
      <c r="I13" s="21">
        <f>SUMIFS('1113 4度C'!$K:$K,'1113 4度C'!$A:$A,"新豐1線",'1113 4度C'!$B:$B,"平均")</f>
        <v>121.95121951219514</v>
      </c>
      <c r="J13" s="22">
        <f>SUMIFS('1113 4度C'!$K:$K,'1113 4度C'!$A:$A,"新豐10線",'1113 4度C'!$B:$B,"平均")</f>
        <v>291.66666666666669</v>
      </c>
      <c r="K13" s="23">
        <f>SUMIFS('1113 4度C'!$K:$K,'1113 4度C'!$A:$A,"新豐8線",'1113 4度C'!$B:$B,"平均")</f>
        <v>133.33333333333334</v>
      </c>
      <c r="L13" s="24">
        <f>SUMIFS('1113 4度C'!$K:$K,'1113 4度C'!$A:$A,"新豐9線",'1113 4度C'!$B:$B,"平均")</f>
        <v>141.1764705882353</v>
      </c>
      <c r="M13" s="22">
        <f>SUMIFS('1113 4度C'!$K:$K,'1113 4度C'!$A:$A,"新豐4線",'1113 4度C'!$B:$B,"平均")</f>
        <v>140.14598540145985</v>
      </c>
    </row>
    <row r="14" spans="2:17" ht="39.6" customHeight="1">
      <c r="B14" s="471"/>
      <c r="C14" s="25" t="s">
        <v>1113</v>
      </c>
      <c r="D14" s="26">
        <f>SUMIFS('1113 4度C'!$N:$N,'1113 4度C'!$A:$A,"新豐6線",'1113 4度C'!$B:$B,"平均")</f>
        <v>132.56151354455488</v>
      </c>
      <c r="E14" s="27">
        <f>SUMIFS('1113 4度C'!$N:$N,'1113 4度C'!$A:$A,"新豐2線",'1113 4度C'!$B:$B,"平均")</f>
        <v>77.543543543543535</v>
      </c>
      <c r="F14" s="27">
        <f>SUMIFS('1113 4度C'!$N:$N,'1113 4度C'!$A:$A,"新豐5線",'1113 4度C'!$B:$B,"平均")</f>
        <v>87.480040077155181</v>
      </c>
      <c r="G14" s="27">
        <f>SUMIFS('1113 4度C'!$N:$N,'1113 4度C'!$A:$A,"新豐7線",'1113 4度C'!$B:$B,"平均")</f>
        <v>110.00699923997468</v>
      </c>
      <c r="H14" s="27">
        <f>SUMIFS('1113 4度C'!$N:$N,'1113 4度C'!$A:$A,"新豐3線",'1113 4度C'!$B:$B,"平均")</f>
        <v>274.76825396191634</v>
      </c>
      <c r="I14" s="27">
        <f>SUMIFS('1113 4度C'!$N:$N,'1113 4度C'!$A:$A,"新豐1線",'1113 4度C'!$B:$B,"平均")</f>
        <v>116.87857122472974</v>
      </c>
      <c r="J14" s="28">
        <f>SUMIFS('1113 4度C'!$N:$N,'1113 4度C'!$A:$A,"新豐10線",'1113 4度C'!$B:$B,"平均")</f>
        <v>278.44407641249796</v>
      </c>
      <c r="K14" s="29">
        <f>SUMIFS('1113 4度C'!$N:$N,'1113 4度C'!$A:$A,"新豐8線",'1113 4度C'!$B:$B,"平均")</f>
        <v>127.90865145220002</v>
      </c>
      <c r="L14" s="30">
        <f>SUMIFS('1113 4度C'!$N:$N,'1113 4度C'!$A:$A,"新豐9線",'1113 4度C'!$B:$B,"平均")</f>
        <v>134.99711176568934</v>
      </c>
      <c r="M14" s="28">
        <f>SUMIFS('1113 4度C'!$N:$N,'1113 4度C'!$A:$A,"新豐4線",'1113 4度C'!$B:$B,"平均")</f>
        <v>134.0567258504351</v>
      </c>
    </row>
    <row r="15" spans="2:17" ht="40.15" customHeight="1">
      <c r="B15" s="472"/>
      <c r="C15" s="31" t="s">
        <v>1114</v>
      </c>
      <c r="D15" s="32">
        <f t="shared" ref="D15:M15" si="0">D14/D13</f>
        <v>0.96107097319802282</v>
      </c>
      <c r="E15" s="33">
        <f t="shared" si="0"/>
        <v>0.95637037037037032</v>
      </c>
      <c r="F15" s="33">
        <f t="shared" si="0"/>
        <v>0.95713455613828613</v>
      </c>
      <c r="G15" s="33">
        <f t="shared" si="0"/>
        <v>0.95812547725139241</v>
      </c>
      <c r="H15" s="33">
        <f t="shared" si="0"/>
        <v>0.96168888886670723</v>
      </c>
      <c r="I15" s="33">
        <f t="shared" si="0"/>
        <v>0.95840428404278377</v>
      </c>
      <c r="J15" s="34">
        <f t="shared" si="0"/>
        <v>0.95466540484285012</v>
      </c>
      <c r="K15" s="32">
        <f t="shared" si="0"/>
        <v>0.95931488589150005</v>
      </c>
      <c r="L15" s="33">
        <f t="shared" si="0"/>
        <v>0.95622954167363272</v>
      </c>
      <c r="M15" s="34">
        <f t="shared" si="0"/>
        <v>0.95655059591195879</v>
      </c>
    </row>
    <row r="16" spans="2:17" ht="17.25" customHeight="1">
      <c r="B16" s="473" t="s">
        <v>1115</v>
      </c>
      <c r="C16" s="35" t="s">
        <v>1116</v>
      </c>
      <c r="D16" s="49">
        <f>VLOOKUP("新豐6線",'1113 4度C'!$A:$T,19,0)</f>
        <v>0.70833333333333337</v>
      </c>
      <c r="E16" s="50">
        <f>VLOOKUP("新豐2線",'1113 4度C'!$A:$T,19,0)</f>
        <v>0.20833333333333334</v>
      </c>
      <c r="F16" s="50">
        <f>VLOOKUP("新豐5線",'1113 4度C'!$A:$T,19,0)</f>
        <v>0.125</v>
      </c>
      <c r="G16" s="50">
        <f>VLOOKUP("新豐7線",'1113 4度C'!$A:$T,19,0)</f>
        <v>0.20833333333333334</v>
      </c>
      <c r="H16" s="50">
        <f>VLOOKUP("新豐3線",'1113 4度C'!$A:$T,19,0)</f>
        <v>8.3333333333333329E-2</v>
      </c>
      <c r="I16" s="50">
        <f>VLOOKUP("新豐1線",'1113 4度C'!$A:$T,19,0)</f>
        <v>0.20833333333333334</v>
      </c>
      <c r="J16" s="51">
        <f>VLOOKUP("新豐10線",'1113 4度C'!$A:$T,19,0)</f>
        <v>0.20833333333333334</v>
      </c>
      <c r="K16" s="36">
        <f>VLOOKUP("新豐8線",'1113 4度C'!$A:$T,19,0)</f>
        <v>8.3333333333333329E-2</v>
      </c>
      <c r="L16" s="37">
        <f>VLOOKUP("新豐9線",'1113 4度C'!$A:$T,19,0)</f>
        <v>8.3333333333333329E-2</v>
      </c>
      <c r="M16" s="38">
        <f>VLOOKUP("新豐4線",'1113 4度C'!$A:$T,19,0)</f>
        <v>8.3333333333333329E-2</v>
      </c>
    </row>
    <row r="17" spans="2:13" ht="17.25" customHeight="1">
      <c r="B17" s="474"/>
      <c r="C17" s="35" t="s">
        <v>1117</v>
      </c>
      <c r="D17" s="36">
        <f>LOOKUP(2,1/(('1113 4度C'!$A:$A="新豐6線")*('1113 4度C'!$T:$T&lt;&gt;"")),'1113 4度C'!$T:$T)</f>
        <v>0.91041666666666654</v>
      </c>
      <c r="E17" s="50">
        <f>LOOKUP(2,1/(('1113 4度C'!$A:$A="新豐2線")*('1113 4度C'!$T:$T&lt;&gt;"")),'1113 4度C'!$T:$T)</f>
        <v>0.45069444444444445</v>
      </c>
      <c r="F17" s="50">
        <f>LOOKUP(2,1/(('1113 4度C'!$A:$A="新豐5線")*('1113 4度C'!$T:$T&lt;&gt;"")),'1113 4度C'!$T:$T)</f>
        <v>0.82708333333333339</v>
      </c>
      <c r="G17" s="50">
        <f>LOOKUP(2,1/(('1113 4度C'!$A:$A="新豐7線")*('1113 4度C'!$T:$T&lt;&gt;"")),'1113 4度C'!$T:$T)</f>
        <v>0.8388888888888888</v>
      </c>
      <c r="H17" s="50">
        <f>LOOKUP(2,1/(('1113 4度C'!$A:$A="新豐3線")*('1113 4度C'!$T:$T&lt;&gt;"")),'1113 4度C'!$T:$T)</f>
        <v>0.62152777777777768</v>
      </c>
      <c r="I17" s="50">
        <f>LOOKUP(2,1/(('1113 4度C'!$A:$A="新豐1線")*('1113 4度C'!$T:$T&lt;&gt;"")),'1113 4度C'!$T:$T)</f>
        <v>0.81805555555555565</v>
      </c>
      <c r="J17" s="51">
        <f>LOOKUP(2,1/(('1113 4度C'!$A:$A="新豐10線")*('1113 4度C'!$T:$T&lt;&gt;"")),'1113 4度C'!$T:$T)</f>
        <v>0.44652777777777775</v>
      </c>
      <c r="K17" s="49">
        <f>LOOKUP(2,1/(('1113 4度C'!$A:$A="新豐8線")*('1113 4度C'!$T:$T&lt;&gt;"")),'1113 4度C'!$T:$T)</f>
        <v>0.72361111111111098</v>
      </c>
      <c r="L17" s="50">
        <f>LOOKUP(2,1/(('1113 4度C'!$A:$A="新豐9線")*('1113 4度C'!$T:$T&lt;&gt;"")),'1113 4度C'!$T:$T)</f>
        <v>0.70763888888888882</v>
      </c>
      <c r="M17" s="51">
        <f>LOOKUP(2,1/(('1113 4度C'!$A:$A="新豐4線")*('1113 4度C'!$T:$T&lt;&gt;"")),'1113 4度C'!$T:$T)</f>
        <v>0.66527777777777763</v>
      </c>
    </row>
    <row r="18" spans="2:13" ht="17.25" customHeight="1">
      <c r="B18" s="452" t="s">
        <v>1118</v>
      </c>
      <c r="C18" s="453"/>
      <c r="D18" s="39">
        <f>SUMIFS('1113 4度C'!$I:$I,'1113 4度C'!$A:$A,"新豐6線",'1113 4度C'!$B:$B,"平均")</f>
        <v>14.5</v>
      </c>
      <c r="E18" s="40">
        <f>SUMIFS('1113 4度C'!$I:$I,'1113 4度C'!$A:$A,"新豐2線",'1113 4度C'!$B:$B,"平均")</f>
        <v>18.5</v>
      </c>
      <c r="F18" s="40">
        <f>SUMIFS('1113 4度C'!$I:$I,'1113 4度C'!$A:$A,"新豐5線",'1113 4度C'!$B:$B,"平均")</f>
        <v>18.600000000000001</v>
      </c>
      <c r="G18" s="40">
        <f>SUMIFS('1113 4度C'!$I:$I,'1113 4度C'!$A:$A,"新豐7線",'1113 4度C'!$B:$B,"平均")</f>
        <v>16.875</v>
      </c>
      <c r="H18" s="40">
        <f>SUMIFS('1113 4度C'!$I:$I,'1113 4度C'!$A:$A,"新豐3線",'1113 4度C'!$B:$B,"平均")</f>
        <v>10.111111111111111</v>
      </c>
      <c r="I18" s="40">
        <f>SUMIFS('1113 4度C'!$I:$I,'1113 4度C'!$A:$A,"新豐1線",'1113 4度C'!$B:$B,"平均")</f>
        <v>16.399999999999999</v>
      </c>
      <c r="J18" s="41">
        <f>SUMIFS('1113 4度C'!$I:$I,'1113 4度C'!$A:$A,"新豐10線",'1113 4度C'!$B:$B,"平均")</f>
        <v>9</v>
      </c>
      <c r="K18" s="39">
        <f>SUMIFS('1113 4度C'!$I:$I,'1113 4度C'!$A:$A,"新豐8線",'1113 4度C'!$B:$B,"平均")</f>
        <v>18</v>
      </c>
      <c r="L18" s="40">
        <f>SUMIFS('1113 4度C'!$I:$I,'1113 4度C'!$A:$A,"新豐9線",'1113 4度C'!$B:$B,"平均")</f>
        <v>17</v>
      </c>
      <c r="M18" s="41">
        <f>SUMIFS('1113 4度C'!$I:$I,'1113 4度C'!$A:$A,"新豐4線",'1113 4度C'!$B:$B,"平均")</f>
        <v>17.125</v>
      </c>
    </row>
    <row r="19" spans="2:13" ht="17.25" customHeight="1">
      <c r="B19" s="452" t="s">
        <v>1119</v>
      </c>
      <c r="C19" s="453"/>
      <c r="D19" s="42" t="s">
        <v>65</v>
      </c>
      <c r="E19" s="43" t="s">
        <v>66</v>
      </c>
      <c r="F19" s="43" t="s">
        <v>1120</v>
      </c>
      <c r="G19" s="43" t="s">
        <v>1120</v>
      </c>
      <c r="H19" s="43" t="s">
        <v>67</v>
      </c>
      <c r="I19" s="43" t="s">
        <v>65</v>
      </c>
      <c r="J19" s="44" t="s">
        <v>67</v>
      </c>
      <c r="K19" s="42" t="s">
        <v>1121</v>
      </c>
      <c r="L19" s="43" t="s">
        <v>1121</v>
      </c>
      <c r="M19" s="44" t="s">
        <v>1121</v>
      </c>
    </row>
    <row r="20" spans="2:13" ht="17.25" customHeight="1">
      <c r="B20" s="452" t="s">
        <v>1122</v>
      </c>
      <c r="C20" s="453"/>
      <c r="D20" s="42"/>
      <c r="E20" s="43"/>
      <c r="F20" s="43" t="s">
        <v>1123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1124</v>
      </c>
      <c r="C21" s="455"/>
      <c r="D21" s="45"/>
      <c r="E21" s="46" t="s">
        <v>1125</v>
      </c>
      <c r="F21" s="456" t="s">
        <v>1126</v>
      </c>
      <c r="G21" s="457"/>
      <c r="H21" s="46" t="s">
        <v>1127</v>
      </c>
      <c r="I21" s="46" t="s">
        <v>1128</v>
      </c>
      <c r="J21" s="47" t="s">
        <v>1127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1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7"/>
  <sheetViews>
    <sheetView topLeftCell="L1" zoomScale="80" zoomScaleNormal="80" workbookViewId="0">
      <pane ySplit="4" topLeftCell="A41" activePane="bottomLeft" state="frozen"/>
      <selection activeCell="B6" sqref="B6"/>
      <selection pane="bottomLeft" activeCell="J59" sqref="J59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1129</v>
      </c>
      <c r="B1" s="52"/>
      <c r="C1" s="53" t="s">
        <v>1130</v>
      </c>
      <c r="D1" s="54">
        <f>SUM(F5:F76)</f>
        <v>183721</v>
      </c>
      <c r="E1" s="224" t="s">
        <v>1131</v>
      </c>
      <c r="F1" s="52">
        <f>SUM(G5:G76)</f>
        <v>6103591.0499999998</v>
      </c>
      <c r="G1" s="52" t="s">
        <v>1132</v>
      </c>
      <c r="H1" s="55">
        <f>L9+L12+L56+L62+L18+L67+L37+L46+L27+L76</f>
        <v>156.11111111111111</v>
      </c>
      <c r="I1" s="556" t="s">
        <v>1133</v>
      </c>
      <c r="J1" s="556"/>
      <c r="K1" s="556"/>
      <c r="L1" s="556" t="s">
        <v>1134</v>
      </c>
      <c r="M1" s="556"/>
      <c r="N1" s="556"/>
      <c r="O1" s="556" t="s">
        <v>1135</v>
      </c>
      <c r="P1" s="556"/>
      <c r="Q1" s="556"/>
      <c r="R1" s="556"/>
      <c r="S1" s="556" t="s">
        <v>1136</v>
      </c>
      <c r="T1" s="556"/>
      <c r="U1" s="556"/>
      <c r="V1" s="556"/>
      <c r="W1" s="556"/>
      <c r="X1" s="556"/>
      <c r="Y1" s="556" t="s">
        <v>1137</v>
      </c>
      <c r="Z1" s="556"/>
      <c r="AA1" s="556" t="s">
        <v>1138</v>
      </c>
      <c r="AB1" s="557"/>
      <c r="AC1" s="557"/>
    </row>
    <row r="2" spans="1:29" ht="26.25" customHeight="1">
      <c r="A2" s="57">
        <v>45974</v>
      </c>
      <c r="B2" s="58" t="s">
        <v>552</v>
      </c>
      <c r="C2" s="53" t="s">
        <v>1111</v>
      </c>
      <c r="D2" s="59">
        <f>AVERAGE(N9,N12,N56,N62,N18,N67,N27,N37,N46,N76)</f>
        <v>147.4645487072697</v>
      </c>
      <c r="E2" s="60" t="s">
        <v>0</v>
      </c>
      <c r="F2" s="61">
        <f>F1/D1</f>
        <v>33.222065251114458</v>
      </c>
      <c r="G2" s="52" t="s">
        <v>1139</v>
      </c>
      <c r="H2" s="231">
        <f>COUNT(H5:H76)</f>
        <v>11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1140</v>
      </c>
      <c r="B3" s="510" t="s">
        <v>1141</v>
      </c>
      <c r="C3" s="510" t="s">
        <v>1142</v>
      </c>
      <c r="D3" s="510"/>
      <c r="E3" s="554" t="s">
        <v>1143</v>
      </c>
      <c r="F3" s="510" t="s">
        <v>1144</v>
      </c>
      <c r="G3" s="554" t="s">
        <v>1145</v>
      </c>
      <c r="H3" s="547" t="s">
        <v>1146</v>
      </c>
      <c r="I3" s="545" t="s">
        <v>1147</v>
      </c>
      <c r="J3" s="550" t="s">
        <v>1148</v>
      </c>
      <c r="K3" s="552" t="s">
        <v>1111</v>
      </c>
      <c r="L3" s="545" t="s">
        <v>1147</v>
      </c>
      <c r="M3" s="550" t="s">
        <v>1148</v>
      </c>
      <c r="N3" s="552" t="s">
        <v>1111</v>
      </c>
      <c r="O3" s="545" t="s">
        <v>1147</v>
      </c>
      <c r="P3" s="552" t="s">
        <v>1111</v>
      </c>
      <c r="Q3" s="551" t="s">
        <v>1149</v>
      </c>
      <c r="R3" s="523" t="s">
        <v>1150</v>
      </c>
      <c r="S3" s="553" t="s">
        <v>1</v>
      </c>
      <c r="T3" s="553"/>
      <c r="U3" s="547" t="s">
        <v>2</v>
      </c>
      <c r="V3" s="547" t="s">
        <v>1151</v>
      </c>
      <c r="W3" s="510" t="s">
        <v>1152</v>
      </c>
      <c r="X3" s="510"/>
      <c r="Y3" s="548" t="s">
        <v>1153</v>
      </c>
      <c r="Z3" s="549"/>
      <c r="AA3" s="550" t="s">
        <v>1148</v>
      </c>
      <c r="AB3" s="551" t="s">
        <v>1149</v>
      </c>
      <c r="AC3" s="523" t="s">
        <v>1154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32" t="s">
        <v>3</v>
      </c>
      <c r="T4" s="232" t="s">
        <v>4</v>
      </c>
      <c r="U4" s="547"/>
      <c r="V4" s="547"/>
      <c r="W4" s="224" t="s">
        <v>1155</v>
      </c>
      <c r="X4" s="224" t="s">
        <v>1156</v>
      </c>
      <c r="Y4" s="549"/>
      <c r="Z4" s="549"/>
      <c r="AA4" s="550"/>
      <c r="AB4" s="551"/>
      <c r="AC4" s="523"/>
    </row>
    <row r="5" spans="1:29">
      <c r="A5" s="544" t="s">
        <v>1157</v>
      </c>
      <c r="B5" s="62" t="s">
        <v>6</v>
      </c>
      <c r="C5" s="546" t="s">
        <v>9</v>
      </c>
      <c r="D5" s="546"/>
      <c r="E5" s="62">
        <v>50.67</v>
      </c>
      <c r="F5" s="232">
        <v>1711</v>
      </c>
      <c r="G5" s="224">
        <f t="shared" ref="G5:G8" si="0">E5*F5</f>
        <v>86696.37000000001</v>
      </c>
      <c r="H5" s="90" t="s">
        <v>5</v>
      </c>
      <c r="I5" s="229">
        <v>17</v>
      </c>
      <c r="J5" s="63">
        <v>2000</v>
      </c>
      <c r="K5" s="64">
        <f t="shared" ref="K5:K68" si="1">J5/I5</f>
        <v>117.64705882352941</v>
      </c>
      <c r="L5" s="229">
        <v>17</v>
      </c>
      <c r="M5" s="65">
        <f t="shared" ref="M5:M8" si="2">F5/V5*60</f>
        <v>1901.111111111112</v>
      </c>
      <c r="N5" s="64">
        <f t="shared" ref="N5:N68" si="3">M5/L5</f>
        <v>111.83006535947717</v>
      </c>
      <c r="O5" s="66">
        <f t="shared" ref="O5:O68" si="4">L5-I5</f>
        <v>0</v>
      </c>
      <c r="P5" s="67">
        <f t="shared" ref="P5:P68" si="5">N5-K5</f>
        <v>-5.8169934640522314</v>
      </c>
      <c r="Q5" s="225">
        <f t="shared" ref="Q5:Q68" si="6">N5/K5</f>
        <v>0.95055555555555604</v>
      </c>
      <c r="R5" s="511">
        <f>Q9</f>
        <v>0.96107097319802282</v>
      </c>
      <c r="S5" s="68">
        <v>0.70833333333333337</v>
      </c>
      <c r="T5" s="68">
        <v>0.74583333333333335</v>
      </c>
      <c r="U5" s="224"/>
      <c r="V5" s="230">
        <f t="shared" ref="V5:V8" si="7">(T5-S5)*24*60</f>
        <v>53.999999999999972</v>
      </c>
      <c r="W5" s="69"/>
      <c r="X5" s="70"/>
      <c r="Y5" s="510"/>
      <c r="Z5" s="510"/>
      <c r="AA5" s="66">
        <f t="shared" ref="AA5:AA68" si="8">M5-J5</f>
        <v>-98.888888888888005</v>
      </c>
      <c r="AB5" s="225">
        <f t="shared" ref="AB5:AB68" si="9">M5/J5</f>
        <v>0.95055555555555604</v>
      </c>
      <c r="AC5" s="511">
        <f>AB9</f>
        <v>0.96107097319802304</v>
      </c>
    </row>
    <row r="6" spans="1:29">
      <c r="A6" s="545" t="s">
        <v>1158</v>
      </c>
      <c r="B6" s="62" t="s">
        <v>6</v>
      </c>
      <c r="C6" s="546" t="s">
        <v>8</v>
      </c>
      <c r="D6" s="546"/>
      <c r="E6" s="62">
        <v>50.49</v>
      </c>
      <c r="F6" s="232">
        <v>1610</v>
      </c>
      <c r="G6" s="224">
        <f t="shared" si="0"/>
        <v>81288.900000000009</v>
      </c>
      <c r="H6" s="90" t="s">
        <v>5</v>
      </c>
      <c r="I6" s="229">
        <v>15</v>
      </c>
      <c r="J6" s="63">
        <v>2000</v>
      </c>
      <c r="K6" s="64">
        <f t="shared" si="1"/>
        <v>133.33333333333334</v>
      </c>
      <c r="L6" s="229">
        <v>15</v>
      </c>
      <c r="M6" s="65">
        <f t="shared" si="2"/>
        <v>1932.0000000000007</v>
      </c>
      <c r="N6" s="64">
        <f t="shared" si="3"/>
        <v>128.80000000000004</v>
      </c>
      <c r="O6" s="66">
        <f t="shared" si="4"/>
        <v>0</v>
      </c>
      <c r="P6" s="67">
        <f t="shared" si="5"/>
        <v>-4.533333333333303</v>
      </c>
      <c r="Q6" s="225">
        <f t="shared" si="6"/>
        <v>0.96600000000000019</v>
      </c>
      <c r="R6" s="511"/>
      <c r="S6" s="68">
        <v>0.74930555555555556</v>
      </c>
      <c r="T6" s="68">
        <v>0.78402777777777777</v>
      </c>
      <c r="U6" s="224">
        <f t="shared" ref="U6:U8" si="10">IF(S6=TIME(17,0,0),"",(S6-T5)*24*60)</f>
        <v>4.9999999999999822</v>
      </c>
      <c r="V6" s="230">
        <f t="shared" si="7"/>
        <v>49.999999999999986</v>
      </c>
      <c r="W6" s="69"/>
      <c r="X6" s="69"/>
      <c r="Y6" s="510"/>
      <c r="Z6" s="510"/>
      <c r="AA6" s="66">
        <f t="shared" si="8"/>
        <v>-67.999999999999318</v>
      </c>
      <c r="AB6" s="225">
        <f t="shared" si="9"/>
        <v>0.9660000000000003</v>
      </c>
      <c r="AC6" s="511"/>
    </row>
    <row r="7" spans="1:29">
      <c r="A7" s="545" t="s">
        <v>1158</v>
      </c>
      <c r="B7" s="62" t="s">
        <v>6</v>
      </c>
      <c r="C7" s="539" t="s">
        <v>886</v>
      </c>
      <c r="D7" s="540"/>
      <c r="E7" s="62">
        <v>57.3</v>
      </c>
      <c r="F7" s="232">
        <v>1800</v>
      </c>
      <c r="G7" s="224">
        <f t="shared" si="0"/>
        <v>103140</v>
      </c>
      <c r="H7" s="90">
        <v>2</v>
      </c>
      <c r="I7" s="229">
        <v>13</v>
      </c>
      <c r="J7" s="63">
        <v>2000</v>
      </c>
      <c r="K7" s="64">
        <f t="shared" si="1"/>
        <v>153.84615384615384</v>
      </c>
      <c r="L7" s="229">
        <v>13</v>
      </c>
      <c r="M7" s="65">
        <f t="shared" si="2"/>
        <v>1928.57142857143</v>
      </c>
      <c r="N7" s="64">
        <f t="shared" si="3"/>
        <v>148.35164835164846</v>
      </c>
      <c r="O7" s="66">
        <f t="shared" si="4"/>
        <v>0</v>
      </c>
      <c r="P7" s="67">
        <f t="shared" si="5"/>
        <v>-5.4945054945053755</v>
      </c>
      <c r="Q7" s="225">
        <f t="shared" si="6"/>
        <v>0.96428571428571508</v>
      </c>
      <c r="R7" s="511"/>
      <c r="S7" s="68">
        <v>0.78749999999999998</v>
      </c>
      <c r="T7" s="68">
        <v>0.82638888888888884</v>
      </c>
      <c r="U7" s="224">
        <f t="shared" si="10"/>
        <v>4.9999999999999822</v>
      </c>
      <c r="V7" s="230">
        <f t="shared" si="7"/>
        <v>55.999999999999957</v>
      </c>
      <c r="W7" s="69">
        <f>T7</f>
        <v>0.82638888888888884</v>
      </c>
      <c r="X7" s="69">
        <f>S8</f>
        <v>0.86805555555555547</v>
      </c>
      <c r="Y7" s="517"/>
      <c r="Z7" s="518"/>
      <c r="AA7" s="66">
        <f t="shared" si="8"/>
        <v>-71.428571428569967</v>
      </c>
      <c r="AB7" s="225">
        <f t="shared" si="9"/>
        <v>0.96428571428571497</v>
      </c>
      <c r="AC7" s="511"/>
    </row>
    <row r="8" spans="1:29">
      <c r="A8" s="545" t="s">
        <v>1158</v>
      </c>
      <c r="B8" s="62" t="s">
        <v>6</v>
      </c>
      <c r="C8" s="539" t="s">
        <v>886</v>
      </c>
      <c r="D8" s="540"/>
      <c r="E8" s="62">
        <v>57.3</v>
      </c>
      <c r="F8" s="232">
        <v>1959</v>
      </c>
      <c r="G8" s="224">
        <f t="shared" si="0"/>
        <v>112250.7</v>
      </c>
      <c r="H8" s="90" t="s">
        <v>5</v>
      </c>
      <c r="I8" s="229">
        <v>13</v>
      </c>
      <c r="J8" s="63">
        <v>2000</v>
      </c>
      <c r="K8" s="64">
        <f t="shared" si="1"/>
        <v>153.84615384615384</v>
      </c>
      <c r="L8" s="229">
        <v>13</v>
      </c>
      <c r="M8" s="65">
        <f t="shared" si="2"/>
        <v>1926.8852459016412</v>
      </c>
      <c r="N8" s="64">
        <f t="shared" si="3"/>
        <v>148.22194199243393</v>
      </c>
      <c r="O8" s="66">
        <f t="shared" si="4"/>
        <v>0</v>
      </c>
      <c r="P8" s="67">
        <f t="shared" si="5"/>
        <v>-5.6242118537199133</v>
      </c>
      <c r="Q8" s="225">
        <f t="shared" si="6"/>
        <v>0.96344262295082062</v>
      </c>
      <c r="R8" s="511"/>
      <c r="S8" s="68">
        <v>0.86805555555555547</v>
      </c>
      <c r="T8" s="68">
        <v>0.91041666666666654</v>
      </c>
      <c r="U8" s="224">
        <f t="shared" si="10"/>
        <v>59.999999999999943</v>
      </c>
      <c r="V8" s="230">
        <f t="shared" si="7"/>
        <v>60.999999999999943</v>
      </c>
      <c r="W8" s="73"/>
      <c r="X8" s="73"/>
      <c r="Y8" s="517"/>
      <c r="Z8" s="518"/>
      <c r="AA8" s="66">
        <f t="shared" si="8"/>
        <v>-73.114754098358844</v>
      </c>
      <c r="AB8" s="225">
        <f t="shared" si="9"/>
        <v>0.96344262295082062</v>
      </c>
      <c r="AC8" s="511"/>
    </row>
    <row r="9" spans="1:29">
      <c r="A9" s="545" t="s">
        <v>1158</v>
      </c>
      <c r="B9" s="62" t="s">
        <v>1159</v>
      </c>
      <c r="C9" s="513"/>
      <c r="D9" s="513"/>
      <c r="E9" s="226"/>
      <c r="F9" s="71"/>
      <c r="G9" s="64"/>
      <c r="H9" s="232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1922.141946396046</v>
      </c>
      <c r="N9" s="64">
        <f t="shared" si="3"/>
        <v>132.56151354455488</v>
      </c>
      <c r="O9" s="66">
        <f t="shared" si="4"/>
        <v>0</v>
      </c>
      <c r="P9" s="67">
        <f t="shared" si="5"/>
        <v>-5.369520938203749</v>
      </c>
      <c r="Q9" s="225">
        <f t="shared" si="6"/>
        <v>0.96107097319802282</v>
      </c>
      <c r="R9" s="511"/>
      <c r="S9" s="68"/>
      <c r="T9" s="68"/>
      <c r="U9" s="224"/>
      <c r="V9" s="230"/>
      <c r="W9" s="64"/>
      <c r="X9" s="64"/>
      <c r="Y9" s="510"/>
      <c r="Z9" s="510"/>
      <c r="AA9" s="66">
        <f t="shared" si="8"/>
        <v>-77.858053603953977</v>
      </c>
      <c r="AB9" s="225">
        <f t="shared" si="9"/>
        <v>0.96107097319802304</v>
      </c>
      <c r="AC9" s="511"/>
    </row>
    <row r="10" spans="1:29" ht="15.75" customHeight="1">
      <c r="A10" s="543" t="s">
        <v>1160</v>
      </c>
      <c r="B10" s="62" t="s">
        <v>10</v>
      </c>
      <c r="C10" s="539" t="s">
        <v>12</v>
      </c>
      <c r="D10" s="540"/>
      <c r="E10" s="62">
        <v>39.36</v>
      </c>
      <c r="F10" s="232">
        <v>1776</v>
      </c>
      <c r="G10" s="224">
        <f t="shared" ref="G10:G11" si="11">E10*F10</f>
        <v>69903.360000000001</v>
      </c>
      <c r="H10" s="90" t="s">
        <v>5</v>
      </c>
      <c r="I10" s="229">
        <v>20</v>
      </c>
      <c r="J10" s="63">
        <v>1500</v>
      </c>
      <c r="K10" s="64">
        <f t="shared" si="1"/>
        <v>75</v>
      </c>
      <c r="L10" s="229">
        <v>20</v>
      </c>
      <c r="M10" s="65">
        <f t="shared" ref="M10:M11" si="12">F10/V10*60</f>
        <v>1439.9999999999998</v>
      </c>
      <c r="N10" s="64">
        <f t="shared" si="3"/>
        <v>71.999999999999986</v>
      </c>
      <c r="O10" s="66">
        <f t="shared" si="4"/>
        <v>0</v>
      </c>
      <c r="P10" s="67">
        <f t="shared" si="5"/>
        <v>-3.0000000000000142</v>
      </c>
      <c r="Q10" s="225">
        <f t="shared" si="6"/>
        <v>0.95999999999999985</v>
      </c>
      <c r="R10" s="511">
        <f>Q12</f>
        <v>0.95637037037037032</v>
      </c>
      <c r="S10" s="68">
        <v>0.20833333333333334</v>
      </c>
      <c r="T10" s="68">
        <v>0.25972222222222224</v>
      </c>
      <c r="U10" s="224"/>
      <c r="V10" s="230">
        <f t="shared" ref="V10:V11" si="13">(T10-S10)*24*60</f>
        <v>74.000000000000014</v>
      </c>
      <c r="W10" s="69"/>
      <c r="X10" s="69"/>
      <c r="Y10" s="510"/>
      <c r="Z10" s="510"/>
      <c r="AA10" s="66">
        <f t="shared" si="8"/>
        <v>-60.000000000000227</v>
      </c>
      <c r="AB10" s="225">
        <f t="shared" si="9"/>
        <v>0.95999999999999985</v>
      </c>
      <c r="AC10" s="511">
        <f>AB12</f>
        <v>0.95637037037037032</v>
      </c>
    </row>
    <row r="11" spans="1:29" ht="15.75" customHeight="1">
      <c r="A11" s="543" t="s">
        <v>1160</v>
      </c>
      <c r="B11" s="62" t="s">
        <v>10</v>
      </c>
      <c r="C11" s="539" t="s">
        <v>11</v>
      </c>
      <c r="D11" s="540"/>
      <c r="E11" s="62">
        <v>39.799999999999997</v>
      </c>
      <c r="F11" s="232">
        <v>6431</v>
      </c>
      <c r="G11" s="224">
        <f t="shared" si="11"/>
        <v>255953.8</v>
      </c>
      <c r="H11" s="90" t="s">
        <v>5</v>
      </c>
      <c r="I11" s="229">
        <v>17</v>
      </c>
      <c r="J11" s="63">
        <v>1500</v>
      </c>
      <c r="K11" s="64">
        <f t="shared" si="1"/>
        <v>88.235294117647058</v>
      </c>
      <c r="L11" s="229">
        <v>17</v>
      </c>
      <c r="M11" s="65">
        <f t="shared" si="12"/>
        <v>1429.1111111111111</v>
      </c>
      <c r="N11" s="64">
        <f t="shared" si="3"/>
        <v>84.065359477124176</v>
      </c>
      <c r="O11" s="66">
        <f t="shared" si="4"/>
        <v>0</v>
      </c>
      <c r="P11" s="67">
        <f t="shared" si="5"/>
        <v>-4.1699346405228823</v>
      </c>
      <c r="Q11" s="225">
        <f t="shared" si="6"/>
        <v>0.95274074074074067</v>
      </c>
      <c r="R11" s="511"/>
      <c r="S11" s="68">
        <v>0.26319444444444445</v>
      </c>
      <c r="T11" s="68">
        <v>0.45069444444444445</v>
      </c>
      <c r="U11" s="224">
        <f t="shared" ref="U11" si="14">IF(S11=TIME(17,0,0),"",(S11-T10)*24*60)</f>
        <v>4.9999999999999822</v>
      </c>
      <c r="V11" s="230">
        <f t="shared" si="13"/>
        <v>270</v>
      </c>
      <c r="W11" s="69"/>
      <c r="X11" s="69"/>
      <c r="Y11" s="510"/>
      <c r="Z11" s="510"/>
      <c r="AA11" s="66">
        <f t="shared" si="8"/>
        <v>-70.888888888888914</v>
      </c>
      <c r="AB11" s="225">
        <f t="shared" si="9"/>
        <v>0.95274074074074078</v>
      </c>
      <c r="AC11" s="511"/>
    </row>
    <row r="12" spans="1:29" ht="16.5" customHeight="1">
      <c r="A12" s="543" t="s">
        <v>1161</v>
      </c>
      <c r="B12" s="62" t="s">
        <v>1162</v>
      </c>
      <c r="C12" s="513"/>
      <c r="D12" s="513"/>
      <c r="E12" s="226"/>
      <c r="F12" s="63"/>
      <c r="G12" s="65"/>
      <c r="H12" s="232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1434.5555555555554</v>
      </c>
      <c r="N12" s="64">
        <f t="shared" si="3"/>
        <v>77.543543543543535</v>
      </c>
      <c r="O12" s="66">
        <f t="shared" si="4"/>
        <v>0</v>
      </c>
      <c r="P12" s="67">
        <f t="shared" si="5"/>
        <v>-3.5375375375375455</v>
      </c>
      <c r="Q12" s="225">
        <f t="shared" si="6"/>
        <v>0.95637037037037032</v>
      </c>
      <c r="R12" s="511"/>
      <c r="S12" s="68"/>
      <c r="T12" s="68"/>
      <c r="U12" s="64"/>
      <c r="V12" s="230"/>
      <c r="W12" s="64"/>
      <c r="X12" s="64"/>
      <c r="Y12" s="510"/>
      <c r="Z12" s="510"/>
      <c r="AA12" s="66">
        <f t="shared" si="8"/>
        <v>-65.444444444444571</v>
      </c>
      <c r="AB12" s="225">
        <f t="shared" si="9"/>
        <v>0.95637037037037032</v>
      </c>
      <c r="AC12" s="511"/>
    </row>
    <row r="13" spans="1:29" ht="16.5" customHeight="1">
      <c r="A13" s="541" t="s">
        <v>1163</v>
      </c>
      <c r="B13" s="232" t="s">
        <v>13</v>
      </c>
      <c r="C13" s="533" t="s">
        <v>14</v>
      </c>
      <c r="D13" s="533"/>
      <c r="E13" s="62">
        <v>41</v>
      </c>
      <c r="F13" s="232">
        <v>2470</v>
      </c>
      <c r="G13" s="224">
        <f t="shared" ref="G13:G17" si="15">E13*F13</f>
        <v>101270</v>
      </c>
      <c r="H13" s="90" t="s">
        <v>5</v>
      </c>
      <c r="I13" s="229">
        <v>26</v>
      </c>
      <c r="J13" s="63">
        <v>1500</v>
      </c>
      <c r="K13" s="64">
        <f t="shared" si="1"/>
        <v>57.692307692307693</v>
      </c>
      <c r="L13" s="229">
        <v>26</v>
      </c>
      <c r="M13" s="65">
        <f t="shared" ref="M13:M17" si="16">F13/V13*60</f>
        <v>1438.8349514563108</v>
      </c>
      <c r="N13" s="64">
        <f t="shared" si="3"/>
        <v>55.339805825242721</v>
      </c>
      <c r="O13" s="66">
        <f t="shared" si="4"/>
        <v>0</v>
      </c>
      <c r="P13" s="67">
        <f t="shared" si="5"/>
        <v>-2.3525018670649729</v>
      </c>
      <c r="Q13" s="225">
        <f t="shared" si="6"/>
        <v>0.95922330097087383</v>
      </c>
      <c r="R13" s="511">
        <f>Q18</f>
        <v>0.95713455613828613</v>
      </c>
      <c r="S13" s="68">
        <v>0.125</v>
      </c>
      <c r="T13" s="68">
        <v>0.19652777777777777</v>
      </c>
      <c r="U13" s="224"/>
      <c r="V13" s="230">
        <f t="shared" ref="V13:V17" si="17">(T13-S13)*24*60</f>
        <v>103</v>
      </c>
      <c r="W13" s="69">
        <f>T13</f>
        <v>0.19652777777777777</v>
      </c>
      <c r="X13" s="69">
        <f>S14</f>
        <v>0.2159722222222222</v>
      </c>
      <c r="Y13" s="510"/>
      <c r="Z13" s="510"/>
      <c r="AA13" s="66">
        <f t="shared" si="8"/>
        <v>-61.165048543689181</v>
      </c>
      <c r="AB13" s="225">
        <f t="shared" si="9"/>
        <v>0.95922330097087383</v>
      </c>
      <c r="AC13" s="511">
        <f>AB18</f>
        <v>0.95713455613828624</v>
      </c>
    </row>
    <row r="14" spans="1:29" ht="16.5" customHeight="1">
      <c r="A14" s="542" t="s">
        <v>1164</v>
      </c>
      <c r="B14" s="232" t="s">
        <v>10</v>
      </c>
      <c r="C14" s="533" t="s">
        <v>15</v>
      </c>
      <c r="D14" s="533"/>
      <c r="E14" s="62">
        <v>39.619999999999997</v>
      </c>
      <c r="F14" s="232">
        <v>4003</v>
      </c>
      <c r="G14" s="224">
        <f t="shared" si="15"/>
        <v>158598.85999999999</v>
      </c>
      <c r="H14" s="90" t="s">
        <v>5</v>
      </c>
      <c r="I14" s="229">
        <v>19</v>
      </c>
      <c r="J14" s="63">
        <v>1500</v>
      </c>
      <c r="K14" s="64">
        <f t="shared" si="1"/>
        <v>78.94736842105263</v>
      </c>
      <c r="L14" s="229">
        <v>19</v>
      </c>
      <c r="M14" s="65">
        <f t="shared" si="16"/>
        <v>1429.6428571428571</v>
      </c>
      <c r="N14" s="64">
        <f t="shared" si="3"/>
        <v>75.244360902255636</v>
      </c>
      <c r="O14" s="66">
        <f t="shared" si="4"/>
        <v>0</v>
      </c>
      <c r="P14" s="67">
        <f t="shared" si="5"/>
        <v>-3.7030075187969942</v>
      </c>
      <c r="Q14" s="225">
        <f t="shared" si="6"/>
        <v>0.95309523809523811</v>
      </c>
      <c r="R14" s="511"/>
      <c r="S14" s="68">
        <v>0.2159722222222222</v>
      </c>
      <c r="T14" s="68">
        <v>0.33263888888888887</v>
      </c>
      <c r="U14" s="224">
        <f t="shared" ref="U14:U17" si="18">IF(S14=TIME(17,0,0),"",(S14-T13)*24*60)</f>
        <v>27.999999999999979</v>
      </c>
      <c r="V14" s="230">
        <f t="shared" si="17"/>
        <v>168</v>
      </c>
      <c r="W14" s="69"/>
      <c r="X14" s="69"/>
      <c r="Y14" s="510"/>
      <c r="Z14" s="510"/>
      <c r="AA14" s="66">
        <f t="shared" si="8"/>
        <v>-70.35714285714289</v>
      </c>
      <c r="AB14" s="225">
        <f t="shared" si="9"/>
        <v>0.95309523809523811</v>
      </c>
      <c r="AC14" s="511"/>
    </row>
    <row r="15" spans="1:29" ht="16.5" customHeight="1">
      <c r="A15" s="542" t="s">
        <v>1164</v>
      </c>
      <c r="B15" s="232" t="s">
        <v>77</v>
      </c>
      <c r="C15" s="533" t="s">
        <v>76</v>
      </c>
      <c r="D15" s="533"/>
      <c r="E15" s="62">
        <v>57.3</v>
      </c>
      <c r="F15" s="232">
        <v>1230</v>
      </c>
      <c r="G15" s="224">
        <f t="shared" si="15"/>
        <v>70479</v>
      </c>
      <c r="H15" s="90" t="s">
        <v>5</v>
      </c>
      <c r="I15" s="229">
        <v>17</v>
      </c>
      <c r="J15" s="63">
        <v>1500</v>
      </c>
      <c r="K15" s="64">
        <f t="shared" si="1"/>
        <v>88.235294117647058</v>
      </c>
      <c r="L15" s="229">
        <v>17</v>
      </c>
      <c r="M15" s="65">
        <f t="shared" si="16"/>
        <v>1447.0588235294124</v>
      </c>
      <c r="N15" s="64">
        <f t="shared" si="3"/>
        <v>85.121107266436027</v>
      </c>
      <c r="O15" s="66">
        <f t="shared" si="4"/>
        <v>0</v>
      </c>
      <c r="P15" s="67">
        <f t="shared" si="5"/>
        <v>-3.1141868512110307</v>
      </c>
      <c r="Q15" s="225">
        <f t="shared" si="6"/>
        <v>0.96470588235294163</v>
      </c>
      <c r="R15" s="511"/>
      <c r="S15" s="68">
        <v>0.33749999999999997</v>
      </c>
      <c r="T15" s="68">
        <v>0.37291666666666662</v>
      </c>
      <c r="U15" s="224">
        <f t="shared" si="18"/>
        <v>6.9999999999999751</v>
      </c>
      <c r="V15" s="230">
        <f t="shared" si="17"/>
        <v>50.999999999999979</v>
      </c>
      <c r="W15" s="69"/>
      <c r="X15" s="69"/>
      <c r="Y15" s="510"/>
      <c r="Z15" s="510"/>
      <c r="AA15" s="66">
        <f t="shared" si="8"/>
        <v>-52.941176470587607</v>
      </c>
      <c r="AB15" s="225">
        <f t="shared" si="9"/>
        <v>0.96470588235294163</v>
      </c>
      <c r="AC15" s="511"/>
    </row>
    <row r="16" spans="1:29" ht="16.5" customHeight="1">
      <c r="A16" s="542" t="s">
        <v>1164</v>
      </c>
      <c r="B16" s="232" t="s">
        <v>6</v>
      </c>
      <c r="C16" s="533" t="s">
        <v>890</v>
      </c>
      <c r="D16" s="533"/>
      <c r="E16" s="62">
        <v>50.98</v>
      </c>
      <c r="F16" s="232">
        <v>2571</v>
      </c>
      <c r="G16" s="224">
        <f t="shared" si="15"/>
        <v>131069.57999999999</v>
      </c>
      <c r="H16" s="90" t="s">
        <v>5</v>
      </c>
      <c r="I16" s="229">
        <v>16</v>
      </c>
      <c r="J16" s="63">
        <v>2000</v>
      </c>
      <c r="K16" s="64">
        <f t="shared" si="1"/>
        <v>125</v>
      </c>
      <c r="L16" s="229">
        <v>16</v>
      </c>
      <c r="M16" s="65">
        <f t="shared" si="16"/>
        <v>1904.4444444444439</v>
      </c>
      <c r="N16" s="64">
        <f t="shared" si="3"/>
        <v>119.02777777777774</v>
      </c>
      <c r="O16" s="66">
        <f t="shared" si="4"/>
        <v>0</v>
      </c>
      <c r="P16" s="67">
        <f t="shared" si="5"/>
        <v>-5.972222222222257</v>
      </c>
      <c r="Q16" s="225">
        <f t="shared" si="6"/>
        <v>0.95222222222222197</v>
      </c>
      <c r="R16" s="511"/>
      <c r="S16" s="68">
        <v>0.70833333333333337</v>
      </c>
      <c r="T16" s="68">
        <v>0.76458333333333339</v>
      </c>
      <c r="U16" s="224" t="str">
        <f t="shared" si="18"/>
        <v/>
      </c>
      <c r="V16" s="230">
        <f t="shared" si="17"/>
        <v>81.000000000000028</v>
      </c>
      <c r="W16" s="69"/>
      <c r="X16" s="69"/>
      <c r="Y16" s="510"/>
      <c r="Z16" s="510"/>
      <c r="AA16" s="66">
        <f t="shared" si="8"/>
        <v>-95.555555555556111</v>
      </c>
      <c r="AB16" s="225">
        <f t="shared" si="9"/>
        <v>0.95222222222222197</v>
      </c>
      <c r="AC16" s="511"/>
    </row>
    <row r="17" spans="1:29" ht="16.5" customHeight="1">
      <c r="A17" s="542" t="s">
        <v>1165</v>
      </c>
      <c r="B17" s="232" t="s">
        <v>6</v>
      </c>
      <c r="C17" s="533" t="s">
        <v>20</v>
      </c>
      <c r="D17" s="533"/>
      <c r="E17" s="62">
        <v>50.92</v>
      </c>
      <c r="F17" s="232">
        <v>2650</v>
      </c>
      <c r="G17" s="224">
        <f t="shared" si="15"/>
        <v>134938</v>
      </c>
      <c r="H17" s="90" t="s">
        <v>5</v>
      </c>
      <c r="I17" s="229">
        <v>15</v>
      </c>
      <c r="J17" s="63">
        <v>2000</v>
      </c>
      <c r="K17" s="64">
        <f t="shared" si="1"/>
        <v>133.33333333333334</v>
      </c>
      <c r="L17" s="229">
        <v>15</v>
      </c>
      <c r="M17" s="65">
        <f t="shared" si="16"/>
        <v>1915.662650602409</v>
      </c>
      <c r="N17" s="64">
        <f t="shared" si="3"/>
        <v>127.71084337349393</v>
      </c>
      <c r="O17" s="66">
        <f t="shared" si="4"/>
        <v>0</v>
      </c>
      <c r="P17" s="67">
        <f t="shared" si="5"/>
        <v>-5.6224899598394131</v>
      </c>
      <c r="Q17" s="225">
        <f t="shared" si="6"/>
        <v>0.95783132530120441</v>
      </c>
      <c r="R17" s="511"/>
      <c r="S17" s="68">
        <v>0.76944444444444449</v>
      </c>
      <c r="T17" s="68">
        <v>0.82708333333333339</v>
      </c>
      <c r="U17" s="224">
        <f t="shared" si="18"/>
        <v>6.9999999999999751</v>
      </c>
      <c r="V17" s="230">
        <f t="shared" si="17"/>
        <v>83.000000000000028</v>
      </c>
      <c r="W17" s="69"/>
      <c r="X17" s="69"/>
      <c r="Y17" s="510"/>
      <c r="Z17" s="510"/>
      <c r="AA17" s="66">
        <f t="shared" si="8"/>
        <v>-84.33734939759097</v>
      </c>
      <c r="AB17" s="225">
        <f t="shared" si="9"/>
        <v>0.95783132530120452</v>
      </c>
      <c r="AC17" s="511"/>
    </row>
    <row r="18" spans="1:29" ht="16.5" customHeight="1">
      <c r="A18" s="542" t="s">
        <v>1164</v>
      </c>
      <c r="B18" s="62" t="s">
        <v>1159</v>
      </c>
      <c r="C18" s="513"/>
      <c r="D18" s="513"/>
      <c r="E18" s="226"/>
      <c r="F18" s="71"/>
      <c r="G18" s="64"/>
      <c r="H18" s="232"/>
      <c r="I18" s="72">
        <v>18.600000000000001</v>
      </c>
      <c r="J18" s="63">
        <v>1700</v>
      </c>
      <c r="K18" s="64">
        <f t="shared" si="1"/>
        <v>91.397849462365585</v>
      </c>
      <c r="L18" s="72">
        <v>18.600000000000001</v>
      </c>
      <c r="M18" s="65">
        <f>AVERAGE(M13:M17)</f>
        <v>1627.1287454350866</v>
      </c>
      <c r="N18" s="64">
        <f t="shared" si="3"/>
        <v>87.480040077155181</v>
      </c>
      <c r="O18" s="66">
        <f t="shared" si="4"/>
        <v>0</v>
      </c>
      <c r="P18" s="67">
        <f t="shared" si="5"/>
        <v>-3.9178093852104041</v>
      </c>
      <c r="Q18" s="225">
        <f t="shared" si="6"/>
        <v>0.95713455613828613</v>
      </c>
      <c r="R18" s="511"/>
      <c r="S18" s="68"/>
      <c r="T18" s="68"/>
      <c r="U18" s="224"/>
      <c r="V18" s="230"/>
      <c r="W18" s="64"/>
      <c r="X18" s="64"/>
      <c r="Y18" s="510"/>
      <c r="Z18" s="510"/>
      <c r="AA18" s="66">
        <f t="shared" si="8"/>
        <v>-72.871254564913443</v>
      </c>
      <c r="AB18" s="225">
        <f t="shared" si="9"/>
        <v>0.95713455613828624</v>
      </c>
      <c r="AC18" s="511"/>
    </row>
    <row r="19" spans="1:29" ht="15.75" customHeight="1">
      <c r="A19" s="537" t="s">
        <v>1166</v>
      </c>
      <c r="B19" s="62" t="s">
        <v>13</v>
      </c>
      <c r="C19" s="533" t="s">
        <v>21</v>
      </c>
      <c r="D19" s="533"/>
      <c r="E19" s="62">
        <v>43.14</v>
      </c>
      <c r="F19" s="232">
        <v>1500</v>
      </c>
      <c r="G19" s="224">
        <f t="shared" ref="G19:G26" si="19">E19*F19</f>
        <v>64710</v>
      </c>
      <c r="H19" s="90" t="s">
        <v>5</v>
      </c>
      <c r="I19" s="229">
        <v>17</v>
      </c>
      <c r="J19" s="63">
        <v>2000</v>
      </c>
      <c r="K19" s="64">
        <f t="shared" si="1"/>
        <v>117.64705882352941</v>
      </c>
      <c r="L19" s="229">
        <v>17</v>
      </c>
      <c r="M19" s="65">
        <f t="shared" ref="M19:M26" si="20">F19/V19*60</f>
        <v>1914.8936170212769</v>
      </c>
      <c r="N19" s="64">
        <f t="shared" si="3"/>
        <v>112.64080100125159</v>
      </c>
      <c r="O19" s="66">
        <f t="shared" si="4"/>
        <v>0</v>
      </c>
      <c r="P19" s="67">
        <f t="shared" si="5"/>
        <v>-5.0062578222778171</v>
      </c>
      <c r="Q19" s="225">
        <f t="shared" si="6"/>
        <v>0.95744680851063857</v>
      </c>
      <c r="R19" s="511">
        <f>Q27</f>
        <v>0.95812547725139241</v>
      </c>
      <c r="S19" s="68">
        <v>0.20833333333333334</v>
      </c>
      <c r="T19" s="68">
        <v>0.24097222222222223</v>
      </c>
      <c r="U19" s="224"/>
      <c r="V19" s="230">
        <f t="shared" ref="V19:V26" si="21">(T19-S19)*24*60</f>
        <v>46.999999999999993</v>
      </c>
      <c r="W19" s="73"/>
      <c r="X19" s="73"/>
      <c r="Y19" s="510"/>
      <c r="Z19" s="510"/>
      <c r="AA19" s="66">
        <f t="shared" si="8"/>
        <v>-85.106382978723104</v>
      </c>
      <c r="AB19" s="225">
        <f t="shared" si="9"/>
        <v>0.95744680851063846</v>
      </c>
      <c r="AC19" s="511">
        <f>AB27</f>
        <v>0.9581254772513923</v>
      </c>
    </row>
    <row r="20" spans="1:29" ht="15.75" customHeight="1">
      <c r="A20" s="538" t="s">
        <v>1167</v>
      </c>
      <c r="B20" s="62" t="s">
        <v>77</v>
      </c>
      <c r="C20" s="533" t="s">
        <v>980</v>
      </c>
      <c r="D20" s="533"/>
      <c r="E20" s="62">
        <v>47.59</v>
      </c>
      <c r="F20" s="232">
        <v>2894</v>
      </c>
      <c r="G20" s="224">
        <f t="shared" si="19"/>
        <v>137725.46000000002</v>
      </c>
      <c r="H20" s="90" t="s">
        <v>5</v>
      </c>
      <c r="I20" s="229">
        <v>19</v>
      </c>
      <c r="J20" s="63">
        <v>2000</v>
      </c>
      <c r="K20" s="64">
        <f t="shared" si="1"/>
        <v>105.26315789473684</v>
      </c>
      <c r="L20" s="229">
        <v>19</v>
      </c>
      <c r="M20" s="65">
        <f t="shared" si="20"/>
        <v>1908.1318681318683</v>
      </c>
      <c r="N20" s="64">
        <f t="shared" si="3"/>
        <v>100.42799305957202</v>
      </c>
      <c r="O20" s="66">
        <f t="shared" si="4"/>
        <v>0</v>
      </c>
      <c r="P20" s="67">
        <f t="shared" si="5"/>
        <v>-4.835164835164818</v>
      </c>
      <c r="Q20" s="225">
        <f t="shared" si="6"/>
        <v>0.95406593406593421</v>
      </c>
      <c r="R20" s="511"/>
      <c r="S20" s="68">
        <v>0.24583333333333335</v>
      </c>
      <c r="T20" s="68">
        <v>0.30902777777777779</v>
      </c>
      <c r="U20" s="224">
        <f t="shared" ref="U20:U26" si="22">IF(S20=TIME(17,0,0),"",(S20-T19)*24*60)</f>
        <v>7.0000000000000151</v>
      </c>
      <c r="V20" s="230">
        <f t="shared" si="21"/>
        <v>91</v>
      </c>
      <c r="W20" s="69"/>
      <c r="X20" s="224"/>
      <c r="Y20" s="510"/>
      <c r="Z20" s="510"/>
      <c r="AA20" s="66">
        <f t="shared" si="8"/>
        <v>-91.868131868131741</v>
      </c>
      <c r="AB20" s="225">
        <f t="shared" si="9"/>
        <v>0.9540659340659341</v>
      </c>
      <c r="AC20" s="511"/>
    </row>
    <row r="21" spans="1:29" ht="15.75" customHeight="1">
      <c r="A21" s="538" t="s">
        <v>1167</v>
      </c>
      <c r="B21" s="62" t="s">
        <v>6</v>
      </c>
      <c r="C21" s="533" t="s">
        <v>22</v>
      </c>
      <c r="D21" s="533"/>
      <c r="E21" s="62">
        <v>57.73</v>
      </c>
      <c r="F21" s="232">
        <v>2754</v>
      </c>
      <c r="G21" s="224">
        <f t="shared" si="19"/>
        <v>158988.41999999998</v>
      </c>
      <c r="H21" s="90" t="s">
        <v>5</v>
      </c>
      <c r="I21" s="229">
        <v>14</v>
      </c>
      <c r="J21" s="63">
        <v>2000</v>
      </c>
      <c r="K21" s="64">
        <f t="shared" si="1"/>
        <v>142.85714285714286</v>
      </c>
      <c r="L21" s="229">
        <v>14</v>
      </c>
      <c r="M21" s="65">
        <f t="shared" si="20"/>
        <v>1921.395348837209</v>
      </c>
      <c r="N21" s="64">
        <f t="shared" si="3"/>
        <v>137.24252491694349</v>
      </c>
      <c r="O21" s="66">
        <f t="shared" si="4"/>
        <v>0</v>
      </c>
      <c r="P21" s="67">
        <f t="shared" si="5"/>
        <v>-5.6146179401993663</v>
      </c>
      <c r="Q21" s="225">
        <f t="shared" si="6"/>
        <v>0.96069767441860443</v>
      </c>
      <c r="R21" s="511"/>
      <c r="S21" s="68">
        <v>0.3125</v>
      </c>
      <c r="T21" s="68">
        <v>0.37222222222222223</v>
      </c>
      <c r="U21" s="224">
        <f t="shared" si="22"/>
        <v>4.9999999999999822</v>
      </c>
      <c r="V21" s="230">
        <f t="shared" si="21"/>
        <v>86.000000000000014</v>
      </c>
      <c r="W21" s="69"/>
      <c r="X21" s="224"/>
      <c r="Y21" s="510"/>
      <c r="Z21" s="510"/>
      <c r="AA21" s="66">
        <f t="shared" si="8"/>
        <v>-78.604651162791015</v>
      </c>
      <c r="AB21" s="225">
        <f t="shared" si="9"/>
        <v>0.96069767441860454</v>
      </c>
      <c r="AC21" s="511"/>
    </row>
    <row r="22" spans="1:29" ht="15.75" customHeight="1">
      <c r="A22" s="538" t="s">
        <v>1167</v>
      </c>
      <c r="B22" s="62" t="s">
        <v>6</v>
      </c>
      <c r="C22" s="533" t="s">
        <v>23</v>
      </c>
      <c r="D22" s="533"/>
      <c r="E22" s="62">
        <v>53.68</v>
      </c>
      <c r="F22" s="232">
        <v>1781</v>
      </c>
      <c r="G22" s="224">
        <f t="shared" si="19"/>
        <v>95604.08</v>
      </c>
      <c r="H22" s="90" t="s">
        <v>5</v>
      </c>
      <c r="I22" s="229">
        <v>16</v>
      </c>
      <c r="J22" s="63">
        <v>2000</v>
      </c>
      <c r="K22" s="64">
        <f t="shared" si="1"/>
        <v>125</v>
      </c>
      <c r="L22" s="229">
        <v>16</v>
      </c>
      <c r="M22" s="65">
        <f t="shared" si="20"/>
        <v>1908.2142857142871</v>
      </c>
      <c r="N22" s="64">
        <f t="shared" si="3"/>
        <v>119.26339285714295</v>
      </c>
      <c r="O22" s="66">
        <f t="shared" si="4"/>
        <v>0</v>
      </c>
      <c r="P22" s="67">
        <f t="shared" si="5"/>
        <v>-5.7366071428570535</v>
      </c>
      <c r="Q22" s="225">
        <f t="shared" si="6"/>
        <v>0.9541071428571436</v>
      </c>
      <c r="R22" s="511"/>
      <c r="S22" s="68">
        <v>0.37777777777777777</v>
      </c>
      <c r="T22" s="68">
        <v>0.41666666666666663</v>
      </c>
      <c r="U22" s="224">
        <f t="shared" si="22"/>
        <v>7.9999999999999716</v>
      </c>
      <c r="V22" s="230">
        <f t="shared" si="21"/>
        <v>55.999999999999957</v>
      </c>
      <c r="W22" s="69"/>
      <c r="X22" s="224"/>
      <c r="Y22" s="510"/>
      <c r="Z22" s="510"/>
      <c r="AA22" s="66">
        <f t="shared" si="8"/>
        <v>-91.785714285712857</v>
      </c>
      <c r="AB22" s="225">
        <f t="shared" si="9"/>
        <v>0.9541071428571436</v>
      </c>
      <c r="AC22" s="511"/>
    </row>
    <row r="23" spans="1:29" ht="15.75" customHeight="1">
      <c r="A23" s="538" t="s">
        <v>1167</v>
      </c>
      <c r="B23" s="62" t="s">
        <v>6</v>
      </c>
      <c r="C23" s="533" t="s">
        <v>971</v>
      </c>
      <c r="D23" s="533"/>
      <c r="E23" s="62">
        <v>47.6</v>
      </c>
      <c r="F23" s="232">
        <v>2913</v>
      </c>
      <c r="G23" s="224">
        <f t="shared" si="19"/>
        <v>138658.80000000002</v>
      </c>
      <c r="H23" s="90" t="s">
        <v>5</v>
      </c>
      <c r="I23" s="229">
        <v>19</v>
      </c>
      <c r="J23" s="63">
        <v>2000</v>
      </c>
      <c r="K23" s="64">
        <f t="shared" si="1"/>
        <v>105.26315789473684</v>
      </c>
      <c r="L23" s="229">
        <v>19</v>
      </c>
      <c r="M23" s="65">
        <f t="shared" si="20"/>
        <v>1920.6593406593408</v>
      </c>
      <c r="N23" s="64">
        <f t="shared" si="3"/>
        <v>101.08733371891267</v>
      </c>
      <c r="O23" s="66">
        <f t="shared" si="4"/>
        <v>0</v>
      </c>
      <c r="P23" s="67">
        <f t="shared" si="5"/>
        <v>-4.175824175824161</v>
      </c>
      <c r="Q23" s="225">
        <f t="shared" si="6"/>
        <v>0.96032967032967043</v>
      </c>
      <c r="R23" s="511"/>
      <c r="S23" s="68">
        <v>0.42222222222222217</v>
      </c>
      <c r="T23" s="68">
        <v>0.48541666666666661</v>
      </c>
      <c r="U23" s="224">
        <f t="shared" si="22"/>
        <v>7.9999999999999716</v>
      </c>
      <c r="V23" s="230">
        <f t="shared" si="21"/>
        <v>91</v>
      </c>
      <c r="W23" s="69"/>
      <c r="X23" s="224"/>
      <c r="Y23" s="510"/>
      <c r="Z23" s="510"/>
      <c r="AA23" s="66">
        <f t="shared" si="8"/>
        <v>-79.340659340659158</v>
      </c>
      <c r="AB23" s="225">
        <f t="shared" si="9"/>
        <v>0.96032967032967043</v>
      </c>
      <c r="AC23" s="511"/>
    </row>
    <row r="24" spans="1:29" ht="15.75" customHeight="1">
      <c r="A24" s="538" t="s">
        <v>1167</v>
      </c>
      <c r="B24" s="62" t="s">
        <v>6</v>
      </c>
      <c r="C24" s="533" t="s">
        <v>24</v>
      </c>
      <c r="D24" s="533"/>
      <c r="E24" s="62">
        <v>54.09</v>
      </c>
      <c r="F24" s="232">
        <v>2100</v>
      </c>
      <c r="G24" s="224">
        <f t="shared" si="19"/>
        <v>113589</v>
      </c>
      <c r="H24" s="90" t="s">
        <v>5</v>
      </c>
      <c r="I24" s="229">
        <v>19</v>
      </c>
      <c r="J24" s="63">
        <v>2000</v>
      </c>
      <c r="K24" s="64">
        <f t="shared" si="1"/>
        <v>105.26315789473684</v>
      </c>
      <c r="L24" s="229">
        <v>19</v>
      </c>
      <c r="M24" s="65">
        <f t="shared" si="20"/>
        <v>1909.0909090909111</v>
      </c>
      <c r="N24" s="64">
        <f t="shared" si="3"/>
        <v>100.47846889952163</v>
      </c>
      <c r="O24" s="66">
        <f t="shared" si="4"/>
        <v>0</v>
      </c>
      <c r="P24" s="67">
        <f t="shared" si="5"/>
        <v>-4.7846889952152054</v>
      </c>
      <c r="Q24" s="225">
        <f t="shared" si="6"/>
        <v>0.95454545454545559</v>
      </c>
      <c r="R24" s="511"/>
      <c r="S24" s="68">
        <v>0.70833333333333337</v>
      </c>
      <c r="T24" s="68">
        <v>0.75416666666666665</v>
      </c>
      <c r="U24" s="224" t="str">
        <f t="shared" si="22"/>
        <v/>
      </c>
      <c r="V24" s="230">
        <f t="shared" si="21"/>
        <v>65.999999999999929</v>
      </c>
      <c r="W24" s="69"/>
      <c r="X24" s="73"/>
      <c r="Y24" s="510"/>
      <c r="Z24" s="510"/>
      <c r="AA24" s="66">
        <f t="shared" si="8"/>
        <v>-90.909090909088945</v>
      </c>
      <c r="AB24" s="225">
        <f t="shared" si="9"/>
        <v>0.95454545454545547</v>
      </c>
      <c r="AC24" s="511"/>
    </row>
    <row r="25" spans="1:29" ht="15.75" customHeight="1">
      <c r="A25" s="538" t="s">
        <v>1167</v>
      </c>
      <c r="B25" s="62" t="s">
        <v>6</v>
      </c>
      <c r="C25" s="533" t="s">
        <v>81</v>
      </c>
      <c r="D25" s="533"/>
      <c r="E25" s="62">
        <v>50.67</v>
      </c>
      <c r="F25" s="232">
        <v>1377</v>
      </c>
      <c r="G25" s="224">
        <f t="shared" si="19"/>
        <v>69772.59</v>
      </c>
      <c r="H25" s="90" t="s">
        <v>5</v>
      </c>
      <c r="I25" s="229">
        <v>15</v>
      </c>
      <c r="J25" s="63">
        <v>2000</v>
      </c>
      <c r="K25" s="64">
        <f t="shared" si="1"/>
        <v>133.33333333333334</v>
      </c>
      <c r="L25" s="229">
        <v>15</v>
      </c>
      <c r="M25" s="65">
        <f t="shared" si="20"/>
        <v>1921.395348837209</v>
      </c>
      <c r="N25" s="64">
        <f t="shared" si="3"/>
        <v>128.09302325581393</v>
      </c>
      <c r="O25" s="66">
        <f t="shared" si="4"/>
        <v>0</v>
      </c>
      <c r="P25" s="67">
        <f t="shared" si="5"/>
        <v>-5.2403100775194105</v>
      </c>
      <c r="Q25" s="225">
        <f t="shared" si="6"/>
        <v>0.96069767441860443</v>
      </c>
      <c r="R25" s="511"/>
      <c r="S25" s="68">
        <v>0.75763888888888886</v>
      </c>
      <c r="T25" s="68">
        <v>0.78749999999999998</v>
      </c>
      <c r="U25" s="224">
        <f t="shared" si="22"/>
        <v>4.9999999999999822</v>
      </c>
      <c r="V25" s="230">
        <f t="shared" si="21"/>
        <v>43.000000000000007</v>
      </c>
      <c r="W25" s="69"/>
      <c r="X25" s="73"/>
      <c r="Y25" s="517"/>
      <c r="Z25" s="518"/>
      <c r="AA25" s="66">
        <f t="shared" si="8"/>
        <v>-78.604651162791015</v>
      </c>
      <c r="AB25" s="225">
        <f t="shared" si="9"/>
        <v>0.96069767441860454</v>
      </c>
      <c r="AC25" s="511"/>
    </row>
    <row r="26" spans="1:29" ht="15.75" customHeight="1">
      <c r="A26" s="538" t="s">
        <v>1167</v>
      </c>
      <c r="B26" s="62" t="s">
        <v>6</v>
      </c>
      <c r="C26" s="534" t="s">
        <v>82</v>
      </c>
      <c r="D26" s="535"/>
      <c r="E26" s="62">
        <v>57.73</v>
      </c>
      <c r="F26" s="232">
        <v>1616</v>
      </c>
      <c r="G26" s="224">
        <f t="shared" si="19"/>
        <v>93291.68</v>
      </c>
      <c r="H26" s="90" t="s">
        <v>5</v>
      </c>
      <c r="I26" s="229">
        <v>16</v>
      </c>
      <c r="J26" s="63">
        <v>1500</v>
      </c>
      <c r="K26" s="64">
        <f t="shared" si="1"/>
        <v>93.75</v>
      </c>
      <c r="L26" s="229">
        <v>16</v>
      </c>
      <c r="M26" s="65">
        <f t="shared" si="20"/>
        <v>1447.1641791044794</v>
      </c>
      <c r="N26" s="64">
        <f t="shared" si="3"/>
        <v>90.447761194029965</v>
      </c>
      <c r="O26" s="66">
        <f t="shared" si="4"/>
        <v>0</v>
      </c>
      <c r="P26" s="67">
        <f t="shared" si="5"/>
        <v>-3.3022388059700347</v>
      </c>
      <c r="Q26" s="225">
        <f t="shared" si="6"/>
        <v>0.96477611940298624</v>
      </c>
      <c r="R26" s="511"/>
      <c r="S26" s="68">
        <v>0.79236111111111107</v>
      </c>
      <c r="T26" s="68">
        <v>0.8388888888888888</v>
      </c>
      <c r="U26" s="224">
        <f t="shared" si="22"/>
        <v>6.9999999999999751</v>
      </c>
      <c r="V26" s="230">
        <f t="shared" si="21"/>
        <v>66.999999999999915</v>
      </c>
      <c r="W26" s="69"/>
      <c r="X26" s="69"/>
      <c r="Y26" s="517"/>
      <c r="Z26" s="518"/>
      <c r="AA26" s="66">
        <f t="shared" si="8"/>
        <v>-52.835820895520555</v>
      </c>
      <c r="AB26" s="225">
        <f t="shared" si="9"/>
        <v>0.96477611940298624</v>
      </c>
      <c r="AC26" s="511"/>
    </row>
    <row r="27" spans="1:29" ht="15.75" customHeight="1">
      <c r="A27" s="538" t="s">
        <v>1167</v>
      </c>
      <c r="B27" s="62" t="s">
        <v>1168</v>
      </c>
      <c r="C27" s="513"/>
      <c r="D27" s="513"/>
      <c r="E27" s="226"/>
      <c r="F27" s="232"/>
      <c r="G27" s="224"/>
      <c r="H27" s="232"/>
      <c r="I27" s="72">
        <v>16.875</v>
      </c>
      <c r="J27" s="63">
        <v>1937.5</v>
      </c>
      <c r="K27" s="64">
        <f t="shared" si="1"/>
        <v>114.81481481481481</v>
      </c>
      <c r="L27" s="72">
        <v>16.875</v>
      </c>
      <c r="M27" s="65">
        <f>AVERAGE(M19:M26)</f>
        <v>1856.3681121745726</v>
      </c>
      <c r="N27" s="64">
        <f t="shared" si="3"/>
        <v>110.00699923997468</v>
      </c>
      <c r="O27" s="66">
        <f t="shared" si="4"/>
        <v>0</v>
      </c>
      <c r="P27" s="67">
        <f t="shared" si="5"/>
        <v>-4.8078155748401343</v>
      </c>
      <c r="Q27" s="225">
        <f t="shared" si="6"/>
        <v>0.95812547725139241</v>
      </c>
      <c r="R27" s="511"/>
      <c r="S27" s="68"/>
      <c r="T27" s="68"/>
      <c r="U27" s="64"/>
      <c r="V27" s="230"/>
      <c r="W27" s="64"/>
      <c r="X27" s="64"/>
      <c r="Y27" s="510"/>
      <c r="Z27" s="510"/>
      <c r="AA27" s="66">
        <f t="shared" si="8"/>
        <v>-81.131887825427384</v>
      </c>
      <c r="AB27" s="225">
        <f t="shared" si="9"/>
        <v>0.9581254772513923</v>
      </c>
      <c r="AC27" s="511"/>
    </row>
    <row r="28" spans="1:29" ht="15.75" customHeight="1">
      <c r="A28" s="536" t="s">
        <v>1169</v>
      </c>
      <c r="B28" s="62" t="s">
        <v>16</v>
      </c>
      <c r="C28" s="533" t="s">
        <v>30</v>
      </c>
      <c r="D28" s="533"/>
      <c r="E28" s="62">
        <v>31.29</v>
      </c>
      <c r="F28" s="232">
        <v>5500</v>
      </c>
      <c r="G28" s="224">
        <f t="shared" ref="G28:G36" si="23">E28*F28</f>
        <v>172095</v>
      </c>
      <c r="H28" s="90">
        <v>2</v>
      </c>
      <c r="I28" s="229">
        <v>18</v>
      </c>
      <c r="J28" s="63">
        <v>2400</v>
      </c>
      <c r="K28" s="64">
        <f t="shared" si="1"/>
        <v>133.33333333333334</v>
      </c>
      <c r="L28" s="229">
        <v>18</v>
      </c>
      <c r="M28" s="65">
        <f t="shared" ref="M28:M36" si="24">F28/V28*60</f>
        <v>2291.6666666666665</v>
      </c>
      <c r="N28" s="64">
        <f t="shared" si="3"/>
        <v>127.31481481481481</v>
      </c>
      <c r="O28" s="66">
        <f t="shared" si="4"/>
        <v>0</v>
      </c>
      <c r="P28" s="67">
        <f t="shared" si="5"/>
        <v>-6.0185185185185333</v>
      </c>
      <c r="Q28" s="225">
        <f t="shared" si="6"/>
        <v>0.95486111111111105</v>
      </c>
      <c r="R28" s="511">
        <f>Q37</f>
        <v>0.95931488589150005</v>
      </c>
      <c r="S28" s="68">
        <v>8.3333333333333329E-2</v>
      </c>
      <c r="T28" s="68">
        <v>0.18333333333333332</v>
      </c>
      <c r="U28" s="224"/>
      <c r="V28" s="230">
        <f t="shared" ref="V28:V36" si="25">(T28-S28)*24*60</f>
        <v>144</v>
      </c>
      <c r="W28" s="69">
        <f>T28</f>
        <v>0.18333333333333332</v>
      </c>
      <c r="X28" s="69">
        <f>S29</f>
        <v>0.20277777777777778</v>
      </c>
      <c r="Y28" s="510"/>
      <c r="Z28" s="510"/>
      <c r="AA28" s="66">
        <f t="shared" si="8"/>
        <v>-108.33333333333348</v>
      </c>
      <c r="AB28" s="225">
        <f t="shared" si="9"/>
        <v>0.95486111111111105</v>
      </c>
      <c r="AC28" s="511">
        <f>AB37</f>
        <v>0.95931488589150016</v>
      </c>
    </row>
    <row r="29" spans="1:29" ht="15.75" customHeight="1">
      <c r="A29" s="536" t="s">
        <v>1169</v>
      </c>
      <c r="B29" s="62" t="s">
        <v>16</v>
      </c>
      <c r="C29" s="533" t="s">
        <v>28</v>
      </c>
      <c r="D29" s="533"/>
      <c r="E29" s="62">
        <v>26.18</v>
      </c>
      <c r="F29" s="232">
        <v>3379</v>
      </c>
      <c r="G29" s="224">
        <f t="shared" si="23"/>
        <v>88462.22</v>
      </c>
      <c r="H29" s="90" t="s">
        <v>5</v>
      </c>
      <c r="I29" s="229">
        <v>19</v>
      </c>
      <c r="J29" s="63">
        <v>2400</v>
      </c>
      <c r="K29" s="64">
        <f t="shared" si="1"/>
        <v>126.31578947368421</v>
      </c>
      <c r="L29" s="229">
        <v>19</v>
      </c>
      <c r="M29" s="65">
        <f t="shared" si="24"/>
        <v>2303.8636363636365</v>
      </c>
      <c r="N29" s="64">
        <f t="shared" si="3"/>
        <v>121.25598086124403</v>
      </c>
      <c r="O29" s="66">
        <f t="shared" si="4"/>
        <v>0</v>
      </c>
      <c r="P29" s="67">
        <f t="shared" si="5"/>
        <v>-5.0598086124401789</v>
      </c>
      <c r="Q29" s="225">
        <f t="shared" si="6"/>
        <v>0.95994318181818195</v>
      </c>
      <c r="R29" s="511"/>
      <c r="S29" s="68">
        <v>0.20277777777777778</v>
      </c>
      <c r="T29" s="68">
        <v>0.2638888888888889</v>
      </c>
      <c r="U29" s="224">
        <f t="shared" ref="U29:U36" si="26">(S29-T28)*24*60</f>
        <v>28.000000000000021</v>
      </c>
      <c r="V29" s="230">
        <f t="shared" si="25"/>
        <v>88</v>
      </c>
      <c r="W29" s="69"/>
      <c r="X29" s="69"/>
      <c r="Y29" s="510"/>
      <c r="Z29" s="510"/>
      <c r="AA29" s="66">
        <f t="shared" si="8"/>
        <v>-96.136363636363512</v>
      </c>
      <c r="AB29" s="225">
        <f t="shared" si="9"/>
        <v>0.95994318181818183</v>
      </c>
      <c r="AC29" s="511"/>
    </row>
    <row r="30" spans="1:29" ht="15.75" customHeight="1">
      <c r="A30" s="536" t="s">
        <v>1169</v>
      </c>
      <c r="B30" s="62" t="s">
        <v>16</v>
      </c>
      <c r="C30" s="533" t="s">
        <v>25</v>
      </c>
      <c r="D30" s="533"/>
      <c r="E30" s="62">
        <v>26.2</v>
      </c>
      <c r="F30" s="232">
        <v>3300</v>
      </c>
      <c r="G30" s="224">
        <f t="shared" si="23"/>
        <v>86460</v>
      </c>
      <c r="H30" s="90">
        <v>2</v>
      </c>
      <c r="I30" s="229">
        <v>20</v>
      </c>
      <c r="J30" s="63">
        <v>2400</v>
      </c>
      <c r="K30" s="64">
        <f t="shared" si="1"/>
        <v>120</v>
      </c>
      <c r="L30" s="229">
        <v>20</v>
      </c>
      <c r="M30" s="65">
        <f t="shared" si="24"/>
        <v>2302.3255813953483</v>
      </c>
      <c r="N30" s="64">
        <f t="shared" si="3"/>
        <v>115.11627906976742</v>
      </c>
      <c r="O30" s="66">
        <f t="shared" si="4"/>
        <v>0</v>
      </c>
      <c r="P30" s="67">
        <f t="shared" si="5"/>
        <v>-4.8837209302325846</v>
      </c>
      <c r="Q30" s="225">
        <f t="shared" si="6"/>
        <v>0.95930232558139517</v>
      </c>
      <c r="R30" s="511"/>
      <c r="S30" s="68">
        <v>0.26874999999999999</v>
      </c>
      <c r="T30" s="68">
        <v>0.32847222222222222</v>
      </c>
      <c r="U30" s="224">
        <f t="shared" si="26"/>
        <v>6.9999999999999751</v>
      </c>
      <c r="V30" s="230">
        <f t="shared" si="25"/>
        <v>86.000000000000014</v>
      </c>
      <c r="W30" s="69"/>
      <c r="X30" s="69"/>
      <c r="Y30" s="510"/>
      <c r="Z30" s="510"/>
      <c r="AA30" s="66">
        <f t="shared" si="8"/>
        <v>-97.674418604651692</v>
      </c>
      <c r="AB30" s="225">
        <f t="shared" si="9"/>
        <v>0.95930232558139517</v>
      </c>
      <c r="AC30" s="511"/>
    </row>
    <row r="31" spans="1:29" ht="15.75" customHeight="1">
      <c r="A31" s="536" t="s">
        <v>1169</v>
      </c>
      <c r="B31" s="62" t="s">
        <v>16</v>
      </c>
      <c r="C31" s="533" t="s">
        <v>83</v>
      </c>
      <c r="D31" s="533"/>
      <c r="E31" s="62">
        <v>25.99</v>
      </c>
      <c r="F31" s="232">
        <v>3400</v>
      </c>
      <c r="G31" s="224">
        <f t="shared" si="23"/>
        <v>88366</v>
      </c>
      <c r="H31" s="90">
        <v>2</v>
      </c>
      <c r="I31" s="229">
        <v>14</v>
      </c>
      <c r="J31" s="63">
        <v>2400</v>
      </c>
      <c r="K31" s="64">
        <f t="shared" si="1"/>
        <v>171.42857142857142</v>
      </c>
      <c r="L31" s="229">
        <v>14</v>
      </c>
      <c r="M31" s="65">
        <f t="shared" si="24"/>
        <v>2292.1348314606744</v>
      </c>
      <c r="N31" s="64">
        <f t="shared" si="3"/>
        <v>163.72391653290532</v>
      </c>
      <c r="O31" s="66">
        <f t="shared" si="4"/>
        <v>0</v>
      </c>
      <c r="P31" s="67">
        <f t="shared" si="5"/>
        <v>-7.7046548956660956</v>
      </c>
      <c r="Q31" s="225">
        <f t="shared" si="6"/>
        <v>0.95505617977528112</v>
      </c>
      <c r="R31" s="511"/>
      <c r="S31" s="68">
        <v>0.33263888888888887</v>
      </c>
      <c r="T31" s="68">
        <v>0.39444444444444443</v>
      </c>
      <c r="U31" s="224">
        <f t="shared" si="26"/>
        <v>5.9999999999999787</v>
      </c>
      <c r="V31" s="230">
        <f t="shared" si="25"/>
        <v>89</v>
      </c>
      <c r="W31" s="69"/>
      <c r="X31" s="69"/>
      <c r="Y31" s="510"/>
      <c r="Z31" s="510"/>
      <c r="AA31" s="66">
        <f t="shared" si="8"/>
        <v>-107.86516853932562</v>
      </c>
      <c r="AB31" s="225">
        <f t="shared" si="9"/>
        <v>0.95505617977528101</v>
      </c>
      <c r="AC31" s="511"/>
    </row>
    <row r="32" spans="1:29" ht="15.75" customHeight="1">
      <c r="A32" s="536" t="s">
        <v>1169</v>
      </c>
      <c r="B32" s="62" t="s">
        <v>16</v>
      </c>
      <c r="C32" s="533" t="s">
        <v>27</v>
      </c>
      <c r="D32" s="533"/>
      <c r="E32" s="62">
        <v>25.98</v>
      </c>
      <c r="F32" s="232">
        <v>1243</v>
      </c>
      <c r="G32" s="224">
        <f t="shared" si="23"/>
        <v>32293.14</v>
      </c>
      <c r="H32" s="90" t="s">
        <v>5</v>
      </c>
      <c r="I32" s="229">
        <v>17</v>
      </c>
      <c r="J32" s="63">
        <v>2400</v>
      </c>
      <c r="K32" s="64">
        <f t="shared" si="1"/>
        <v>141.1764705882353</v>
      </c>
      <c r="L32" s="229">
        <v>17</v>
      </c>
      <c r="M32" s="65">
        <f t="shared" si="24"/>
        <v>2330.6250000000027</v>
      </c>
      <c r="N32" s="64">
        <f t="shared" si="3"/>
        <v>137.09558823529429</v>
      </c>
      <c r="O32" s="66">
        <f t="shared" si="4"/>
        <v>0</v>
      </c>
      <c r="P32" s="67">
        <f t="shared" si="5"/>
        <v>-4.0808823529410176</v>
      </c>
      <c r="Q32" s="225">
        <f t="shared" si="6"/>
        <v>0.97109375000000109</v>
      </c>
      <c r="R32" s="511"/>
      <c r="S32" s="68">
        <v>0.39999999999999997</v>
      </c>
      <c r="T32" s="68">
        <v>0.42222222222222217</v>
      </c>
      <c r="U32" s="224">
        <f t="shared" si="26"/>
        <v>7.9999999999999716</v>
      </c>
      <c r="V32" s="230">
        <f t="shared" si="25"/>
        <v>31.999999999999964</v>
      </c>
      <c r="W32" s="69"/>
      <c r="X32" s="69"/>
      <c r="Y32" s="510"/>
      <c r="Z32" s="510"/>
      <c r="AA32" s="66">
        <f t="shared" si="8"/>
        <v>-69.374999999997272</v>
      </c>
      <c r="AB32" s="225">
        <f t="shared" si="9"/>
        <v>0.97109375000000109</v>
      </c>
      <c r="AC32" s="511"/>
    </row>
    <row r="33" spans="1:29" ht="15.75" customHeight="1">
      <c r="A33" s="536" t="s">
        <v>1169</v>
      </c>
      <c r="B33" s="62" t="s">
        <v>16</v>
      </c>
      <c r="C33" s="533" t="s">
        <v>982</v>
      </c>
      <c r="D33" s="533"/>
      <c r="E33" s="62">
        <v>24.82</v>
      </c>
      <c r="F33" s="232">
        <v>4300</v>
      </c>
      <c r="G33" s="224">
        <f t="shared" si="23"/>
        <v>106726</v>
      </c>
      <c r="H33" s="90">
        <v>2</v>
      </c>
      <c r="I33" s="229">
        <v>21</v>
      </c>
      <c r="J33" s="63">
        <v>2400</v>
      </c>
      <c r="K33" s="64">
        <f t="shared" si="1"/>
        <v>114.28571428571429</v>
      </c>
      <c r="L33" s="229">
        <v>21</v>
      </c>
      <c r="M33" s="65">
        <f t="shared" si="24"/>
        <v>2283.1858407079626</v>
      </c>
      <c r="N33" s="64">
        <f t="shared" si="3"/>
        <v>108.72313527180775</v>
      </c>
      <c r="O33" s="66">
        <f t="shared" si="4"/>
        <v>0</v>
      </c>
      <c r="P33" s="67">
        <f t="shared" si="5"/>
        <v>-5.562579013906543</v>
      </c>
      <c r="Q33" s="225">
        <f t="shared" si="6"/>
        <v>0.95132743362831773</v>
      </c>
      <c r="R33" s="511"/>
      <c r="S33" s="68">
        <v>0.42569444444444438</v>
      </c>
      <c r="T33" s="68">
        <v>0.50416666666666665</v>
      </c>
      <c r="U33" s="224">
        <f t="shared" si="26"/>
        <v>4.9999999999999822</v>
      </c>
      <c r="V33" s="230">
        <f t="shared" si="25"/>
        <v>113.00000000000009</v>
      </c>
      <c r="W33" s="69">
        <f>T33</f>
        <v>0.50416666666666665</v>
      </c>
      <c r="X33" s="69">
        <f>S34</f>
        <v>0.5444444444444444</v>
      </c>
      <c r="Y33" s="510"/>
      <c r="Z33" s="510"/>
      <c r="AA33" s="66">
        <f t="shared" si="8"/>
        <v>-116.8141592920374</v>
      </c>
      <c r="AB33" s="225">
        <f t="shared" si="9"/>
        <v>0.95132743362831773</v>
      </c>
      <c r="AC33" s="511"/>
    </row>
    <row r="34" spans="1:29" ht="15.75" customHeight="1">
      <c r="A34" s="536" t="s">
        <v>1169</v>
      </c>
      <c r="B34" s="62" t="s">
        <v>16</v>
      </c>
      <c r="C34" s="533" t="s">
        <v>83</v>
      </c>
      <c r="D34" s="533"/>
      <c r="E34" s="62">
        <v>25.99</v>
      </c>
      <c r="F34" s="232">
        <v>2430</v>
      </c>
      <c r="G34" s="224">
        <f t="shared" si="23"/>
        <v>63155.7</v>
      </c>
      <c r="H34" s="90" t="s">
        <v>5</v>
      </c>
      <c r="I34" s="229">
        <v>14</v>
      </c>
      <c r="J34" s="63">
        <v>2400</v>
      </c>
      <c r="K34" s="64">
        <f t="shared" si="1"/>
        <v>171.42857142857142</v>
      </c>
      <c r="L34" s="229">
        <v>14</v>
      </c>
      <c r="M34" s="65">
        <f t="shared" si="24"/>
        <v>2314.2857142857165</v>
      </c>
      <c r="N34" s="64">
        <f t="shared" si="3"/>
        <v>165.30612244897975</v>
      </c>
      <c r="O34" s="66">
        <f t="shared" si="4"/>
        <v>0</v>
      </c>
      <c r="P34" s="67">
        <f t="shared" si="5"/>
        <v>-6.1224489795916668</v>
      </c>
      <c r="Q34" s="225">
        <f t="shared" si="6"/>
        <v>0.9642857142857153</v>
      </c>
      <c r="R34" s="511"/>
      <c r="S34" s="68">
        <v>0.5444444444444444</v>
      </c>
      <c r="T34" s="68">
        <v>0.58819444444444435</v>
      </c>
      <c r="U34" s="224">
        <f t="shared" si="26"/>
        <v>57.999999999999957</v>
      </c>
      <c r="V34" s="230">
        <f t="shared" si="25"/>
        <v>62.999999999999936</v>
      </c>
      <c r="W34" s="69"/>
      <c r="X34" s="69"/>
      <c r="Y34" s="510"/>
      <c r="Z34" s="510"/>
      <c r="AA34" s="66">
        <f t="shared" si="8"/>
        <v>-85.714285714283506</v>
      </c>
      <c r="AB34" s="225">
        <f t="shared" si="9"/>
        <v>0.96428571428571519</v>
      </c>
      <c r="AC34" s="511"/>
    </row>
    <row r="35" spans="1:29" ht="15.75" customHeight="1">
      <c r="A35" s="536" t="s">
        <v>1169</v>
      </c>
      <c r="B35" s="62" t="s">
        <v>16</v>
      </c>
      <c r="C35" s="533" t="s">
        <v>30</v>
      </c>
      <c r="D35" s="533"/>
      <c r="E35" s="62">
        <v>31.29</v>
      </c>
      <c r="F35" s="232">
        <v>3955</v>
      </c>
      <c r="G35" s="224">
        <f t="shared" si="23"/>
        <v>123751.95</v>
      </c>
      <c r="H35" s="90" t="s">
        <v>5</v>
      </c>
      <c r="I35" s="229">
        <v>18</v>
      </c>
      <c r="J35" s="63">
        <v>2400</v>
      </c>
      <c r="K35" s="64">
        <f t="shared" si="1"/>
        <v>133.33333333333334</v>
      </c>
      <c r="L35" s="229">
        <v>18</v>
      </c>
      <c r="M35" s="65">
        <f t="shared" si="24"/>
        <v>2303.883495145632</v>
      </c>
      <c r="N35" s="64">
        <f t="shared" si="3"/>
        <v>127.99352750809066</v>
      </c>
      <c r="O35" s="66">
        <f t="shared" si="4"/>
        <v>0</v>
      </c>
      <c r="P35" s="67">
        <f t="shared" si="5"/>
        <v>-5.3398058252426779</v>
      </c>
      <c r="Q35" s="225">
        <f t="shared" si="6"/>
        <v>0.95995145631067991</v>
      </c>
      <c r="R35" s="511"/>
      <c r="S35" s="68">
        <v>0.59374999999999989</v>
      </c>
      <c r="T35" s="68">
        <v>0.66527777777777763</v>
      </c>
      <c r="U35" s="224">
        <f t="shared" si="26"/>
        <v>7.9999999999999716</v>
      </c>
      <c r="V35" s="230">
        <f t="shared" si="25"/>
        <v>102.99999999999996</v>
      </c>
      <c r="W35" s="69"/>
      <c r="X35" s="69"/>
      <c r="Y35" s="510"/>
      <c r="Z35" s="510"/>
      <c r="AA35" s="66">
        <f t="shared" si="8"/>
        <v>-96.116504854368031</v>
      </c>
      <c r="AB35" s="225">
        <f t="shared" si="9"/>
        <v>0.95995145631068002</v>
      </c>
      <c r="AC35" s="511"/>
    </row>
    <row r="36" spans="1:29" ht="15.75" customHeight="1">
      <c r="A36" s="536" t="s">
        <v>1170</v>
      </c>
      <c r="B36" s="62" t="s">
        <v>16</v>
      </c>
      <c r="C36" s="534" t="s">
        <v>982</v>
      </c>
      <c r="D36" s="535"/>
      <c r="E36" s="62">
        <v>24.82</v>
      </c>
      <c r="F36" s="232">
        <v>2989</v>
      </c>
      <c r="G36" s="224">
        <f t="shared" si="23"/>
        <v>74186.98</v>
      </c>
      <c r="H36" s="90" t="s">
        <v>5</v>
      </c>
      <c r="I36" s="229">
        <v>21</v>
      </c>
      <c r="J36" s="63">
        <v>2400</v>
      </c>
      <c r="K36" s="64">
        <f t="shared" si="1"/>
        <v>114.28571428571429</v>
      </c>
      <c r="L36" s="229">
        <v>21</v>
      </c>
      <c r="M36" s="65">
        <f t="shared" si="24"/>
        <v>2299.2307692307677</v>
      </c>
      <c r="N36" s="64">
        <f t="shared" si="3"/>
        <v>109.48717948717942</v>
      </c>
      <c r="O36" s="66">
        <f t="shared" si="4"/>
        <v>0</v>
      </c>
      <c r="P36" s="67">
        <f t="shared" si="5"/>
        <v>-4.7985347985348739</v>
      </c>
      <c r="Q36" s="225">
        <f t="shared" si="6"/>
        <v>0.95801282051281988</v>
      </c>
      <c r="R36" s="511"/>
      <c r="S36" s="68">
        <v>0.66944444444444429</v>
      </c>
      <c r="T36" s="68">
        <v>0.72361111111111098</v>
      </c>
      <c r="U36" s="224">
        <f t="shared" si="26"/>
        <v>5.9999999999999787</v>
      </c>
      <c r="V36" s="230">
        <f t="shared" si="25"/>
        <v>78.000000000000043</v>
      </c>
      <c r="W36" s="69"/>
      <c r="X36" s="69"/>
      <c r="Y36" s="517"/>
      <c r="Z36" s="518"/>
      <c r="AA36" s="66">
        <f t="shared" si="8"/>
        <v>-100.76923076923231</v>
      </c>
      <c r="AB36" s="225">
        <f t="shared" si="9"/>
        <v>0.95801282051281988</v>
      </c>
      <c r="AC36" s="511"/>
    </row>
    <row r="37" spans="1:29" ht="15.75" customHeight="1">
      <c r="A37" s="536" t="s">
        <v>1169</v>
      </c>
      <c r="B37" s="62" t="s">
        <v>1168</v>
      </c>
      <c r="C37" s="513"/>
      <c r="D37" s="513"/>
      <c r="E37" s="226"/>
      <c r="F37" s="232"/>
      <c r="G37" s="224"/>
      <c r="H37" s="232"/>
      <c r="I37" s="72">
        <v>18</v>
      </c>
      <c r="J37" s="63">
        <v>2400</v>
      </c>
      <c r="K37" s="64">
        <f t="shared" si="1"/>
        <v>133.33333333333334</v>
      </c>
      <c r="L37" s="72">
        <v>18</v>
      </c>
      <c r="M37" s="65">
        <f>AVERAGE(M28:M36)</f>
        <v>2302.3557261396004</v>
      </c>
      <c r="N37" s="64">
        <f t="shared" si="3"/>
        <v>127.90865145220002</v>
      </c>
      <c r="O37" s="66">
        <f t="shared" si="4"/>
        <v>0</v>
      </c>
      <c r="P37" s="67">
        <f t="shared" si="5"/>
        <v>-5.4246818811333242</v>
      </c>
      <c r="Q37" s="225">
        <f t="shared" si="6"/>
        <v>0.95931488589150005</v>
      </c>
      <c r="R37" s="511"/>
      <c r="S37" s="68"/>
      <c r="T37" s="68"/>
      <c r="U37" s="224"/>
      <c r="V37" s="230"/>
      <c r="W37" s="224"/>
      <c r="X37" s="224"/>
      <c r="Y37" s="510"/>
      <c r="Z37" s="510"/>
      <c r="AA37" s="66">
        <f t="shared" si="8"/>
        <v>-97.644273860399608</v>
      </c>
      <c r="AB37" s="225">
        <f t="shared" si="9"/>
        <v>0.95931488589150016</v>
      </c>
      <c r="AC37" s="511"/>
    </row>
    <row r="38" spans="1:29" ht="15.75" customHeight="1">
      <c r="A38" s="531" t="s">
        <v>1171</v>
      </c>
      <c r="B38" s="62" t="s">
        <v>16</v>
      </c>
      <c r="C38" s="512" t="s">
        <v>31</v>
      </c>
      <c r="D38" s="512"/>
      <c r="E38" s="62">
        <v>26.2</v>
      </c>
      <c r="F38" s="232">
        <v>4100</v>
      </c>
      <c r="G38" s="224">
        <f t="shared" ref="G38:G45" si="27">E38*F38</f>
        <v>107420</v>
      </c>
      <c r="H38" s="90">
        <v>2</v>
      </c>
      <c r="I38" s="229">
        <v>18</v>
      </c>
      <c r="J38" s="63">
        <v>2400</v>
      </c>
      <c r="K38" s="64">
        <f t="shared" si="1"/>
        <v>133.33333333333334</v>
      </c>
      <c r="L38" s="229">
        <v>18</v>
      </c>
      <c r="M38" s="65">
        <f t="shared" ref="M38:M45" si="28">F38/V38*60</f>
        <v>2299.065420560748</v>
      </c>
      <c r="N38" s="64">
        <f t="shared" si="3"/>
        <v>127.72585669781932</v>
      </c>
      <c r="O38" s="66">
        <f t="shared" si="4"/>
        <v>0</v>
      </c>
      <c r="P38" s="67">
        <f t="shared" si="5"/>
        <v>-5.6074766355140184</v>
      </c>
      <c r="Q38" s="225">
        <f t="shared" si="6"/>
        <v>0.95794392523364491</v>
      </c>
      <c r="R38" s="511">
        <f>Q46</f>
        <v>0.95622954167363272</v>
      </c>
      <c r="S38" s="68">
        <v>8.3333333333333329E-2</v>
      </c>
      <c r="T38" s="68">
        <v>0.15763888888888888</v>
      </c>
      <c r="U38" s="224"/>
      <c r="V38" s="230">
        <f t="shared" ref="V38:V45" si="29">(T38-S38)*24*60</f>
        <v>107</v>
      </c>
      <c r="W38" s="73">
        <f>T38</f>
        <v>0.15763888888888888</v>
      </c>
      <c r="X38" s="73">
        <f>S39</f>
        <v>0.17638888888888887</v>
      </c>
      <c r="Y38" s="510"/>
      <c r="Z38" s="510"/>
      <c r="AA38" s="66">
        <f t="shared" si="8"/>
        <v>-100.93457943925205</v>
      </c>
      <c r="AB38" s="225">
        <f t="shared" si="9"/>
        <v>0.95794392523364502</v>
      </c>
      <c r="AC38" s="511">
        <f>AB46</f>
        <v>0.95622954167363272</v>
      </c>
    </row>
    <row r="39" spans="1:29" ht="15.75" customHeight="1">
      <c r="A39" s="531" t="s">
        <v>1172</v>
      </c>
      <c r="B39" s="62" t="s">
        <v>16</v>
      </c>
      <c r="C39" s="512" t="s">
        <v>32</v>
      </c>
      <c r="D39" s="512"/>
      <c r="E39" s="62">
        <v>26.39</v>
      </c>
      <c r="F39" s="232">
        <v>4000</v>
      </c>
      <c r="G39" s="224">
        <f t="shared" si="27"/>
        <v>105560</v>
      </c>
      <c r="H39" s="90">
        <v>2</v>
      </c>
      <c r="I39" s="229">
        <v>19</v>
      </c>
      <c r="J39" s="63">
        <v>2400</v>
      </c>
      <c r="K39" s="64">
        <f t="shared" si="1"/>
        <v>126.31578947368421</v>
      </c>
      <c r="L39" s="229">
        <v>19</v>
      </c>
      <c r="M39" s="65">
        <f t="shared" si="28"/>
        <v>2285.7142857142853</v>
      </c>
      <c r="N39" s="64">
        <f t="shared" si="3"/>
        <v>120.30075187969923</v>
      </c>
      <c r="O39" s="66">
        <f t="shared" si="4"/>
        <v>0</v>
      </c>
      <c r="P39" s="67">
        <f t="shared" si="5"/>
        <v>-6.015037593984971</v>
      </c>
      <c r="Q39" s="225">
        <f t="shared" si="6"/>
        <v>0.95238095238095233</v>
      </c>
      <c r="R39" s="511"/>
      <c r="S39" s="68">
        <v>0.17638888888888887</v>
      </c>
      <c r="T39" s="68">
        <v>0.24930555555555556</v>
      </c>
      <c r="U39" s="224">
        <f t="shared" ref="U39:U45" si="30">(S39-T38)*24*60</f>
        <v>26.999999999999986</v>
      </c>
      <c r="V39" s="230">
        <f t="shared" si="29"/>
        <v>105.00000000000003</v>
      </c>
      <c r="W39" s="224"/>
      <c r="X39" s="224"/>
      <c r="Y39" s="510"/>
      <c r="Z39" s="510"/>
      <c r="AA39" s="66">
        <f t="shared" si="8"/>
        <v>-114.28571428571468</v>
      </c>
      <c r="AB39" s="225">
        <f t="shared" si="9"/>
        <v>0.95238095238095222</v>
      </c>
      <c r="AC39" s="511"/>
    </row>
    <row r="40" spans="1:29">
      <c r="A40" s="532" t="s">
        <v>1172</v>
      </c>
      <c r="B40" s="62" t="s">
        <v>16</v>
      </c>
      <c r="C40" s="512" t="s">
        <v>50</v>
      </c>
      <c r="D40" s="512"/>
      <c r="E40" s="62">
        <v>20.52</v>
      </c>
      <c r="F40" s="232">
        <v>4939</v>
      </c>
      <c r="G40" s="224">
        <f t="shared" si="27"/>
        <v>101348.28</v>
      </c>
      <c r="H40" s="90" t="s">
        <v>5</v>
      </c>
      <c r="I40" s="229">
        <v>18</v>
      </c>
      <c r="J40" s="63">
        <v>2400</v>
      </c>
      <c r="K40" s="64">
        <f t="shared" si="1"/>
        <v>133.33333333333334</v>
      </c>
      <c r="L40" s="229">
        <v>18</v>
      </c>
      <c r="M40" s="65">
        <f t="shared" si="28"/>
        <v>2297.2093023255811</v>
      </c>
      <c r="N40" s="64">
        <f t="shared" si="3"/>
        <v>127.62273901808784</v>
      </c>
      <c r="O40" s="66">
        <f t="shared" si="4"/>
        <v>0</v>
      </c>
      <c r="P40" s="67">
        <f t="shared" si="5"/>
        <v>-5.7105943152455012</v>
      </c>
      <c r="Q40" s="225">
        <f t="shared" si="6"/>
        <v>0.95717054263565871</v>
      </c>
      <c r="R40" s="511"/>
      <c r="S40" s="68">
        <v>0.25486111111111109</v>
      </c>
      <c r="T40" s="68">
        <v>0.34444444444444444</v>
      </c>
      <c r="U40" s="224">
        <f t="shared" si="30"/>
        <v>7.9999999999999716</v>
      </c>
      <c r="V40" s="230">
        <f t="shared" si="29"/>
        <v>129.00000000000003</v>
      </c>
      <c r="W40" s="224"/>
      <c r="X40" s="224"/>
      <c r="Y40" s="510"/>
      <c r="Z40" s="510"/>
      <c r="AA40" s="66">
        <f t="shared" si="8"/>
        <v>-102.79069767441888</v>
      </c>
      <c r="AB40" s="225">
        <f t="shared" si="9"/>
        <v>0.95717054263565882</v>
      </c>
      <c r="AC40" s="511"/>
    </row>
    <row r="41" spans="1:29">
      <c r="A41" s="532" t="s">
        <v>1172</v>
      </c>
      <c r="B41" s="62" t="s">
        <v>16</v>
      </c>
      <c r="C41" s="512" t="s">
        <v>18</v>
      </c>
      <c r="D41" s="512"/>
      <c r="E41" s="62">
        <v>22.35</v>
      </c>
      <c r="F41" s="232">
        <v>2118</v>
      </c>
      <c r="G41" s="224">
        <f t="shared" si="27"/>
        <v>47337.3</v>
      </c>
      <c r="H41" s="90" t="s">
        <v>5</v>
      </c>
      <c r="I41" s="229">
        <v>16</v>
      </c>
      <c r="J41" s="63">
        <v>2400</v>
      </c>
      <c r="K41" s="64">
        <f t="shared" si="1"/>
        <v>150</v>
      </c>
      <c r="L41" s="229">
        <v>16</v>
      </c>
      <c r="M41" s="65">
        <f t="shared" si="28"/>
        <v>2310.5454545454563</v>
      </c>
      <c r="N41" s="64">
        <f t="shared" si="3"/>
        <v>144.40909090909102</v>
      </c>
      <c r="O41" s="66">
        <f t="shared" si="4"/>
        <v>0</v>
      </c>
      <c r="P41" s="67">
        <f t="shared" si="5"/>
        <v>-5.5909090909089798</v>
      </c>
      <c r="Q41" s="225">
        <f t="shared" si="6"/>
        <v>0.96272727272727343</v>
      </c>
      <c r="R41" s="511"/>
      <c r="S41" s="68">
        <v>0.35</v>
      </c>
      <c r="T41" s="68">
        <v>0.3881944444444444</v>
      </c>
      <c r="U41" s="224">
        <f t="shared" si="30"/>
        <v>7.9999999999999716</v>
      </c>
      <c r="V41" s="230">
        <f t="shared" si="29"/>
        <v>54.999999999999964</v>
      </c>
      <c r="W41" s="69"/>
      <c r="X41" s="69"/>
      <c r="Y41" s="510"/>
      <c r="Z41" s="510"/>
      <c r="AA41" s="66">
        <f t="shared" si="8"/>
        <v>-89.454545454543677</v>
      </c>
      <c r="AB41" s="225">
        <f t="shared" si="9"/>
        <v>0.96272727272727343</v>
      </c>
      <c r="AC41" s="511"/>
    </row>
    <row r="42" spans="1:29">
      <c r="A42" s="532" t="s">
        <v>1172</v>
      </c>
      <c r="B42" s="62" t="s">
        <v>16</v>
      </c>
      <c r="C42" s="512" t="s">
        <v>33</v>
      </c>
      <c r="D42" s="512"/>
      <c r="E42" s="62">
        <v>24.43</v>
      </c>
      <c r="F42" s="232">
        <v>4900</v>
      </c>
      <c r="G42" s="224">
        <f t="shared" si="27"/>
        <v>119707</v>
      </c>
      <c r="H42" s="90">
        <v>2</v>
      </c>
      <c r="I42" s="229">
        <v>14</v>
      </c>
      <c r="J42" s="63">
        <v>2400</v>
      </c>
      <c r="K42" s="64">
        <f t="shared" si="1"/>
        <v>171.42857142857142</v>
      </c>
      <c r="L42" s="229">
        <v>14</v>
      </c>
      <c r="M42" s="65">
        <f t="shared" si="28"/>
        <v>2296.8749999999995</v>
      </c>
      <c r="N42" s="64">
        <f t="shared" si="3"/>
        <v>164.06249999999997</v>
      </c>
      <c r="O42" s="66">
        <f t="shared" si="4"/>
        <v>0</v>
      </c>
      <c r="P42" s="67">
        <f t="shared" si="5"/>
        <v>-7.3660714285714448</v>
      </c>
      <c r="Q42" s="225">
        <f t="shared" si="6"/>
        <v>0.95703124999999989</v>
      </c>
      <c r="R42" s="511"/>
      <c r="S42" s="68">
        <v>0.39305555555555549</v>
      </c>
      <c r="T42" s="68">
        <v>0.4819444444444444</v>
      </c>
      <c r="U42" s="224">
        <f t="shared" si="30"/>
        <v>6.9999999999999751</v>
      </c>
      <c r="V42" s="230">
        <f t="shared" si="29"/>
        <v>128.00000000000003</v>
      </c>
      <c r="W42" s="69">
        <f>T42</f>
        <v>0.4819444444444444</v>
      </c>
      <c r="X42" s="69">
        <f>S43</f>
        <v>0.5215277777777777</v>
      </c>
      <c r="Y42" s="510"/>
      <c r="Z42" s="510"/>
      <c r="AA42" s="66">
        <f t="shared" si="8"/>
        <v>-103.12500000000045</v>
      </c>
      <c r="AB42" s="225">
        <f t="shared" si="9"/>
        <v>0.95703124999999978</v>
      </c>
      <c r="AC42" s="511"/>
    </row>
    <row r="43" spans="1:29">
      <c r="A43" s="532" t="s">
        <v>1173</v>
      </c>
      <c r="B43" s="62" t="s">
        <v>16</v>
      </c>
      <c r="C43" s="512" t="s">
        <v>33</v>
      </c>
      <c r="D43" s="512"/>
      <c r="E43" s="62">
        <v>24.43</v>
      </c>
      <c r="F43" s="232">
        <v>3719</v>
      </c>
      <c r="G43" s="224">
        <f t="shared" si="27"/>
        <v>90855.17</v>
      </c>
      <c r="H43" s="90" t="s">
        <v>5</v>
      </c>
      <c r="I43" s="229">
        <v>14</v>
      </c>
      <c r="J43" s="63">
        <v>2400</v>
      </c>
      <c r="K43" s="64">
        <f t="shared" si="1"/>
        <v>171.42857142857142</v>
      </c>
      <c r="L43" s="229">
        <v>14</v>
      </c>
      <c r="M43" s="65">
        <f t="shared" si="28"/>
        <v>2300.4123711340212</v>
      </c>
      <c r="N43" s="64">
        <f t="shared" si="3"/>
        <v>164.31516936671579</v>
      </c>
      <c r="O43" s="66">
        <f t="shared" si="4"/>
        <v>0</v>
      </c>
      <c r="P43" s="67">
        <f t="shared" si="5"/>
        <v>-7.1134020618556235</v>
      </c>
      <c r="Q43" s="225">
        <f t="shared" si="6"/>
        <v>0.95850515463917552</v>
      </c>
      <c r="R43" s="511"/>
      <c r="S43" s="68">
        <v>0.5215277777777777</v>
      </c>
      <c r="T43" s="68">
        <v>0.5888888888888888</v>
      </c>
      <c r="U43" s="224">
        <f t="shared" si="30"/>
        <v>56.999999999999957</v>
      </c>
      <c r="V43" s="230">
        <f t="shared" si="29"/>
        <v>96.999999999999972</v>
      </c>
      <c r="W43" s="69"/>
      <c r="X43" s="69"/>
      <c r="Y43" s="510"/>
      <c r="Z43" s="510"/>
      <c r="AA43" s="66">
        <f t="shared" si="8"/>
        <v>-99.587628865978786</v>
      </c>
      <c r="AB43" s="225">
        <f t="shared" si="9"/>
        <v>0.95850515463917552</v>
      </c>
      <c r="AC43" s="511"/>
    </row>
    <row r="44" spans="1:29">
      <c r="A44" s="532" t="s">
        <v>1173</v>
      </c>
      <c r="B44" s="62" t="s">
        <v>16</v>
      </c>
      <c r="C44" s="512" t="s">
        <v>32</v>
      </c>
      <c r="D44" s="512"/>
      <c r="E44" s="62">
        <v>26.39</v>
      </c>
      <c r="F44" s="232">
        <v>2854</v>
      </c>
      <c r="G44" s="224">
        <f t="shared" si="27"/>
        <v>75317.06</v>
      </c>
      <c r="H44" s="90" t="s">
        <v>5</v>
      </c>
      <c r="I44" s="229">
        <v>19</v>
      </c>
      <c r="J44" s="63">
        <v>2400</v>
      </c>
      <c r="K44" s="64">
        <f t="shared" si="1"/>
        <v>126.31578947368421</v>
      </c>
      <c r="L44" s="229">
        <v>19</v>
      </c>
      <c r="M44" s="65">
        <f t="shared" si="28"/>
        <v>2283.1999999999985</v>
      </c>
      <c r="N44" s="64">
        <f t="shared" si="3"/>
        <v>120.1684210526315</v>
      </c>
      <c r="O44" s="66">
        <f t="shared" si="4"/>
        <v>0</v>
      </c>
      <c r="P44" s="67">
        <f t="shared" si="5"/>
        <v>-6.147368421052704</v>
      </c>
      <c r="Q44" s="225">
        <f t="shared" si="6"/>
        <v>0.95133333333333281</v>
      </c>
      <c r="R44" s="511"/>
      <c r="S44" s="68">
        <v>0.59444444444444433</v>
      </c>
      <c r="T44" s="68">
        <v>0.6465277777777777</v>
      </c>
      <c r="U44" s="224">
        <f t="shared" si="30"/>
        <v>7.9999999999999716</v>
      </c>
      <c r="V44" s="230">
        <f t="shared" si="29"/>
        <v>75.000000000000057</v>
      </c>
      <c r="W44" s="69"/>
      <c r="X44" s="69"/>
      <c r="Y44" s="517"/>
      <c r="Z44" s="518"/>
      <c r="AA44" s="66">
        <f t="shared" si="8"/>
        <v>-116.80000000000155</v>
      </c>
      <c r="AB44" s="225">
        <f t="shared" si="9"/>
        <v>0.9513333333333327</v>
      </c>
      <c r="AC44" s="511"/>
    </row>
    <row r="45" spans="1:29">
      <c r="A45" s="532" t="s">
        <v>1173</v>
      </c>
      <c r="B45" s="62" t="s">
        <v>16</v>
      </c>
      <c r="C45" s="512" t="s">
        <v>31</v>
      </c>
      <c r="D45" s="512"/>
      <c r="E45" s="62">
        <v>26.2</v>
      </c>
      <c r="F45" s="232">
        <v>3125</v>
      </c>
      <c r="G45" s="224">
        <f t="shared" si="27"/>
        <v>81875</v>
      </c>
      <c r="H45" s="90" t="s">
        <v>5</v>
      </c>
      <c r="I45" s="229">
        <v>18</v>
      </c>
      <c r="J45" s="63">
        <v>2400</v>
      </c>
      <c r="K45" s="64">
        <f t="shared" si="1"/>
        <v>133.33333333333334</v>
      </c>
      <c r="L45" s="229">
        <v>18</v>
      </c>
      <c r="M45" s="65">
        <f t="shared" si="28"/>
        <v>2286.5853658536575</v>
      </c>
      <c r="N45" s="64">
        <f t="shared" si="3"/>
        <v>127.03252032520319</v>
      </c>
      <c r="O45" s="66">
        <f t="shared" si="4"/>
        <v>0</v>
      </c>
      <c r="P45" s="67">
        <f t="shared" si="5"/>
        <v>-6.3008130081301488</v>
      </c>
      <c r="Q45" s="225">
        <f t="shared" si="6"/>
        <v>0.95274390243902385</v>
      </c>
      <c r="R45" s="511"/>
      <c r="S45" s="68">
        <v>0.65069444444444435</v>
      </c>
      <c r="T45" s="68">
        <v>0.70763888888888882</v>
      </c>
      <c r="U45" s="224">
        <f t="shared" si="30"/>
        <v>5.9999999999999787</v>
      </c>
      <c r="V45" s="230">
        <f t="shared" si="29"/>
        <v>82.000000000000028</v>
      </c>
      <c r="W45" s="69"/>
      <c r="X45" s="69"/>
      <c r="Y45" s="517"/>
      <c r="Z45" s="518"/>
      <c r="AA45" s="66">
        <f t="shared" si="8"/>
        <v>-113.41463414634245</v>
      </c>
      <c r="AB45" s="225">
        <f t="shared" si="9"/>
        <v>0.95274390243902396</v>
      </c>
      <c r="AC45" s="511"/>
    </row>
    <row r="46" spans="1:29">
      <c r="A46" s="532" t="s">
        <v>1173</v>
      </c>
      <c r="B46" s="71" t="s">
        <v>1174</v>
      </c>
      <c r="C46" s="513"/>
      <c r="D46" s="513"/>
      <c r="E46" s="226"/>
      <c r="F46" s="71"/>
      <c r="G46" s="64"/>
      <c r="H46" s="232"/>
      <c r="I46" s="72">
        <v>17</v>
      </c>
      <c r="J46" s="63">
        <v>2400</v>
      </c>
      <c r="K46" s="64">
        <f t="shared" si="1"/>
        <v>141.1764705882353</v>
      </c>
      <c r="L46" s="72">
        <v>17</v>
      </c>
      <c r="M46" s="65">
        <f>AVERAGE(M38:M45)</f>
        <v>2294.9509000167186</v>
      </c>
      <c r="N46" s="64">
        <f t="shared" si="3"/>
        <v>134.99711176568934</v>
      </c>
      <c r="O46" s="66">
        <f t="shared" si="4"/>
        <v>0</v>
      </c>
      <c r="P46" s="67">
        <f t="shared" si="5"/>
        <v>-6.1793588225459644</v>
      </c>
      <c r="Q46" s="225">
        <f t="shared" si="6"/>
        <v>0.95622954167363272</v>
      </c>
      <c r="R46" s="511"/>
      <c r="S46" s="68"/>
      <c r="T46" s="68"/>
      <c r="U46" s="64"/>
      <c r="V46" s="230"/>
      <c r="W46" s="64"/>
      <c r="X46" s="64"/>
      <c r="Y46" s="510"/>
      <c r="Z46" s="510"/>
      <c r="AA46" s="66">
        <f t="shared" si="8"/>
        <v>-105.04909998328139</v>
      </c>
      <c r="AB46" s="225">
        <f t="shared" si="9"/>
        <v>0.95622954167363272</v>
      </c>
      <c r="AC46" s="511"/>
    </row>
    <row r="47" spans="1:29" ht="15.75" customHeight="1">
      <c r="A47" s="525" t="s">
        <v>1175</v>
      </c>
      <c r="B47" s="62" t="s">
        <v>35</v>
      </c>
      <c r="C47" s="521" t="s">
        <v>36</v>
      </c>
      <c r="D47" s="522"/>
      <c r="E47" s="62">
        <v>21.13</v>
      </c>
      <c r="F47" s="232">
        <v>2800</v>
      </c>
      <c r="G47" s="224">
        <f t="shared" ref="G47:G55" si="31">E47*F47</f>
        <v>59164</v>
      </c>
      <c r="H47" s="90">
        <v>2</v>
      </c>
      <c r="I47" s="229">
        <v>10</v>
      </c>
      <c r="J47" s="63">
        <v>3000</v>
      </c>
      <c r="K47" s="64">
        <f t="shared" si="1"/>
        <v>300</v>
      </c>
      <c r="L47" s="229">
        <v>10</v>
      </c>
      <c r="M47" s="65">
        <f t="shared" ref="M47:M55" si="32">F47/V47*60</f>
        <v>2896.5517241379307</v>
      </c>
      <c r="N47" s="65">
        <f t="shared" si="3"/>
        <v>289.65517241379308</v>
      </c>
      <c r="O47" s="66">
        <f t="shared" si="4"/>
        <v>0</v>
      </c>
      <c r="P47" s="67">
        <f t="shared" si="5"/>
        <v>-10.344827586206918</v>
      </c>
      <c r="Q47" s="225">
        <f t="shared" si="6"/>
        <v>0.96551724137931028</v>
      </c>
      <c r="R47" s="528">
        <f>Q56</f>
        <v>0.96168888886670723</v>
      </c>
      <c r="S47" s="68">
        <v>8.3333333333333329E-2</v>
      </c>
      <c r="T47" s="68">
        <v>0.12361111111111112</v>
      </c>
      <c r="U47" s="73"/>
      <c r="V47" s="230">
        <f t="shared" ref="V47:V55" si="33">(T47-S47)*24*60</f>
        <v>58.000000000000014</v>
      </c>
      <c r="W47" s="69">
        <f>T47</f>
        <v>0.12361111111111112</v>
      </c>
      <c r="X47" s="69">
        <f>S48</f>
        <v>0.14375000000000002</v>
      </c>
      <c r="Y47" s="517"/>
      <c r="Z47" s="518"/>
      <c r="AA47" s="66">
        <f t="shared" si="8"/>
        <v>-103.44827586206929</v>
      </c>
      <c r="AB47" s="225">
        <f t="shared" si="9"/>
        <v>0.96551724137931028</v>
      </c>
      <c r="AC47" s="528">
        <f>AB56</f>
        <v>0.96168888886670734</v>
      </c>
    </row>
    <row r="48" spans="1:29" ht="15.75" customHeight="1">
      <c r="A48" s="526" t="s">
        <v>1175</v>
      </c>
      <c r="B48" s="62" t="s">
        <v>35</v>
      </c>
      <c r="C48" s="521" t="s">
        <v>37</v>
      </c>
      <c r="D48" s="522"/>
      <c r="E48" s="62">
        <v>27.17</v>
      </c>
      <c r="F48" s="232">
        <v>3700</v>
      </c>
      <c r="G48" s="224">
        <f t="shared" si="31"/>
        <v>100529</v>
      </c>
      <c r="H48" s="90">
        <v>2</v>
      </c>
      <c r="I48" s="229">
        <v>10</v>
      </c>
      <c r="J48" s="63">
        <v>3000</v>
      </c>
      <c r="K48" s="64">
        <f t="shared" si="1"/>
        <v>300</v>
      </c>
      <c r="L48" s="229">
        <v>10</v>
      </c>
      <c r="M48" s="65">
        <f t="shared" si="32"/>
        <v>2883.1168831168829</v>
      </c>
      <c r="N48" s="65">
        <f t="shared" si="3"/>
        <v>288.31168831168827</v>
      </c>
      <c r="O48" s="66">
        <f t="shared" si="4"/>
        <v>0</v>
      </c>
      <c r="P48" s="67">
        <f t="shared" si="5"/>
        <v>-11.688311688311728</v>
      </c>
      <c r="Q48" s="225">
        <f t="shared" si="6"/>
        <v>0.96103896103896091</v>
      </c>
      <c r="R48" s="529"/>
      <c r="S48" s="68">
        <v>0.14375000000000002</v>
      </c>
      <c r="T48" s="68">
        <v>0.19722222222222224</v>
      </c>
      <c r="U48" s="224">
        <f t="shared" ref="U48:U55" si="34">(S48-T47)*24*60</f>
        <v>29.000000000000018</v>
      </c>
      <c r="V48" s="230">
        <f t="shared" si="33"/>
        <v>77</v>
      </c>
      <c r="W48" s="69"/>
      <c r="X48" s="69"/>
      <c r="Y48" s="517"/>
      <c r="Z48" s="518"/>
      <c r="AA48" s="66">
        <f t="shared" si="8"/>
        <v>-116.88311688311705</v>
      </c>
      <c r="AB48" s="225">
        <f t="shared" si="9"/>
        <v>0.96103896103896103</v>
      </c>
      <c r="AC48" s="529"/>
    </row>
    <row r="49" spans="1:29" ht="15.75" customHeight="1">
      <c r="A49" s="526" t="s">
        <v>1175</v>
      </c>
      <c r="B49" s="62" t="s">
        <v>35</v>
      </c>
      <c r="C49" s="521" t="s">
        <v>38</v>
      </c>
      <c r="D49" s="522"/>
      <c r="E49" s="62">
        <v>35.119999999999997</v>
      </c>
      <c r="F49" s="232">
        <v>4390</v>
      </c>
      <c r="G49" s="224">
        <f t="shared" si="31"/>
        <v>154176.79999999999</v>
      </c>
      <c r="H49" s="90" t="s">
        <v>5</v>
      </c>
      <c r="I49" s="229">
        <v>10</v>
      </c>
      <c r="J49" s="63">
        <v>3000</v>
      </c>
      <c r="K49" s="64">
        <f t="shared" si="1"/>
        <v>300</v>
      </c>
      <c r="L49" s="229">
        <v>10</v>
      </c>
      <c r="M49" s="65">
        <f t="shared" si="32"/>
        <v>2863.0434782608695</v>
      </c>
      <c r="N49" s="65">
        <f t="shared" si="3"/>
        <v>286.30434782608694</v>
      </c>
      <c r="O49" s="66">
        <f t="shared" si="4"/>
        <v>0</v>
      </c>
      <c r="P49" s="67">
        <f t="shared" si="5"/>
        <v>-13.695652173913061</v>
      </c>
      <c r="Q49" s="225">
        <f t="shared" si="6"/>
        <v>0.95434782608695645</v>
      </c>
      <c r="R49" s="529"/>
      <c r="S49" s="68">
        <v>0.20069444444444445</v>
      </c>
      <c r="T49" s="68">
        <v>0.26458333333333334</v>
      </c>
      <c r="U49" s="224">
        <f t="shared" si="34"/>
        <v>4.9999999999999822</v>
      </c>
      <c r="V49" s="230">
        <f t="shared" si="33"/>
        <v>92</v>
      </c>
      <c r="W49" s="69"/>
      <c r="X49" s="69"/>
      <c r="Y49" s="517"/>
      <c r="Z49" s="518"/>
      <c r="AA49" s="66">
        <f t="shared" si="8"/>
        <v>-136.95652173913049</v>
      </c>
      <c r="AB49" s="225">
        <f t="shared" si="9"/>
        <v>0.95434782608695645</v>
      </c>
      <c r="AC49" s="529"/>
    </row>
    <row r="50" spans="1:29" ht="15.75" customHeight="1">
      <c r="A50" s="526" t="s">
        <v>1175</v>
      </c>
      <c r="B50" s="62" t="s">
        <v>35</v>
      </c>
      <c r="C50" s="521" t="s">
        <v>39</v>
      </c>
      <c r="D50" s="522"/>
      <c r="E50" s="62">
        <v>35.869999999999997</v>
      </c>
      <c r="F50" s="232">
        <v>3001</v>
      </c>
      <c r="G50" s="224">
        <f t="shared" si="31"/>
        <v>107645.87</v>
      </c>
      <c r="H50" s="90" t="s">
        <v>5</v>
      </c>
      <c r="I50" s="229">
        <v>9</v>
      </c>
      <c r="J50" s="63">
        <v>3000</v>
      </c>
      <c r="K50" s="64">
        <f t="shared" si="1"/>
        <v>333.33333333333331</v>
      </c>
      <c r="L50" s="229">
        <v>9</v>
      </c>
      <c r="M50" s="65">
        <f t="shared" si="32"/>
        <v>2858.0952380952376</v>
      </c>
      <c r="N50" s="65">
        <f t="shared" si="3"/>
        <v>317.56613756613751</v>
      </c>
      <c r="O50" s="66">
        <f t="shared" si="4"/>
        <v>0</v>
      </c>
      <c r="P50" s="67">
        <f t="shared" si="5"/>
        <v>-15.767195767195801</v>
      </c>
      <c r="Q50" s="225">
        <f t="shared" si="6"/>
        <v>0.9526984126984126</v>
      </c>
      <c r="R50" s="529"/>
      <c r="S50" s="68">
        <v>0.26805555555555555</v>
      </c>
      <c r="T50" s="68">
        <v>0.31180555555555556</v>
      </c>
      <c r="U50" s="224">
        <f t="shared" si="34"/>
        <v>4.9999999999999822</v>
      </c>
      <c r="V50" s="230">
        <f t="shared" si="33"/>
        <v>63.000000000000014</v>
      </c>
      <c r="W50" s="69"/>
      <c r="X50" s="69"/>
      <c r="Y50" s="517"/>
      <c r="Z50" s="518"/>
      <c r="AA50" s="66">
        <f t="shared" si="8"/>
        <v>-141.90476190476238</v>
      </c>
      <c r="AB50" s="225">
        <f t="shared" si="9"/>
        <v>0.95269841269841249</v>
      </c>
      <c r="AC50" s="529"/>
    </row>
    <row r="51" spans="1:29" ht="15.75" customHeight="1">
      <c r="A51" s="526" t="s">
        <v>1175</v>
      </c>
      <c r="B51" s="62" t="s">
        <v>35</v>
      </c>
      <c r="C51" s="521" t="s">
        <v>40</v>
      </c>
      <c r="D51" s="522"/>
      <c r="E51" s="62">
        <v>36.14</v>
      </c>
      <c r="F51" s="232">
        <v>1461</v>
      </c>
      <c r="G51" s="224">
        <f t="shared" si="31"/>
        <v>52800.54</v>
      </c>
      <c r="H51" s="90" t="s">
        <v>5</v>
      </c>
      <c r="I51" s="229">
        <v>9</v>
      </c>
      <c r="J51" s="63">
        <v>3000</v>
      </c>
      <c r="K51" s="64">
        <f t="shared" si="1"/>
        <v>333.33333333333331</v>
      </c>
      <c r="L51" s="229">
        <v>9</v>
      </c>
      <c r="M51" s="65">
        <f t="shared" si="32"/>
        <v>2922.0000000000027</v>
      </c>
      <c r="N51" s="65">
        <f t="shared" si="3"/>
        <v>324.66666666666697</v>
      </c>
      <c r="O51" s="66">
        <f t="shared" si="4"/>
        <v>0</v>
      </c>
      <c r="P51" s="67">
        <f t="shared" si="5"/>
        <v>-8.6666666666663446</v>
      </c>
      <c r="Q51" s="225">
        <f t="shared" si="6"/>
        <v>0.97400000000000098</v>
      </c>
      <c r="R51" s="529"/>
      <c r="S51" s="68">
        <v>0.31527777777777777</v>
      </c>
      <c r="T51" s="68">
        <v>0.33611111111111108</v>
      </c>
      <c r="U51" s="224">
        <f t="shared" si="34"/>
        <v>4.9999999999999822</v>
      </c>
      <c r="V51" s="230">
        <f t="shared" si="33"/>
        <v>29.999999999999972</v>
      </c>
      <c r="W51" s="69"/>
      <c r="X51" s="69"/>
      <c r="Y51" s="517"/>
      <c r="Z51" s="518"/>
      <c r="AA51" s="66">
        <f t="shared" si="8"/>
        <v>-77.999999999997272</v>
      </c>
      <c r="AB51" s="225">
        <f t="shared" si="9"/>
        <v>0.97400000000000087</v>
      </c>
      <c r="AC51" s="529"/>
    </row>
    <row r="52" spans="1:29" ht="15.75" customHeight="1">
      <c r="A52" s="526" t="s">
        <v>1175</v>
      </c>
      <c r="B52" s="62" t="s">
        <v>35</v>
      </c>
      <c r="C52" s="521" t="s">
        <v>74</v>
      </c>
      <c r="D52" s="522"/>
      <c r="E52" s="62">
        <v>34.36</v>
      </c>
      <c r="F52" s="232">
        <v>2506</v>
      </c>
      <c r="G52" s="224">
        <f t="shared" si="31"/>
        <v>86106.16</v>
      </c>
      <c r="H52" s="90" t="s">
        <v>5</v>
      </c>
      <c r="I52" s="229">
        <v>10</v>
      </c>
      <c r="J52" s="63">
        <v>3000</v>
      </c>
      <c r="K52" s="64">
        <f t="shared" si="1"/>
        <v>300</v>
      </c>
      <c r="L52" s="229">
        <v>10</v>
      </c>
      <c r="M52" s="65">
        <f t="shared" si="32"/>
        <v>2891.5384615384633</v>
      </c>
      <c r="N52" s="65">
        <f t="shared" si="3"/>
        <v>289.1538461538463</v>
      </c>
      <c r="O52" s="66">
        <f t="shared" si="4"/>
        <v>0</v>
      </c>
      <c r="P52" s="67">
        <f t="shared" si="5"/>
        <v>-10.846153846153697</v>
      </c>
      <c r="Q52" s="225">
        <f t="shared" si="6"/>
        <v>0.96384615384615435</v>
      </c>
      <c r="R52" s="529"/>
      <c r="S52" s="68">
        <v>0.34166666666666662</v>
      </c>
      <c r="T52" s="68">
        <v>0.37777777777777771</v>
      </c>
      <c r="U52" s="224">
        <f t="shared" si="34"/>
        <v>7.9999999999999716</v>
      </c>
      <c r="V52" s="230">
        <f t="shared" si="33"/>
        <v>51.999999999999972</v>
      </c>
      <c r="W52" s="69"/>
      <c r="X52" s="69"/>
      <c r="Y52" s="517"/>
      <c r="Z52" s="518"/>
      <c r="AA52" s="66">
        <f t="shared" si="8"/>
        <v>-108.46153846153675</v>
      </c>
      <c r="AB52" s="225">
        <f t="shared" si="9"/>
        <v>0.96384615384615446</v>
      </c>
      <c r="AC52" s="529"/>
    </row>
    <row r="53" spans="1:29" ht="15.75" customHeight="1">
      <c r="A53" s="526" t="s">
        <v>1175</v>
      </c>
      <c r="B53" s="62" t="s">
        <v>35</v>
      </c>
      <c r="C53" s="521" t="s">
        <v>84</v>
      </c>
      <c r="D53" s="522"/>
      <c r="E53" s="62">
        <v>31</v>
      </c>
      <c r="F53" s="232">
        <v>5808</v>
      </c>
      <c r="G53" s="224">
        <f t="shared" si="31"/>
        <v>180048</v>
      </c>
      <c r="H53" s="90" t="s">
        <v>5</v>
      </c>
      <c r="I53" s="229">
        <v>13</v>
      </c>
      <c r="J53" s="63">
        <v>2000</v>
      </c>
      <c r="K53" s="64">
        <f t="shared" si="1"/>
        <v>153.84615384615384</v>
      </c>
      <c r="L53" s="229">
        <v>13</v>
      </c>
      <c r="M53" s="65">
        <f t="shared" si="32"/>
        <v>1904.2622950819666</v>
      </c>
      <c r="N53" s="65">
        <f t="shared" si="3"/>
        <v>146.48171500630514</v>
      </c>
      <c r="O53" s="66">
        <f t="shared" si="4"/>
        <v>0</v>
      </c>
      <c r="P53" s="67">
        <f t="shared" si="5"/>
        <v>-7.3644388398487024</v>
      </c>
      <c r="Q53" s="225">
        <f t="shared" si="6"/>
        <v>0.95213114754098338</v>
      </c>
      <c r="R53" s="529"/>
      <c r="S53" s="68">
        <v>0.38263888888888881</v>
      </c>
      <c r="T53" s="68">
        <v>0.50972222222222219</v>
      </c>
      <c r="U53" s="224">
        <f t="shared" si="34"/>
        <v>6.9999999999999751</v>
      </c>
      <c r="V53" s="230">
        <f t="shared" si="33"/>
        <v>183.00000000000006</v>
      </c>
      <c r="W53" s="69">
        <f>T53</f>
        <v>0.50972222222222219</v>
      </c>
      <c r="X53" s="69">
        <f>S54</f>
        <v>0.54861111111111105</v>
      </c>
      <c r="Y53" s="517"/>
      <c r="Z53" s="518"/>
      <c r="AA53" s="66">
        <f t="shared" si="8"/>
        <v>-95.737704918033387</v>
      </c>
      <c r="AB53" s="225">
        <f t="shared" si="9"/>
        <v>0.95213114754098327</v>
      </c>
      <c r="AC53" s="529"/>
    </row>
    <row r="54" spans="1:29" ht="15.75" customHeight="1">
      <c r="A54" s="526" t="s">
        <v>1175</v>
      </c>
      <c r="B54" s="62" t="s">
        <v>35</v>
      </c>
      <c r="C54" s="521" t="s">
        <v>37</v>
      </c>
      <c r="D54" s="522"/>
      <c r="E54" s="62">
        <v>27.17</v>
      </c>
      <c r="F54" s="232">
        <v>2589</v>
      </c>
      <c r="G54" s="224">
        <f t="shared" si="31"/>
        <v>70343.13</v>
      </c>
      <c r="H54" s="90" t="s">
        <v>5</v>
      </c>
      <c r="I54" s="229">
        <v>10</v>
      </c>
      <c r="J54" s="63">
        <v>3000</v>
      </c>
      <c r="K54" s="64">
        <f t="shared" si="1"/>
        <v>300</v>
      </c>
      <c r="L54" s="229">
        <v>10</v>
      </c>
      <c r="M54" s="65">
        <f t="shared" si="32"/>
        <v>2876.6666666666683</v>
      </c>
      <c r="N54" s="65">
        <f t="shared" si="3"/>
        <v>287.66666666666686</v>
      </c>
      <c r="O54" s="66">
        <f t="shared" si="4"/>
        <v>0</v>
      </c>
      <c r="P54" s="67">
        <f t="shared" si="5"/>
        <v>-12.333333333333144</v>
      </c>
      <c r="Q54" s="225">
        <f t="shared" si="6"/>
        <v>0.95888888888888957</v>
      </c>
      <c r="R54" s="529"/>
      <c r="S54" s="68">
        <v>0.54861111111111105</v>
      </c>
      <c r="T54" s="68">
        <v>0.58611111111111103</v>
      </c>
      <c r="U54" s="224">
        <f t="shared" si="34"/>
        <v>55.999999999999957</v>
      </c>
      <c r="V54" s="230">
        <f t="shared" si="33"/>
        <v>53.999999999999972</v>
      </c>
      <c r="W54" s="69"/>
      <c r="X54" s="69"/>
      <c r="Y54" s="517"/>
      <c r="Z54" s="518"/>
      <c r="AA54" s="66">
        <f t="shared" si="8"/>
        <v>-123.33333333333167</v>
      </c>
      <c r="AB54" s="225">
        <f t="shared" si="9"/>
        <v>0.95888888888888946</v>
      </c>
      <c r="AC54" s="529"/>
    </row>
    <row r="55" spans="1:29" ht="15.75" customHeight="1">
      <c r="A55" s="526" t="s">
        <v>1175</v>
      </c>
      <c r="B55" s="62" t="s">
        <v>35</v>
      </c>
      <c r="C55" s="521" t="s">
        <v>36</v>
      </c>
      <c r="D55" s="522"/>
      <c r="E55" s="62">
        <v>21.13</v>
      </c>
      <c r="F55" s="232">
        <v>2133</v>
      </c>
      <c r="G55" s="224">
        <f t="shared" si="31"/>
        <v>45070.29</v>
      </c>
      <c r="H55" s="90" t="s">
        <v>5</v>
      </c>
      <c r="I55" s="229">
        <v>10</v>
      </c>
      <c r="J55" s="63">
        <v>3000</v>
      </c>
      <c r="K55" s="64">
        <f t="shared" si="1"/>
        <v>300</v>
      </c>
      <c r="L55" s="229">
        <v>10</v>
      </c>
      <c r="M55" s="65">
        <f t="shared" si="32"/>
        <v>2908.6363636363635</v>
      </c>
      <c r="N55" s="65">
        <f t="shared" si="3"/>
        <v>290.86363636363637</v>
      </c>
      <c r="O55" s="66">
        <f t="shared" si="4"/>
        <v>0</v>
      </c>
      <c r="P55" s="67">
        <f t="shared" si="5"/>
        <v>-9.136363636363626</v>
      </c>
      <c r="Q55" s="225">
        <f t="shared" si="6"/>
        <v>0.9695454545454546</v>
      </c>
      <c r="R55" s="529"/>
      <c r="S55" s="68">
        <v>0.59097222222222212</v>
      </c>
      <c r="T55" s="68">
        <v>0.62152777777777768</v>
      </c>
      <c r="U55" s="224">
        <f t="shared" si="34"/>
        <v>6.9999999999999751</v>
      </c>
      <c r="V55" s="230">
        <f t="shared" si="33"/>
        <v>44</v>
      </c>
      <c r="W55" s="69"/>
      <c r="X55" s="69"/>
      <c r="Y55" s="517"/>
      <c r="Z55" s="518"/>
      <c r="AA55" s="66">
        <f t="shared" si="8"/>
        <v>-91.363636363636488</v>
      </c>
      <c r="AB55" s="225">
        <f t="shared" si="9"/>
        <v>0.96954545454545449</v>
      </c>
      <c r="AC55" s="529"/>
    </row>
    <row r="56" spans="1:29" ht="15.75" customHeight="1">
      <c r="A56" s="527" t="s">
        <v>1175</v>
      </c>
      <c r="B56" s="62" t="s">
        <v>1174</v>
      </c>
      <c r="C56" s="508"/>
      <c r="D56" s="509"/>
      <c r="E56" s="223"/>
      <c r="F56" s="232"/>
      <c r="G56" s="224"/>
      <c r="H56" s="232"/>
      <c r="I56" s="72">
        <v>10.111111111111111</v>
      </c>
      <c r="J56" s="63">
        <v>2888.8888888888887</v>
      </c>
      <c r="K56" s="64">
        <f t="shared" si="1"/>
        <v>285.71428571428572</v>
      </c>
      <c r="L56" s="72">
        <v>10.111111111111111</v>
      </c>
      <c r="M56" s="65">
        <f>AVERAGE(M47:M55)</f>
        <v>2778.212345614932</v>
      </c>
      <c r="N56" s="64">
        <f t="shared" si="3"/>
        <v>274.76825396191634</v>
      </c>
      <c r="O56" s="66">
        <f t="shared" si="4"/>
        <v>0</v>
      </c>
      <c r="P56" s="67">
        <f t="shared" si="5"/>
        <v>-10.946031752369379</v>
      </c>
      <c r="Q56" s="225">
        <f t="shared" si="6"/>
        <v>0.96168888886670723</v>
      </c>
      <c r="R56" s="530"/>
      <c r="S56" s="68"/>
      <c r="T56" s="68"/>
      <c r="U56" s="224"/>
      <c r="V56" s="230"/>
      <c r="W56" s="69"/>
      <c r="X56" s="69"/>
      <c r="Y56" s="517"/>
      <c r="Z56" s="518"/>
      <c r="AA56" s="66">
        <f t="shared" si="8"/>
        <v>-110.67654327395667</v>
      </c>
      <c r="AB56" s="225">
        <f t="shared" si="9"/>
        <v>0.96168888886670734</v>
      </c>
      <c r="AC56" s="530"/>
    </row>
    <row r="57" spans="1:29" ht="15.75" customHeight="1">
      <c r="A57" s="523" t="s">
        <v>1176</v>
      </c>
      <c r="B57" s="62" t="s">
        <v>10</v>
      </c>
      <c r="C57" s="512" t="s">
        <v>41</v>
      </c>
      <c r="D57" s="512"/>
      <c r="E57" s="62">
        <v>46</v>
      </c>
      <c r="F57" s="74">
        <v>2421</v>
      </c>
      <c r="G57" s="224">
        <f t="shared" ref="G57:G61" si="35">E57*F57</f>
        <v>111366</v>
      </c>
      <c r="H57" s="90" t="s">
        <v>5</v>
      </c>
      <c r="I57" s="229">
        <v>17</v>
      </c>
      <c r="J57" s="63">
        <v>2000</v>
      </c>
      <c r="K57" s="64">
        <f t="shared" si="1"/>
        <v>117.64705882352941</v>
      </c>
      <c r="L57" s="229">
        <v>17</v>
      </c>
      <c r="M57" s="65">
        <f t="shared" ref="M57:M61" si="36">F57/V57*60</f>
        <v>1911.3157894736837</v>
      </c>
      <c r="N57" s="65">
        <f t="shared" si="3"/>
        <v>112.43034055727551</v>
      </c>
      <c r="O57" s="66">
        <f t="shared" si="4"/>
        <v>0</v>
      </c>
      <c r="P57" s="67">
        <f t="shared" si="5"/>
        <v>-5.216718266253892</v>
      </c>
      <c r="Q57" s="225">
        <f t="shared" si="6"/>
        <v>0.95565789473684193</v>
      </c>
      <c r="R57" s="511">
        <f>Q62</f>
        <v>0.95840428404278377</v>
      </c>
      <c r="S57" s="68">
        <v>0.20833333333333334</v>
      </c>
      <c r="T57" s="68">
        <v>0.26111111111111113</v>
      </c>
      <c r="U57" s="73"/>
      <c r="V57" s="230">
        <f t="shared" ref="V57:V61" si="37">(T57-S57)*24*60</f>
        <v>76.000000000000014</v>
      </c>
      <c r="W57" s="73"/>
      <c r="X57" s="73"/>
      <c r="Y57" s="510"/>
      <c r="Z57" s="510"/>
      <c r="AA57" s="66">
        <f t="shared" si="8"/>
        <v>-88.684210526316292</v>
      </c>
      <c r="AB57" s="225">
        <f t="shared" si="9"/>
        <v>0.95565789473684182</v>
      </c>
      <c r="AC57" s="511">
        <f>AB62</f>
        <v>0.95840428404278377</v>
      </c>
    </row>
    <row r="58" spans="1:29" ht="15.75" customHeight="1">
      <c r="A58" s="523" t="s">
        <v>1176</v>
      </c>
      <c r="B58" s="62" t="s">
        <v>10</v>
      </c>
      <c r="C58" s="512" t="s">
        <v>42</v>
      </c>
      <c r="D58" s="512"/>
      <c r="E58" s="62">
        <v>46</v>
      </c>
      <c r="F58" s="74">
        <v>2713</v>
      </c>
      <c r="G58" s="224">
        <f t="shared" si="35"/>
        <v>124798</v>
      </c>
      <c r="H58" s="90" t="s">
        <v>5</v>
      </c>
      <c r="I58" s="229">
        <v>17</v>
      </c>
      <c r="J58" s="63">
        <v>2000</v>
      </c>
      <c r="K58" s="64">
        <f t="shared" si="1"/>
        <v>117.64705882352941</v>
      </c>
      <c r="L58" s="229">
        <v>17</v>
      </c>
      <c r="M58" s="65">
        <f t="shared" si="36"/>
        <v>1915.0588235294113</v>
      </c>
      <c r="N58" s="65">
        <f t="shared" si="3"/>
        <v>112.65051903114184</v>
      </c>
      <c r="O58" s="66">
        <f t="shared" si="4"/>
        <v>0</v>
      </c>
      <c r="P58" s="67">
        <f t="shared" si="5"/>
        <v>-4.9965397923875656</v>
      </c>
      <c r="Q58" s="225">
        <f t="shared" si="6"/>
        <v>0.95752941176470574</v>
      </c>
      <c r="R58" s="511"/>
      <c r="S58" s="68">
        <v>0.26458333333333334</v>
      </c>
      <c r="T58" s="68">
        <v>0.32361111111111113</v>
      </c>
      <c r="U58" s="224">
        <f t="shared" ref="U58:U61" si="38">IF(S58=TIME(17,0,0),"",(S58-T57)*24*60)</f>
        <v>4.9999999999999822</v>
      </c>
      <c r="V58" s="230">
        <f t="shared" si="37"/>
        <v>85.000000000000014</v>
      </c>
      <c r="W58" s="69"/>
      <c r="X58" s="69"/>
      <c r="Y58" s="510"/>
      <c r="Z58" s="510"/>
      <c r="AA58" s="66">
        <f t="shared" si="8"/>
        <v>-84.941176470588744</v>
      </c>
      <c r="AB58" s="225">
        <f t="shared" si="9"/>
        <v>0.95752941176470563</v>
      </c>
      <c r="AC58" s="511"/>
    </row>
    <row r="59" spans="1:29" ht="15.75" customHeight="1">
      <c r="A59" s="523" t="s">
        <v>1176</v>
      </c>
      <c r="B59" s="62" t="s">
        <v>6</v>
      </c>
      <c r="C59" s="521" t="s">
        <v>43</v>
      </c>
      <c r="D59" s="522"/>
      <c r="E59" s="62">
        <v>55.56</v>
      </c>
      <c r="F59" s="74">
        <v>2205</v>
      </c>
      <c r="G59" s="224">
        <f t="shared" si="35"/>
        <v>122509.8</v>
      </c>
      <c r="H59" s="90" t="s">
        <v>5</v>
      </c>
      <c r="I59" s="229">
        <v>17</v>
      </c>
      <c r="J59" s="63">
        <v>2000</v>
      </c>
      <c r="K59" s="64">
        <f t="shared" si="1"/>
        <v>117.64705882352941</v>
      </c>
      <c r="L59" s="229">
        <v>17</v>
      </c>
      <c r="M59" s="65">
        <f t="shared" si="36"/>
        <v>1917.3913043478242</v>
      </c>
      <c r="N59" s="65">
        <f t="shared" si="3"/>
        <v>112.78772378516612</v>
      </c>
      <c r="O59" s="66">
        <f t="shared" si="4"/>
        <v>0</v>
      </c>
      <c r="P59" s="67">
        <f t="shared" si="5"/>
        <v>-4.8593350383632838</v>
      </c>
      <c r="Q59" s="225">
        <f t="shared" si="6"/>
        <v>0.95869565217391206</v>
      </c>
      <c r="R59" s="511"/>
      <c r="S59" s="68">
        <v>0.70833333333333337</v>
      </c>
      <c r="T59" s="68">
        <v>0.75625000000000009</v>
      </c>
      <c r="U59" s="224" t="str">
        <f t="shared" si="38"/>
        <v/>
      </c>
      <c r="V59" s="230">
        <f t="shared" si="37"/>
        <v>69.000000000000071</v>
      </c>
      <c r="W59" s="69"/>
      <c r="X59" s="69"/>
      <c r="Y59" s="221"/>
      <c r="Z59" s="222"/>
      <c r="AA59" s="66">
        <f t="shared" si="8"/>
        <v>-82.608695652175811</v>
      </c>
      <c r="AB59" s="225">
        <f t="shared" si="9"/>
        <v>0.95869565217391206</v>
      </c>
      <c r="AC59" s="511"/>
    </row>
    <row r="60" spans="1:29" ht="15.75" customHeight="1">
      <c r="A60" s="523" t="s">
        <v>1176</v>
      </c>
      <c r="B60" s="62" t="s">
        <v>6</v>
      </c>
      <c r="C60" s="227" t="s">
        <v>44</v>
      </c>
      <c r="D60" s="228"/>
      <c r="E60" s="62">
        <v>55.32</v>
      </c>
      <c r="F60" s="74">
        <v>1658</v>
      </c>
      <c r="G60" s="224">
        <f t="shared" si="35"/>
        <v>91720.56</v>
      </c>
      <c r="H60" s="90" t="s">
        <v>5</v>
      </c>
      <c r="I60" s="229">
        <v>15</v>
      </c>
      <c r="J60" s="63">
        <v>2000</v>
      </c>
      <c r="K60" s="64">
        <f t="shared" si="1"/>
        <v>133.33333333333334</v>
      </c>
      <c r="L60" s="229">
        <v>15</v>
      </c>
      <c r="M60" s="65">
        <f t="shared" si="36"/>
        <v>1913.076923076924</v>
      </c>
      <c r="N60" s="65">
        <f t="shared" si="3"/>
        <v>127.5384615384616</v>
      </c>
      <c r="O60" s="66">
        <f t="shared" si="4"/>
        <v>0</v>
      </c>
      <c r="P60" s="67">
        <f t="shared" si="5"/>
        <v>-5.7948717948717388</v>
      </c>
      <c r="Q60" s="225">
        <f t="shared" si="6"/>
        <v>0.956538461538462</v>
      </c>
      <c r="R60" s="511"/>
      <c r="S60" s="68">
        <v>0.76111111111111118</v>
      </c>
      <c r="T60" s="68">
        <v>0.79722222222222228</v>
      </c>
      <c r="U60" s="224">
        <f t="shared" si="38"/>
        <v>6.9999999999999751</v>
      </c>
      <c r="V60" s="230">
        <f t="shared" si="37"/>
        <v>51.999999999999972</v>
      </c>
      <c r="W60" s="69"/>
      <c r="X60" s="69"/>
      <c r="Y60" s="221"/>
      <c r="Z60" s="222"/>
      <c r="AA60" s="66">
        <f t="shared" si="8"/>
        <v>-86.923076923075996</v>
      </c>
      <c r="AB60" s="225">
        <f t="shared" si="9"/>
        <v>0.956538461538462</v>
      </c>
      <c r="AC60" s="511"/>
    </row>
    <row r="61" spans="1:29" ht="15.75" customHeight="1">
      <c r="A61" s="523" t="s">
        <v>1176</v>
      </c>
      <c r="B61" s="62" t="s">
        <v>6</v>
      </c>
      <c r="C61" s="227" t="s">
        <v>7</v>
      </c>
      <c r="D61" s="228"/>
      <c r="E61" s="62">
        <v>46.93</v>
      </c>
      <c r="F61" s="74">
        <v>803</v>
      </c>
      <c r="G61" s="224">
        <f t="shared" si="35"/>
        <v>37684.79</v>
      </c>
      <c r="H61" s="90" t="s">
        <v>5</v>
      </c>
      <c r="I61" s="229">
        <v>16</v>
      </c>
      <c r="J61" s="63">
        <v>2000</v>
      </c>
      <c r="K61" s="64">
        <f t="shared" si="1"/>
        <v>125</v>
      </c>
      <c r="L61" s="229">
        <v>16</v>
      </c>
      <c r="M61" s="65">
        <f t="shared" si="36"/>
        <v>1927.1999999999948</v>
      </c>
      <c r="N61" s="65">
        <f t="shared" si="3"/>
        <v>120.44999999999968</v>
      </c>
      <c r="O61" s="66">
        <f t="shared" si="4"/>
        <v>0</v>
      </c>
      <c r="P61" s="67">
        <f t="shared" si="5"/>
        <v>-4.550000000000324</v>
      </c>
      <c r="Q61" s="225">
        <f t="shared" si="6"/>
        <v>0.96359999999999746</v>
      </c>
      <c r="R61" s="511"/>
      <c r="S61" s="68">
        <v>0.80069444444444449</v>
      </c>
      <c r="T61" s="68">
        <v>0.81805555555555565</v>
      </c>
      <c r="U61" s="224">
        <f t="shared" si="38"/>
        <v>4.9999999999999822</v>
      </c>
      <c r="V61" s="230">
        <f t="shared" si="37"/>
        <v>25.000000000000071</v>
      </c>
      <c r="W61" s="69"/>
      <c r="X61" s="69"/>
      <c r="Y61" s="221"/>
      <c r="Z61" s="222"/>
      <c r="AA61" s="66">
        <f t="shared" si="8"/>
        <v>-72.800000000005184</v>
      </c>
      <c r="AB61" s="225">
        <f t="shared" si="9"/>
        <v>0.96359999999999746</v>
      </c>
      <c r="AC61" s="511"/>
    </row>
    <row r="62" spans="1:29">
      <c r="A62" s="524" t="s">
        <v>1176</v>
      </c>
      <c r="B62" s="62" t="s">
        <v>1174</v>
      </c>
      <c r="C62" s="513"/>
      <c r="D62" s="513"/>
      <c r="E62" s="226"/>
      <c r="F62" s="71"/>
      <c r="G62" s="64"/>
      <c r="H62" s="232"/>
      <c r="I62" s="72">
        <v>16.399999999999999</v>
      </c>
      <c r="J62" s="63">
        <v>2000</v>
      </c>
      <c r="K62" s="64">
        <f t="shared" si="1"/>
        <v>121.95121951219514</v>
      </c>
      <c r="L62" s="72">
        <v>16.399999999999999</v>
      </c>
      <c r="M62" s="65">
        <f>AVERAGE(M57:M61)</f>
        <v>1916.8085680855675</v>
      </c>
      <c r="N62" s="64">
        <f t="shared" si="3"/>
        <v>116.87857122472974</v>
      </c>
      <c r="O62" s="66">
        <f t="shared" si="4"/>
        <v>0</v>
      </c>
      <c r="P62" s="67">
        <f t="shared" si="5"/>
        <v>-5.0726482874653982</v>
      </c>
      <c r="Q62" s="225">
        <f t="shared" si="6"/>
        <v>0.95840428404278377</v>
      </c>
      <c r="R62" s="511"/>
      <c r="S62" s="75"/>
      <c r="T62" s="68"/>
      <c r="U62" s="64"/>
      <c r="V62" s="230"/>
      <c r="W62" s="64"/>
      <c r="X62" s="64"/>
      <c r="Y62" s="510"/>
      <c r="Z62" s="510"/>
      <c r="AA62" s="66">
        <f t="shared" si="8"/>
        <v>-83.191431914432542</v>
      </c>
      <c r="AB62" s="225">
        <f t="shared" si="9"/>
        <v>0.95840428404278377</v>
      </c>
      <c r="AC62" s="511"/>
    </row>
    <row r="63" spans="1:29" ht="15.75" customHeight="1">
      <c r="A63" s="519" t="s">
        <v>1177</v>
      </c>
      <c r="B63" s="232" t="s">
        <v>10</v>
      </c>
      <c r="C63" s="512" t="s">
        <v>46</v>
      </c>
      <c r="D63" s="512"/>
      <c r="E63" s="62">
        <v>26.97</v>
      </c>
      <c r="F63" s="74">
        <v>2971</v>
      </c>
      <c r="G63" s="224">
        <f t="shared" ref="G63:G66" si="39">E63*F63</f>
        <v>80127.87</v>
      </c>
      <c r="H63" s="90" t="s">
        <v>5</v>
      </c>
      <c r="I63" s="229">
        <v>8</v>
      </c>
      <c r="J63" s="63">
        <v>1500</v>
      </c>
      <c r="K63" s="64">
        <f t="shared" si="1"/>
        <v>187.5</v>
      </c>
      <c r="L63" s="229">
        <v>8</v>
      </c>
      <c r="M63" s="65">
        <f t="shared" ref="M63:M66" si="40">F63/V63*60</f>
        <v>1426.0800000000002</v>
      </c>
      <c r="N63" s="64">
        <f t="shared" si="3"/>
        <v>178.26000000000002</v>
      </c>
      <c r="O63" s="66">
        <f t="shared" si="4"/>
        <v>0</v>
      </c>
      <c r="P63" s="67">
        <f t="shared" si="5"/>
        <v>-9.2399999999999807</v>
      </c>
      <c r="Q63" s="225">
        <f t="shared" si="6"/>
        <v>0.95072000000000012</v>
      </c>
      <c r="R63" s="511">
        <f>Q67</f>
        <v>0.95466540484285012</v>
      </c>
      <c r="S63" s="68">
        <v>0.20833333333333334</v>
      </c>
      <c r="T63" s="68">
        <v>0.2951388888888889</v>
      </c>
      <c r="U63" s="224"/>
      <c r="V63" s="230">
        <f t="shared" ref="V63:V66" si="41">(T63-S63)*24*60</f>
        <v>124.99999999999999</v>
      </c>
      <c r="W63" s="73"/>
      <c r="X63" s="73"/>
      <c r="Y63" s="510"/>
      <c r="Z63" s="510"/>
      <c r="AA63" s="66">
        <f t="shared" si="8"/>
        <v>-73.919999999999845</v>
      </c>
      <c r="AB63" s="225">
        <f t="shared" si="9"/>
        <v>0.95072000000000012</v>
      </c>
      <c r="AC63" s="511">
        <f>AB67</f>
        <v>0.95466540484285012</v>
      </c>
    </row>
    <row r="64" spans="1:29" ht="15.75" customHeight="1">
      <c r="A64" s="519" t="s">
        <v>1177</v>
      </c>
      <c r="B64" s="232" t="s">
        <v>35</v>
      </c>
      <c r="C64" s="512" t="s">
        <v>45</v>
      </c>
      <c r="D64" s="512"/>
      <c r="E64" s="62">
        <v>26.78</v>
      </c>
      <c r="F64" s="74">
        <v>2767</v>
      </c>
      <c r="G64" s="224">
        <f t="shared" si="39"/>
        <v>74100.260000000009</v>
      </c>
      <c r="H64" s="90" t="s">
        <v>5</v>
      </c>
      <c r="I64" s="229">
        <v>10</v>
      </c>
      <c r="J64" s="63">
        <v>3000</v>
      </c>
      <c r="K64" s="64">
        <f t="shared" si="1"/>
        <v>300</v>
      </c>
      <c r="L64" s="229">
        <v>10</v>
      </c>
      <c r="M64" s="65">
        <f t="shared" si="40"/>
        <v>2862.4137931034466</v>
      </c>
      <c r="N64" s="64">
        <f t="shared" si="3"/>
        <v>286.24137931034466</v>
      </c>
      <c r="O64" s="66">
        <f t="shared" si="4"/>
        <v>0</v>
      </c>
      <c r="P64" s="67">
        <f t="shared" si="5"/>
        <v>-13.758620689655345</v>
      </c>
      <c r="Q64" s="225">
        <f t="shared" si="6"/>
        <v>0.95413793103448219</v>
      </c>
      <c r="R64" s="511"/>
      <c r="S64" s="68">
        <v>0.29930555555555555</v>
      </c>
      <c r="T64" s="68">
        <v>0.33958333333333335</v>
      </c>
      <c r="U64" s="224">
        <f t="shared" ref="U64:U66" si="42">(S64-T63)*24*60</f>
        <v>5.9999999999999787</v>
      </c>
      <c r="V64" s="230">
        <f t="shared" si="41"/>
        <v>58.000000000000036</v>
      </c>
      <c r="W64" s="224"/>
      <c r="X64" s="224"/>
      <c r="Y64" s="510"/>
      <c r="Z64" s="510"/>
      <c r="AA64" s="66">
        <f t="shared" si="8"/>
        <v>-137.58620689655345</v>
      </c>
      <c r="AB64" s="225">
        <f t="shared" si="9"/>
        <v>0.95413793103448219</v>
      </c>
      <c r="AC64" s="511"/>
    </row>
    <row r="65" spans="1:29" ht="15.75" customHeight="1">
      <c r="A65" s="519" t="s">
        <v>1177</v>
      </c>
      <c r="B65" s="232" t="s">
        <v>35</v>
      </c>
      <c r="C65" s="512" t="s">
        <v>75</v>
      </c>
      <c r="D65" s="512"/>
      <c r="E65" s="62">
        <v>37.880000000000003</v>
      </c>
      <c r="F65" s="74">
        <v>3381</v>
      </c>
      <c r="G65" s="224">
        <f t="shared" si="39"/>
        <v>128072.28000000001</v>
      </c>
      <c r="H65" s="90" t="s">
        <v>5</v>
      </c>
      <c r="I65" s="229">
        <v>10</v>
      </c>
      <c r="J65" s="63">
        <v>3000</v>
      </c>
      <c r="K65" s="64">
        <f t="shared" si="1"/>
        <v>300</v>
      </c>
      <c r="L65" s="229">
        <v>10</v>
      </c>
      <c r="M65" s="65">
        <f t="shared" si="40"/>
        <v>2857.1830985915499</v>
      </c>
      <c r="N65" s="64">
        <f t="shared" si="3"/>
        <v>285.718309859155</v>
      </c>
      <c r="O65" s="66">
        <f t="shared" si="4"/>
        <v>0</v>
      </c>
      <c r="P65" s="67">
        <f t="shared" si="5"/>
        <v>-14.281690140845001</v>
      </c>
      <c r="Q65" s="225">
        <f t="shared" si="6"/>
        <v>0.95239436619718332</v>
      </c>
      <c r="R65" s="511"/>
      <c r="S65" s="68">
        <v>0.34375</v>
      </c>
      <c r="T65" s="68">
        <v>0.39305555555555555</v>
      </c>
      <c r="U65" s="224">
        <f t="shared" si="42"/>
        <v>5.9999999999999787</v>
      </c>
      <c r="V65" s="230">
        <f t="shared" si="41"/>
        <v>70.999999999999986</v>
      </c>
      <c r="W65" s="224"/>
      <c r="X65" s="224"/>
      <c r="Y65" s="510"/>
      <c r="Z65" s="510"/>
      <c r="AA65" s="66">
        <f t="shared" si="8"/>
        <v>-142.81690140845012</v>
      </c>
      <c r="AB65" s="225">
        <f t="shared" si="9"/>
        <v>0.95239436619718332</v>
      </c>
      <c r="AC65" s="511"/>
    </row>
    <row r="66" spans="1:29" ht="15.75" customHeight="1">
      <c r="A66" s="519" t="s">
        <v>1177</v>
      </c>
      <c r="B66" s="232" t="s">
        <v>35</v>
      </c>
      <c r="C66" s="512" t="s">
        <v>85</v>
      </c>
      <c r="D66" s="512"/>
      <c r="E66" s="62">
        <v>40.51</v>
      </c>
      <c r="F66" s="74">
        <v>3406</v>
      </c>
      <c r="G66" s="224">
        <f t="shared" si="39"/>
        <v>137977.06</v>
      </c>
      <c r="H66" s="90" t="s">
        <v>5</v>
      </c>
      <c r="I66" s="229">
        <v>8</v>
      </c>
      <c r="J66" s="63">
        <v>3000</v>
      </c>
      <c r="K66" s="64">
        <f t="shared" si="1"/>
        <v>375</v>
      </c>
      <c r="L66" s="229">
        <v>8</v>
      </c>
      <c r="M66" s="65">
        <f t="shared" si="40"/>
        <v>2878.3098591549301</v>
      </c>
      <c r="N66" s="64">
        <f t="shared" si="3"/>
        <v>359.78873239436626</v>
      </c>
      <c r="O66" s="66">
        <f t="shared" si="4"/>
        <v>0</v>
      </c>
      <c r="P66" s="67">
        <f t="shared" si="5"/>
        <v>-15.211267605633736</v>
      </c>
      <c r="Q66" s="225">
        <f t="shared" si="6"/>
        <v>0.95943661971831007</v>
      </c>
      <c r="R66" s="511"/>
      <c r="S66" s="68">
        <v>0.3972222222222222</v>
      </c>
      <c r="T66" s="68">
        <v>0.44652777777777775</v>
      </c>
      <c r="U66" s="224">
        <f t="shared" si="42"/>
        <v>5.9999999999999787</v>
      </c>
      <c r="V66" s="230">
        <f t="shared" si="41"/>
        <v>70.999999999999986</v>
      </c>
      <c r="W66" s="224"/>
      <c r="X66" s="224"/>
      <c r="Y66" s="510"/>
      <c r="Z66" s="510"/>
      <c r="AA66" s="66">
        <f t="shared" si="8"/>
        <v>-121.69014084506989</v>
      </c>
      <c r="AB66" s="225">
        <f t="shared" si="9"/>
        <v>0.95943661971831007</v>
      </c>
      <c r="AC66" s="511"/>
    </row>
    <row r="67" spans="1:29">
      <c r="A67" s="520" t="s">
        <v>1177</v>
      </c>
      <c r="B67" s="62" t="s">
        <v>1174</v>
      </c>
      <c r="C67" s="513"/>
      <c r="D67" s="513"/>
      <c r="E67" s="226"/>
      <c r="F67" s="71"/>
      <c r="G67" s="64"/>
      <c r="H67" s="232"/>
      <c r="I67" s="72">
        <v>9</v>
      </c>
      <c r="J67" s="63">
        <v>2625</v>
      </c>
      <c r="K67" s="64">
        <f t="shared" si="1"/>
        <v>291.66666666666669</v>
      </c>
      <c r="L67" s="72">
        <v>9</v>
      </c>
      <c r="M67" s="65">
        <f>AVERAGE(M63:M66)</f>
        <v>2505.9966877124816</v>
      </c>
      <c r="N67" s="64">
        <f t="shared" si="3"/>
        <v>278.44407641249796</v>
      </c>
      <c r="O67" s="66">
        <f t="shared" si="4"/>
        <v>0</v>
      </c>
      <c r="P67" s="67">
        <f t="shared" si="5"/>
        <v>-13.222590254168722</v>
      </c>
      <c r="Q67" s="225">
        <f t="shared" si="6"/>
        <v>0.95466540484285012</v>
      </c>
      <c r="R67" s="511"/>
      <c r="S67" s="68"/>
      <c r="T67" s="68"/>
      <c r="U67" s="64"/>
      <c r="V67" s="230"/>
      <c r="W67" s="64"/>
      <c r="X67" s="64"/>
      <c r="Y67" s="510"/>
      <c r="Z67" s="510"/>
      <c r="AA67" s="66">
        <f t="shared" si="8"/>
        <v>-119.00331228751838</v>
      </c>
      <c r="AB67" s="225">
        <f t="shared" si="9"/>
        <v>0.95466540484285012</v>
      </c>
      <c r="AC67" s="511"/>
    </row>
    <row r="68" spans="1:29" ht="15.75" customHeight="1">
      <c r="A68" s="514" t="s">
        <v>1178</v>
      </c>
      <c r="B68" s="232" t="s">
        <v>16</v>
      </c>
      <c r="C68" s="512" t="s">
        <v>48</v>
      </c>
      <c r="D68" s="512"/>
      <c r="E68" s="62">
        <v>20.2</v>
      </c>
      <c r="F68" s="232">
        <v>2579</v>
      </c>
      <c r="G68" s="224">
        <f t="shared" ref="G68:G75" si="43">E68*F68</f>
        <v>52095.799999999996</v>
      </c>
      <c r="H68" s="90" t="s">
        <v>5</v>
      </c>
      <c r="I68" s="229">
        <v>19</v>
      </c>
      <c r="J68" s="63">
        <v>2400</v>
      </c>
      <c r="K68" s="64">
        <f t="shared" si="1"/>
        <v>126.31578947368421</v>
      </c>
      <c r="L68" s="229">
        <v>19</v>
      </c>
      <c r="M68" s="65">
        <f t="shared" ref="M68:M75" si="44">F68/V68*60</f>
        <v>2309.5522388059712</v>
      </c>
      <c r="N68" s="64">
        <f t="shared" si="3"/>
        <v>121.55538098978796</v>
      </c>
      <c r="O68" s="66">
        <f t="shared" si="4"/>
        <v>0</v>
      </c>
      <c r="P68" s="67">
        <f t="shared" si="5"/>
        <v>-4.7604084838962422</v>
      </c>
      <c r="Q68" s="225">
        <f t="shared" si="6"/>
        <v>0.96231343283582138</v>
      </c>
      <c r="R68" s="511">
        <f>Q76</f>
        <v>0.95655059591195879</v>
      </c>
      <c r="S68" s="68">
        <v>8.3333333333333329E-2</v>
      </c>
      <c r="T68" s="68">
        <v>0.12986111111111109</v>
      </c>
      <c r="U68" s="73"/>
      <c r="V68" s="230">
        <f t="shared" ref="V68:V75" si="45">(T68-S68)*24*60</f>
        <v>66.999999999999972</v>
      </c>
      <c r="W68" s="69">
        <f>T68</f>
        <v>0.12986111111111109</v>
      </c>
      <c r="X68" s="69">
        <f>S69</f>
        <v>0.14930555555555555</v>
      </c>
      <c r="Y68" s="510"/>
      <c r="Z68" s="510"/>
      <c r="AA68" s="66">
        <f t="shared" si="8"/>
        <v>-90.447761194028772</v>
      </c>
      <c r="AB68" s="225">
        <f t="shared" si="9"/>
        <v>0.96231343283582138</v>
      </c>
      <c r="AC68" s="511">
        <f>AB76</f>
        <v>0.95655059591195879</v>
      </c>
    </row>
    <row r="69" spans="1:29" ht="15.75" customHeight="1">
      <c r="A69" s="515" t="s">
        <v>1178</v>
      </c>
      <c r="B69" s="232" t="s">
        <v>16</v>
      </c>
      <c r="C69" s="512" t="s">
        <v>51</v>
      </c>
      <c r="D69" s="512"/>
      <c r="E69" s="62">
        <v>24.25</v>
      </c>
      <c r="F69" s="232">
        <v>2554</v>
      </c>
      <c r="G69" s="224">
        <f t="shared" si="43"/>
        <v>61934.5</v>
      </c>
      <c r="H69" s="90" t="s">
        <v>5</v>
      </c>
      <c r="I69" s="229">
        <v>17</v>
      </c>
      <c r="J69" s="63">
        <v>2400</v>
      </c>
      <c r="K69" s="64">
        <f t="shared" ref="K69:K76" si="46">J69/I69</f>
        <v>141.1764705882353</v>
      </c>
      <c r="L69" s="229">
        <v>17</v>
      </c>
      <c r="M69" s="65">
        <f t="shared" si="44"/>
        <v>2287.1641791044776</v>
      </c>
      <c r="N69" s="64">
        <f t="shared" ref="N69:N76" si="47">M69/L69</f>
        <v>134.53906935908691</v>
      </c>
      <c r="O69" s="66">
        <f t="shared" ref="O69:O76" si="48">L69-I69</f>
        <v>0</v>
      </c>
      <c r="P69" s="67">
        <f t="shared" ref="P69:P76" si="49">N69-K69</f>
        <v>-6.637401229148395</v>
      </c>
      <c r="Q69" s="225">
        <f t="shared" ref="Q69:Q76" si="50">N69/K69</f>
        <v>0.95298507462686555</v>
      </c>
      <c r="R69" s="511"/>
      <c r="S69" s="68">
        <v>0.14930555555555555</v>
      </c>
      <c r="T69" s="68">
        <v>0.19583333333333333</v>
      </c>
      <c r="U69" s="224">
        <f t="shared" ref="U69:U75" si="51">(S69-T68)*24*60</f>
        <v>28.000000000000021</v>
      </c>
      <c r="V69" s="230">
        <f t="shared" si="45"/>
        <v>67</v>
      </c>
      <c r="W69" s="69"/>
      <c r="X69" s="69"/>
      <c r="Y69" s="510"/>
      <c r="Z69" s="510"/>
      <c r="AA69" s="66">
        <f t="shared" ref="AA69:AA76" si="52">M69-J69</f>
        <v>-112.83582089552237</v>
      </c>
      <c r="AB69" s="225">
        <f t="shared" ref="AB69:AB76" si="53">M69/J69</f>
        <v>0.95298507462686566</v>
      </c>
      <c r="AC69" s="511"/>
    </row>
    <row r="70" spans="1:29" ht="15.75" customHeight="1">
      <c r="A70" s="515" t="s">
        <v>1178</v>
      </c>
      <c r="B70" s="232" t="s">
        <v>16</v>
      </c>
      <c r="C70" s="512" t="s">
        <v>17</v>
      </c>
      <c r="D70" s="512"/>
      <c r="E70" s="62">
        <v>24.45</v>
      </c>
      <c r="F70" s="232">
        <v>2564</v>
      </c>
      <c r="G70" s="224">
        <f t="shared" si="43"/>
        <v>62689.799999999996</v>
      </c>
      <c r="H70" s="90" t="s">
        <v>5</v>
      </c>
      <c r="I70" s="229">
        <v>20</v>
      </c>
      <c r="J70" s="63">
        <v>2400</v>
      </c>
      <c r="K70" s="64">
        <f t="shared" si="46"/>
        <v>120</v>
      </c>
      <c r="L70" s="229">
        <v>20</v>
      </c>
      <c r="M70" s="65">
        <f t="shared" si="44"/>
        <v>2296.1194029850744</v>
      </c>
      <c r="N70" s="64">
        <f t="shared" si="47"/>
        <v>114.80597014925372</v>
      </c>
      <c r="O70" s="66">
        <f t="shared" si="48"/>
        <v>0</v>
      </c>
      <c r="P70" s="67">
        <f t="shared" si="49"/>
        <v>-5.1940298507462757</v>
      </c>
      <c r="Q70" s="225">
        <f t="shared" si="50"/>
        <v>0.9567164179104477</v>
      </c>
      <c r="R70" s="511"/>
      <c r="S70" s="68">
        <v>0.19930555555555554</v>
      </c>
      <c r="T70" s="68">
        <v>0.24583333333333332</v>
      </c>
      <c r="U70" s="224">
        <f t="shared" si="51"/>
        <v>4.9999999999999822</v>
      </c>
      <c r="V70" s="230">
        <f t="shared" si="45"/>
        <v>67</v>
      </c>
      <c r="W70" s="69"/>
      <c r="X70" s="69"/>
      <c r="Y70" s="510"/>
      <c r="Z70" s="510"/>
      <c r="AA70" s="66">
        <f t="shared" si="52"/>
        <v>-103.88059701492557</v>
      </c>
      <c r="AB70" s="225">
        <f t="shared" si="53"/>
        <v>0.9567164179104477</v>
      </c>
      <c r="AC70" s="511"/>
    </row>
    <row r="71" spans="1:29" ht="15.75" customHeight="1">
      <c r="A71" s="515" t="s">
        <v>1178</v>
      </c>
      <c r="B71" s="232" t="s">
        <v>16</v>
      </c>
      <c r="C71" s="512" t="s">
        <v>34</v>
      </c>
      <c r="D71" s="512"/>
      <c r="E71" s="62">
        <v>24.25</v>
      </c>
      <c r="F71" s="232">
        <v>3570</v>
      </c>
      <c r="G71" s="224">
        <f t="shared" si="43"/>
        <v>86572.5</v>
      </c>
      <c r="H71" s="90" t="s">
        <v>5</v>
      </c>
      <c r="I71" s="229">
        <v>13</v>
      </c>
      <c r="J71" s="63">
        <v>2400</v>
      </c>
      <c r="K71" s="64">
        <f t="shared" si="46"/>
        <v>184.61538461538461</v>
      </c>
      <c r="L71" s="229">
        <v>13</v>
      </c>
      <c r="M71" s="65">
        <f t="shared" si="44"/>
        <v>2303.2258064516122</v>
      </c>
      <c r="N71" s="64">
        <f t="shared" si="47"/>
        <v>177.17121588089324</v>
      </c>
      <c r="O71" s="66">
        <f t="shared" si="48"/>
        <v>0</v>
      </c>
      <c r="P71" s="67">
        <f t="shared" si="49"/>
        <v>-7.4441687344913703</v>
      </c>
      <c r="Q71" s="225">
        <f t="shared" si="50"/>
        <v>0.95967741935483841</v>
      </c>
      <c r="R71" s="511"/>
      <c r="S71" s="68">
        <v>0.24930555555555553</v>
      </c>
      <c r="T71" s="68">
        <v>0.31388888888888888</v>
      </c>
      <c r="U71" s="224">
        <f t="shared" si="51"/>
        <v>4.9999999999999822</v>
      </c>
      <c r="V71" s="230">
        <f t="shared" si="45"/>
        <v>93.000000000000028</v>
      </c>
      <c r="W71" s="69"/>
      <c r="X71" s="69"/>
      <c r="Y71" s="510"/>
      <c r="Z71" s="510"/>
      <c r="AA71" s="66">
        <f t="shared" si="52"/>
        <v>-96.774193548387757</v>
      </c>
      <c r="AB71" s="225">
        <f t="shared" si="53"/>
        <v>0.95967741935483841</v>
      </c>
      <c r="AC71" s="511"/>
    </row>
    <row r="72" spans="1:29" ht="15.75" customHeight="1">
      <c r="A72" s="515" t="s">
        <v>1178</v>
      </c>
      <c r="B72" s="232" t="s">
        <v>16</v>
      </c>
      <c r="C72" s="512" t="s">
        <v>26</v>
      </c>
      <c r="D72" s="512"/>
      <c r="E72" s="62">
        <v>20.52</v>
      </c>
      <c r="F72" s="232">
        <v>3498</v>
      </c>
      <c r="G72" s="224">
        <f t="shared" si="43"/>
        <v>71778.959999999992</v>
      </c>
      <c r="H72" s="90" t="s">
        <v>5</v>
      </c>
      <c r="I72" s="229">
        <v>18</v>
      </c>
      <c r="J72" s="63">
        <v>2400</v>
      </c>
      <c r="K72" s="64">
        <f t="shared" si="46"/>
        <v>133.33333333333334</v>
      </c>
      <c r="L72" s="229">
        <v>18</v>
      </c>
      <c r="M72" s="65">
        <f t="shared" si="44"/>
        <v>2281.304347826087</v>
      </c>
      <c r="N72" s="64">
        <f t="shared" si="47"/>
        <v>126.73913043478261</v>
      </c>
      <c r="O72" s="66">
        <f t="shared" si="48"/>
        <v>0</v>
      </c>
      <c r="P72" s="67">
        <f t="shared" si="49"/>
        <v>-6.5942028985507335</v>
      </c>
      <c r="Q72" s="225">
        <f t="shared" si="50"/>
        <v>0.95054347826086949</v>
      </c>
      <c r="R72" s="511"/>
      <c r="S72" s="68">
        <v>0.31874999999999998</v>
      </c>
      <c r="T72" s="68">
        <v>0.38263888888888886</v>
      </c>
      <c r="U72" s="224">
        <f t="shared" si="51"/>
        <v>6.9999999999999751</v>
      </c>
      <c r="V72" s="230">
        <f t="shared" si="45"/>
        <v>92</v>
      </c>
      <c r="W72" s="69"/>
      <c r="X72" s="69"/>
      <c r="Y72" s="510"/>
      <c r="Z72" s="510"/>
      <c r="AA72" s="66">
        <f t="shared" si="52"/>
        <v>-118.695652173913</v>
      </c>
      <c r="AB72" s="225">
        <f t="shared" si="53"/>
        <v>0.9505434782608696</v>
      </c>
      <c r="AC72" s="511"/>
    </row>
    <row r="73" spans="1:29" ht="15.75" customHeight="1">
      <c r="A73" s="515" t="s">
        <v>1178</v>
      </c>
      <c r="B73" s="232" t="s">
        <v>16</v>
      </c>
      <c r="C73" s="512" t="s">
        <v>49</v>
      </c>
      <c r="D73" s="512"/>
      <c r="E73" s="62">
        <v>19.02</v>
      </c>
      <c r="F73" s="232">
        <v>5800</v>
      </c>
      <c r="G73" s="224">
        <f t="shared" si="43"/>
        <v>110316</v>
      </c>
      <c r="H73" s="90">
        <v>2</v>
      </c>
      <c r="I73" s="229">
        <v>15</v>
      </c>
      <c r="J73" s="63">
        <v>2400</v>
      </c>
      <c r="K73" s="64">
        <f t="shared" si="46"/>
        <v>160</v>
      </c>
      <c r="L73" s="229">
        <v>15</v>
      </c>
      <c r="M73" s="65">
        <f t="shared" si="44"/>
        <v>2289.4736842105258</v>
      </c>
      <c r="N73" s="64">
        <f t="shared" si="47"/>
        <v>152.63157894736838</v>
      </c>
      <c r="O73" s="66">
        <f t="shared" si="48"/>
        <v>0</v>
      </c>
      <c r="P73" s="67">
        <f t="shared" si="49"/>
        <v>-7.3684210526316178</v>
      </c>
      <c r="Q73" s="225">
        <f t="shared" si="50"/>
        <v>0.95394736842105243</v>
      </c>
      <c r="R73" s="511"/>
      <c r="S73" s="68">
        <v>0.38749999999999996</v>
      </c>
      <c r="T73" s="68">
        <v>0.49305555555555552</v>
      </c>
      <c r="U73" s="224">
        <f t="shared" si="51"/>
        <v>6.9999999999999751</v>
      </c>
      <c r="V73" s="230">
        <f t="shared" si="45"/>
        <v>152.00000000000003</v>
      </c>
      <c r="W73" s="69">
        <f>T73</f>
        <v>0.49305555555555552</v>
      </c>
      <c r="X73" s="69">
        <f>S74</f>
        <v>0.53333333333333321</v>
      </c>
      <c r="Y73" s="510"/>
      <c r="Z73" s="510"/>
      <c r="AA73" s="66">
        <f t="shared" si="52"/>
        <v>-110.52631578947421</v>
      </c>
      <c r="AB73" s="225">
        <f t="shared" si="53"/>
        <v>0.95394736842105243</v>
      </c>
      <c r="AC73" s="511"/>
    </row>
    <row r="74" spans="1:29" ht="15.75" customHeight="1">
      <c r="A74" s="515" t="s">
        <v>1178</v>
      </c>
      <c r="B74" s="232" t="s">
        <v>16</v>
      </c>
      <c r="C74" s="512" t="s">
        <v>49</v>
      </c>
      <c r="D74" s="512"/>
      <c r="E74" s="62">
        <v>19.02</v>
      </c>
      <c r="F74" s="232">
        <v>4664</v>
      </c>
      <c r="G74" s="224">
        <f t="shared" si="43"/>
        <v>88709.28</v>
      </c>
      <c r="H74" s="90" t="s">
        <v>5</v>
      </c>
      <c r="I74" s="229">
        <v>15</v>
      </c>
      <c r="J74" s="63">
        <v>2400</v>
      </c>
      <c r="K74" s="64">
        <f t="shared" si="46"/>
        <v>160</v>
      </c>
      <c r="L74" s="229">
        <v>15</v>
      </c>
      <c r="M74" s="65">
        <f t="shared" si="44"/>
        <v>2293.7704918032778</v>
      </c>
      <c r="N74" s="64">
        <f t="shared" si="47"/>
        <v>152.91803278688519</v>
      </c>
      <c r="O74" s="66">
        <f t="shared" si="48"/>
        <v>0</v>
      </c>
      <c r="P74" s="67">
        <f t="shared" si="49"/>
        <v>-7.0819672131148081</v>
      </c>
      <c r="Q74" s="225">
        <f t="shared" si="50"/>
        <v>0.95573770491803245</v>
      </c>
      <c r="R74" s="511"/>
      <c r="S74" s="68">
        <v>0.53333333333333321</v>
      </c>
      <c r="T74" s="68">
        <v>0.61805555555555547</v>
      </c>
      <c r="U74" s="224">
        <f t="shared" si="51"/>
        <v>57.999999999999872</v>
      </c>
      <c r="V74" s="230">
        <f t="shared" si="45"/>
        <v>122.00000000000004</v>
      </c>
      <c r="W74" s="69"/>
      <c r="X74" s="69"/>
      <c r="Y74" s="517"/>
      <c r="Z74" s="518"/>
      <c r="AA74" s="66">
        <f t="shared" si="52"/>
        <v>-106.22950819672224</v>
      </c>
      <c r="AB74" s="225">
        <f t="shared" si="53"/>
        <v>0.95573770491803245</v>
      </c>
      <c r="AC74" s="511"/>
    </row>
    <row r="75" spans="1:29" ht="15.75" customHeight="1">
      <c r="A75" s="515" t="s">
        <v>1178</v>
      </c>
      <c r="B75" s="232" t="s">
        <v>16</v>
      </c>
      <c r="C75" s="512" t="s">
        <v>25</v>
      </c>
      <c r="D75" s="512"/>
      <c r="E75" s="62">
        <v>26.2</v>
      </c>
      <c r="F75" s="232">
        <v>2382</v>
      </c>
      <c r="G75" s="224">
        <f t="shared" si="43"/>
        <v>62408.4</v>
      </c>
      <c r="H75" s="90" t="s">
        <v>5</v>
      </c>
      <c r="I75" s="229">
        <v>20</v>
      </c>
      <c r="J75" s="63">
        <v>2400</v>
      </c>
      <c r="K75" s="64">
        <f t="shared" si="46"/>
        <v>120</v>
      </c>
      <c r="L75" s="229">
        <v>20</v>
      </c>
      <c r="M75" s="65">
        <f t="shared" si="44"/>
        <v>2305.1612903225828</v>
      </c>
      <c r="N75" s="64">
        <f t="shared" si="47"/>
        <v>115.25806451612914</v>
      </c>
      <c r="O75" s="66">
        <f t="shared" si="48"/>
        <v>0</v>
      </c>
      <c r="P75" s="67">
        <f t="shared" si="49"/>
        <v>-4.7419354838708614</v>
      </c>
      <c r="Q75" s="225">
        <f t="shared" si="50"/>
        <v>0.96048387096774279</v>
      </c>
      <c r="R75" s="511"/>
      <c r="S75" s="68">
        <v>0.62222222222222212</v>
      </c>
      <c r="T75" s="68">
        <v>0.66527777777777763</v>
      </c>
      <c r="U75" s="224">
        <f t="shared" si="51"/>
        <v>5.9999999999999787</v>
      </c>
      <c r="V75" s="230">
        <f t="shared" si="45"/>
        <v>61.999999999999943</v>
      </c>
      <c r="W75" s="69"/>
      <c r="X75" s="69"/>
      <c r="Y75" s="517"/>
      <c r="Z75" s="518"/>
      <c r="AA75" s="66">
        <f t="shared" si="52"/>
        <v>-94.838709677417228</v>
      </c>
      <c r="AB75" s="225">
        <f t="shared" si="53"/>
        <v>0.96048387096774279</v>
      </c>
      <c r="AC75" s="511"/>
    </row>
    <row r="76" spans="1:29" ht="16.5" customHeight="1">
      <c r="A76" s="516" t="s">
        <v>1178</v>
      </c>
      <c r="B76" s="62" t="s">
        <v>1174</v>
      </c>
      <c r="C76" s="508"/>
      <c r="D76" s="509"/>
      <c r="E76" s="226"/>
      <c r="F76" s="71"/>
      <c r="G76" s="64"/>
      <c r="H76" s="232"/>
      <c r="I76" s="72">
        <v>17.125</v>
      </c>
      <c r="J76" s="63">
        <v>2400</v>
      </c>
      <c r="K76" s="64">
        <f t="shared" si="46"/>
        <v>140.14598540145985</v>
      </c>
      <c r="L76" s="72">
        <v>17.125</v>
      </c>
      <c r="M76" s="65">
        <f>AVERAGE(M68:M75)</f>
        <v>2295.7214301887011</v>
      </c>
      <c r="N76" s="64">
        <f t="shared" si="47"/>
        <v>134.0567258504351</v>
      </c>
      <c r="O76" s="66">
        <f t="shared" si="48"/>
        <v>0</v>
      </c>
      <c r="P76" s="67">
        <f t="shared" si="49"/>
        <v>-6.0892595510247531</v>
      </c>
      <c r="Q76" s="225">
        <f t="shared" si="50"/>
        <v>0.95655059591195879</v>
      </c>
      <c r="R76" s="511"/>
      <c r="S76" s="68"/>
      <c r="T76" s="68"/>
      <c r="U76" s="64"/>
      <c r="V76" s="230"/>
      <c r="W76" s="64"/>
      <c r="X76" s="64"/>
      <c r="Y76" s="510"/>
      <c r="Z76" s="510"/>
      <c r="AA76" s="66">
        <f t="shared" si="52"/>
        <v>-104.27856981129889</v>
      </c>
      <c r="AB76" s="225">
        <f t="shared" si="53"/>
        <v>0.95655059591195879</v>
      </c>
      <c r="AC76" s="511"/>
    </row>
    <row r="77" spans="1:29">
      <c r="D77" s="76"/>
      <c r="E77" s="76"/>
    </row>
  </sheetData>
  <mergeCells count="20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8"/>
    <mergeCell ref="Y13:Z13"/>
    <mergeCell ref="AC13:AC18"/>
    <mergeCell ref="C17:D17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A13:A1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5:Z25"/>
    <mergeCell ref="C26:D26"/>
    <mergeCell ref="Y26:Z26"/>
    <mergeCell ref="C27:D27"/>
    <mergeCell ref="Y27:Z27"/>
    <mergeCell ref="C14:D14"/>
    <mergeCell ref="Y14:Z14"/>
    <mergeCell ref="A28:A37"/>
    <mergeCell ref="C28:D28"/>
    <mergeCell ref="R28:R37"/>
    <mergeCell ref="Y28:Z28"/>
    <mergeCell ref="Y33:Z33"/>
    <mergeCell ref="C34:D34"/>
    <mergeCell ref="Y34:Z34"/>
    <mergeCell ref="C35:D35"/>
    <mergeCell ref="Y35:Z35"/>
    <mergeCell ref="C36:D36"/>
    <mergeCell ref="Y36:Z36"/>
    <mergeCell ref="AC28:AC37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7:D37"/>
    <mergeCell ref="Y37:Z37"/>
    <mergeCell ref="A38:A46"/>
    <mergeCell ref="C38:D38"/>
    <mergeCell ref="R38:R46"/>
    <mergeCell ref="Y38:Z38"/>
    <mergeCell ref="Y43:Z43"/>
    <mergeCell ref="C44:D44"/>
    <mergeCell ref="Y44:Z44"/>
    <mergeCell ref="C45:D45"/>
    <mergeCell ref="AC38:AC46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Y45:Z45"/>
    <mergeCell ref="C46:D46"/>
    <mergeCell ref="Y46:Z46"/>
    <mergeCell ref="A47:A56"/>
    <mergeCell ref="C47:D47"/>
    <mergeCell ref="R47:R56"/>
    <mergeCell ref="Y47:Z47"/>
    <mergeCell ref="Y52:Z52"/>
    <mergeCell ref="C53:D53"/>
    <mergeCell ref="Y53:Z53"/>
    <mergeCell ref="C54:D54"/>
    <mergeCell ref="Y54:Z54"/>
    <mergeCell ref="C55:D55"/>
    <mergeCell ref="Y55:Z55"/>
    <mergeCell ref="C56:D56"/>
    <mergeCell ref="Y56:Z56"/>
    <mergeCell ref="AC47:AC56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AC63:AC67"/>
    <mergeCell ref="C64:D64"/>
    <mergeCell ref="Y64:Z64"/>
    <mergeCell ref="C65:D65"/>
    <mergeCell ref="Y65:Z65"/>
    <mergeCell ref="C66:D66"/>
    <mergeCell ref="A57:A62"/>
    <mergeCell ref="C57:D57"/>
    <mergeCell ref="R57:R62"/>
    <mergeCell ref="Y57:Z57"/>
    <mergeCell ref="AC57:AC62"/>
    <mergeCell ref="C58:D58"/>
    <mergeCell ref="Y58:Z58"/>
    <mergeCell ref="C59:D59"/>
    <mergeCell ref="C62:D62"/>
    <mergeCell ref="Y62:Z62"/>
    <mergeCell ref="Y66:Z66"/>
    <mergeCell ref="C67:D67"/>
    <mergeCell ref="Y67:Z67"/>
    <mergeCell ref="A68:A76"/>
    <mergeCell ref="C68:D68"/>
    <mergeCell ref="R68:R76"/>
    <mergeCell ref="Y68:Z68"/>
    <mergeCell ref="Y73:Z73"/>
    <mergeCell ref="C74:D74"/>
    <mergeCell ref="Y74:Z74"/>
    <mergeCell ref="A63:A67"/>
    <mergeCell ref="C63:D63"/>
    <mergeCell ref="R63:R67"/>
    <mergeCell ref="Y63:Z63"/>
    <mergeCell ref="C75:D75"/>
    <mergeCell ref="Y75:Z75"/>
    <mergeCell ref="C76:D76"/>
    <mergeCell ref="Y76:Z76"/>
    <mergeCell ref="AC68:AC76"/>
    <mergeCell ref="C69:D69"/>
    <mergeCell ref="Y69:Z69"/>
    <mergeCell ref="C70:D70"/>
    <mergeCell ref="Y70:Z70"/>
    <mergeCell ref="C71:D71"/>
    <mergeCell ref="Y71:Z71"/>
    <mergeCell ref="C72:D72"/>
    <mergeCell ref="Y72:Z72"/>
    <mergeCell ref="C73:D73"/>
  </mergeCells>
  <phoneticPr fontId="3" type="noConversion"/>
  <conditionalFormatting sqref="O66:O73 O76 O5:O10 O12:O14 O56:O63 O18:O35 O37:O52">
    <cfRule type="cellIs" dxfId="1181" priority="72" operator="greaterThan">
      <formula>0</formula>
    </cfRule>
  </conditionalFormatting>
  <conditionalFormatting sqref="P5:P8 P66 AA66 P68:P73 P28:P35 P63 P10 P12:P14 P19:P26 P57:P61 P38:P52 AA5:AA63 AA68:AA76">
    <cfRule type="cellIs" dxfId="1180" priority="76" operator="lessThan">
      <formula>0</formula>
    </cfRule>
  </conditionalFormatting>
  <conditionalFormatting sqref="AB66 Q66:Q73 Q76 Q5:Q10 Q12:Q14 Q56:Q63 Q18:Q35 Q37:Q52 AB5:AB63 AB68:AB76">
    <cfRule type="cellIs" dxfId="1179" priority="73" operator="greaterThan">
      <formula>1</formula>
    </cfRule>
    <cfRule type="cellIs" dxfId="1178" priority="74" operator="lessThan">
      <formula>0.8</formula>
    </cfRule>
  </conditionalFormatting>
  <conditionalFormatting sqref="AC13:AC14 R13:R14 AC66 R66:R73 R18:R24 AC18:AC24 AC27:AC35 R27:R35 R76 AC5:AC10 R5:R10 R37:R52 AC37:AC52 AC56:AC63 R56:R63">
    <cfRule type="cellIs" dxfId="1177" priority="78" operator="lessThan">
      <formula>0.8</formula>
    </cfRule>
  </conditionalFormatting>
  <conditionalFormatting sqref="AC47">
    <cfRule type="cellIs" dxfId="1176" priority="80" operator="lessThan">
      <formula>0.8</formula>
    </cfRule>
  </conditionalFormatting>
  <conditionalFormatting sqref="AC19:AC24">
    <cfRule type="cellIs" dxfId="1175" priority="77" operator="lessThan">
      <formula>0.8</formula>
    </cfRule>
  </conditionalFormatting>
  <conditionalFormatting sqref="AC28">
    <cfRule type="cellIs" dxfId="1174" priority="79" operator="lessThan">
      <formula>0.8</formula>
    </cfRule>
  </conditionalFormatting>
  <conditionalFormatting sqref="AC38:AC45">
    <cfRule type="cellIs" dxfId="1173" priority="75" operator="lessThan">
      <formula>0.8</formula>
    </cfRule>
  </conditionalFormatting>
  <conditionalFormatting sqref="AA67">
    <cfRule type="cellIs" dxfId="1172" priority="71" operator="lessThan">
      <formula>0</formula>
    </cfRule>
  </conditionalFormatting>
  <conditionalFormatting sqref="AB67">
    <cfRule type="cellIs" dxfId="1171" priority="69" operator="greaterThan">
      <formula>1</formula>
    </cfRule>
    <cfRule type="cellIs" dxfId="1170" priority="70" operator="lessThan">
      <formula>0.8</formula>
    </cfRule>
  </conditionalFormatting>
  <conditionalFormatting sqref="O15:O16">
    <cfRule type="cellIs" dxfId="1169" priority="64" operator="greaterThan">
      <formula>0</formula>
    </cfRule>
  </conditionalFormatting>
  <conditionalFormatting sqref="P15:P16">
    <cfRule type="cellIs" dxfId="1168" priority="67" operator="lessThan">
      <formula>0</formula>
    </cfRule>
  </conditionalFormatting>
  <conditionalFormatting sqref="Q15:Q16">
    <cfRule type="cellIs" dxfId="1167" priority="65" operator="greaterThan">
      <formula>1</formula>
    </cfRule>
    <cfRule type="cellIs" dxfId="1166" priority="66" operator="lessThan">
      <formula>0.8</formula>
    </cfRule>
  </conditionalFormatting>
  <conditionalFormatting sqref="R15:R16 AC15:AC16">
    <cfRule type="cellIs" dxfId="1165" priority="68" operator="lessThan">
      <formula>0.8</formula>
    </cfRule>
  </conditionalFormatting>
  <conditionalFormatting sqref="O11">
    <cfRule type="cellIs" dxfId="1164" priority="60" operator="greaterThan">
      <formula>0</formula>
    </cfRule>
  </conditionalFormatting>
  <conditionalFormatting sqref="P11">
    <cfRule type="cellIs" dxfId="1163" priority="63" operator="lessThan">
      <formula>0</formula>
    </cfRule>
  </conditionalFormatting>
  <conditionalFormatting sqref="Q11">
    <cfRule type="cellIs" dxfId="1162" priority="61" operator="greaterThan">
      <formula>1</formula>
    </cfRule>
    <cfRule type="cellIs" dxfId="1161" priority="62" operator="lessThan">
      <formula>0.8</formula>
    </cfRule>
  </conditionalFormatting>
  <conditionalFormatting sqref="AC26 R26">
    <cfRule type="cellIs" dxfId="1160" priority="59" operator="lessThan">
      <formula>0.8</formula>
    </cfRule>
  </conditionalFormatting>
  <conditionalFormatting sqref="O65">
    <cfRule type="cellIs" dxfId="1159" priority="54" operator="greaterThan">
      <formula>0</formula>
    </cfRule>
  </conditionalFormatting>
  <conditionalFormatting sqref="P65 AA65">
    <cfRule type="cellIs" dxfId="1158" priority="57" operator="lessThan">
      <formula>0</formula>
    </cfRule>
  </conditionalFormatting>
  <conditionalFormatting sqref="Q65 AB65">
    <cfRule type="cellIs" dxfId="1157" priority="55" operator="greaterThan">
      <formula>1</formula>
    </cfRule>
    <cfRule type="cellIs" dxfId="1156" priority="56" operator="lessThan">
      <formula>0.8</formula>
    </cfRule>
  </conditionalFormatting>
  <conditionalFormatting sqref="R65 AC65">
    <cfRule type="cellIs" dxfId="1155" priority="58" operator="lessThan">
      <formula>0.8</formula>
    </cfRule>
  </conditionalFormatting>
  <conditionalFormatting sqref="O36">
    <cfRule type="cellIs" dxfId="1154" priority="49" operator="greaterThan">
      <formula>0</formula>
    </cfRule>
  </conditionalFormatting>
  <conditionalFormatting sqref="P36">
    <cfRule type="cellIs" dxfId="1153" priority="52" operator="lessThan">
      <formula>0</formula>
    </cfRule>
  </conditionalFormatting>
  <conditionalFormatting sqref="Q36">
    <cfRule type="cellIs" dxfId="1152" priority="50" operator="greaterThan">
      <formula>1</formula>
    </cfRule>
    <cfRule type="cellIs" dxfId="1151" priority="51" operator="lessThan">
      <formula>0.8</formula>
    </cfRule>
  </conditionalFormatting>
  <conditionalFormatting sqref="R36 AC36">
    <cfRule type="cellIs" dxfId="1150" priority="53" operator="lessThan">
      <formula>0.8</formula>
    </cfRule>
  </conditionalFormatting>
  <conditionalFormatting sqref="O74">
    <cfRule type="cellIs" dxfId="1149" priority="44" operator="greaterThan">
      <formula>0</formula>
    </cfRule>
  </conditionalFormatting>
  <conditionalFormatting sqref="P74">
    <cfRule type="cellIs" dxfId="1148" priority="47" operator="lessThan">
      <formula>0</formula>
    </cfRule>
  </conditionalFormatting>
  <conditionalFormatting sqref="Q74">
    <cfRule type="cellIs" dxfId="1147" priority="45" operator="greaterThan">
      <formula>1</formula>
    </cfRule>
    <cfRule type="cellIs" dxfId="1146" priority="46" operator="lessThan">
      <formula>0.8</formula>
    </cfRule>
  </conditionalFormatting>
  <conditionalFormatting sqref="R74">
    <cfRule type="cellIs" dxfId="1145" priority="48" operator="lessThan">
      <formula>0.8</formula>
    </cfRule>
  </conditionalFormatting>
  <conditionalFormatting sqref="O17">
    <cfRule type="cellIs" dxfId="1144" priority="39" operator="greaterThan">
      <formula>0</formula>
    </cfRule>
  </conditionalFormatting>
  <conditionalFormatting sqref="P17">
    <cfRule type="cellIs" dxfId="1143" priority="42" operator="lessThan">
      <formula>0</formula>
    </cfRule>
  </conditionalFormatting>
  <conditionalFormatting sqref="Q17">
    <cfRule type="cellIs" dxfId="1142" priority="40" operator="greaterThan">
      <formula>1</formula>
    </cfRule>
    <cfRule type="cellIs" dxfId="1141" priority="41" operator="lessThan">
      <formula>0.8</formula>
    </cfRule>
  </conditionalFormatting>
  <conditionalFormatting sqref="R17 AC17">
    <cfRule type="cellIs" dxfId="1140" priority="43" operator="lessThan">
      <formula>0.8</formula>
    </cfRule>
  </conditionalFormatting>
  <conditionalFormatting sqref="O53">
    <cfRule type="cellIs" dxfId="1139" priority="33" operator="greaterThan">
      <formula>0</formula>
    </cfRule>
  </conditionalFormatting>
  <conditionalFormatting sqref="P53">
    <cfRule type="cellIs" dxfId="1138" priority="37" operator="lessThan">
      <formula>0</formula>
    </cfRule>
  </conditionalFormatting>
  <conditionalFormatting sqref="Q53">
    <cfRule type="cellIs" dxfId="1137" priority="34" operator="greaterThan">
      <formula>1</formula>
    </cfRule>
    <cfRule type="cellIs" dxfId="1136" priority="35" operator="lessThan">
      <formula>0.8</formula>
    </cfRule>
  </conditionalFormatting>
  <conditionalFormatting sqref="R53 AC53">
    <cfRule type="cellIs" dxfId="1135" priority="38" operator="lessThan">
      <formula>0.8</formula>
    </cfRule>
  </conditionalFormatting>
  <conditionalFormatting sqref="AC53">
    <cfRule type="cellIs" dxfId="1134" priority="36" operator="lessThan">
      <formula>0.8</formula>
    </cfRule>
  </conditionalFormatting>
  <conditionalFormatting sqref="O54">
    <cfRule type="cellIs" dxfId="1133" priority="27" operator="greaterThan">
      <formula>0</formula>
    </cfRule>
  </conditionalFormatting>
  <conditionalFormatting sqref="P54">
    <cfRule type="cellIs" dxfId="1132" priority="31" operator="lessThan">
      <formula>0</formula>
    </cfRule>
  </conditionalFormatting>
  <conditionalFormatting sqref="Q54">
    <cfRule type="cellIs" dxfId="1131" priority="28" operator="greaterThan">
      <formula>1</formula>
    </cfRule>
    <cfRule type="cellIs" dxfId="1130" priority="29" operator="lessThan">
      <formula>0.8</formula>
    </cfRule>
  </conditionalFormatting>
  <conditionalFormatting sqref="R54 AC54">
    <cfRule type="cellIs" dxfId="1129" priority="32" operator="lessThan">
      <formula>0.8</formula>
    </cfRule>
  </conditionalFormatting>
  <conditionalFormatting sqref="AC54">
    <cfRule type="cellIs" dxfId="1128" priority="30" operator="lessThan">
      <formula>0.8</formula>
    </cfRule>
  </conditionalFormatting>
  <conditionalFormatting sqref="R25 AC25">
    <cfRule type="cellIs" dxfId="1127" priority="26" operator="lessThan">
      <formula>0.8</formula>
    </cfRule>
  </conditionalFormatting>
  <conditionalFormatting sqref="AC25">
    <cfRule type="cellIs" dxfId="1126" priority="25" operator="lessThan">
      <formula>0.8</formula>
    </cfRule>
  </conditionalFormatting>
  <conditionalFormatting sqref="O55">
    <cfRule type="cellIs" dxfId="1125" priority="19" operator="greaterThan">
      <formula>0</formula>
    </cfRule>
  </conditionalFormatting>
  <conditionalFormatting sqref="P55">
    <cfRule type="cellIs" dxfId="1124" priority="23" operator="lessThan">
      <formula>0</formula>
    </cfRule>
  </conditionalFormatting>
  <conditionalFormatting sqref="Q55">
    <cfRule type="cellIs" dxfId="1123" priority="20" operator="greaterThan">
      <formula>1</formula>
    </cfRule>
    <cfRule type="cellIs" dxfId="1122" priority="21" operator="lessThan">
      <formula>0.8</formula>
    </cfRule>
  </conditionalFormatting>
  <conditionalFormatting sqref="R55 AC55">
    <cfRule type="cellIs" dxfId="1121" priority="24" operator="lessThan">
      <formula>0.8</formula>
    </cfRule>
  </conditionalFormatting>
  <conditionalFormatting sqref="AC55">
    <cfRule type="cellIs" dxfId="1120" priority="22" operator="lessThan">
      <formula>0.8</formula>
    </cfRule>
  </conditionalFormatting>
  <conditionalFormatting sqref="O64">
    <cfRule type="cellIs" dxfId="1119" priority="14" operator="greaterThan">
      <formula>0</formula>
    </cfRule>
  </conditionalFormatting>
  <conditionalFormatting sqref="P64 AA64">
    <cfRule type="cellIs" dxfId="1118" priority="17" operator="lessThan">
      <formula>0</formula>
    </cfRule>
  </conditionalFormatting>
  <conditionalFormatting sqref="Q64 AB64">
    <cfRule type="cellIs" dxfId="1117" priority="15" operator="greaterThan">
      <formula>1</formula>
    </cfRule>
    <cfRule type="cellIs" dxfId="1116" priority="16" operator="lessThan">
      <formula>0.8</formula>
    </cfRule>
  </conditionalFormatting>
  <conditionalFormatting sqref="R64 AC64">
    <cfRule type="cellIs" dxfId="1115" priority="18" operator="lessThan">
      <formula>0.8</formula>
    </cfRule>
  </conditionalFormatting>
  <conditionalFormatting sqref="P9">
    <cfRule type="cellIs" dxfId="1114" priority="13" operator="lessThan">
      <formula>0</formula>
    </cfRule>
  </conditionalFormatting>
  <conditionalFormatting sqref="P18">
    <cfRule type="cellIs" dxfId="1113" priority="12" operator="lessThan">
      <formula>0</formula>
    </cfRule>
  </conditionalFormatting>
  <conditionalFormatting sqref="P27">
    <cfRule type="cellIs" dxfId="1112" priority="11" operator="lessThan">
      <formula>0</formula>
    </cfRule>
  </conditionalFormatting>
  <conditionalFormatting sqref="P37">
    <cfRule type="cellIs" dxfId="1111" priority="10" operator="lessThan">
      <formula>0</formula>
    </cfRule>
  </conditionalFormatting>
  <conditionalFormatting sqref="P56">
    <cfRule type="cellIs" dxfId="1110" priority="9" operator="lessThan">
      <formula>0</formula>
    </cfRule>
  </conditionalFormatting>
  <conditionalFormatting sqref="P62">
    <cfRule type="cellIs" dxfId="1109" priority="8" operator="lessThan">
      <formula>0</formula>
    </cfRule>
  </conditionalFormatting>
  <conditionalFormatting sqref="P67">
    <cfRule type="cellIs" dxfId="1108" priority="7" operator="lessThan">
      <formula>0</formula>
    </cfRule>
  </conditionalFormatting>
  <conditionalFormatting sqref="P76">
    <cfRule type="cellIs" dxfId="1107" priority="6" operator="lessThan">
      <formula>0</formula>
    </cfRule>
  </conditionalFormatting>
  <conditionalFormatting sqref="O75">
    <cfRule type="cellIs" dxfId="1106" priority="1" operator="greaterThan">
      <formula>0</formula>
    </cfRule>
  </conditionalFormatting>
  <conditionalFormatting sqref="P75">
    <cfRule type="cellIs" dxfId="1105" priority="4" operator="lessThan">
      <formula>0</formula>
    </cfRule>
  </conditionalFormatting>
  <conditionalFormatting sqref="Q75">
    <cfRule type="cellIs" dxfId="1104" priority="2" operator="greaterThan">
      <formula>1</formula>
    </cfRule>
    <cfRule type="cellIs" dxfId="1103" priority="3" operator="lessThan">
      <formula>0.8</formula>
    </cfRule>
  </conditionalFormatting>
  <conditionalFormatting sqref="R75">
    <cfRule type="cellIs" dxfId="1102" priority="5" operator="lessThan">
      <formula>0.8</formula>
    </cfRule>
  </conditionalFormatting>
  <dataValidations count="1">
    <dataValidation type="list" allowBlank="1" showInputMessage="1" showErrorMessage="1" sqref="Z9 Y5:Z8 Y9:Y66 Z11:Z63 Y67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988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989</v>
      </c>
      <c r="C3" s="497" t="str">
        <f>TEXT('1112 4度C'!A2,"yyyy.mm.ddaaaa")</f>
        <v>2025.11.12星期三</v>
      </c>
      <c r="D3" s="498"/>
      <c r="E3" s="4" t="s">
        <v>990</v>
      </c>
      <c r="F3" s="499">
        <f>'1112 4度C'!D1</f>
        <v>213386</v>
      </c>
      <c r="G3" s="500"/>
      <c r="H3" s="4" t="s">
        <v>991</v>
      </c>
      <c r="I3" s="501">
        <f>'1112 4度C'!F1</f>
        <v>7289310.0099999998</v>
      </c>
      <c r="J3" s="502"/>
      <c r="K3" s="5"/>
      <c r="L3" s="6"/>
      <c r="M3" s="7"/>
      <c r="N3" s="7"/>
    </row>
    <row r="4" spans="2:17" ht="28.5" customHeight="1">
      <c r="B4" s="503" t="s">
        <v>992</v>
      </c>
      <c r="C4" s="485" t="s">
        <v>92</v>
      </c>
      <c r="D4" s="486"/>
      <c r="E4" s="506" t="s">
        <v>993</v>
      </c>
      <c r="F4" s="507"/>
      <c r="G4" s="506" t="s">
        <v>994</v>
      </c>
      <c r="H4" s="507"/>
      <c r="I4" s="506" t="s">
        <v>995</v>
      </c>
      <c r="J4" s="507"/>
      <c r="L4" s="7"/>
      <c r="M4" s="7"/>
      <c r="N4" s="7"/>
    </row>
    <row r="5" spans="2:17" ht="28.5" customHeight="1">
      <c r="B5" s="504"/>
      <c r="C5" s="485" t="s">
        <v>996</v>
      </c>
      <c r="D5" s="486"/>
      <c r="E5" s="485" t="s">
        <v>997</v>
      </c>
      <c r="F5" s="486"/>
      <c r="G5" s="487" t="s">
        <v>998</v>
      </c>
      <c r="H5" s="488"/>
      <c r="I5" s="489" t="s">
        <v>999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152.81966138440228</v>
      </c>
      <c r="F6" s="492">
        <f>AVERAGE(D27:O27,D13:J13)</f>
        <v>159.07726064585631</v>
      </c>
      <c r="G6" s="493">
        <f>AVERAGE(D13:J13)</f>
        <v>159.07726064585631</v>
      </c>
      <c r="H6" s="494"/>
      <c r="I6" s="493">
        <f>AVERAGE(K13:M13)</f>
        <v>138.21859644100948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146.30058892742557</v>
      </c>
      <c r="F7" s="478">
        <f>AVERAGE(D28:O28,D14:J14)</f>
        <v>152.35274191409621</v>
      </c>
      <c r="G7" s="479">
        <f>AVERAGE(D14:J14)</f>
        <v>152.35274191409621</v>
      </c>
      <c r="H7" s="480"/>
      <c r="I7" s="479">
        <f>AVERAGE(K14:M14)</f>
        <v>132.17889862519414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0.95702628773950926</v>
      </c>
      <c r="F8" s="482">
        <f>AVERAGE(D15:J15,D29:O29)</f>
        <v>0.95733243926393619</v>
      </c>
      <c r="G8" s="483">
        <f>AVERAGE(D15:J15)</f>
        <v>0.95733243926393619</v>
      </c>
      <c r="H8" s="484"/>
      <c r="I8" s="483">
        <f>AVERAGE(K15:M15)</f>
        <v>0.95631193418251348</v>
      </c>
      <c r="J8" s="484"/>
      <c r="K8" s="8" t="s">
        <v>1000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1001</v>
      </c>
      <c r="C10" s="459"/>
      <c r="D10" s="460" t="s">
        <v>1002</v>
      </c>
      <c r="E10" s="461"/>
      <c r="F10" s="461"/>
      <c r="G10" s="461"/>
      <c r="H10" s="461"/>
      <c r="I10" s="461"/>
      <c r="J10" s="462"/>
      <c r="K10" s="463" t="s">
        <v>1003</v>
      </c>
      <c r="L10" s="464"/>
      <c r="M10" s="465"/>
      <c r="P10" s="11"/>
      <c r="Q10" s="11"/>
    </row>
    <row r="11" spans="2:17" ht="17.25" customHeight="1">
      <c r="B11" s="466" t="s">
        <v>1004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1005</v>
      </c>
      <c r="C13" s="18" t="s">
        <v>1006</v>
      </c>
      <c r="D13" s="19">
        <f>SUMIFS('1112 4度C'!$K:$K,'1112 4度C'!$A:$A,"新豐6線",'1112 4度C'!$B:$B,"平均")</f>
        <v>137.93103448275863</v>
      </c>
      <c r="E13" s="20">
        <f>SUMIFS('1112 4度C'!$K:$K,'1112 4度C'!$A:$A,"新豐2線",'1112 4度C'!$B:$B,"平均")</f>
        <v>81.081081081081081</v>
      </c>
      <c r="F13" s="21">
        <f>SUMIFS('1112 4度C'!$K:$K,'1112 4度C'!$A:$A,"新豐5線",'1112 4度C'!$B:$B,"平均")</f>
        <v>97.222222222222229</v>
      </c>
      <c r="G13" s="21">
        <f>SUMIFS('1112 4度C'!$K:$K,'1112 4度C'!$A:$A,"新豐7線",'1112 4度C'!$B:$B,"平均")</f>
        <v>114.4578313253012</v>
      </c>
      <c r="H13" s="21">
        <f>SUMIFS('1112 4度C'!$K:$K,'1112 4度C'!$A:$A,"新豐3線",'1112 4度C'!$B:$B,"平均")</f>
        <v>269.23076923076923</v>
      </c>
      <c r="I13" s="21">
        <f>SUMIFS('1112 4度C'!$K:$K,'1112 4度C'!$A:$A,"新豐1線",'1112 4度C'!$B:$B,"平均")</f>
        <v>121.95121951219514</v>
      </c>
      <c r="J13" s="22">
        <f>SUMIFS('1112 4度C'!$K:$K,'1112 4度C'!$A:$A,"新豐10線",'1112 4度C'!$B:$B,"平均")</f>
        <v>291.66666666666669</v>
      </c>
      <c r="K13" s="23">
        <f>SUMIFS('1112 4度C'!$K:$K,'1112 4度C'!$A:$A,"新豐8線",'1112 4度C'!$B:$B,"平均")</f>
        <v>133.33333333333334</v>
      </c>
      <c r="L13" s="24">
        <f>SUMIFS('1112 4度C'!$K:$K,'1112 4度C'!$A:$A,"新豐9線",'1112 4度C'!$B:$B,"平均")</f>
        <v>141.1764705882353</v>
      </c>
      <c r="M13" s="22">
        <f>SUMIFS('1112 4度C'!$K:$K,'1112 4度C'!$A:$A,"新豐4線",'1112 4度C'!$B:$B,"平均")</f>
        <v>140.14598540145985</v>
      </c>
    </row>
    <row r="14" spans="2:17" ht="39.6" customHeight="1">
      <c r="B14" s="471"/>
      <c r="C14" s="25" t="s">
        <v>1007</v>
      </c>
      <c r="D14" s="26">
        <f>SUMIFS('1112 4度C'!$N:$N,'1112 4度C'!$A:$A,"新豐6線",'1112 4度C'!$B:$B,"平均")</f>
        <v>132.45778203554798</v>
      </c>
      <c r="E14" s="27">
        <f>SUMIFS('1112 4度C'!$N:$N,'1112 4度C'!$A:$A,"新豐2線",'1112 4度C'!$B:$B,"平均")</f>
        <v>77.127485085551498</v>
      </c>
      <c r="F14" s="27">
        <f>SUMIFS('1112 4度C'!$N:$N,'1112 4度C'!$A:$A,"新豐5線",'1112 4度C'!$B:$B,"平均")</f>
        <v>92.966898532110875</v>
      </c>
      <c r="G14" s="27">
        <f>SUMIFS('1112 4度C'!$N:$N,'1112 4度C'!$A:$A,"新豐7線",'1112 4度C'!$B:$B,"平均")</f>
        <v>109.72562972022722</v>
      </c>
      <c r="H14" s="27">
        <f>SUMIFS('1112 4度C'!$N:$N,'1112 4度C'!$A:$A,"新豐3線",'1112 4度C'!$B:$B,"平均")</f>
        <v>257.57110064914355</v>
      </c>
      <c r="I14" s="27">
        <f>SUMIFS('1112 4度C'!$N:$N,'1112 4度C'!$A:$A,"新豐1線",'1112 4度C'!$B:$B,"平均")</f>
        <v>117.01925886218255</v>
      </c>
      <c r="J14" s="28">
        <f>SUMIFS('1112 4度C'!$N:$N,'1112 4度C'!$A:$A,"新豐10線",'1112 4度C'!$B:$B,"平均")</f>
        <v>279.60103851390977</v>
      </c>
      <c r="K14" s="29">
        <f>SUMIFS('1112 4度C'!$N:$N,'1112 4度C'!$A:$A,"新豐8線",'1112 4度C'!$B:$B,"平均")</f>
        <v>127.58809500299056</v>
      </c>
      <c r="L14" s="30">
        <f>SUMIFS('1112 4度C'!$N:$N,'1112 4度C'!$A:$A,"新豐9線",'1112 4度C'!$B:$B,"平均")</f>
        <v>135.0765910629442</v>
      </c>
      <c r="M14" s="28">
        <f>SUMIFS('1112 4度C'!$N:$N,'1112 4度C'!$A:$A,"新豐4線",'1112 4度C'!$B:$B,"平均")</f>
        <v>133.87200980964766</v>
      </c>
    </row>
    <row r="15" spans="2:17" ht="40.15" customHeight="1">
      <c r="B15" s="472"/>
      <c r="C15" s="31" t="s">
        <v>106</v>
      </c>
      <c r="D15" s="32">
        <f t="shared" ref="D15:M15" si="0">D14/D13</f>
        <v>0.96031891975772277</v>
      </c>
      <c r="E15" s="33">
        <f t="shared" si="0"/>
        <v>0.95123898272180185</v>
      </c>
      <c r="F15" s="33">
        <f t="shared" si="0"/>
        <v>0.95623095633028321</v>
      </c>
      <c r="G15" s="33">
        <f t="shared" si="0"/>
        <v>0.95865550176619574</v>
      </c>
      <c r="H15" s="33">
        <f t="shared" si="0"/>
        <v>0.95669265955396177</v>
      </c>
      <c r="I15" s="33">
        <f t="shared" si="0"/>
        <v>0.95955792266989681</v>
      </c>
      <c r="J15" s="34">
        <f t="shared" si="0"/>
        <v>0.9586321320476906</v>
      </c>
      <c r="K15" s="32">
        <f t="shared" si="0"/>
        <v>0.9569107125224291</v>
      </c>
      <c r="L15" s="33">
        <f t="shared" si="0"/>
        <v>0.95679252002918802</v>
      </c>
      <c r="M15" s="34">
        <f t="shared" si="0"/>
        <v>0.95523256999592343</v>
      </c>
    </row>
    <row r="16" spans="2:17" ht="17.25" customHeight="1">
      <c r="B16" s="473" t="s">
        <v>1008</v>
      </c>
      <c r="C16" s="35" t="s">
        <v>1009</v>
      </c>
      <c r="D16" s="49">
        <f>VLOOKUP("新豐6線",'1112 4度C'!$A:$T,19,0)</f>
        <v>0.70833333333333337</v>
      </c>
      <c r="E16" s="50">
        <f>VLOOKUP("新豐2線",'1112 4度C'!$A:$T,19,0)</f>
        <v>0.20833333333333334</v>
      </c>
      <c r="F16" s="50">
        <f>VLOOKUP("新豐5線",'1112 4度C'!$A:$T,19,0)</f>
        <v>0.125</v>
      </c>
      <c r="G16" s="50">
        <f>VLOOKUP("新豐7線",'1112 4度C'!$A:$T,19,0)</f>
        <v>0.20833333333333334</v>
      </c>
      <c r="H16" s="50">
        <f>VLOOKUP("新豐3線",'1112 4度C'!$A:$T,19,0)</f>
        <v>8.3333333333333329E-2</v>
      </c>
      <c r="I16" s="50">
        <f>VLOOKUP("新豐1線",'1112 4度C'!$A:$T,19,0)</f>
        <v>0.20833333333333334</v>
      </c>
      <c r="J16" s="51">
        <f>VLOOKUP("新豐10線",'1112 4度C'!$A:$T,19,0)</f>
        <v>0.20833333333333334</v>
      </c>
      <c r="K16" s="36">
        <f>VLOOKUP("新豐8線",'1112 4度C'!$A:$T,19,0)</f>
        <v>8.3333333333333329E-2</v>
      </c>
      <c r="L16" s="37">
        <f>VLOOKUP("新豐9線",'1112 4度C'!$A:$T,19,0)</f>
        <v>8.3333333333333329E-2</v>
      </c>
      <c r="M16" s="38">
        <f>VLOOKUP("新豐4線",'1112 4度C'!$A:$T,19,0)</f>
        <v>8.3333333333333329E-2</v>
      </c>
    </row>
    <row r="17" spans="2:13" ht="17.25" customHeight="1">
      <c r="B17" s="474"/>
      <c r="C17" s="35" t="s">
        <v>1010</v>
      </c>
      <c r="D17" s="36">
        <f>LOOKUP(2,1/(('1112 4度C'!$A:$A="新豐6線")*('1112 4度C'!$T:$T&lt;&gt;"")),'1112 4度C'!$T:$T)</f>
        <v>0.99583333333333324</v>
      </c>
      <c r="E17" s="50">
        <f>LOOKUP(2,1/(('1112 4度C'!$A:$A="新豐2線")*('1112 4度C'!$T:$T&lt;&gt;"")),'1112 4度C'!$T:$T)</f>
        <v>0.48263888888888884</v>
      </c>
      <c r="F17" s="50">
        <f>LOOKUP(2,1/(('1112 4度C'!$A:$A="新豐5線")*('1112 4度C'!$T:$T&lt;&gt;"")),'1112 4度C'!$T:$T)</f>
        <v>0.95208333333333328</v>
      </c>
      <c r="G17" s="50">
        <f>LOOKUP(2,1/(('1112 4度C'!$A:$A="新豐7線")*('1112 4度C'!$T:$T&lt;&gt;"")),'1112 4度C'!$T:$T)</f>
        <v>0.98541666666666672</v>
      </c>
      <c r="H17" s="50">
        <f>LOOKUP(2,1/(('1112 4度C'!$A:$A="新豐3線")*('1112 4度C'!$T:$T&lt;&gt;"")),'1112 4度C'!$T:$T)</f>
        <v>0.68472222222222201</v>
      </c>
      <c r="I17" s="50">
        <f>LOOKUP(2,1/(('1112 4度C'!$A:$A="新豐1線")*('1112 4度C'!$T:$T&lt;&gt;"")),'1112 4度C'!$T:$T)</f>
        <v>0.84722222222222221</v>
      </c>
      <c r="J17" s="51">
        <f>LOOKUP(2,1/(('1112 4度C'!$A:$A="新豐10線")*('1112 4度C'!$T:$T&lt;&gt;"")),'1112 4度C'!$T:$T)</f>
        <v>0.47291666666666665</v>
      </c>
      <c r="K17" s="49">
        <f>LOOKUP(2,1/(('1112 4度C'!$A:$A="新豐8線")*('1112 4度C'!$T:$T&lt;&gt;"")),'1112 4度C'!$T:$T)</f>
        <v>0.77083333333333326</v>
      </c>
      <c r="L17" s="50">
        <f>LOOKUP(2,1/(('1112 4度C'!$A:$A="新豐9線")*('1112 4度C'!$T:$T&lt;&gt;"")),'1112 4度C'!$T:$T)</f>
        <v>0.76041666666666652</v>
      </c>
      <c r="M17" s="51">
        <f>LOOKUP(2,1/(('1112 4度C'!$A:$A="新豐4線")*('1112 4度C'!$T:$T&lt;&gt;"")),'1112 4度C'!$T:$T)</f>
        <v>0.70138888888888884</v>
      </c>
    </row>
    <row r="18" spans="2:13" ht="17.25" customHeight="1">
      <c r="B18" s="452" t="s">
        <v>1011</v>
      </c>
      <c r="C18" s="453"/>
      <c r="D18" s="39">
        <f>SUMIFS('1112 4度C'!$I:$I,'1112 4度C'!$A:$A,"新豐6線",'1112 4度C'!$B:$B,"平均")</f>
        <v>14.5</v>
      </c>
      <c r="E18" s="40">
        <f>SUMIFS('1112 4度C'!$I:$I,'1112 4度C'!$A:$A,"新豐2線",'1112 4度C'!$B:$B,"平均")</f>
        <v>18.5</v>
      </c>
      <c r="F18" s="40">
        <f>SUMIFS('1112 4度C'!$I:$I,'1112 4度C'!$A:$A,"新豐5線",'1112 4度C'!$B:$B,"平均")</f>
        <v>18</v>
      </c>
      <c r="G18" s="40">
        <f>SUMIFS('1112 4度C'!$I:$I,'1112 4度C'!$A:$A,"新豐7線",'1112 4度C'!$B:$B,"平均")</f>
        <v>16.600000000000001</v>
      </c>
      <c r="H18" s="40">
        <f>SUMIFS('1112 4度C'!$I:$I,'1112 4度C'!$A:$A,"新豐3線",'1112 4度C'!$B:$B,"平均")</f>
        <v>10.4</v>
      </c>
      <c r="I18" s="40">
        <f>SUMIFS('1112 4度C'!$I:$I,'1112 4度C'!$A:$A,"新豐1線",'1112 4度C'!$B:$B,"平均")</f>
        <v>16.399999999999999</v>
      </c>
      <c r="J18" s="41">
        <f>SUMIFS('1112 4度C'!$I:$I,'1112 4度C'!$A:$A,"新豐10線",'1112 4度C'!$B:$B,"平均")</f>
        <v>9</v>
      </c>
      <c r="K18" s="39">
        <f>SUMIFS('1112 4度C'!$I:$I,'1112 4度C'!$A:$A,"新豐8線",'1112 4度C'!$B:$B,"平均")</f>
        <v>18</v>
      </c>
      <c r="L18" s="40">
        <f>SUMIFS('1112 4度C'!$I:$I,'1112 4度C'!$A:$A,"新豐9線",'1112 4度C'!$B:$B,"平均")</f>
        <v>17</v>
      </c>
      <c r="M18" s="41">
        <f>SUMIFS('1112 4度C'!$I:$I,'1112 4度C'!$A:$A,"新豐4線",'1112 4度C'!$B:$B,"平均")</f>
        <v>17.125</v>
      </c>
    </row>
    <row r="19" spans="2:13" ht="17.25" customHeight="1">
      <c r="B19" s="452" t="s">
        <v>1012</v>
      </c>
      <c r="C19" s="453"/>
      <c r="D19" s="42" t="s">
        <v>65</v>
      </c>
      <c r="E19" s="43" t="s">
        <v>66</v>
      </c>
      <c r="F19" s="43" t="s">
        <v>1013</v>
      </c>
      <c r="G19" s="43" t="s">
        <v>1013</v>
      </c>
      <c r="H19" s="43" t="s">
        <v>67</v>
      </c>
      <c r="I19" s="43" t="s">
        <v>65</v>
      </c>
      <c r="J19" s="44" t="s">
        <v>67</v>
      </c>
      <c r="K19" s="42" t="s">
        <v>1014</v>
      </c>
      <c r="L19" s="43" t="s">
        <v>1014</v>
      </c>
      <c r="M19" s="44" t="s">
        <v>1014</v>
      </c>
    </row>
    <row r="20" spans="2:13" ht="17.25" customHeight="1">
      <c r="B20" s="452" t="s">
        <v>1015</v>
      </c>
      <c r="C20" s="453"/>
      <c r="D20" s="42"/>
      <c r="E20" s="43"/>
      <c r="F20" s="43" t="s">
        <v>1016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1017</v>
      </c>
      <c r="F21" s="456" t="s">
        <v>1018</v>
      </c>
      <c r="G21" s="457"/>
      <c r="H21" s="46" t="s">
        <v>1019</v>
      </c>
      <c r="I21" s="46" t="s">
        <v>1020</v>
      </c>
      <c r="J21" s="47" t="s">
        <v>1019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1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1"/>
  <sheetViews>
    <sheetView zoomScale="80" zoomScaleNormal="80" workbookViewId="0">
      <pane ySplit="4" topLeftCell="A26" activePane="bottomLeft" state="frozen"/>
      <selection activeCell="A10" sqref="A10"/>
      <selection pane="bottomLeft" activeCell="B66" sqref="B66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1021</v>
      </c>
      <c r="B1" s="52"/>
      <c r="C1" s="53" t="s">
        <v>1022</v>
      </c>
      <c r="D1" s="54">
        <f>SUM(F5:F80)</f>
        <v>213386</v>
      </c>
      <c r="E1" s="210" t="s">
        <v>1023</v>
      </c>
      <c r="F1" s="52">
        <f>SUM(G5:G80)</f>
        <v>7289310.0099999998</v>
      </c>
      <c r="G1" s="52" t="s">
        <v>1024</v>
      </c>
      <c r="H1" s="55">
        <f>L9+L12+L60+L66+L19+L71+L40+L49+L30+L80</f>
        <v>155.52500000000001</v>
      </c>
      <c r="I1" s="556" t="s">
        <v>1025</v>
      </c>
      <c r="J1" s="556"/>
      <c r="K1" s="556"/>
      <c r="L1" s="556" t="s">
        <v>1026</v>
      </c>
      <c r="M1" s="556"/>
      <c r="N1" s="556"/>
      <c r="O1" s="556" t="s">
        <v>1027</v>
      </c>
      <c r="P1" s="556"/>
      <c r="Q1" s="556"/>
      <c r="R1" s="556"/>
      <c r="S1" s="556" t="s">
        <v>1028</v>
      </c>
      <c r="T1" s="556"/>
      <c r="U1" s="556"/>
      <c r="V1" s="556"/>
      <c r="W1" s="556"/>
      <c r="X1" s="556"/>
      <c r="Y1" s="556" t="s">
        <v>1029</v>
      </c>
      <c r="Z1" s="556"/>
      <c r="AA1" s="556" t="s">
        <v>1030</v>
      </c>
      <c r="AB1" s="557"/>
      <c r="AC1" s="557"/>
    </row>
    <row r="2" spans="1:29" ht="26.25" customHeight="1">
      <c r="A2" s="57">
        <v>45973</v>
      </c>
      <c r="B2" s="58" t="s">
        <v>460</v>
      </c>
      <c r="C2" s="53" t="s">
        <v>1005</v>
      </c>
      <c r="D2" s="59">
        <f>AVERAGE(N9,N12,N60,N66,N19,N71,N30,N40,N49,N80)</f>
        <v>146.30058892742557</v>
      </c>
      <c r="E2" s="60" t="s">
        <v>0</v>
      </c>
      <c r="F2" s="61">
        <f>F1/D1</f>
        <v>34.160207370680361</v>
      </c>
      <c r="G2" s="52" t="s">
        <v>1031</v>
      </c>
      <c r="H2" s="219">
        <f>COUNT(H5:H80)</f>
        <v>15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1032</v>
      </c>
      <c r="B3" s="510" t="s">
        <v>1033</v>
      </c>
      <c r="C3" s="510" t="s">
        <v>1034</v>
      </c>
      <c r="D3" s="510"/>
      <c r="E3" s="554" t="s">
        <v>1035</v>
      </c>
      <c r="F3" s="510" t="s">
        <v>1036</v>
      </c>
      <c r="G3" s="554" t="s">
        <v>1037</v>
      </c>
      <c r="H3" s="547" t="s">
        <v>1038</v>
      </c>
      <c r="I3" s="545" t="s">
        <v>1039</v>
      </c>
      <c r="J3" s="550" t="s">
        <v>1040</v>
      </c>
      <c r="K3" s="552" t="s">
        <v>1041</v>
      </c>
      <c r="L3" s="545" t="s">
        <v>1039</v>
      </c>
      <c r="M3" s="550" t="s">
        <v>1042</v>
      </c>
      <c r="N3" s="552" t="s">
        <v>1005</v>
      </c>
      <c r="O3" s="545" t="s">
        <v>1039</v>
      </c>
      <c r="P3" s="552" t="s">
        <v>1041</v>
      </c>
      <c r="Q3" s="551" t="s">
        <v>1043</v>
      </c>
      <c r="R3" s="523" t="s">
        <v>1044</v>
      </c>
      <c r="S3" s="553" t="s">
        <v>1</v>
      </c>
      <c r="T3" s="553"/>
      <c r="U3" s="547" t="s">
        <v>2</v>
      </c>
      <c r="V3" s="547" t="s">
        <v>1045</v>
      </c>
      <c r="W3" s="510" t="s">
        <v>1046</v>
      </c>
      <c r="X3" s="510"/>
      <c r="Y3" s="548" t="s">
        <v>1047</v>
      </c>
      <c r="Z3" s="549"/>
      <c r="AA3" s="550" t="s">
        <v>1048</v>
      </c>
      <c r="AB3" s="551" t="s">
        <v>1049</v>
      </c>
      <c r="AC3" s="523" t="s">
        <v>1050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20" t="s">
        <v>3</v>
      </c>
      <c r="T4" s="220" t="s">
        <v>4</v>
      </c>
      <c r="U4" s="547"/>
      <c r="V4" s="547"/>
      <c r="W4" s="210" t="s">
        <v>1051</v>
      </c>
      <c r="X4" s="210" t="s">
        <v>1052</v>
      </c>
      <c r="Y4" s="549"/>
      <c r="Z4" s="549"/>
      <c r="AA4" s="550"/>
      <c r="AB4" s="551"/>
      <c r="AC4" s="523"/>
    </row>
    <row r="5" spans="1:29">
      <c r="A5" s="544" t="s">
        <v>1053</v>
      </c>
      <c r="B5" s="62" t="s">
        <v>6</v>
      </c>
      <c r="C5" s="546" t="s">
        <v>9</v>
      </c>
      <c r="D5" s="546"/>
      <c r="E5" s="62">
        <v>50.67</v>
      </c>
      <c r="F5" s="220">
        <v>2053</v>
      </c>
      <c r="G5" s="210">
        <f t="shared" ref="G5:G8" si="0">E5*F5</f>
        <v>104025.51000000001</v>
      </c>
      <c r="H5" s="90" t="s">
        <v>5</v>
      </c>
      <c r="I5" s="217">
        <v>17</v>
      </c>
      <c r="J5" s="63">
        <v>2000</v>
      </c>
      <c r="K5" s="64">
        <f t="shared" ref="K5:K68" si="1">J5/I5</f>
        <v>117.64705882352941</v>
      </c>
      <c r="L5" s="217">
        <v>17</v>
      </c>
      <c r="M5" s="65">
        <f t="shared" ref="M5:M8" si="2">F5/V5*60</f>
        <v>1924.687500000002</v>
      </c>
      <c r="N5" s="64">
        <f t="shared" ref="N5:N68" si="3">M5/L5</f>
        <v>113.216911764706</v>
      </c>
      <c r="O5" s="66">
        <f t="shared" ref="O5:O68" si="4">L5-I5</f>
        <v>0</v>
      </c>
      <c r="P5" s="67">
        <f t="shared" ref="P5:P68" si="5">N5-K5</f>
        <v>-4.4301470588234082</v>
      </c>
      <c r="Q5" s="211">
        <f t="shared" ref="Q5:Q68" si="6">N5/K5</f>
        <v>0.96234375000000105</v>
      </c>
      <c r="R5" s="511">
        <f>Q9</f>
        <v>0.96031891975772277</v>
      </c>
      <c r="S5" s="68">
        <v>0.70833333333333337</v>
      </c>
      <c r="T5" s="68">
        <v>0.75277777777777777</v>
      </c>
      <c r="U5" s="210"/>
      <c r="V5" s="218">
        <f t="shared" ref="V5:V8" si="7">(T5-S5)*24*60</f>
        <v>63.999999999999929</v>
      </c>
      <c r="W5" s="69"/>
      <c r="X5" s="70"/>
      <c r="Y5" s="510"/>
      <c r="Z5" s="510"/>
      <c r="AA5" s="66">
        <f t="shared" ref="AA5:AA68" si="8">M5-J5</f>
        <v>-75.312499999997954</v>
      </c>
      <c r="AB5" s="211">
        <f t="shared" ref="AB5:AB68" si="9">M5/J5</f>
        <v>0.96234375000000105</v>
      </c>
      <c r="AC5" s="511">
        <f>AB9</f>
        <v>0.96031891975772299</v>
      </c>
    </row>
    <row r="6" spans="1:29">
      <c r="A6" s="545" t="s">
        <v>1054</v>
      </c>
      <c r="B6" s="62" t="s">
        <v>6</v>
      </c>
      <c r="C6" s="546" t="s">
        <v>8</v>
      </c>
      <c r="D6" s="546"/>
      <c r="E6" s="62">
        <v>50.49</v>
      </c>
      <c r="F6" s="220">
        <v>2758</v>
      </c>
      <c r="G6" s="210">
        <f t="shared" si="0"/>
        <v>139251.42000000001</v>
      </c>
      <c r="H6" s="90" t="s">
        <v>5</v>
      </c>
      <c r="I6" s="217">
        <v>15</v>
      </c>
      <c r="J6" s="63">
        <v>2000</v>
      </c>
      <c r="K6" s="64">
        <f t="shared" si="1"/>
        <v>133.33333333333334</v>
      </c>
      <c r="L6" s="217">
        <v>15</v>
      </c>
      <c r="M6" s="65">
        <f t="shared" si="2"/>
        <v>1924.1860465116274</v>
      </c>
      <c r="N6" s="64">
        <f t="shared" si="3"/>
        <v>128.27906976744183</v>
      </c>
      <c r="O6" s="66">
        <f t="shared" si="4"/>
        <v>0</v>
      </c>
      <c r="P6" s="67">
        <f t="shared" si="5"/>
        <v>-5.0542635658915174</v>
      </c>
      <c r="Q6" s="211">
        <f t="shared" si="6"/>
        <v>0.96209302325581358</v>
      </c>
      <c r="R6" s="511"/>
      <c r="S6" s="68">
        <v>0.75624999999999998</v>
      </c>
      <c r="T6" s="68">
        <v>0.81597222222222221</v>
      </c>
      <c r="U6" s="210">
        <f t="shared" ref="U6:U8" si="10">IF(S6=TIME(17,0,0),"",(S6-T5)*24*60)</f>
        <v>4.9999999999999822</v>
      </c>
      <c r="V6" s="218">
        <f t="shared" si="7"/>
        <v>86.000000000000014</v>
      </c>
      <c r="W6" s="69"/>
      <c r="X6" s="69"/>
      <c r="Y6" s="510"/>
      <c r="Z6" s="510"/>
      <c r="AA6" s="66">
        <f t="shared" si="8"/>
        <v>-75.81395348837259</v>
      </c>
      <c r="AB6" s="211">
        <f t="shared" si="9"/>
        <v>0.9620930232558137</v>
      </c>
      <c r="AC6" s="511"/>
    </row>
    <row r="7" spans="1:29">
      <c r="A7" s="545" t="s">
        <v>1055</v>
      </c>
      <c r="B7" s="62" t="s">
        <v>6</v>
      </c>
      <c r="C7" s="539" t="s">
        <v>886</v>
      </c>
      <c r="D7" s="540"/>
      <c r="E7" s="62">
        <v>54.7</v>
      </c>
      <c r="F7" s="220">
        <v>1800</v>
      </c>
      <c r="G7" s="210">
        <f t="shared" si="0"/>
        <v>98460</v>
      </c>
      <c r="H7" s="90">
        <v>2</v>
      </c>
      <c r="I7" s="217">
        <v>13</v>
      </c>
      <c r="J7" s="63">
        <v>2000</v>
      </c>
      <c r="K7" s="64">
        <f t="shared" si="1"/>
        <v>153.84615384615384</v>
      </c>
      <c r="L7" s="217">
        <v>13</v>
      </c>
      <c r="M7" s="65">
        <f t="shared" si="2"/>
        <v>1928.57142857143</v>
      </c>
      <c r="N7" s="64">
        <f t="shared" si="3"/>
        <v>148.35164835164846</v>
      </c>
      <c r="O7" s="66">
        <f t="shared" si="4"/>
        <v>0</v>
      </c>
      <c r="P7" s="67">
        <f t="shared" si="5"/>
        <v>-5.4945054945053755</v>
      </c>
      <c r="Q7" s="211">
        <f t="shared" si="6"/>
        <v>0.96428571428571508</v>
      </c>
      <c r="R7" s="511"/>
      <c r="S7" s="68">
        <v>0.82013888888888886</v>
      </c>
      <c r="T7" s="68">
        <v>0.85902777777777772</v>
      </c>
      <c r="U7" s="210">
        <f t="shared" si="10"/>
        <v>5.9999999999999787</v>
      </c>
      <c r="V7" s="218">
        <f t="shared" si="7"/>
        <v>55.999999999999957</v>
      </c>
      <c r="W7" s="69">
        <f>T7</f>
        <v>0.85902777777777772</v>
      </c>
      <c r="X7" s="69">
        <f>S8</f>
        <v>0.89791666666666659</v>
      </c>
      <c r="Y7" s="517"/>
      <c r="Z7" s="518"/>
      <c r="AA7" s="66">
        <f t="shared" si="8"/>
        <v>-71.428571428569967</v>
      </c>
      <c r="AB7" s="211">
        <f t="shared" si="9"/>
        <v>0.96428571428571497</v>
      </c>
      <c r="AC7" s="511"/>
    </row>
    <row r="8" spans="1:29">
      <c r="A8" s="545" t="s">
        <v>1054</v>
      </c>
      <c r="B8" s="62" t="s">
        <v>6</v>
      </c>
      <c r="C8" s="539" t="s">
        <v>886</v>
      </c>
      <c r="D8" s="540"/>
      <c r="E8" s="62">
        <v>54.7</v>
      </c>
      <c r="F8" s="220">
        <v>4477</v>
      </c>
      <c r="G8" s="210">
        <f t="shared" si="0"/>
        <v>244891.90000000002</v>
      </c>
      <c r="H8" s="90" t="s">
        <v>5</v>
      </c>
      <c r="I8" s="217">
        <v>13</v>
      </c>
      <c r="J8" s="63">
        <v>2000</v>
      </c>
      <c r="K8" s="64">
        <f t="shared" si="1"/>
        <v>153.84615384615384</v>
      </c>
      <c r="L8" s="217">
        <v>13</v>
      </c>
      <c r="M8" s="65">
        <f t="shared" si="2"/>
        <v>1905.1063829787238</v>
      </c>
      <c r="N8" s="64">
        <f t="shared" si="3"/>
        <v>146.5466448445172</v>
      </c>
      <c r="O8" s="66">
        <f t="shared" si="4"/>
        <v>0</v>
      </c>
      <c r="P8" s="67">
        <f t="shared" si="5"/>
        <v>-7.2995090016366362</v>
      </c>
      <c r="Q8" s="211">
        <f t="shared" si="6"/>
        <v>0.95255319148936191</v>
      </c>
      <c r="R8" s="511"/>
      <c r="S8" s="68">
        <v>0.89791666666666659</v>
      </c>
      <c r="T8" s="68">
        <v>0.99583333333333324</v>
      </c>
      <c r="U8" s="210">
        <f t="shared" si="10"/>
        <v>55.999999999999957</v>
      </c>
      <c r="V8" s="218">
        <f t="shared" si="7"/>
        <v>140.99999999999997</v>
      </c>
      <c r="W8" s="73"/>
      <c r="X8" s="73"/>
      <c r="Y8" s="517"/>
      <c r="Z8" s="518"/>
      <c r="AA8" s="66">
        <f t="shared" si="8"/>
        <v>-94.893617021276214</v>
      </c>
      <c r="AB8" s="211">
        <f t="shared" si="9"/>
        <v>0.95255319148936191</v>
      </c>
      <c r="AC8" s="511"/>
    </row>
    <row r="9" spans="1:29">
      <c r="A9" s="545" t="s">
        <v>1056</v>
      </c>
      <c r="B9" s="62" t="s">
        <v>1057</v>
      </c>
      <c r="C9" s="513"/>
      <c r="D9" s="513"/>
      <c r="E9" s="212"/>
      <c r="F9" s="71"/>
      <c r="G9" s="64"/>
      <c r="H9" s="220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1920.6378395154459</v>
      </c>
      <c r="N9" s="64">
        <f t="shared" si="3"/>
        <v>132.45778203554798</v>
      </c>
      <c r="O9" s="66">
        <f t="shared" si="4"/>
        <v>0</v>
      </c>
      <c r="P9" s="67">
        <f t="shared" si="5"/>
        <v>-5.4732524472106547</v>
      </c>
      <c r="Q9" s="211">
        <f t="shared" si="6"/>
        <v>0.96031891975772277</v>
      </c>
      <c r="R9" s="511"/>
      <c r="S9" s="68"/>
      <c r="T9" s="68"/>
      <c r="U9" s="210"/>
      <c r="V9" s="218"/>
      <c r="W9" s="64"/>
      <c r="X9" s="64"/>
      <c r="Y9" s="510"/>
      <c r="Z9" s="510"/>
      <c r="AA9" s="66">
        <f t="shared" si="8"/>
        <v>-79.362160484554124</v>
      </c>
      <c r="AB9" s="211">
        <f t="shared" si="9"/>
        <v>0.96031891975772299</v>
      </c>
      <c r="AC9" s="511"/>
    </row>
    <row r="10" spans="1:29" ht="15.75" customHeight="1">
      <c r="A10" s="543" t="s">
        <v>1058</v>
      </c>
      <c r="B10" s="62" t="s">
        <v>10</v>
      </c>
      <c r="C10" s="539" t="s">
        <v>12</v>
      </c>
      <c r="D10" s="540"/>
      <c r="E10" s="62">
        <v>39.36</v>
      </c>
      <c r="F10" s="220">
        <v>2021</v>
      </c>
      <c r="G10" s="210">
        <f t="shared" ref="G10:G11" si="11">E10*F10</f>
        <v>79546.559999999998</v>
      </c>
      <c r="H10" s="90" t="s">
        <v>5</v>
      </c>
      <c r="I10" s="217">
        <v>20</v>
      </c>
      <c r="J10" s="63">
        <v>1500</v>
      </c>
      <c r="K10" s="64">
        <f t="shared" si="1"/>
        <v>75</v>
      </c>
      <c r="L10" s="217">
        <v>20</v>
      </c>
      <c r="M10" s="65">
        <f t="shared" ref="M10:M11" si="12">F10/V10*60</f>
        <v>1426.588235294118</v>
      </c>
      <c r="N10" s="64">
        <f t="shared" si="3"/>
        <v>71.329411764705895</v>
      </c>
      <c r="O10" s="66">
        <f t="shared" si="4"/>
        <v>0</v>
      </c>
      <c r="P10" s="67">
        <f t="shared" si="5"/>
        <v>-3.6705882352941046</v>
      </c>
      <c r="Q10" s="211">
        <f t="shared" si="6"/>
        <v>0.95105882352941196</v>
      </c>
      <c r="R10" s="511">
        <f>Q12</f>
        <v>0.95123898272180185</v>
      </c>
      <c r="S10" s="68">
        <v>0.20833333333333334</v>
      </c>
      <c r="T10" s="68">
        <v>0.2673611111111111</v>
      </c>
      <c r="U10" s="210"/>
      <c r="V10" s="218">
        <f t="shared" ref="V10:V11" si="13">(T10-S10)*24*60</f>
        <v>84.999999999999972</v>
      </c>
      <c r="W10" s="69"/>
      <c r="X10" s="69"/>
      <c r="Y10" s="510"/>
      <c r="Z10" s="510"/>
      <c r="AA10" s="66">
        <f t="shared" si="8"/>
        <v>-73.411764705881978</v>
      </c>
      <c r="AB10" s="211">
        <f t="shared" si="9"/>
        <v>0.95105882352941207</v>
      </c>
      <c r="AC10" s="511">
        <f>AB12</f>
        <v>0.95123898272180185</v>
      </c>
    </row>
    <row r="11" spans="1:29" ht="15.75" customHeight="1">
      <c r="A11" s="543" t="s">
        <v>1059</v>
      </c>
      <c r="B11" s="62" t="s">
        <v>10</v>
      </c>
      <c r="C11" s="539" t="s">
        <v>11</v>
      </c>
      <c r="D11" s="540"/>
      <c r="E11" s="62">
        <v>39.799999999999997</v>
      </c>
      <c r="F11" s="220">
        <v>7207</v>
      </c>
      <c r="G11" s="210">
        <f t="shared" si="11"/>
        <v>286838.59999999998</v>
      </c>
      <c r="H11" s="90" t="s">
        <v>5</v>
      </c>
      <c r="I11" s="217">
        <v>17</v>
      </c>
      <c r="J11" s="63">
        <v>1500</v>
      </c>
      <c r="K11" s="64">
        <f t="shared" si="1"/>
        <v>88.235294117647058</v>
      </c>
      <c r="L11" s="217">
        <v>17</v>
      </c>
      <c r="M11" s="65">
        <f t="shared" si="12"/>
        <v>1427.1287128712875</v>
      </c>
      <c r="N11" s="64">
        <f t="shared" si="3"/>
        <v>83.948747815958086</v>
      </c>
      <c r="O11" s="66">
        <f t="shared" si="4"/>
        <v>0</v>
      </c>
      <c r="P11" s="67">
        <f t="shared" si="5"/>
        <v>-4.286546301688972</v>
      </c>
      <c r="Q11" s="211">
        <f t="shared" si="6"/>
        <v>0.95141914191419164</v>
      </c>
      <c r="R11" s="511"/>
      <c r="S11" s="68">
        <v>0.2722222222222222</v>
      </c>
      <c r="T11" s="68">
        <v>0.48263888888888884</v>
      </c>
      <c r="U11" s="210">
        <f t="shared" ref="U11" si="14">IF(S11=TIME(17,0,0),"",(S11-T10)*24*60)</f>
        <v>6.9999999999999751</v>
      </c>
      <c r="V11" s="218">
        <f t="shared" si="13"/>
        <v>302.99999999999994</v>
      </c>
      <c r="W11" s="69"/>
      <c r="X11" s="69"/>
      <c r="Y11" s="510"/>
      <c r="Z11" s="510"/>
      <c r="AA11" s="66">
        <f t="shared" si="8"/>
        <v>-72.871287128712538</v>
      </c>
      <c r="AB11" s="211">
        <f t="shared" si="9"/>
        <v>0.95141914191419164</v>
      </c>
      <c r="AC11" s="511"/>
    </row>
    <row r="12" spans="1:29" ht="16.5" customHeight="1">
      <c r="A12" s="543" t="s">
        <v>1058</v>
      </c>
      <c r="B12" s="62" t="s">
        <v>1060</v>
      </c>
      <c r="C12" s="513"/>
      <c r="D12" s="513"/>
      <c r="E12" s="212"/>
      <c r="F12" s="63"/>
      <c r="G12" s="65"/>
      <c r="H12" s="220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1426.8584740827027</v>
      </c>
      <c r="N12" s="64">
        <f t="shared" si="3"/>
        <v>77.127485085551498</v>
      </c>
      <c r="O12" s="66">
        <f t="shared" si="4"/>
        <v>0</v>
      </c>
      <c r="P12" s="67">
        <f t="shared" si="5"/>
        <v>-3.9535959955295823</v>
      </c>
      <c r="Q12" s="211">
        <f t="shared" si="6"/>
        <v>0.95123898272180185</v>
      </c>
      <c r="R12" s="511"/>
      <c r="S12" s="68"/>
      <c r="T12" s="68"/>
      <c r="U12" s="64"/>
      <c r="V12" s="218"/>
      <c r="W12" s="64"/>
      <c r="X12" s="64"/>
      <c r="Y12" s="510"/>
      <c r="Z12" s="510"/>
      <c r="AA12" s="66">
        <f t="shared" si="8"/>
        <v>-73.141525917297258</v>
      </c>
      <c r="AB12" s="211">
        <f t="shared" si="9"/>
        <v>0.95123898272180185</v>
      </c>
      <c r="AC12" s="511"/>
    </row>
    <row r="13" spans="1:29" ht="16.5" customHeight="1">
      <c r="A13" s="541" t="s">
        <v>1061</v>
      </c>
      <c r="B13" s="220" t="s">
        <v>13</v>
      </c>
      <c r="C13" s="533" t="s">
        <v>14</v>
      </c>
      <c r="D13" s="533"/>
      <c r="E13" s="62">
        <v>41</v>
      </c>
      <c r="F13" s="220">
        <v>2668</v>
      </c>
      <c r="G13" s="210">
        <f t="shared" ref="G13:G18" si="15">E13*F13</f>
        <v>109388</v>
      </c>
      <c r="H13" s="90" t="s">
        <v>5</v>
      </c>
      <c r="I13" s="217">
        <v>26</v>
      </c>
      <c r="J13" s="63">
        <v>1500</v>
      </c>
      <c r="K13" s="64">
        <f t="shared" si="1"/>
        <v>57.692307692307693</v>
      </c>
      <c r="L13" s="217">
        <v>26</v>
      </c>
      <c r="M13" s="65">
        <f t="shared" ref="M13:M18" si="16">F13/V13*60</f>
        <v>1442.1621621621623</v>
      </c>
      <c r="N13" s="64">
        <f t="shared" si="3"/>
        <v>55.467775467775475</v>
      </c>
      <c r="O13" s="66">
        <f t="shared" si="4"/>
        <v>0</v>
      </c>
      <c r="P13" s="67">
        <f t="shared" si="5"/>
        <v>-2.2245322245322185</v>
      </c>
      <c r="Q13" s="211">
        <f t="shared" si="6"/>
        <v>0.9614414414414415</v>
      </c>
      <c r="R13" s="511">
        <f>Q19</f>
        <v>0.95623095633028321</v>
      </c>
      <c r="S13" s="68">
        <v>0.125</v>
      </c>
      <c r="T13" s="68">
        <v>0.20208333333333334</v>
      </c>
      <c r="U13" s="210"/>
      <c r="V13" s="218">
        <f t="shared" ref="V13:V18" si="17">(T13-S13)*24*60</f>
        <v>111</v>
      </c>
      <c r="W13" s="69">
        <f>T13</f>
        <v>0.20208333333333334</v>
      </c>
      <c r="X13" s="69">
        <f>S14</f>
        <v>0.2215277777777778</v>
      </c>
      <c r="Y13" s="510"/>
      <c r="Z13" s="510"/>
      <c r="AA13" s="66">
        <f t="shared" si="8"/>
        <v>-57.837837837837696</v>
      </c>
      <c r="AB13" s="211">
        <f t="shared" si="9"/>
        <v>0.9614414414414415</v>
      </c>
      <c r="AC13" s="511">
        <f>AB19</f>
        <v>0.95623095633028332</v>
      </c>
    </row>
    <row r="14" spans="1:29" ht="16.5" customHeight="1">
      <c r="A14" s="542" t="s">
        <v>1061</v>
      </c>
      <c r="B14" s="220" t="s">
        <v>10</v>
      </c>
      <c r="C14" s="533" t="s">
        <v>15</v>
      </c>
      <c r="D14" s="533"/>
      <c r="E14" s="62">
        <v>39.619999999999997</v>
      </c>
      <c r="F14" s="220">
        <v>4742</v>
      </c>
      <c r="G14" s="210">
        <f t="shared" si="15"/>
        <v>187878.03999999998</v>
      </c>
      <c r="H14" s="90" t="s">
        <v>5</v>
      </c>
      <c r="I14" s="217">
        <v>19</v>
      </c>
      <c r="J14" s="63">
        <v>1500</v>
      </c>
      <c r="K14" s="64">
        <f t="shared" si="1"/>
        <v>78.94736842105263</v>
      </c>
      <c r="L14" s="217">
        <v>19</v>
      </c>
      <c r="M14" s="65">
        <f t="shared" si="16"/>
        <v>1429.7487437185928</v>
      </c>
      <c r="N14" s="64">
        <f t="shared" si="3"/>
        <v>75.249933879925933</v>
      </c>
      <c r="O14" s="66">
        <f t="shared" si="4"/>
        <v>0</v>
      </c>
      <c r="P14" s="67">
        <f t="shared" si="5"/>
        <v>-3.6974345411266967</v>
      </c>
      <c r="Q14" s="211">
        <f t="shared" si="6"/>
        <v>0.95316582914572856</v>
      </c>
      <c r="R14" s="511"/>
      <c r="S14" s="68">
        <v>0.2215277777777778</v>
      </c>
      <c r="T14" s="68">
        <v>0.35972222222222228</v>
      </c>
      <c r="U14" s="210">
        <f t="shared" ref="U14:U18" si="18">IF(S14=TIME(17,0,0),"",(S14-T13)*24*60)</f>
        <v>28.000000000000021</v>
      </c>
      <c r="V14" s="218">
        <f t="shared" si="17"/>
        <v>199.00000000000003</v>
      </c>
      <c r="W14" s="69"/>
      <c r="X14" s="69"/>
      <c r="Y14" s="510"/>
      <c r="Z14" s="510"/>
      <c r="AA14" s="66">
        <f t="shared" si="8"/>
        <v>-70.251256281407223</v>
      </c>
      <c r="AB14" s="211">
        <f t="shared" si="9"/>
        <v>0.95316582914572856</v>
      </c>
      <c r="AC14" s="511"/>
    </row>
    <row r="15" spans="1:29" ht="16.5" customHeight="1">
      <c r="A15" s="542" t="s">
        <v>153</v>
      </c>
      <c r="B15" s="220" t="s">
        <v>77</v>
      </c>
      <c r="C15" s="533" t="s">
        <v>76</v>
      </c>
      <c r="D15" s="533"/>
      <c r="E15" s="62">
        <v>57.3</v>
      </c>
      <c r="F15" s="220">
        <v>1316</v>
      </c>
      <c r="G15" s="210">
        <f t="shared" si="15"/>
        <v>75406.8</v>
      </c>
      <c r="H15" s="90" t="s">
        <v>5</v>
      </c>
      <c r="I15" s="217">
        <v>17</v>
      </c>
      <c r="J15" s="63">
        <v>1500</v>
      </c>
      <c r="K15" s="64">
        <f t="shared" si="1"/>
        <v>88.235294117647058</v>
      </c>
      <c r="L15" s="217">
        <v>17</v>
      </c>
      <c r="M15" s="65">
        <f t="shared" si="16"/>
        <v>1435.6363636363646</v>
      </c>
      <c r="N15" s="64">
        <f t="shared" si="3"/>
        <v>84.449197860962627</v>
      </c>
      <c r="O15" s="66">
        <f t="shared" si="4"/>
        <v>0</v>
      </c>
      <c r="P15" s="67">
        <f t="shared" si="5"/>
        <v>-3.7860962566844307</v>
      </c>
      <c r="Q15" s="211">
        <f t="shared" si="6"/>
        <v>0.95709090909090977</v>
      </c>
      <c r="R15" s="511"/>
      <c r="S15" s="68">
        <v>0.36319444444444449</v>
      </c>
      <c r="T15" s="68">
        <v>0.40138888888888891</v>
      </c>
      <c r="U15" s="210">
        <f t="shared" si="18"/>
        <v>4.9999999999999822</v>
      </c>
      <c r="V15" s="218">
        <f t="shared" si="17"/>
        <v>54.999999999999964</v>
      </c>
      <c r="W15" s="69"/>
      <c r="X15" s="69"/>
      <c r="Y15" s="510"/>
      <c r="Z15" s="510"/>
      <c r="AA15" s="66">
        <f t="shared" si="8"/>
        <v>-64.363636363635351</v>
      </c>
      <c r="AB15" s="211">
        <f t="shared" si="9"/>
        <v>0.95709090909090977</v>
      </c>
      <c r="AC15" s="511"/>
    </row>
    <row r="16" spans="1:29" ht="16.5" customHeight="1">
      <c r="A16" s="542" t="s">
        <v>153</v>
      </c>
      <c r="B16" s="220" t="s">
        <v>6</v>
      </c>
      <c r="C16" s="533" t="s">
        <v>890</v>
      </c>
      <c r="D16" s="533"/>
      <c r="E16" s="62">
        <v>48.67</v>
      </c>
      <c r="F16" s="220">
        <v>4520</v>
      </c>
      <c r="G16" s="210">
        <f t="shared" si="15"/>
        <v>219988.4</v>
      </c>
      <c r="H16" s="90" t="s">
        <v>5</v>
      </c>
      <c r="I16" s="217">
        <v>16</v>
      </c>
      <c r="J16" s="63">
        <v>2000</v>
      </c>
      <c r="K16" s="64">
        <f t="shared" si="1"/>
        <v>125</v>
      </c>
      <c r="L16" s="217">
        <v>16</v>
      </c>
      <c r="M16" s="65">
        <f t="shared" si="16"/>
        <v>1909.8591549295777</v>
      </c>
      <c r="N16" s="64">
        <f t="shared" si="3"/>
        <v>119.36619718309861</v>
      </c>
      <c r="O16" s="66">
        <f t="shared" si="4"/>
        <v>0</v>
      </c>
      <c r="P16" s="67">
        <f t="shared" si="5"/>
        <v>-5.6338028169013938</v>
      </c>
      <c r="Q16" s="211">
        <f t="shared" si="6"/>
        <v>0.9549295774647889</v>
      </c>
      <c r="R16" s="511"/>
      <c r="S16" s="68">
        <v>0.70833333333333337</v>
      </c>
      <c r="T16" s="68">
        <v>0.80694444444444446</v>
      </c>
      <c r="U16" s="210" t="str">
        <f t="shared" si="18"/>
        <v/>
      </c>
      <c r="V16" s="218">
        <f t="shared" si="17"/>
        <v>141.99999999999997</v>
      </c>
      <c r="W16" s="69"/>
      <c r="X16" s="69"/>
      <c r="Y16" s="510"/>
      <c r="Z16" s="510"/>
      <c r="AA16" s="66">
        <f t="shared" si="8"/>
        <v>-90.140845070422301</v>
      </c>
      <c r="AB16" s="211">
        <f t="shared" si="9"/>
        <v>0.9549295774647889</v>
      </c>
      <c r="AC16" s="511"/>
    </row>
    <row r="17" spans="1:29" ht="16.5" customHeight="1">
      <c r="A17" s="542" t="s">
        <v>1062</v>
      </c>
      <c r="B17" s="220" t="s">
        <v>6</v>
      </c>
      <c r="C17" s="533" t="s">
        <v>20</v>
      </c>
      <c r="D17" s="533"/>
      <c r="E17" s="62">
        <v>48.61</v>
      </c>
      <c r="F17" s="220">
        <v>1500</v>
      </c>
      <c r="G17" s="210">
        <f t="shared" si="15"/>
        <v>72915</v>
      </c>
      <c r="H17" s="90">
        <v>2</v>
      </c>
      <c r="I17" s="217">
        <v>15</v>
      </c>
      <c r="J17" s="63">
        <v>2000</v>
      </c>
      <c r="K17" s="64">
        <f t="shared" si="1"/>
        <v>133.33333333333334</v>
      </c>
      <c r="L17" s="217">
        <v>15</v>
      </c>
      <c r="M17" s="65">
        <f t="shared" si="16"/>
        <v>1914.8936170212769</v>
      </c>
      <c r="N17" s="64">
        <f t="shared" si="3"/>
        <v>127.65957446808513</v>
      </c>
      <c r="O17" s="66">
        <f t="shared" si="4"/>
        <v>0</v>
      </c>
      <c r="P17" s="67">
        <f t="shared" si="5"/>
        <v>-5.6737588652482174</v>
      </c>
      <c r="Q17" s="211">
        <f t="shared" si="6"/>
        <v>0.95744680851063835</v>
      </c>
      <c r="R17" s="511"/>
      <c r="S17" s="68">
        <v>0.8125</v>
      </c>
      <c r="T17" s="68">
        <v>0.84513888888888888</v>
      </c>
      <c r="U17" s="210">
        <f t="shared" si="18"/>
        <v>7.9999999999999716</v>
      </c>
      <c r="V17" s="218">
        <f t="shared" si="17"/>
        <v>46.999999999999993</v>
      </c>
      <c r="W17" s="69">
        <f>T17</f>
        <v>0.84513888888888888</v>
      </c>
      <c r="X17" s="69">
        <f>S18</f>
        <v>0.88541666666666663</v>
      </c>
      <c r="Y17" s="510"/>
      <c r="Z17" s="510"/>
      <c r="AA17" s="66">
        <f t="shared" si="8"/>
        <v>-85.106382978723104</v>
      </c>
      <c r="AB17" s="211">
        <f t="shared" si="9"/>
        <v>0.95744680851063846</v>
      </c>
      <c r="AC17" s="511"/>
    </row>
    <row r="18" spans="1:29" ht="16.5" customHeight="1">
      <c r="A18" s="542" t="s">
        <v>1063</v>
      </c>
      <c r="B18" s="220" t="s">
        <v>6</v>
      </c>
      <c r="C18" s="534" t="s">
        <v>20</v>
      </c>
      <c r="D18" s="535"/>
      <c r="E18" s="62">
        <v>48.61</v>
      </c>
      <c r="F18" s="220">
        <v>3053</v>
      </c>
      <c r="G18" s="210">
        <f t="shared" si="15"/>
        <v>148406.32999999999</v>
      </c>
      <c r="H18" s="90" t="s">
        <v>5</v>
      </c>
      <c r="I18" s="217">
        <v>15</v>
      </c>
      <c r="J18" s="63">
        <v>2000</v>
      </c>
      <c r="K18" s="64">
        <f t="shared" si="1"/>
        <v>133.33333333333334</v>
      </c>
      <c r="L18" s="217">
        <v>15</v>
      </c>
      <c r="M18" s="65">
        <f t="shared" si="16"/>
        <v>1908.1250000000005</v>
      </c>
      <c r="N18" s="64">
        <f t="shared" si="3"/>
        <v>127.20833333333336</v>
      </c>
      <c r="O18" s="66">
        <f t="shared" si="4"/>
        <v>0</v>
      </c>
      <c r="P18" s="67">
        <f t="shared" si="5"/>
        <v>-6.1249999999999858</v>
      </c>
      <c r="Q18" s="211">
        <f t="shared" si="6"/>
        <v>0.95406250000000015</v>
      </c>
      <c r="R18" s="511"/>
      <c r="S18" s="68">
        <v>0.88541666666666663</v>
      </c>
      <c r="T18" s="68">
        <v>0.95208333333333328</v>
      </c>
      <c r="U18" s="210">
        <f t="shared" si="18"/>
        <v>57.999999999999957</v>
      </c>
      <c r="V18" s="218">
        <f t="shared" si="17"/>
        <v>95.999999999999972</v>
      </c>
      <c r="W18" s="69"/>
      <c r="X18" s="69"/>
      <c r="Y18" s="517"/>
      <c r="Z18" s="518"/>
      <c r="AA18" s="66">
        <f t="shared" si="8"/>
        <v>-91.874999999999545</v>
      </c>
      <c r="AB18" s="211">
        <f t="shared" si="9"/>
        <v>0.95406250000000026</v>
      </c>
      <c r="AC18" s="511"/>
    </row>
    <row r="19" spans="1:29" ht="16.5" customHeight="1">
      <c r="A19" s="542" t="s">
        <v>1063</v>
      </c>
      <c r="B19" s="62" t="s">
        <v>79</v>
      </c>
      <c r="C19" s="513"/>
      <c r="D19" s="513"/>
      <c r="E19" s="212"/>
      <c r="F19" s="71"/>
      <c r="G19" s="64"/>
      <c r="H19" s="220"/>
      <c r="I19" s="72">
        <v>18</v>
      </c>
      <c r="J19" s="63">
        <v>1750</v>
      </c>
      <c r="K19" s="64">
        <f t="shared" si="1"/>
        <v>97.222222222222229</v>
      </c>
      <c r="L19" s="72">
        <v>18</v>
      </c>
      <c r="M19" s="65">
        <f>AVERAGE(M13:M18)</f>
        <v>1673.4041735779958</v>
      </c>
      <c r="N19" s="64">
        <f t="shared" si="3"/>
        <v>92.966898532110875</v>
      </c>
      <c r="O19" s="66">
        <f t="shared" si="4"/>
        <v>0</v>
      </c>
      <c r="P19" s="67">
        <f t="shared" si="5"/>
        <v>-4.2553236901113536</v>
      </c>
      <c r="Q19" s="211">
        <f t="shared" si="6"/>
        <v>0.95623095633028321</v>
      </c>
      <c r="R19" s="511"/>
      <c r="S19" s="68"/>
      <c r="T19" s="68"/>
      <c r="U19" s="210"/>
      <c r="V19" s="218"/>
      <c r="W19" s="64"/>
      <c r="X19" s="64"/>
      <c r="Y19" s="510"/>
      <c r="Z19" s="510"/>
      <c r="AA19" s="66">
        <f t="shared" si="8"/>
        <v>-76.595826422004166</v>
      </c>
      <c r="AB19" s="211">
        <f t="shared" si="9"/>
        <v>0.95623095633028332</v>
      </c>
      <c r="AC19" s="511"/>
    </row>
    <row r="20" spans="1:29" ht="15.75" customHeight="1">
      <c r="A20" s="537" t="s">
        <v>155</v>
      </c>
      <c r="B20" s="62" t="s">
        <v>13</v>
      </c>
      <c r="C20" s="533" t="s">
        <v>21</v>
      </c>
      <c r="D20" s="533"/>
      <c r="E20" s="62">
        <v>43.14</v>
      </c>
      <c r="F20" s="220">
        <v>1549</v>
      </c>
      <c r="G20" s="210">
        <f t="shared" ref="G20:G29" si="19">E20*F20</f>
        <v>66823.86</v>
      </c>
      <c r="H20" s="90" t="s">
        <v>5</v>
      </c>
      <c r="I20" s="217">
        <v>17</v>
      </c>
      <c r="J20" s="63">
        <v>2000</v>
      </c>
      <c r="K20" s="64">
        <f t="shared" si="1"/>
        <v>117.64705882352941</v>
      </c>
      <c r="L20" s="217">
        <v>17</v>
      </c>
      <c r="M20" s="65">
        <f t="shared" ref="M20:M29" si="20">F20/V20*60</f>
        <v>1936.2500000000005</v>
      </c>
      <c r="N20" s="64">
        <f t="shared" si="3"/>
        <v>113.89705882352943</v>
      </c>
      <c r="O20" s="66">
        <f t="shared" si="4"/>
        <v>0</v>
      </c>
      <c r="P20" s="67">
        <f t="shared" si="5"/>
        <v>-3.7499999999999716</v>
      </c>
      <c r="Q20" s="211">
        <f t="shared" si="6"/>
        <v>0.96812500000000024</v>
      </c>
      <c r="R20" s="511">
        <f>Q30</f>
        <v>0.95865550176619574</v>
      </c>
      <c r="S20" s="68">
        <v>0.20833333333333334</v>
      </c>
      <c r="T20" s="68">
        <v>0.24166666666666667</v>
      </c>
      <c r="U20" s="210"/>
      <c r="V20" s="218">
        <f t="shared" ref="V20:V29" si="21">(T20-S20)*24*60</f>
        <v>47.999999999999986</v>
      </c>
      <c r="W20" s="73"/>
      <c r="X20" s="73"/>
      <c r="Y20" s="510"/>
      <c r="Z20" s="510"/>
      <c r="AA20" s="66">
        <f t="shared" si="8"/>
        <v>-63.749999999999545</v>
      </c>
      <c r="AB20" s="211">
        <f t="shared" si="9"/>
        <v>0.96812500000000024</v>
      </c>
      <c r="AC20" s="511">
        <f>AB30</f>
        <v>0.95865550176619585</v>
      </c>
    </row>
    <row r="21" spans="1:29" ht="15.75" customHeight="1">
      <c r="A21" s="538" t="s">
        <v>1064</v>
      </c>
      <c r="B21" s="62" t="s">
        <v>77</v>
      </c>
      <c r="C21" s="533" t="s">
        <v>980</v>
      </c>
      <c r="D21" s="533"/>
      <c r="E21" s="62">
        <v>47.59</v>
      </c>
      <c r="F21" s="220">
        <v>3261</v>
      </c>
      <c r="G21" s="210">
        <f t="shared" si="19"/>
        <v>155190.99000000002</v>
      </c>
      <c r="H21" s="90" t="s">
        <v>5</v>
      </c>
      <c r="I21" s="217">
        <v>19</v>
      </c>
      <c r="J21" s="63">
        <v>2000</v>
      </c>
      <c r="K21" s="64">
        <f t="shared" si="1"/>
        <v>105.26315789473684</v>
      </c>
      <c r="L21" s="217">
        <v>19</v>
      </c>
      <c r="M21" s="65">
        <f t="shared" si="20"/>
        <v>1918.2352941176478</v>
      </c>
      <c r="N21" s="64">
        <f t="shared" si="3"/>
        <v>100.95975232198145</v>
      </c>
      <c r="O21" s="66">
        <f t="shared" si="4"/>
        <v>0</v>
      </c>
      <c r="P21" s="67">
        <f t="shared" si="5"/>
        <v>-4.3034055727553806</v>
      </c>
      <c r="Q21" s="211">
        <f t="shared" si="6"/>
        <v>0.95911764705882385</v>
      </c>
      <c r="R21" s="511"/>
      <c r="S21" s="68">
        <v>0.24583333333333335</v>
      </c>
      <c r="T21" s="68">
        <v>0.31666666666666665</v>
      </c>
      <c r="U21" s="210">
        <f t="shared" ref="U21:U29" si="22">IF(S21=TIME(17,0,0),"",(S21-T20)*24*60)</f>
        <v>6.0000000000000187</v>
      </c>
      <c r="V21" s="218">
        <f t="shared" si="21"/>
        <v>101.99999999999996</v>
      </c>
      <c r="W21" s="69"/>
      <c r="X21" s="210"/>
      <c r="Y21" s="510"/>
      <c r="Z21" s="510"/>
      <c r="AA21" s="66">
        <f t="shared" si="8"/>
        <v>-81.764705882352246</v>
      </c>
      <c r="AB21" s="211">
        <f t="shared" si="9"/>
        <v>0.95911764705882385</v>
      </c>
      <c r="AC21" s="511"/>
    </row>
    <row r="22" spans="1:29" ht="15.75" customHeight="1">
      <c r="A22" s="538" t="s">
        <v>1065</v>
      </c>
      <c r="B22" s="62" t="s">
        <v>6</v>
      </c>
      <c r="C22" s="533" t="s">
        <v>22</v>
      </c>
      <c r="D22" s="533"/>
      <c r="E22" s="62">
        <v>57.73</v>
      </c>
      <c r="F22" s="220">
        <v>3173</v>
      </c>
      <c r="G22" s="210">
        <f t="shared" si="19"/>
        <v>183177.28999999998</v>
      </c>
      <c r="H22" s="90" t="s">
        <v>5</v>
      </c>
      <c r="I22" s="217">
        <v>14</v>
      </c>
      <c r="J22" s="63">
        <v>2000</v>
      </c>
      <c r="K22" s="64">
        <f t="shared" si="1"/>
        <v>142.85714285714286</v>
      </c>
      <c r="L22" s="217">
        <v>14</v>
      </c>
      <c r="M22" s="65">
        <f t="shared" si="20"/>
        <v>1903.8000000000004</v>
      </c>
      <c r="N22" s="64">
        <f t="shared" si="3"/>
        <v>135.98571428571432</v>
      </c>
      <c r="O22" s="66">
        <f t="shared" si="4"/>
        <v>0</v>
      </c>
      <c r="P22" s="67">
        <f t="shared" si="5"/>
        <v>-6.8714285714285381</v>
      </c>
      <c r="Q22" s="211">
        <f t="shared" si="6"/>
        <v>0.95190000000000019</v>
      </c>
      <c r="R22" s="511"/>
      <c r="S22" s="68">
        <v>0.3208333333333333</v>
      </c>
      <c r="T22" s="68">
        <v>0.39027777777777772</v>
      </c>
      <c r="U22" s="210">
        <f t="shared" si="22"/>
        <v>5.9999999999999787</v>
      </c>
      <c r="V22" s="218">
        <f t="shared" si="21"/>
        <v>99.999999999999972</v>
      </c>
      <c r="W22" s="69"/>
      <c r="X22" s="210"/>
      <c r="Y22" s="510"/>
      <c r="Z22" s="510"/>
      <c r="AA22" s="66">
        <f t="shared" si="8"/>
        <v>-96.199999999999591</v>
      </c>
      <c r="AB22" s="211">
        <f t="shared" si="9"/>
        <v>0.95190000000000019</v>
      </c>
      <c r="AC22" s="511"/>
    </row>
    <row r="23" spans="1:29" ht="15.75" customHeight="1">
      <c r="A23" s="538" t="s">
        <v>1065</v>
      </c>
      <c r="B23" s="62" t="s">
        <v>6</v>
      </c>
      <c r="C23" s="533" t="s">
        <v>23</v>
      </c>
      <c r="D23" s="533"/>
      <c r="E23" s="62">
        <v>53.68</v>
      </c>
      <c r="F23" s="220">
        <v>2012</v>
      </c>
      <c r="G23" s="210">
        <f t="shared" si="19"/>
        <v>108004.16</v>
      </c>
      <c r="H23" s="90" t="s">
        <v>5</v>
      </c>
      <c r="I23" s="217">
        <v>16</v>
      </c>
      <c r="J23" s="63">
        <v>2000</v>
      </c>
      <c r="K23" s="64">
        <f t="shared" si="1"/>
        <v>125</v>
      </c>
      <c r="L23" s="217">
        <v>16</v>
      </c>
      <c r="M23" s="65">
        <f t="shared" si="20"/>
        <v>1916.1904761904757</v>
      </c>
      <c r="N23" s="64">
        <f t="shared" si="3"/>
        <v>119.76190476190473</v>
      </c>
      <c r="O23" s="66">
        <f t="shared" si="4"/>
        <v>0</v>
      </c>
      <c r="P23" s="67">
        <f t="shared" si="5"/>
        <v>-5.2380952380952692</v>
      </c>
      <c r="Q23" s="211">
        <f t="shared" si="6"/>
        <v>0.95809523809523789</v>
      </c>
      <c r="R23" s="511"/>
      <c r="S23" s="68">
        <v>0.39444444444444438</v>
      </c>
      <c r="T23" s="68">
        <v>0.43819444444444439</v>
      </c>
      <c r="U23" s="210">
        <f t="shared" si="22"/>
        <v>5.9999999999999787</v>
      </c>
      <c r="V23" s="218">
        <f t="shared" si="21"/>
        <v>63.000000000000014</v>
      </c>
      <c r="W23" s="69"/>
      <c r="X23" s="210"/>
      <c r="Y23" s="510"/>
      <c r="Z23" s="510"/>
      <c r="AA23" s="66">
        <f t="shared" si="8"/>
        <v>-83.809523809524308</v>
      </c>
      <c r="AB23" s="211">
        <f t="shared" si="9"/>
        <v>0.95809523809523789</v>
      </c>
      <c r="AC23" s="511"/>
    </row>
    <row r="24" spans="1:29" ht="15.75" customHeight="1">
      <c r="A24" s="538" t="s">
        <v>1066</v>
      </c>
      <c r="B24" s="62" t="s">
        <v>6</v>
      </c>
      <c r="C24" s="533" t="s">
        <v>971</v>
      </c>
      <c r="D24" s="533"/>
      <c r="E24" s="62">
        <v>47.6</v>
      </c>
      <c r="F24" s="220">
        <v>3289</v>
      </c>
      <c r="G24" s="210">
        <f t="shared" si="19"/>
        <v>156556.4</v>
      </c>
      <c r="H24" s="90" t="s">
        <v>5</v>
      </c>
      <c r="I24" s="217">
        <v>19</v>
      </c>
      <c r="J24" s="63">
        <v>2000</v>
      </c>
      <c r="K24" s="64">
        <f t="shared" si="1"/>
        <v>105.26315789473684</v>
      </c>
      <c r="L24" s="217">
        <v>19</v>
      </c>
      <c r="M24" s="65">
        <f t="shared" si="20"/>
        <v>1915.9223300970868</v>
      </c>
      <c r="N24" s="64">
        <f t="shared" si="3"/>
        <v>100.83801737353089</v>
      </c>
      <c r="O24" s="66">
        <f t="shared" si="4"/>
        <v>0</v>
      </c>
      <c r="P24" s="67">
        <f t="shared" si="5"/>
        <v>-4.4251405212059467</v>
      </c>
      <c r="Q24" s="211">
        <f t="shared" si="6"/>
        <v>0.95796116504854345</v>
      </c>
      <c r="R24" s="511"/>
      <c r="S24" s="68">
        <v>0.44305555555555548</v>
      </c>
      <c r="T24" s="68">
        <v>0.51458333333333328</v>
      </c>
      <c r="U24" s="210">
        <f t="shared" si="22"/>
        <v>6.9999999999999751</v>
      </c>
      <c r="V24" s="218">
        <f t="shared" si="21"/>
        <v>103.00000000000003</v>
      </c>
      <c r="W24" s="69"/>
      <c r="X24" s="210"/>
      <c r="Y24" s="510"/>
      <c r="Z24" s="510"/>
      <c r="AA24" s="66">
        <f t="shared" si="8"/>
        <v>-84.077669902913158</v>
      </c>
      <c r="AB24" s="211">
        <f t="shared" si="9"/>
        <v>0.95796116504854345</v>
      </c>
      <c r="AC24" s="511"/>
    </row>
    <row r="25" spans="1:29" ht="15.75" customHeight="1">
      <c r="A25" s="538" t="s">
        <v>1065</v>
      </c>
      <c r="B25" s="62" t="s">
        <v>6</v>
      </c>
      <c r="C25" s="533" t="s">
        <v>24</v>
      </c>
      <c r="D25" s="533"/>
      <c r="E25" s="62">
        <v>54.09</v>
      </c>
      <c r="F25" s="220">
        <v>2438</v>
      </c>
      <c r="G25" s="210">
        <f t="shared" si="19"/>
        <v>131871.42000000001</v>
      </c>
      <c r="H25" s="90" t="s">
        <v>5</v>
      </c>
      <c r="I25" s="217">
        <v>19</v>
      </c>
      <c r="J25" s="63">
        <v>2000</v>
      </c>
      <c r="K25" s="64">
        <f t="shared" si="1"/>
        <v>105.26315789473684</v>
      </c>
      <c r="L25" s="217">
        <v>19</v>
      </c>
      <c r="M25" s="65">
        <f t="shared" si="20"/>
        <v>1924.7368421052615</v>
      </c>
      <c r="N25" s="64">
        <f t="shared" si="3"/>
        <v>101.30193905817166</v>
      </c>
      <c r="O25" s="66">
        <f t="shared" si="4"/>
        <v>0</v>
      </c>
      <c r="P25" s="67">
        <f t="shared" si="5"/>
        <v>-3.9612188365651804</v>
      </c>
      <c r="Q25" s="211">
        <f t="shared" si="6"/>
        <v>0.96236842105263076</v>
      </c>
      <c r="R25" s="511"/>
      <c r="S25" s="68">
        <v>0.70833333333333337</v>
      </c>
      <c r="T25" s="68">
        <v>0.76111111111111118</v>
      </c>
      <c r="U25" s="210" t="str">
        <f t="shared" si="22"/>
        <v/>
      </c>
      <c r="V25" s="218">
        <f t="shared" si="21"/>
        <v>76.000000000000057</v>
      </c>
      <c r="W25" s="69"/>
      <c r="X25" s="73"/>
      <c r="Y25" s="510"/>
      <c r="Z25" s="510"/>
      <c r="AA25" s="66">
        <f t="shared" si="8"/>
        <v>-75.26315789473847</v>
      </c>
      <c r="AB25" s="211">
        <f t="shared" si="9"/>
        <v>0.96236842105263076</v>
      </c>
      <c r="AC25" s="511"/>
    </row>
    <row r="26" spans="1:29" ht="15.75" customHeight="1">
      <c r="A26" s="538" t="s">
        <v>1067</v>
      </c>
      <c r="B26" s="62" t="s">
        <v>6</v>
      </c>
      <c r="C26" s="533" t="s">
        <v>81</v>
      </c>
      <c r="D26" s="533"/>
      <c r="E26" s="62">
        <v>50.67</v>
      </c>
      <c r="F26" s="220">
        <v>1500</v>
      </c>
      <c r="G26" s="210">
        <f t="shared" si="19"/>
        <v>76005</v>
      </c>
      <c r="H26" s="90">
        <v>2</v>
      </c>
      <c r="I26" s="217">
        <v>15</v>
      </c>
      <c r="J26" s="63">
        <v>2000</v>
      </c>
      <c r="K26" s="64">
        <f t="shared" si="1"/>
        <v>133.33333333333334</v>
      </c>
      <c r="L26" s="217">
        <v>15</v>
      </c>
      <c r="M26" s="65">
        <f t="shared" si="20"/>
        <v>1914.8936170212769</v>
      </c>
      <c r="N26" s="64">
        <f t="shared" si="3"/>
        <v>127.65957446808513</v>
      </c>
      <c r="O26" s="66">
        <f t="shared" si="4"/>
        <v>0</v>
      </c>
      <c r="P26" s="67">
        <f t="shared" si="5"/>
        <v>-5.6737588652482174</v>
      </c>
      <c r="Q26" s="211">
        <f t="shared" si="6"/>
        <v>0.95744680851063835</v>
      </c>
      <c r="R26" s="511"/>
      <c r="S26" s="68">
        <v>0.76597222222222228</v>
      </c>
      <c r="T26" s="68">
        <v>0.79861111111111116</v>
      </c>
      <c r="U26" s="210">
        <f t="shared" si="22"/>
        <v>6.9999999999999751</v>
      </c>
      <c r="V26" s="218">
        <f t="shared" si="21"/>
        <v>46.999999999999993</v>
      </c>
      <c r="W26" s="69"/>
      <c r="X26" s="73"/>
      <c r="Y26" s="517"/>
      <c r="Z26" s="518"/>
      <c r="AA26" s="66">
        <f t="shared" si="8"/>
        <v>-85.106382978723104</v>
      </c>
      <c r="AB26" s="211">
        <f t="shared" si="9"/>
        <v>0.95744680851063846</v>
      </c>
      <c r="AC26" s="511"/>
    </row>
    <row r="27" spans="1:29" ht="15.75" customHeight="1">
      <c r="A27" s="538" t="s">
        <v>1065</v>
      </c>
      <c r="B27" s="62" t="s">
        <v>6</v>
      </c>
      <c r="C27" s="534" t="s">
        <v>82</v>
      </c>
      <c r="D27" s="535"/>
      <c r="E27" s="62">
        <v>57.73</v>
      </c>
      <c r="F27" s="220">
        <v>1000</v>
      </c>
      <c r="G27" s="210">
        <f t="shared" si="19"/>
        <v>57730</v>
      </c>
      <c r="H27" s="90">
        <v>2</v>
      </c>
      <c r="I27" s="217">
        <v>16</v>
      </c>
      <c r="J27" s="63">
        <v>1500</v>
      </c>
      <c r="K27" s="64">
        <f t="shared" si="1"/>
        <v>93.75</v>
      </c>
      <c r="L27" s="217">
        <v>16</v>
      </c>
      <c r="M27" s="65">
        <f t="shared" si="20"/>
        <v>1428.5714285714282</v>
      </c>
      <c r="N27" s="64">
        <f t="shared" si="3"/>
        <v>89.285714285714263</v>
      </c>
      <c r="O27" s="66">
        <f t="shared" si="4"/>
        <v>0</v>
      </c>
      <c r="P27" s="67">
        <f t="shared" si="5"/>
        <v>-4.4642857142857366</v>
      </c>
      <c r="Q27" s="211">
        <f t="shared" si="6"/>
        <v>0.95238095238095211</v>
      </c>
      <c r="R27" s="511"/>
      <c r="S27" s="68">
        <v>0.80347222222222225</v>
      </c>
      <c r="T27" s="68">
        <v>0.83263888888888893</v>
      </c>
      <c r="U27" s="210">
        <f t="shared" si="22"/>
        <v>6.9999999999999751</v>
      </c>
      <c r="V27" s="218">
        <f t="shared" si="21"/>
        <v>42.000000000000014</v>
      </c>
      <c r="W27" s="69">
        <f>T27</f>
        <v>0.83263888888888893</v>
      </c>
      <c r="X27" s="69">
        <f>S28</f>
        <v>0.87430555555555556</v>
      </c>
      <c r="Y27" s="517"/>
      <c r="Z27" s="518"/>
      <c r="AA27" s="66">
        <f t="shared" si="8"/>
        <v>-71.428571428571786</v>
      </c>
      <c r="AB27" s="211">
        <f t="shared" si="9"/>
        <v>0.95238095238095211</v>
      </c>
      <c r="AC27" s="511"/>
    </row>
    <row r="28" spans="1:29" ht="15.75" customHeight="1">
      <c r="A28" s="538" t="s">
        <v>1068</v>
      </c>
      <c r="B28" s="62" t="s">
        <v>6</v>
      </c>
      <c r="C28" s="534" t="s">
        <v>81</v>
      </c>
      <c r="D28" s="535"/>
      <c r="E28" s="62">
        <v>50.67</v>
      </c>
      <c r="F28" s="220">
        <v>2388</v>
      </c>
      <c r="G28" s="210">
        <f t="shared" si="19"/>
        <v>120999.96</v>
      </c>
      <c r="H28" s="90" t="s">
        <v>5</v>
      </c>
      <c r="I28" s="217">
        <v>15</v>
      </c>
      <c r="J28" s="63">
        <v>2000</v>
      </c>
      <c r="K28" s="64">
        <f t="shared" si="1"/>
        <v>133.33333333333334</v>
      </c>
      <c r="L28" s="217">
        <v>15</v>
      </c>
      <c r="M28" s="65">
        <f t="shared" si="20"/>
        <v>1910.3999999999985</v>
      </c>
      <c r="N28" s="64">
        <f t="shared" si="3"/>
        <v>127.3599999999999</v>
      </c>
      <c r="O28" s="66">
        <f t="shared" si="4"/>
        <v>0</v>
      </c>
      <c r="P28" s="67">
        <f t="shared" si="5"/>
        <v>-5.9733333333334429</v>
      </c>
      <c r="Q28" s="211">
        <f t="shared" si="6"/>
        <v>0.95519999999999916</v>
      </c>
      <c r="R28" s="511"/>
      <c r="S28" s="68">
        <v>0.87430555555555556</v>
      </c>
      <c r="T28" s="68">
        <v>0.92638888888888893</v>
      </c>
      <c r="U28" s="210">
        <f t="shared" si="22"/>
        <v>59.999999999999943</v>
      </c>
      <c r="V28" s="218">
        <f t="shared" si="21"/>
        <v>75.000000000000057</v>
      </c>
      <c r="W28" s="69"/>
      <c r="X28" s="69"/>
      <c r="Y28" s="517"/>
      <c r="Z28" s="518"/>
      <c r="AA28" s="66">
        <f t="shared" si="8"/>
        <v>-89.600000000001501</v>
      </c>
      <c r="AB28" s="211">
        <f t="shared" si="9"/>
        <v>0.95519999999999927</v>
      </c>
      <c r="AC28" s="511"/>
    </row>
    <row r="29" spans="1:29" ht="15.75" customHeight="1">
      <c r="A29" s="538" t="s">
        <v>1065</v>
      </c>
      <c r="B29" s="62" t="s">
        <v>6</v>
      </c>
      <c r="C29" s="534" t="s">
        <v>82</v>
      </c>
      <c r="D29" s="535"/>
      <c r="E29" s="62">
        <v>57.73</v>
      </c>
      <c r="F29" s="220">
        <v>1855</v>
      </c>
      <c r="G29" s="210">
        <f t="shared" si="19"/>
        <v>107089.15</v>
      </c>
      <c r="H29" s="90" t="s">
        <v>5</v>
      </c>
      <c r="I29" s="217">
        <v>16</v>
      </c>
      <c r="J29" s="63">
        <v>1500</v>
      </c>
      <c r="K29" s="64">
        <f t="shared" si="1"/>
        <v>93.75</v>
      </c>
      <c r="L29" s="217">
        <v>16</v>
      </c>
      <c r="M29" s="65">
        <f t="shared" si="20"/>
        <v>1445.4545454545448</v>
      </c>
      <c r="N29" s="64">
        <f t="shared" si="3"/>
        <v>90.340909090909051</v>
      </c>
      <c r="O29" s="66">
        <f t="shared" si="4"/>
        <v>0</v>
      </c>
      <c r="P29" s="67">
        <f t="shared" si="5"/>
        <v>-3.4090909090909491</v>
      </c>
      <c r="Q29" s="211">
        <f t="shared" si="6"/>
        <v>0.96363636363636318</v>
      </c>
      <c r="R29" s="511"/>
      <c r="S29" s="68">
        <v>0.93194444444444446</v>
      </c>
      <c r="T29" s="68">
        <v>0.98541666666666672</v>
      </c>
      <c r="U29" s="210">
        <f t="shared" si="22"/>
        <v>7.9999999999999716</v>
      </c>
      <c r="V29" s="218">
        <f t="shared" si="21"/>
        <v>77.000000000000043</v>
      </c>
      <c r="W29" s="69"/>
      <c r="X29" s="69"/>
      <c r="Y29" s="517"/>
      <c r="Z29" s="518"/>
      <c r="AA29" s="66">
        <f t="shared" si="8"/>
        <v>-54.545454545455186</v>
      </c>
      <c r="AB29" s="211">
        <f t="shared" si="9"/>
        <v>0.96363636363636318</v>
      </c>
      <c r="AC29" s="511"/>
    </row>
    <row r="30" spans="1:29" ht="15.75" customHeight="1">
      <c r="A30" s="538" t="s">
        <v>1065</v>
      </c>
      <c r="B30" s="62" t="s">
        <v>1069</v>
      </c>
      <c r="C30" s="513"/>
      <c r="D30" s="513"/>
      <c r="E30" s="212"/>
      <c r="F30" s="220"/>
      <c r="G30" s="210"/>
      <c r="H30" s="220"/>
      <c r="I30" s="72">
        <v>16.600000000000001</v>
      </c>
      <c r="J30" s="63">
        <v>1900</v>
      </c>
      <c r="K30" s="64">
        <f t="shared" si="1"/>
        <v>114.4578313253012</v>
      </c>
      <c r="L30" s="72">
        <v>16.600000000000001</v>
      </c>
      <c r="M30" s="65">
        <f>AVERAGE(M20:M29)</f>
        <v>1821.4454533557721</v>
      </c>
      <c r="N30" s="64">
        <f t="shared" si="3"/>
        <v>109.72562972022722</v>
      </c>
      <c r="O30" s="66">
        <f t="shared" si="4"/>
        <v>0</v>
      </c>
      <c r="P30" s="67">
        <f t="shared" si="5"/>
        <v>-4.7322016050739819</v>
      </c>
      <c r="Q30" s="211">
        <f t="shared" si="6"/>
        <v>0.95865550176619574</v>
      </c>
      <c r="R30" s="511"/>
      <c r="S30" s="68"/>
      <c r="T30" s="68"/>
      <c r="U30" s="64"/>
      <c r="V30" s="218"/>
      <c r="W30" s="64"/>
      <c r="X30" s="64"/>
      <c r="Y30" s="510"/>
      <c r="Z30" s="510"/>
      <c r="AA30" s="66">
        <f t="shared" si="8"/>
        <v>-78.554546644227912</v>
      </c>
      <c r="AB30" s="211">
        <f t="shared" si="9"/>
        <v>0.95865550176619585</v>
      </c>
      <c r="AC30" s="511"/>
    </row>
    <row r="31" spans="1:29" ht="15.75" customHeight="1">
      <c r="A31" s="536" t="s">
        <v>1070</v>
      </c>
      <c r="B31" s="62" t="s">
        <v>16</v>
      </c>
      <c r="C31" s="533" t="s">
        <v>30</v>
      </c>
      <c r="D31" s="533"/>
      <c r="E31" s="62">
        <v>31.29</v>
      </c>
      <c r="F31" s="220">
        <v>6000</v>
      </c>
      <c r="G31" s="210">
        <f t="shared" ref="G31:G39" si="23">E31*F31</f>
        <v>187740</v>
      </c>
      <c r="H31" s="90">
        <v>2</v>
      </c>
      <c r="I31" s="217">
        <v>18</v>
      </c>
      <c r="J31" s="63">
        <v>2400</v>
      </c>
      <c r="K31" s="64">
        <f t="shared" si="1"/>
        <v>133.33333333333334</v>
      </c>
      <c r="L31" s="217">
        <v>18</v>
      </c>
      <c r="M31" s="65">
        <f t="shared" ref="M31:M39" si="24">F31/V31*60</f>
        <v>2292.993630573249</v>
      </c>
      <c r="N31" s="64">
        <f t="shared" si="3"/>
        <v>127.38853503184717</v>
      </c>
      <c r="O31" s="66">
        <f t="shared" si="4"/>
        <v>0</v>
      </c>
      <c r="P31" s="67">
        <f t="shared" si="5"/>
        <v>-5.9447983014861734</v>
      </c>
      <c r="Q31" s="211">
        <f t="shared" si="6"/>
        <v>0.95541401273885374</v>
      </c>
      <c r="R31" s="511">
        <f>Q40</f>
        <v>0.9569107125224291</v>
      </c>
      <c r="S31" s="68">
        <v>8.3333333333333329E-2</v>
      </c>
      <c r="T31" s="68">
        <v>0.19236111111111109</v>
      </c>
      <c r="U31" s="210"/>
      <c r="V31" s="218">
        <f t="shared" ref="V31:V39" si="25">(T31-S31)*24*60</f>
        <v>156.99999999999997</v>
      </c>
      <c r="W31" s="69">
        <f>T31</f>
        <v>0.19236111111111109</v>
      </c>
      <c r="X31" s="69">
        <f>S32</f>
        <v>0.21249999999999999</v>
      </c>
      <c r="Y31" s="510"/>
      <c r="Z31" s="510"/>
      <c r="AA31" s="66">
        <f t="shared" si="8"/>
        <v>-107.00636942675101</v>
      </c>
      <c r="AB31" s="211">
        <f t="shared" si="9"/>
        <v>0.95541401273885374</v>
      </c>
      <c r="AC31" s="511">
        <f>AB40</f>
        <v>0.95691071252242921</v>
      </c>
    </row>
    <row r="32" spans="1:29" ht="15.75" customHeight="1">
      <c r="A32" s="536" t="s">
        <v>1071</v>
      </c>
      <c r="B32" s="62" t="s">
        <v>16</v>
      </c>
      <c r="C32" s="533" t="s">
        <v>28</v>
      </c>
      <c r="D32" s="533"/>
      <c r="E32" s="62">
        <v>26.18</v>
      </c>
      <c r="F32" s="220">
        <v>3660</v>
      </c>
      <c r="G32" s="210">
        <f t="shared" si="23"/>
        <v>95818.8</v>
      </c>
      <c r="H32" s="90" t="s">
        <v>5</v>
      </c>
      <c r="I32" s="217">
        <v>19</v>
      </c>
      <c r="J32" s="63">
        <v>2400</v>
      </c>
      <c r="K32" s="64">
        <f t="shared" si="1"/>
        <v>126.31578947368421</v>
      </c>
      <c r="L32" s="217">
        <v>19</v>
      </c>
      <c r="M32" s="65">
        <f t="shared" si="24"/>
        <v>2287.4999999999995</v>
      </c>
      <c r="N32" s="64">
        <f t="shared" si="3"/>
        <v>120.39473684210525</v>
      </c>
      <c r="O32" s="66">
        <f t="shared" si="4"/>
        <v>0</v>
      </c>
      <c r="P32" s="67">
        <f t="shared" si="5"/>
        <v>-5.9210526315789593</v>
      </c>
      <c r="Q32" s="211">
        <f t="shared" si="6"/>
        <v>0.95312499999999989</v>
      </c>
      <c r="R32" s="511"/>
      <c r="S32" s="68">
        <v>0.21249999999999999</v>
      </c>
      <c r="T32" s="68">
        <v>0.27916666666666667</v>
      </c>
      <c r="U32" s="210">
        <f t="shared" ref="U32:U39" si="26">(S32-T31)*24*60</f>
        <v>29.000000000000018</v>
      </c>
      <c r="V32" s="218">
        <f t="shared" si="25"/>
        <v>96.000000000000014</v>
      </c>
      <c r="W32" s="69"/>
      <c r="X32" s="69"/>
      <c r="Y32" s="510"/>
      <c r="Z32" s="510"/>
      <c r="AA32" s="66">
        <f t="shared" si="8"/>
        <v>-112.50000000000045</v>
      </c>
      <c r="AB32" s="211">
        <f t="shared" si="9"/>
        <v>0.95312499999999978</v>
      </c>
      <c r="AC32" s="511"/>
    </row>
    <row r="33" spans="1:29" ht="15.75" customHeight="1">
      <c r="A33" s="536" t="s">
        <v>1070</v>
      </c>
      <c r="B33" s="62" t="s">
        <v>16</v>
      </c>
      <c r="C33" s="533" t="s">
        <v>25</v>
      </c>
      <c r="D33" s="533"/>
      <c r="E33" s="62">
        <v>26.2</v>
      </c>
      <c r="F33" s="220">
        <v>3600</v>
      </c>
      <c r="G33" s="210">
        <f t="shared" si="23"/>
        <v>94320</v>
      </c>
      <c r="H33" s="90">
        <v>2</v>
      </c>
      <c r="I33" s="217">
        <v>20</v>
      </c>
      <c r="J33" s="63">
        <v>2400</v>
      </c>
      <c r="K33" s="64">
        <f t="shared" si="1"/>
        <v>120</v>
      </c>
      <c r="L33" s="217">
        <v>20</v>
      </c>
      <c r="M33" s="65">
        <f t="shared" si="24"/>
        <v>2297.872340425532</v>
      </c>
      <c r="N33" s="64">
        <f t="shared" si="3"/>
        <v>114.8936170212766</v>
      </c>
      <c r="O33" s="66">
        <f t="shared" si="4"/>
        <v>0</v>
      </c>
      <c r="P33" s="67">
        <f t="shared" si="5"/>
        <v>-5.1063829787234027</v>
      </c>
      <c r="Q33" s="211">
        <f t="shared" si="6"/>
        <v>0.95744680851063835</v>
      </c>
      <c r="R33" s="511"/>
      <c r="S33" s="68">
        <v>0.28263888888888888</v>
      </c>
      <c r="T33" s="68">
        <v>0.34791666666666665</v>
      </c>
      <c r="U33" s="210">
        <f t="shared" si="26"/>
        <v>4.9999999999999822</v>
      </c>
      <c r="V33" s="218">
        <f t="shared" si="25"/>
        <v>93.999999999999986</v>
      </c>
      <c r="W33" s="69"/>
      <c r="X33" s="69"/>
      <c r="Y33" s="510"/>
      <c r="Z33" s="510"/>
      <c r="AA33" s="66">
        <f t="shared" si="8"/>
        <v>-102.127659574468</v>
      </c>
      <c r="AB33" s="211">
        <f t="shared" si="9"/>
        <v>0.95744680851063835</v>
      </c>
      <c r="AC33" s="511"/>
    </row>
    <row r="34" spans="1:29" ht="15.75" customHeight="1">
      <c r="A34" s="536" t="s">
        <v>1072</v>
      </c>
      <c r="B34" s="62" t="s">
        <v>16</v>
      </c>
      <c r="C34" s="533" t="s">
        <v>83</v>
      </c>
      <c r="D34" s="533"/>
      <c r="E34" s="62">
        <v>25.99</v>
      </c>
      <c r="F34" s="220">
        <v>2500</v>
      </c>
      <c r="G34" s="210">
        <f t="shared" si="23"/>
        <v>64974.999999999993</v>
      </c>
      <c r="H34" s="90">
        <v>2</v>
      </c>
      <c r="I34" s="217">
        <v>14</v>
      </c>
      <c r="J34" s="63">
        <v>2400</v>
      </c>
      <c r="K34" s="64">
        <f t="shared" si="1"/>
        <v>171.42857142857142</v>
      </c>
      <c r="L34" s="217">
        <v>14</v>
      </c>
      <c r="M34" s="65">
        <f t="shared" si="24"/>
        <v>2307.6923076923072</v>
      </c>
      <c r="N34" s="64">
        <f t="shared" si="3"/>
        <v>164.83516483516479</v>
      </c>
      <c r="O34" s="66">
        <f t="shared" si="4"/>
        <v>0</v>
      </c>
      <c r="P34" s="67">
        <f t="shared" si="5"/>
        <v>-6.5934065934066268</v>
      </c>
      <c r="Q34" s="211">
        <f t="shared" si="6"/>
        <v>0.96153846153846134</v>
      </c>
      <c r="R34" s="511"/>
      <c r="S34" s="68">
        <v>0.35347222222222219</v>
      </c>
      <c r="T34" s="68">
        <v>0.39861111111111108</v>
      </c>
      <c r="U34" s="210">
        <f t="shared" si="26"/>
        <v>7.9999999999999716</v>
      </c>
      <c r="V34" s="218">
        <f t="shared" si="25"/>
        <v>65.000000000000014</v>
      </c>
      <c r="W34" s="69"/>
      <c r="X34" s="69"/>
      <c r="Y34" s="510"/>
      <c r="Z34" s="510"/>
      <c r="AA34" s="66">
        <f t="shared" si="8"/>
        <v>-92.307692307692832</v>
      </c>
      <c r="AB34" s="211">
        <f t="shared" si="9"/>
        <v>0.96153846153846134</v>
      </c>
      <c r="AC34" s="511"/>
    </row>
    <row r="35" spans="1:29" ht="15.75" customHeight="1">
      <c r="A35" s="536" t="s">
        <v>1072</v>
      </c>
      <c r="B35" s="62" t="s">
        <v>16</v>
      </c>
      <c r="C35" s="533" t="s">
        <v>27</v>
      </c>
      <c r="D35" s="533"/>
      <c r="E35" s="62">
        <v>25.98</v>
      </c>
      <c r="F35" s="220">
        <v>1338</v>
      </c>
      <c r="G35" s="210">
        <f t="shared" si="23"/>
        <v>34761.24</v>
      </c>
      <c r="H35" s="90" t="s">
        <v>5</v>
      </c>
      <c r="I35" s="217">
        <v>17</v>
      </c>
      <c r="J35" s="63">
        <v>2400</v>
      </c>
      <c r="K35" s="64">
        <f t="shared" si="1"/>
        <v>141.1764705882353</v>
      </c>
      <c r="L35" s="217">
        <v>17</v>
      </c>
      <c r="M35" s="65">
        <f t="shared" si="24"/>
        <v>2293.7142857142835</v>
      </c>
      <c r="N35" s="64">
        <f t="shared" si="3"/>
        <v>134.92436974789902</v>
      </c>
      <c r="O35" s="66">
        <f t="shared" si="4"/>
        <v>0</v>
      </c>
      <c r="P35" s="67">
        <f t="shared" si="5"/>
        <v>-6.2521008403362828</v>
      </c>
      <c r="Q35" s="211">
        <f t="shared" si="6"/>
        <v>0.95571428571428463</v>
      </c>
      <c r="R35" s="511"/>
      <c r="S35" s="68">
        <v>0.40416666666666662</v>
      </c>
      <c r="T35" s="68">
        <v>0.4284722222222222</v>
      </c>
      <c r="U35" s="210">
        <f t="shared" si="26"/>
        <v>7.9999999999999716</v>
      </c>
      <c r="V35" s="218">
        <f t="shared" si="25"/>
        <v>35.000000000000036</v>
      </c>
      <c r="W35" s="69"/>
      <c r="X35" s="69"/>
      <c r="Y35" s="510"/>
      <c r="Z35" s="510"/>
      <c r="AA35" s="66">
        <f t="shared" si="8"/>
        <v>-106.28571428571649</v>
      </c>
      <c r="AB35" s="211">
        <f t="shared" si="9"/>
        <v>0.95571428571428474</v>
      </c>
      <c r="AC35" s="511"/>
    </row>
    <row r="36" spans="1:29" ht="15.75" customHeight="1">
      <c r="A36" s="536" t="s">
        <v>1072</v>
      </c>
      <c r="B36" s="62" t="s">
        <v>16</v>
      </c>
      <c r="C36" s="533" t="s">
        <v>982</v>
      </c>
      <c r="D36" s="533"/>
      <c r="E36" s="62">
        <v>24.82</v>
      </c>
      <c r="F36" s="220">
        <v>4600</v>
      </c>
      <c r="G36" s="210">
        <f t="shared" si="23"/>
        <v>114172</v>
      </c>
      <c r="H36" s="90">
        <v>2</v>
      </c>
      <c r="I36" s="217">
        <v>21</v>
      </c>
      <c r="J36" s="63">
        <v>2400</v>
      </c>
      <c r="K36" s="64">
        <f t="shared" si="1"/>
        <v>114.28571428571429</v>
      </c>
      <c r="L36" s="217">
        <v>21</v>
      </c>
      <c r="M36" s="65">
        <f t="shared" si="24"/>
        <v>2300.0000000000005</v>
      </c>
      <c r="N36" s="64">
        <f t="shared" si="3"/>
        <v>109.52380952380955</v>
      </c>
      <c r="O36" s="66">
        <f t="shared" si="4"/>
        <v>0</v>
      </c>
      <c r="P36" s="67">
        <f t="shared" si="5"/>
        <v>-4.761904761904745</v>
      </c>
      <c r="Q36" s="211">
        <f t="shared" si="6"/>
        <v>0.95833333333333348</v>
      </c>
      <c r="R36" s="511"/>
      <c r="S36" s="68">
        <v>0.43402777777777773</v>
      </c>
      <c r="T36" s="68">
        <v>0.51736111111111105</v>
      </c>
      <c r="U36" s="210">
        <f t="shared" si="26"/>
        <v>7.9999999999999716</v>
      </c>
      <c r="V36" s="218">
        <f t="shared" si="25"/>
        <v>119.99999999999997</v>
      </c>
      <c r="W36" s="69">
        <f>T36</f>
        <v>0.51736111111111105</v>
      </c>
      <c r="X36" s="69">
        <f>S37</f>
        <v>0.5576388888888888</v>
      </c>
      <c r="Y36" s="510"/>
      <c r="Z36" s="510"/>
      <c r="AA36" s="66">
        <f t="shared" si="8"/>
        <v>-99.999999999999545</v>
      </c>
      <c r="AB36" s="211">
        <f t="shared" si="9"/>
        <v>0.95833333333333348</v>
      </c>
      <c r="AC36" s="511"/>
    </row>
    <row r="37" spans="1:29" ht="15.75" customHeight="1">
      <c r="A37" s="536" t="s">
        <v>1073</v>
      </c>
      <c r="B37" s="62" t="s">
        <v>16</v>
      </c>
      <c r="C37" s="533" t="s">
        <v>83</v>
      </c>
      <c r="D37" s="533"/>
      <c r="E37" s="62">
        <v>25.99</v>
      </c>
      <c r="F37" s="220">
        <v>3747</v>
      </c>
      <c r="G37" s="210">
        <f t="shared" si="23"/>
        <v>97384.53</v>
      </c>
      <c r="H37" s="90" t="s">
        <v>5</v>
      </c>
      <c r="I37" s="217">
        <v>14</v>
      </c>
      <c r="J37" s="63">
        <v>2400</v>
      </c>
      <c r="K37" s="64">
        <f t="shared" si="1"/>
        <v>171.42857142857142</v>
      </c>
      <c r="L37" s="217">
        <v>14</v>
      </c>
      <c r="M37" s="65">
        <f t="shared" si="24"/>
        <v>2294.0816326530617</v>
      </c>
      <c r="N37" s="64">
        <f t="shared" si="3"/>
        <v>163.86297376093299</v>
      </c>
      <c r="O37" s="66">
        <f t="shared" si="4"/>
        <v>0</v>
      </c>
      <c r="P37" s="67">
        <f t="shared" si="5"/>
        <v>-7.5655976676384284</v>
      </c>
      <c r="Q37" s="211">
        <f t="shared" si="6"/>
        <v>0.95586734693877584</v>
      </c>
      <c r="R37" s="511"/>
      <c r="S37" s="68">
        <v>0.5576388888888888</v>
      </c>
      <c r="T37" s="68">
        <v>0.62569444444444433</v>
      </c>
      <c r="U37" s="210">
        <f t="shared" si="26"/>
        <v>57.999999999999957</v>
      </c>
      <c r="V37" s="218">
        <f t="shared" si="25"/>
        <v>97.999999999999972</v>
      </c>
      <c r="W37" s="69"/>
      <c r="X37" s="69"/>
      <c r="Y37" s="510"/>
      <c r="Z37" s="510"/>
      <c r="AA37" s="66">
        <f t="shared" si="8"/>
        <v>-105.91836734693834</v>
      </c>
      <c r="AB37" s="211">
        <f t="shared" si="9"/>
        <v>0.95586734693877573</v>
      </c>
      <c r="AC37" s="511"/>
    </row>
    <row r="38" spans="1:29" ht="15.75" customHeight="1">
      <c r="A38" s="536" t="s">
        <v>1070</v>
      </c>
      <c r="B38" s="62" t="s">
        <v>16</v>
      </c>
      <c r="C38" s="533" t="s">
        <v>30</v>
      </c>
      <c r="D38" s="533"/>
      <c r="E38" s="62">
        <v>31.29</v>
      </c>
      <c r="F38" s="220">
        <v>4319</v>
      </c>
      <c r="G38" s="210">
        <f t="shared" si="23"/>
        <v>135141.51</v>
      </c>
      <c r="H38" s="90" t="s">
        <v>5</v>
      </c>
      <c r="I38" s="217">
        <v>18</v>
      </c>
      <c r="J38" s="63">
        <v>2400</v>
      </c>
      <c r="K38" s="64">
        <f t="shared" si="1"/>
        <v>133.33333333333334</v>
      </c>
      <c r="L38" s="217">
        <v>18</v>
      </c>
      <c r="M38" s="65">
        <f t="shared" si="24"/>
        <v>2293.2743362831843</v>
      </c>
      <c r="N38" s="64">
        <f t="shared" si="3"/>
        <v>127.40412979351024</v>
      </c>
      <c r="O38" s="66">
        <f t="shared" si="4"/>
        <v>0</v>
      </c>
      <c r="P38" s="67">
        <f t="shared" si="5"/>
        <v>-5.9292035398231064</v>
      </c>
      <c r="Q38" s="211">
        <f t="shared" si="6"/>
        <v>0.95553097345132676</v>
      </c>
      <c r="R38" s="511"/>
      <c r="S38" s="68">
        <v>0.62986111111111098</v>
      </c>
      <c r="T38" s="68">
        <v>0.70833333333333326</v>
      </c>
      <c r="U38" s="210">
        <f t="shared" si="26"/>
        <v>5.9999999999999787</v>
      </c>
      <c r="V38" s="218">
        <f t="shared" si="25"/>
        <v>113.00000000000009</v>
      </c>
      <c r="W38" s="69"/>
      <c r="X38" s="69"/>
      <c r="Y38" s="510"/>
      <c r="Z38" s="510"/>
      <c r="AA38" s="66">
        <f t="shared" si="8"/>
        <v>-106.72566371681569</v>
      </c>
      <c r="AB38" s="211">
        <f t="shared" si="9"/>
        <v>0.95553097345132676</v>
      </c>
      <c r="AC38" s="511"/>
    </row>
    <row r="39" spans="1:29" ht="15.75" customHeight="1">
      <c r="A39" s="536" t="s">
        <v>1070</v>
      </c>
      <c r="B39" s="62" t="s">
        <v>16</v>
      </c>
      <c r="C39" s="534" t="s">
        <v>982</v>
      </c>
      <c r="D39" s="535"/>
      <c r="E39" s="62">
        <v>24.82</v>
      </c>
      <c r="F39" s="220">
        <v>3223</v>
      </c>
      <c r="G39" s="210">
        <f t="shared" si="23"/>
        <v>79994.86</v>
      </c>
      <c r="H39" s="90" t="s">
        <v>5</v>
      </c>
      <c r="I39" s="217">
        <v>21</v>
      </c>
      <c r="J39" s="63">
        <v>2400</v>
      </c>
      <c r="K39" s="64">
        <f t="shared" si="1"/>
        <v>114.28571428571429</v>
      </c>
      <c r="L39" s="217">
        <v>21</v>
      </c>
      <c r="M39" s="65">
        <f t="shared" si="24"/>
        <v>2302.1428571428564</v>
      </c>
      <c r="N39" s="64">
        <f t="shared" si="3"/>
        <v>109.62585034013603</v>
      </c>
      <c r="O39" s="66">
        <f t="shared" si="4"/>
        <v>0</v>
      </c>
      <c r="P39" s="67">
        <f t="shared" si="5"/>
        <v>-4.659863945578266</v>
      </c>
      <c r="Q39" s="211">
        <f t="shared" si="6"/>
        <v>0.95922619047619018</v>
      </c>
      <c r="R39" s="511"/>
      <c r="S39" s="68">
        <v>0.71249999999999991</v>
      </c>
      <c r="T39" s="68">
        <v>0.77083333333333326</v>
      </c>
      <c r="U39" s="210">
        <f t="shared" si="26"/>
        <v>5.9999999999999787</v>
      </c>
      <c r="V39" s="218">
        <f t="shared" si="25"/>
        <v>84.000000000000028</v>
      </c>
      <c r="W39" s="69"/>
      <c r="X39" s="69"/>
      <c r="Y39" s="517"/>
      <c r="Z39" s="518"/>
      <c r="AA39" s="66">
        <f t="shared" si="8"/>
        <v>-97.857142857143572</v>
      </c>
      <c r="AB39" s="211">
        <f t="shared" si="9"/>
        <v>0.95922619047619018</v>
      </c>
      <c r="AC39" s="511"/>
    </row>
    <row r="40" spans="1:29" ht="15.75" customHeight="1">
      <c r="A40" s="536" t="s">
        <v>1070</v>
      </c>
      <c r="B40" s="62" t="s">
        <v>1060</v>
      </c>
      <c r="C40" s="513"/>
      <c r="D40" s="513"/>
      <c r="E40" s="212"/>
      <c r="F40" s="220"/>
      <c r="G40" s="210"/>
      <c r="H40" s="220"/>
      <c r="I40" s="72">
        <v>18</v>
      </c>
      <c r="J40" s="63">
        <v>2400</v>
      </c>
      <c r="K40" s="64">
        <f t="shared" si="1"/>
        <v>133.33333333333334</v>
      </c>
      <c r="L40" s="72">
        <v>18</v>
      </c>
      <c r="M40" s="65">
        <f>AVERAGE(M31:M39)</f>
        <v>2296.5857100538301</v>
      </c>
      <c r="N40" s="64">
        <f t="shared" si="3"/>
        <v>127.58809500299056</v>
      </c>
      <c r="O40" s="66">
        <f t="shared" si="4"/>
        <v>0</v>
      </c>
      <c r="P40" s="67">
        <f t="shared" si="5"/>
        <v>-5.7452383303427865</v>
      </c>
      <c r="Q40" s="211">
        <f t="shared" si="6"/>
        <v>0.9569107125224291</v>
      </c>
      <c r="R40" s="511"/>
      <c r="S40" s="68"/>
      <c r="T40" s="68"/>
      <c r="U40" s="210"/>
      <c r="V40" s="218"/>
      <c r="W40" s="210"/>
      <c r="X40" s="210"/>
      <c r="Y40" s="510"/>
      <c r="Z40" s="510"/>
      <c r="AA40" s="66">
        <f t="shared" si="8"/>
        <v>-103.4142899461699</v>
      </c>
      <c r="AB40" s="211">
        <f t="shared" si="9"/>
        <v>0.95691071252242921</v>
      </c>
      <c r="AC40" s="511"/>
    </row>
    <row r="41" spans="1:29" ht="15.75" customHeight="1">
      <c r="A41" s="531" t="s">
        <v>1074</v>
      </c>
      <c r="B41" s="62" t="s">
        <v>16</v>
      </c>
      <c r="C41" s="512" t="s">
        <v>31</v>
      </c>
      <c r="D41" s="512"/>
      <c r="E41" s="62">
        <v>26.2</v>
      </c>
      <c r="F41" s="220">
        <v>4800</v>
      </c>
      <c r="G41" s="210">
        <f t="shared" ref="G41:G48" si="27">E41*F41</f>
        <v>125760</v>
      </c>
      <c r="H41" s="90">
        <v>2</v>
      </c>
      <c r="I41" s="217">
        <v>18</v>
      </c>
      <c r="J41" s="63">
        <v>2400</v>
      </c>
      <c r="K41" s="64">
        <f t="shared" si="1"/>
        <v>133.33333333333334</v>
      </c>
      <c r="L41" s="217">
        <v>18</v>
      </c>
      <c r="M41" s="65">
        <f t="shared" ref="M41:M48" si="28">F41/V41*60</f>
        <v>2285.7142857142858</v>
      </c>
      <c r="N41" s="64">
        <f t="shared" si="3"/>
        <v>126.98412698412699</v>
      </c>
      <c r="O41" s="66">
        <f t="shared" si="4"/>
        <v>0</v>
      </c>
      <c r="P41" s="67">
        <f t="shared" si="5"/>
        <v>-6.3492063492063551</v>
      </c>
      <c r="Q41" s="211">
        <f t="shared" si="6"/>
        <v>0.95238095238095233</v>
      </c>
      <c r="R41" s="511">
        <f>Q49</f>
        <v>0.95679252002918802</v>
      </c>
      <c r="S41" s="68">
        <v>8.3333333333333329E-2</v>
      </c>
      <c r="T41" s="68">
        <v>0.17083333333333334</v>
      </c>
      <c r="U41" s="210"/>
      <c r="V41" s="218">
        <f t="shared" ref="V41:V48" si="29">(T41-S41)*24*60</f>
        <v>126</v>
      </c>
      <c r="W41" s="73">
        <f>T41</f>
        <v>0.17083333333333334</v>
      </c>
      <c r="X41" s="73">
        <f>S42</f>
        <v>0.19166666666666668</v>
      </c>
      <c r="Y41" s="510"/>
      <c r="Z41" s="510"/>
      <c r="AA41" s="66">
        <f t="shared" si="8"/>
        <v>-114.28571428571422</v>
      </c>
      <c r="AB41" s="211">
        <f t="shared" si="9"/>
        <v>0.95238095238095244</v>
      </c>
      <c r="AC41" s="511">
        <f>AB49</f>
        <v>0.95679252002918813</v>
      </c>
    </row>
    <row r="42" spans="1:29" ht="15.75" customHeight="1">
      <c r="A42" s="531" t="s">
        <v>1075</v>
      </c>
      <c r="B42" s="62" t="s">
        <v>16</v>
      </c>
      <c r="C42" s="512" t="s">
        <v>32</v>
      </c>
      <c r="D42" s="512"/>
      <c r="E42" s="62">
        <v>26.39</v>
      </c>
      <c r="F42" s="220">
        <v>4600</v>
      </c>
      <c r="G42" s="210">
        <f t="shared" si="27"/>
        <v>121394</v>
      </c>
      <c r="H42" s="90">
        <v>2</v>
      </c>
      <c r="I42" s="217">
        <v>19</v>
      </c>
      <c r="J42" s="63">
        <v>2400</v>
      </c>
      <c r="K42" s="64">
        <f t="shared" si="1"/>
        <v>126.31578947368421</v>
      </c>
      <c r="L42" s="217">
        <v>19</v>
      </c>
      <c r="M42" s="65">
        <f t="shared" si="28"/>
        <v>2300</v>
      </c>
      <c r="N42" s="64">
        <f t="shared" si="3"/>
        <v>121.05263157894737</v>
      </c>
      <c r="O42" s="66">
        <f t="shared" si="4"/>
        <v>0</v>
      </c>
      <c r="P42" s="67">
        <f t="shared" si="5"/>
        <v>-5.2631578947368354</v>
      </c>
      <c r="Q42" s="211">
        <f t="shared" si="6"/>
        <v>0.95833333333333337</v>
      </c>
      <c r="R42" s="511"/>
      <c r="S42" s="68">
        <v>0.19166666666666668</v>
      </c>
      <c r="T42" s="68">
        <v>0.27500000000000002</v>
      </c>
      <c r="U42" s="210">
        <f t="shared" ref="U42:U48" si="30">(S42-T41)*24*60</f>
        <v>30.000000000000014</v>
      </c>
      <c r="V42" s="218">
        <f t="shared" si="29"/>
        <v>120</v>
      </c>
      <c r="W42" s="210"/>
      <c r="X42" s="210"/>
      <c r="Y42" s="510"/>
      <c r="Z42" s="510"/>
      <c r="AA42" s="66">
        <f t="shared" si="8"/>
        <v>-100</v>
      </c>
      <c r="AB42" s="211">
        <f t="shared" si="9"/>
        <v>0.95833333333333337</v>
      </c>
      <c r="AC42" s="511"/>
    </row>
    <row r="43" spans="1:29">
      <c r="A43" s="532" t="s">
        <v>1075</v>
      </c>
      <c r="B43" s="62" t="s">
        <v>16</v>
      </c>
      <c r="C43" s="512" t="s">
        <v>50</v>
      </c>
      <c r="D43" s="512"/>
      <c r="E43" s="62">
        <v>20.52</v>
      </c>
      <c r="F43" s="220">
        <v>5360</v>
      </c>
      <c r="G43" s="210">
        <f t="shared" si="27"/>
        <v>109987.2</v>
      </c>
      <c r="H43" s="90" t="s">
        <v>5</v>
      </c>
      <c r="I43" s="217">
        <v>18</v>
      </c>
      <c r="J43" s="63">
        <v>2400</v>
      </c>
      <c r="K43" s="64">
        <f t="shared" si="1"/>
        <v>133.33333333333334</v>
      </c>
      <c r="L43" s="217">
        <v>18</v>
      </c>
      <c r="M43" s="65">
        <f t="shared" si="28"/>
        <v>2280.8510638297876</v>
      </c>
      <c r="N43" s="64">
        <f t="shared" si="3"/>
        <v>126.71394799054376</v>
      </c>
      <c r="O43" s="66">
        <f t="shared" si="4"/>
        <v>0</v>
      </c>
      <c r="P43" s="67">
        <f t="shared" si="5"/>
        <v>-6.6193853427895846</v>
      </c>
      <c r="Q43" s="211">
        <f t="shared" si="6"/>
        <v>0.95035460992907816</v>
      </c>
      <c r="R43" s="511"/>
      <c r="S43" s="68">
        <v>0.28055555555555556</v>
      </c>
      <c r="T43" s="68">
        <v>0.37847222222222221</v>
      </c>
      <c r="U43" s="210">
        <f t="shared" si="30"/>
        <v>7.9999999999999716</v>
      </c>
      <c r="V43" s="218">
        <f t="shared" si="29"/>
        <v>140.99999999999997</v>
      </c>
      <c r="W43" s="210"/>
      <c r="X43" s="210"/>
      <c r="Y43" s="510"/>
      <c r="Z43" s="510"/>
      <c r="AA43" s="66">
        <f t="shared" si="8"/>
        <v>-119.14893617021244</v>
      </c>
      <c r="AB43" s="211">
        <f t="shared" si="9"/>
        <v>0.95035460992907816</v>
      </c>
      <c r="AC43" s="511"/>
    </row>
    <row r="44" spans="1:29">
      <c r="A44" s="532" t="s">
        <v>1075</v>
      </c>
      <c r="B44" s="62" t="s">
        <v>16</v>
      </c>
      <c r="C44" s="512" t="s">
        <v>18</v>
      </c>
      <c r="D44" s="512"/>
      <c r="E44" s="62">
        <v>22.35</v>
      </c>
      <c r="F44" s="220">
        <v>2199</v>
      </c>
      <c r="G44" s="210">
        <f t="shared" si="27"/>
        <v>49147.65</v>
      </c>
      <c r="H44" s="90" t="s">
        <v>5</v>
      </c>
      <c r="I44" s="217">
        <v>16</v>
      </c>
      <c r="J44" s="63">
        <v>2400</v>
      </c>
      <c r="K44" s="64">
        <f t="shared" si="1"/>
        <v>150</v>
      </c>
      <c r="L44" s="217">
        <v>16</v>
      </c>
      <c r="M44" s="65">
        <f t="shared" si="28"/>
        <v>2314.7368421052652</v>
      </c>
      <c r="N44" s="64">
        <f t="shared" si="3"/>
        <v>144.67105263157907</v>
      </c>
      <c r="O44" s="66">
        <f t="shared" si="4"/>
        <v>0</v>
      </c>
      <c r="P44" s="67">
        <f t="shared" si="5"/>
        <v>-5.328947368420927</v>
      </c>
      <c r="Q44" s="211">
        <f t="shared" si="6"/>
        <v>0.96447368421052715</v>
      </c>
      <c r="R44" s="511"/>
      <c r="S44" s="68">
        <v>0.3833333333333333</v>
      </c>
      <c r="T44" s="68">
        <v>0.42291666666666661</v>
      </c>
      <c r="U44" s="210">
        <f t="shared" si="30"/>
        <v>6.9999999999999751</v>
      </c>
      <c r="V44" s="218">
        <f t="shared" si="29"/>
        <v>56.999999999999957</v>
      </c>
      <c r="W44" s="69"/>
      <c r="X44" s="69"/>
      <c r="Y44" s="510"/>
      <c r="Z44" s="510"/>
      <c r="AA44" s="66">
        <f t="shared" si="8"/>
        <v>-85.263157894734832</v>
      </c>
      <c r="AB44" s="211">
        <f t="shared" si="9"/>
        <v>0.96447368421052715</v>
      </c>
      <c r="AC44" s="511"/>
    </row>
    <row r="45" spans="1:29">
      <c r="A45" s="532" t="s">
        <v>1075</v>
      </c>
      <c r="B45" s="62" t="s">
        <v>16</v>
      </c>
      <c r="C45" s="512" t="s">
        <v>33</v>
      </c>
      <c r="D45" s="512"/>
      <c r="E45" s="62">
        <v>24.43</v>
      </c>
      <c r="F45" s="220">
        <v>4000</v>
      </c>
      <c r="G45" s="210">
        <f t="shared" si="27"/>
        <v>97720</v>
      </c>
      <c r="H45" s="90">
        <v>2</v>
      </c>
      <c r="I45" s="217">
        <v>14</v>
      </c>
      <c r="J45" s="63">
        <v>2400</v>
      </c>
      <c r="K45" s="64">
        <f t="shared" si="1"/>
        <v>171.42857142857142</v>
      </c>
      <c r="L45" s="217">
        <v>14</v>
      </c>
      <c r="M45" s="65">
        <f t="shared" si="28"/>
        <v>2285.7142857142871</v>
      </c>
      <c r="N45" s="64">
        <f t="shared" si="3"/>
        <v>163.26530612244909</v>
      </c>
      <c r="O45" s="66">
        <f t="shared" si="4"/>
        <v>0</v>
      </c>
      <c r="P45" s="67">
        <f t="shared" si="5"/>
        <v>-8.1632653061223266</v>
      </c>
      <c r="Q45" s="211">
        <f t="shared" si="6"/>
        <v>0.95238095238095311</v>
      </c>
      <c r="R45" s="511"/>
      <c r="S45" s="68">
        <v>0.42847222222222214</v>
      </c>
      <c r="T45" s="68">
        <v>0.50138888888888877</v>
      </c>
      <c r="U45" s="210">
        <f t="shared" si="30"/>
        <v>7.9999999999999716</v>
      </c>
      <c r="V45" s="218">
        <f t="shared" si="29"/>
        <v>104.99999999999994</v>
      </c>
      <c r="W45" s="69">
        <f>T45</f>
        <v>0.50138888888888877</v>
      </c>
      <c r="X45" s="69">
        <f>S46</f>
        <v>0.5430555555555554</v>
      </c>
      <c r="Y45" s="510"/>
      <c r="Z45" s="510"/>
      <c r="AA45" s="66">
        <f t="shared" si="8"/>
        <v>-114.28571428571286</v>
      </c>
      <c r="AB45" s="211">
        <f t="shared" si="9"/>
        <v>0.95238095238095299</v>
      </c>
      <c r="AC45" s="511"/>
    </row>
    <row r="46" spans="1:29">
      <c r="A46" s="532" t="s">
        <v>1076</v>
      </c>
      <c r="B46" s="62" t="s">
        <v>16</v>
      </c>
      <c r="C46" s="512" t="s">
        <v>33</v>
      </c>
      <c r="D46" s="512"/>
      <c r="E46" s="62">
        <v>24.43</v>
      </c>
      <c r="F46" s="220">
        <v>5373</v>
      </c>
      <c r="G46" s="210">
        <f t="shared" si="27"/>
        <v>131262.38999999998</v>
      </c>
      <c r="H46" s="90" t="s">
        <v>5</v>
      </c>
      <c r="I46" s="217">
        <v>14</v>
      </c>
      <c r="J46" s="63">
        <v>2400</v>
      </c>
      <c r="K46" s="64">
        <f t="shared" si="1"/>
        <v>171.42857142857142</v>
      </c>
      <c r="L46" s="217">
        <v>14</v>
      </c>
      <c r="M46" s="65">
        <f t="shared" si="28"/>
        <v>2286.3829787234044</v>
      </c>
      <c r="N46" s="64">
        <f t="shared" si="3"/>
        <v>163.31306990881461</v>
      </c>
      <c r="O46" s="66">
        <f t="shared" si="4"/>
        <v>0</v>
      </c>
      <c r="P46" s="67">
        <f t="shared" si="5"/>
        <v>-8.1155015197568048</v>
      </c>
      <c r="Q46" s="211">
        <f t="shared" si="6"/>
        <v>0.95265957446808536</v>
      </c>
      <c r="R46" s="511"/>
      <c r="S46" s="68">
        <v>0.5430555555555554</v>
      </c>
      <c r="T46" s="68">
        <v>0.64097222222222205</v>
      </c>
      <c r="U46" s="210">
        <f t="shared" si="30"/>
        <v>59.999999999999943</v>
      </c>
      <c r="V46" s="218">
        <f t="shared" si="29"/>
        <v>140.99999999999997</v>
      </c>
      <c r="W46" s="69"/>
      <c r="X46" s="69"/>
      <c r="Y46" s="510"/>
      <c r="Z46" s="510"/>
      <c r="AA46" s="66">
        <f t="shared" si="8"/>
        <v>-113.61702127659555</v>
      </c>
      <c r="AB46" s="211">
        <f t="shared" si="9"/>
        <v>0.95265957446808514</v>
      </c>
      <c r="AC46" s="511"/>
    </row>
    <row r="47" spans="1:29">
      <c r="A47" s="532" t="s">
        <v>1077</v>
      </c>
      <c r="B47" s="62" t="s">
        <v>16</v>
      </c>
      <c r="C47" s="512" t="s">
        <v>32</v>
      </c>
      <c r="D47" s="512"/>
      <c r="E47" s="62">
        <v>26.39</v>
      </c>
      <c r="F47" s="220">
        <v>3039</v>
      </c>
      <c r="G47" s="210">
        <f t="shared" si="27"/>
        <v>80199.210000000006</v>
      </c>
      <c r="H47" s="90" t="s">
        <v>5</v>
      </c>
      <c r="I47" s="217">
        <v>19</v>
      </c>
      <c r="J47" s="63">
        <v>2400</v>
      </c>
      <c r="K47" s="64">
        <f t="shared" si="1"/>
        <v>126.31578947368421</v>
      </c>
      <c r="L47" s="217">
        <v>19</v>
      </c>
      <c r="M47" s="65">
        <f t="shared" si="28"/>
        <v>2308.1012658227837</v>
      </c>
      <c r="N47" s="64">
        <f t="shared" si="3"/>
        <v>121.47901399067283</v>
      </c>
      <c r="O47" s="66">
        <f t="shared" si="4"/>
        <v>0</v>
      </c>
      <c r="P47" s="67">
        <f t="shared" si="5"/>
        <v>-4.8367754830113796</v>
      </c>
      <c r="Q47" s="211">
        <f t="shared" si="6"/>
        <v>0.96170886075949324</v>
      </c>
      <c r="R47" s="511"/>
      <c r="S47" s="68">
        <v>0.64444444444444426</v>
      </c>
      <c r="T47" s="68">
        <v>0.6993055555555554</v>
      </c>
      <c r="U47" s="210">
        <f t="shared" si="30"/>
        <v>4.9999999999999822</v>
      </c>
      <c r="V47" s="218">
        <f t="shared" si="29"/>
        <v>79.000000000000043</v>
      </c>
      <c r="W47" s="69"/>
      <c r="X47" s="69"/>
      <c r="Y47" s="517"/>
      <c r="Z47" s="518"/>
      <c r="AA47" s="66">
        <f t="shared" si="8"/>
        <v>-91.898734177216284</v>
      </c>
      <c r="AB47" s="211">
        <f t="shared" si="9"/>
        <v>0.96170886075949324</v>
      </c>
      <c r="AC47" s="511"/>
    </row>
    <row r="48" spans="1:29">
      <c r="A48" s="532" t="s">
        <v>1078</v>
      </c>
      <c r="B48" s="62" t="s">
        <v>16</v>
      </c>
      <c r="C48" s="512" t="s">
        <v>31</v>
      </c>
      <c r="D48" s="512"/>
      <c r="E48" s="62">
        <v>26.2</v>
      </c>
      <c r="F48" s="220">
        <v>3194</v>
      </c>
      <c r="G48" s="210">
        <f t="shared" si="27"/>
        <v>83682.8</v>
      </c>
      <c r="H48" s="90" t="s">
        <v>5</v>
      </c>
      <c r="I48" s="217">
        <v>18</v>
      </c>
      <c r="J48" s="63">
        <v>2400</v>
      </c>
      <c r="K48" s="64">
        <f t="shared" si="1"/>
        <v>133.33333333333334</v>
      </c>
      <c r="L48" s="217">
        <v>18</v>
      </c>
      <c r="M48" s="65">
        <f t="shared" si="28"/>
        <v>2308.9156626506015</v>
      </c>
      <c r="N48" s="64">
        <f t="shared" si="3"/>
        <v>128.27309236947787</v>
      </c>
      <c r="O48" s="66">
        <f t="shared" si="4"/>
        <v>0</v>
      </c>
      <c r="P48" s="67">
        <f t="shared" si="5"/>
        <v>-5.0602409638554775</v>
      </c>
      <c r="Q48" s="211">
        <f t="shared" si="6"/>
        <v>0.96204819277108389</v>
      </c>
      <c r="R48" s="511"/>
      <c r="S48" s="68">
        <v>0.70277777777777761</v>
      </c>
      <c r="T48" s="68">
        <v>0.76041666666666652</v>
      </c>
      <c r="U48" s="210">
        <f t="shared" si="30"/>
        <v>4.9999999999999822</v>
      </c>
      <c r="V48" s="218">
        <f t="shared" si="29"/>
        <v>83.000000000000028</v>
      </c>
      <c r="W48" s="69"/>
      <c r="X48" s="69"/>
      <c r="Y48" s="517"/>
      <c r="Z48" s="518"/>
      <c r="AA48" s="66">
        <f t="shared" si="8"/>
        <v>-91.084337349398538</v>
      </c>
      <c r="AB48" s="211">
        <f t="shared" si="9"/>
        <v>0.96204819277108389</v>
      </c>
      <c r="AC48" s="511"/>
    </row>
    <row r="49" spans="1:29">
      <c r="A49" s="532" t="s">
        <v>1078</v>
      </c>
      <c r="B49" s="71" t="s">
        <v>1079</v>
      </c>
      <c r="C49" s="513"/>
      <c r="D49" s="513"/>
      <c r="E49" s="212"/>
      <c r="F49" s="71"/>
      <c r="G49" s="64"/>
      <c r="H49" s="220"/>
      <c r="I49" s="72">
        <v>17</v>
      </c>
      <c r="J49" s="63">
        <v>2400</v>
      </c>
      <c r="K49" s="64">
        <f t="shared" si="1"/>
        <v>141.1764705882353</v>
      </c>
      <c r="L49" s="72">
        <v>17</v>
      </c>
      <c r="M49" s="65">
        <f>AVERAGE(M41:M48)</f>
        <v>2296.3020480700516</v>
      </c>
      <c r="N49" s="64">
        <f t="shared" si="3"/>
        <v>135.0765910629442</v>
      </c>
      <c r="O49" s="66">
        <f t="shared" si="4"/>
        <v>0</v>
      </c>
      <c r="P49" s="67">
        <f t="shared" si="5"/>
        <v>-6.0998795252911009</v>
      </c>
      <c r="Q49" s="211">
        <f t="shared" si="6"/>
        <v>0.95679252002918802</v>
      </c>
      <c r="R49" s="511"/>
      <c r="S49" s="68"/>
      <c r="T49" s="68"/>
      <c r="U49" s="64"/>
      <c r="V49" s="218"/>
      <c r="W49" s="64"/>
      <c r="X49" s="64"/>
      <c r="Y49" s="510"/>
      <c r="Z49" s="510"/>
      <c r="AA49" s="66">
        <f t="shared" si="8"/>
        <v>-103.69795192994843</v>
      </c>
      <c r="AB49" s="211">
        <f t="shared" si="9"/>
        <v>0.95679252002918813</v>
      </c>
      <c r="AC49" s="511"/>
    </row>
    <row r="50" spans="1:29" ht="15.75" customHeight="1">
      <c r="A50" s="525" t="s">
        <v>1080</v>
      </c>
      <c r="B50" s="62" t="s">
        <v>35</v>
      </c>
      <c r="C50" s="521" t="s">
        <v>36</v>
      </c>
      <c r="D50" s="522"/>
      <c r="E50" s="62">
        <v>21.13</v>
      </c>
      <c r="F50" s="220">
        <v>3200</v>
      </c>
      <c r="G50" s="210">
        <f t="shared" ref="G50:G59" si="31">E50*F50</f>
        <v>67616</v>
      </c>
      <c r="H50" s="90">
        <v>2</v>
      </c>
      <c r="I50" s="217">
        <v>10</v>
      </c>
      <c r="J50" s="63">
        <v>3000</v>
      </c>
      <c r="K50" s="64">
        <f t="shared" si="1"/>
        <v>300</v>
      </c>
      <c r="L50" s="217">
        <v>10</v>
      </c>
      <c r="M50" s="65">
        <f t="shared" ref="M50:M59" si="32">F50/V50*60</f>
        <v>2865.6716417910457</v>
      </c>
      <c r="N50" s="65">
        <f t="shared" si="3"/>
        <v>286.56716417910457</v>
      </c>
      <c r="O50" s="66">
        <f t="shared" si="4"/>
        <v>0</v>
      </c>
      <c r="P50" s="67">
        <f t="shared" si="5"/>
        <v>-13.432835820895434</v>
      </c>
      <c r="Q50" s="211">
        <f t="shared" si="6"/>
        <v>0.95522388059701524</v>
      </c>
      <c r="R50" s="528">
        <f>Q60</f>
        <v>0.95669265955396177</v>
      </c>
      <c r="S50" s="68">
        <v>8.3333333333333329E-2</v>
      </c>
      <c r="T50" s="68">
        <v>0.12986111111111109</v>
      </c>
      <c r="U50" s="73"/>
      <c r="V50" s="218">
        <f t="shared" ref="V50:V59" si="33">(T50-S50)*24*60</f>
        <v>66.999999999999972</v>
      </c>
      <c r="W50" s="69">
        <f>T50</f>
        <v>0.12986111111111109</v>
      </c>
      <c r="X50" s="69">
        <f>S51</f>
        <v>0.15</v>
      </c>
      <c r="Y50" s="517"/>
      <c r="Z50" s="518"/>
      <c r="AA50" s="66">
        <f t="shared" si="8"/>
        <v>-134.32835820895434</v>
      </c>
      <c r="AB50" s="211">
        <f t="shared" si="9"/>
        <v>0.95522388059701524</v>
      </c>
      <c r="AC50" s="528">
        <f>AB60</f>
        <v>0.95669265955396177</v>
      </c>
    </row>
    <row r="51" spans="1:29" ht="15.75" customHeight="1">
      <c r="A51" s="526" t="s">
        <v>1081</v>
      </c>
      <c r="B51" s="62" t="s">
        <v>35</v>
      </c>
      <c r="C51" s="521" t="s">
        <v>37</v>
      </c>
      <c r="D51" s="522"/>
      <c r="E51" s="62">
        <v>27.17</v>
      </c>
      <c r="F51" s="220">
        <v>4300</v>
      </c>
      <c r="G51" s="210">
        <f t="shared" si="31"/>
        <v>116831.00000000001</v>
      </c>
      <c r="H51" s="90">
        <v>2</v>
      </c>
      <c r="I51" s="217">
        <v>10</v>
      </c>
      <c r="J51" s="63">
        <v>3000</v>
      </c>
      <c r="K51" s="64">
        <f t="shared" si="1"/>
        <v>300</v>
      </c>
      <c r="L51" s="217">
        <v>10</v>
      </c>
      <c r="M51" s="65">
        <f t="shared" si="32"/>
        <v>2866.6666666666665</v>
      </c>
      <c r="N51" s="65">
        <f t="shared" si="3"/>
        <v>286.66666666666663</v>
      </c>
      <c r="O51" s="66">
        <f t="shared" si="4"/>
        <v>0</v>
      </c>
      <c r="P51" s="67">
        <f t="shared" si="5"/>
        <v>-13.333333333333371</v>
      </c>
      <c r="Q51" s="211">
        <f t="shared" si="6"/>
        <v>0.95555555555555538</v>
      </c>
      <c r="R51" s="529"/>
      <c r="S51" s="68">
        <v>0.15</v>
      </c>
      <c r="T51" s="68">
        <v>0.21249999999999999</v>
      </c>
      <c r="U51" s="210">
        <f t="shared" ref="U51:U59" si="34">(S51-T50)*24*60</f>
        <v>29.000000000000018</v>
      </c>
      <c r="V51" s="218">
        <f t="shared" si="33"/>
        <v>90</v>
      </c>
      <c r="W51" s="69"/>
      <c r="X51" s="69"/>
      <c r="Y51" s="517"/>
      <c r="Z51" s="518"/>
      <c r="AA51" s="66">
        <f t="shared" si="8"/>
        <v>-133.33333333333348</v>
      </c>
      <c r="AB51" s="211">
        <f t="shared" si="9"/>
        <v>0.95555555555555549</v>
      </c>
      <c r="AC51" s="529"/>
    </row>
    <row r="52" spans="1:29" ht="15.75" customHeight="1">
      <c r="A52" s="526" t="s">
        <v>1081</v>
      </c>
      <c r="B52" s="62" t="s">
        <v>35</v>
      </c>
      <c r="C52" s="521" t="s">
        <v>38</v>
      </c>
      <c r="D52" s="522"/>
      <c r="E52" s="62">
        <v>35.119999999999997</v>
      </c>
      <c r="F52" s="220">
        <v>4846</v>
      </c>
      <c r="G52" s="210">
        <f t="shared" si="31"/>
        <v>170191.52</v>
      </c>
      <c r="H52" s="90" t="s">
        <v>5</v>
      </c>
      <c r="I52" s="217">
        <v>10</v>
      </c>
      <c r="J52" s="63">
        <v>3000</v>
      </c>
      <c r="K52" s="64">
        <f t="shared" si="1"/>
        <v>300</v>
      </c>
      <c r="L52" s="217">
        <v>10</v>
      </c>
      <c r="M52" s="65">
        <f t="shared" si="32"/>
        <v>2878.8118811881191</v>
      </c>
      <c r="N52" s="65">
        <f t="shared" si="3"/>
        <v>287.88118811881191</v>
      </c>
      <c r="O52" s="66">
        <f t="shared" si="4"/>
        <v>0</v>
      </c>
      <c r="P52" s="67">
        <f t="shared" si="5"/>
        <v>-12.118811881188094</v>
      </c>
      <c r="Q52" s="211">
        <f t="shared" si="6"/>
        <v>0.95960396039603968</v>
      </c>
      <c r="R52" s="529"/>
      <c r="S52" s="68">
        <v>0.2159722222222222</v>
      </c>
      <c r="T52" s="68">
        <v>0.28611111111111109</v>
      </c>
      <c r="U52" s="210">
        <f t="shared" si="34"/>
        <v>4.9999999999999822</v>
      </c>
      <c r="V52" s="218">
        <f t="shared" si="33"/>
        <v>101</v>
      </c>
      <c r="W52" s="69"/>
      <c r="X52" s="69"/>
      <c r="Y52" s="517"/>
      <c r="Z52" s="518"/>
      <c r="AA52" s="66">
        <f t="shared" si="8"/>
        <v>-121.18811881188094</v>
      </c>
      <c r="AB52" s="211">
        <f t="shared" si="9"/>
        <v>0.95960396039603968</v>
      </c>
      <c r="AC52" s="529"/>
    </row>
    <row r="53" spans="1:29" ht="15.75" customHeight="1">
      <c r="A53" s="526" t="s">
        <v>1080</v>
      </c>
      <c r="B53" s="62" t="s">
        <v>35</v>
      </c>
      <c r="C53" s="521" t="s">
        <v>39</v>
      </c>
      <c r="D53" s="522"/>
      <c r="E53" s="62">
        <v>35.869999999999997</v>
      </c>
      <c r="F53" s="220">
        <v>3107</v>
      </c>
      <c r="G53" s="210">
        <f t="shared" si="31"/>
        <v>111448.09</v>
      </c>
      <c r="H53" s="90" t="s">
        <v>5</v>
      </c>
      <c r="I53" s="217">
        <v>9</v>
      </c>
      <c r="J53" s="63">
        <v>3000</v>
      </c>
      <c r="K53" s="64">
        <f t="shared" si="1"/>
        <v>333.33333333333331</v>
      </c>
      <c r="L53" s="217">
        <v>9</v>
      </c>
      <c r="M53" s="65">
        <f t="shared" si="32"/>
        <v>2867.9999999999995</v>
      </c>
      <c r="N53" s="65">
        <f t="shared" si="3"/>
        <v>318.66666666666663</v>
      </c>
      <c r="O53" s="66">
        <f t="shared" si="4"/>
        <v>0</v>
      </c>
      <c r="P53" s="67">
        <f t="shared" si="5"/>
        <v>-14.666666666666686</v>
      </c>
      <c r="Q53" s="211">
        <f t="shared" si="6"/>
        <v>0.95599999999999996</v>
      </c>
      <c r="R53" s="529"/>
      <c r="S53" s="68">
        <v>0.29027777777777775</v>
      </c>
      <c r="T53" s="68">
        <v>0.33541666666666664</v>
      </c>
      <c r="U53" s="210">
        <f t="shared" si="34"/>
        <v>5.9999999999999787</v>
      </c>
      <c r="V53" s="218">
        <f t="shared" si="33"/>
        <v>65.000000000000014</v>
      </c>
      <c r="W53" s="69"/>
      <c r="X53" s="69"/>
      <c r="Y53" s="517"/>
      <c r="Z53" s="518"/>
      <c r="AA53" s="66">
        <f t="shared" si="8"/>
        <v>-132.00000000000045</v>
      </c>
      <c r="AB53" s="211">
        <f t="shared" si="9"/>
        <v>0.95599999999999985</v>
      </c>
      <c r="AC53" s="529"/>
    </row>
    <row r="54" spans="1:29" ht="15.75" customHeight="1">
      <c r="A54" s="526" t="s">
        <v>1080</v>
      </c>
      <c r="B54" s="62" t="s">
        <v>35</v>
      </c>
      <c r="C54" s="521" t="s">
        <v>40</v>
      </c>
      <c r="D54" s="522"/>
      <c r="E54" s="62">
        <v>36.14</v>
      </c>
      <c r="F54" s="220">
        <v>1618</v>
      </c>
      <c r="G54" s="210">
        <f t="shared" si="31"/>
        <v>58474.520000000004</v>
      </c>
      <c r="H54" s="90" t="s">
        <v>5</v>
      </c>
      <c r="I54" s="217">
        <v>9</v>
      </c>
      <c r="J54" s="63">
        <v>3000</v>
      </c>
      <c r="K54" s="64">
        <f t="shared" si="1"/>
        <v>333.33333333333331</v>
      </c>
      <c r="L54" s="217">
        <v>9</v>
      </c>
      <c r="M54" s="65">
        <f t="shared" si="32"/>
        <v>2855.2941176470626</v>
      </c>
      <c r="N54" s="65">
        <f t="shared" si="3"/>
        <v>317.25490196078476</v>
      </c>
      <c r="O54" s="66">
        <f t="shared" si="4"/>
        <v>0</v>
      </c>
      <c r="P54" s="67">
        <f t="shared" si="5"/>
        <v>-16.07843137254855</v>
      </c>
      <c r="Q54" s="211">
        <f t="shared" si="6"/>
        <v>0.9517647058823544</v>
      </c>
      <c r="R54" s="529"/>
      <c r="S54" s="68">
        <v>0.33888888888888885</v>
      </c>
      <c r="T54" s="68">
        <v>0.36249999999999993</v>
      </c>
      <c r="U54" s="210">
        <f t="shared" si="34"/>
        <v>4.9999999999999822</v>
      </c>
      <c r="V54" s="218">
        <f t="shared" si="33"/>
        <v>33.999999999999957</v>
      </c>
      <c r="W54" s="69"/>
      <c r="X54" s="69"/>
      <c r="Y54" s="517"/>
      <c r="Z54" s="518"/>
      <c r="AA54" s="66">
        <f t="shared" si="8"/>
        <v>-144.70588235293735</v>
      </c>
      <c r="AB54" s="211">
        <f t="shared" si="9"/>
        <v>0.95176470588235418</v>
      </c>
      <c r="AC54" s="529"/>
    </row>
    <row r="55" spans="1:29" ht="15.75" customHeight="1">
      <c r="A55" s="526" t="s">
        <v>1080</v>
      </c>
      <c r="B55" s="62" t="s">
        <v>35</v>
      </c>
      <c r="C55" s="521" t="s">
        <v>74</v>
      </c>
      <c r="D55" s="522"/>
      <c r="E55" s="62">
        <v>34.36</v>
      </c>
      <c r="F55" s="220">
        <v>2889</v>
      </c>
      <c r="G55" s="210">
        <f t="shared" si="31"/>
        <v>99266.04</v>
      </c>
      <c r="H55" s="90" t="s">
        <v>5</v>
      </c>
      <c r="I55" s="217">
        <v>10</v>
      </c>
      <c r="J55" s="63">
        <v>3000</v>
      </c>
      <c r="K55" s="64">
        <f t="shared" si="1"/>
        <v>300</v>
      </c>
      <c r="L55" s="217">
        <v>10</v>
      </c>
      <c r="M55" s="65">
        <f t="shared" si="32"/>
        <v>2888.9999999999986</v>
      </c>
      <c r="N55" s="65">
        <f t="shared" si="3"/>
        <v>288.89999999999986</v>
      </c>
      <c r="O55" s="66">
        <f t="shared" si="4"/>
        <v>0</v>
      </c>
      <c r="P55" s="67">
        <f t="shared" si="5"/>
        <v>-11.100000000000136</v>
      </c>
      <c r="Q55" s="211">
        <f t="shared" si="6"/>
        <v>0.96299999999999952</v>
      </c>
      <c r="R55" s="529"/>
      <c r="S55" s="68">
        <v>0.36736111111111103</v>
      </c>
      <c r="T55" s="68">
        <v>0.40902777777777771</v>
      </c>
      <c r="U55" s="210">
        <f t="shared" si="34"/>
        <v>6.9999999999999751</v>
      </c>
      <c r="V55" s="218">
        <f t="shared" si="33"/>
        <v>60.000000000000028</v>
      </c>
      <c r="W55" s="69"/>
      <c r="X55" s="69"/>
      <c r="Y55" s="517"/>
      <c r="Z55" s="518"/>
      <c r="AA55" s="66">
        <f t="shared" si="8"/>
        <v>-111.00000000000136</v>
      </c>
      <c r="AB55" s="211">
        <f t="shared" si="9"/>
        <v>0.96299999999999952</v>
      </c>
      <c r="AC55" s="529"/>
    </row>
    <row r="56" spans="1:29" ht="15.75" customHeight="1">
      <c r="A56" s="526" t="s">
        <v>1082</v>
      </c>
      <c r="B56" s="62" t="s">
        <v>35</v>
      </c>
      <c r="C56" s="521" t="s">
        <v>84</v>
      </c>
      <c r="D56" s="522"/>
      <c r="E56" s="62">
        <v>31</v>
      </c>
      <c r="F56" s="220">
        <v>3800</v>
      </c>
      <c r="G56" s="210">
        <f t="shared" si="31"/>
        <v>117800</v>
      </c>
      <c r="H56" s="90">
        <v>2</v>
      </c>
      <c r="I56" s="217">
        <v>13</v>
      </c>
      <c r="J56" s="63">
        <v>2000</v>
      </c>
      <c r="K56" s="64">
        <f t="shared" si="1"/>
        <v>153.84615384615384</v>
      </c>
      <c r="L56" s="217">
        <v>13</v>
      </c>
      <c r="M56" s="65">
        <f t="shared" si="32"/>
        <v>1915.9663865546222</v>
      </c>
      <c r="N56" s="65">
        <f t="shared" si="3"/>
        <v>147.38202973497093</v>
      </c>
      <c r="O56" s="66">
        <f t="shared" si="4"/>
        <v>0</v>
      </c>
      <c r="P56" s="67">
        <f t="shared" si="5"/>
        <v>-6.4641241111829117</v>
      </c>
      <c r="Q56" s="211">
        <f t="shared" si="6"/>
        <v>0.95798319327731107</v>
      </c>
      <c r="R56" s="529"/>
      <c r="S56" s="68">
        <v>0.41319444444444436</v>
      </c>
      <c r="T56" s="68">
        <v>0.49583333333333324</v>
      </c>
      <c r="U56" s="210">
        <f t="shared" si="34"/>
        <v>5.9999999999999787</v>
      </c>
      <c r="V56" s="218">
        <f t="shared" si="33"/>
        <v>118.99999999999997</v>
      </c>
      <c r="W56" s="69">
        <f>T56</f>
        <v>0.49583333333333324</v>
      </c>
      <c r="X56" s="69">
        <f>S57</f>
        <v>0.53611111111111098</v>
      </c>
      <c r="Y56" s="517"/>
      <c r="Z56" s="518"/>
      <c r="AA56" s="66">
        <f t="shared" si="8"/>
        <v>-84.033613445377796</v>
      </c>
      <c r="AB56" s="211">
        <f t="shared" si="9"/>
        <v>0.95798319327731107</v>
      </c>
      <c r="AC56" s="529"/>
    </row>
    <row r="57" spans="1:29" ht="15.75" customHeight="1">
      <c r="A57" s="526" t="s">
        <v>1080</v>
      </c>
      <c r="B57" s="62" t="s">
        <v>35</v>
      </c>
      <c r="C57" s="521" t="s">
        <v>84</v>
      </c>
      <c r="D57" s="522"/>
      <c r="E57" s="62">
        <v>31</v>
      </c>
      <c r="F57" s="220">
        <v>2946</v>
      </c>
      <c r="G57" s="210">
        <f t="shared" si="31"/>
        <v>91326</v>
      </c>
      <c r="H57" s="90" t="s">
        <v>5</v>
      </c>
      <c r="I57" s="217">
        <v>13</v>
      </c>
      <c r="J57" s="63">
        <v>2000</v>
      </c>
      <c r="K57" s="64">
        <f t="shared" si="1"/>
        <v>153.84615384615384</v>
      </c>
      <c r="L57" s="217">
        <v>13</v>
      </c>
      <c r="M57" s="65">
        <f t="shared" si="32"/>
        <v>1921.304347826087</v>
      </c>
      <c r="N57" s="65">
        <f t="shared" si="3"/>
        <v>147.79264214046822</v>
      </c>
      <c r="O57" s="66">
        <f t="shared" si="4"/>
        <v>0</v>
      </c>
      <c r="P57" s="67">
        <f t="shared" si="5"/>
        <v>-6.0535117056856222</v>
      </c>
      <c r="Q57" s="211">
        <f t="shared" si="6"/>
        <v>0.96065217391304347</v>
      </c>
      <c r="R57" s="529"/>
      <c r="S57" s="68">
        <v>0.53611111111111098</v>
      </c>
      <c r="T57" s="68">
        <v>0.59999999999999987</v>
      </c>
      <c r="U57" s="210">
        <f t="shared" si="34"/>
        <v>57.999999999999957</v>
      </c>
      <c r="V57" s="218">
        <f t="shared" si="33"/>
        <v>92</v>
      </c>
      <c r="W57" s="69"/>
      <c r="X57" s="69"/>
      <c r="Y57" s="517"/>
      <c r="Z57" s="518"/>
      <c r="AA57" s="66">
        <f t="shared" si="8"/>
        <v>-78.695652173913004</v>
      </c>
      <c r="AB57" s="211">
        <f t="shared" si="9"/>
        <v>0.96065217391304347</v>
      </c>
      <c r="AC57" s="529"/>
    </row>
    <row r="58" spans="1:29" ht="15.75" customHeight="1">
      <c r="A58" s="526" t="s">
        <v>1082</v>
      </c>
      <c r="B58" s="62" t="s">
        <v>35</v>
      </c>
      <c r="C58" s="521" t="s">
        <v>37</v>
      </c>
      <c r="D58" s="522"/>
      <c r="E58" s="62">
        <v>27.17</v>
      </c>
      <c r="F58" s="220">
        <v>2622</v>
      </c>
      <c r="G58" s="210">
        <f t="shared" si="31"/>
        <v>71239.740000000005</v>
      </c>
      <c r="H58" s="90" t="s">
        <v>5</v>
      </c>
      <c r="I58" s="217">
        <v>10</v>
      </c>
      <c r="J58" s="63">
        <v>3000</v>
      </c>
      <c r="K58" s="64">
        <f t="shared" si="1"/>
        <v>300</v>
      </c>
      <c r="L58" s="217">
        <v>10</v>
      </c>
      <c r="M58" s="65">
        <f t="shared" si="32"/>
        <v>2860.3636363636379</v>
      </c>
      <c r="N58" s="65">
        <f t="shared" si="3"/>
        <v>286.03636363636377</v>
      </c>
      <c r="O58" s="66">
        <f t="shared" si="4"/>
        <v>0</v>
      </c>
      <c r="P58" s="67">
        <f t="shared" si="5"/>
        <v>-13.963636363636226</v>
      </c>
      <c r="Q58" s="211">
        <f t="shared" si="6"/>
        <v>0.95345454545454589</v>
      </c>
      <c r="R58" s="529"/>
      <c r="S58" s="68">
        <v>0.60347222222222208</v>
      </c>
      <c r="T58" s="68">
        <v>0.6416666666666665</v>
      </c>
      <c r="U58" s="210">
        <f t="shared" si="34"/>
        <v>4.9999999999999822</v>
      </c>
      <c r="V58" s="218">
        <f t="shared" si="33"/>
        <v>54.999999999999964</v>
      </c>
      <c r="W58" s="69"/>
      <c r="X58" s="69"/>
      <c r="Y58" s="517"/>
      <c r="Z58" s="518"/>
      <c r="AA58" s="66">
        <f t="shared" si="8"/>
        <v>-139.63636363636215</v>
      </c>
      <c r="AB58" s="211">
        <f t="shared" si="9"/>
        <v>0.953454545454546</v>
      </c>
      <c r="AC58" s="529"/>
    </row>
    <row r="59" spans="1:29" ht="15.75" customHeight="1">
      <c r="A59" s="526" t="s">
        <v>1080</v>
      </c>
      <c r="B59" s="62" t="s">
        <v>35</v>
      </c>
      <c r="C59" s="521" t="s">
        <v>36</v>
      </c>
      <c r="D59" s="522"/>
      <c r="E59" s="62">
        <v>21.13</v>
      </c>
      <c r="F59" s="220">
        <v>2723</v>
      </c>
      <c r="G59" s="210">
        <f t="shared" si="31"/>
        <v>57536.99</v>
      </c>
      <c r="H59" s="90" t="s">
        <v>5</v>
      </c>
      <c r="I59" s="217">
        <v>10</v>
      </c>
      <c r="J59" s="63">
        <v>3000</v>
      </c>
      <c r="K59" s="64">
        <f t="shared" si="1"/>
        <v>300</v>
      </c>
      <c r="L59" s="217">
        <v>10</v>
      </c>
      <c r="M59" s="65">
        <f t="shared" si="32"/>
        <v>2866.3157894736864</v>
      </c>
      <c r="N59" s="65">
        <f t="shared" si="3"/>
        <v>286.63157894736867</v>
      </c>
      <c r="O59" s="66">
        <f t="shared" si="4"/>
        <v>0</v>
      </c>
      <c r="P59" s="67">
        <f t="shared" si="5"/>
        <v>-13.368421052631334</v>
      </c>
      <c r="Q59" s="211">
        <f t="shared" si="6"/>
        <v>0.95543859649122886</v>
      </c>
      <c r="R59" s="529"/>
      <c r="S59" s="68">
        <v>0.64513888888888871</v>
      </c>
      <c r="T59" s="68">
        <v>0.68472222222222201</v>
      </c>
      <c r="U59" s="210">
        <f t="shared" si="34"/>
        <v>4.9999999999999822</v>
      </c>
      <c r="V59" s="218">
        <f t="shared" si="33"/>
        <v>56.999999999999957</v>
      </c>
      <c r="W59" s="69"/>
      <c r="X59" s="69"/>
      <c r="Y59" s="517"/>
      <c r="Z59" s="518"/>
      <c r="AA59" s="66">
        <f t="shared" si="8"/>
        <v>-133.68421052631356</v>
      </c>
      <c r="AB59" s="211">
        <f t="shared" si="9"/>
        <v>0.95543859649122886</v>
      </c>
      <c r="AC59" s="529"/>
    </row>
    <row r="60" spans="1:29" ht="15.75" customHeight="1">
      <c r="A60" s="527" t="s">
        <v>1081</v>
      </c>
      <c r="B60" s="62" t="s">
        <v>1083</v>
      </c>
      <c r="C60" s="508"/>
      <c r="D60" s="509"/>
      <c r="E60" s="209"/>
      <c r="F60" s="220"/>
      <c r="G60" s="210"/>
      <c r="H60" s="220"/>
      <c r="I60" s="72">
        <v>10.4</v>
      </c>
      <c r="J60" s="63">
        <v>2800</v>
      </c>
      <c r="K60" s="64">
        <f t="shared" si="1"/>
        <v>269.23076923076923</v>
      </c>
      <c r="L60" s="72">
        <v>10.4</v>
      </c>
      <c r="M60" s="65">
        <f>AVERAGE(M50:M59)</f>
        <v>2678.7394467510931</v>
      </c>
      <c r="N60" s="64">
        <f t="shared" si="3"/>
        <v>257.57110064914355</v>
      </c>
      <c r="O60" s="66">
        <f t="shared" si="4"/>
        <v>0</v>
      </c>
      <c r="P60" s="67">
        <f t="shared" si="5"/>
        <v>-11.659668581625681</v>
      </c>
      <c r="Q60" s="211">
        <f t="shared" si="6"/>
        <v>0.95669265955396177</v>
      </c>
      <c r="R60" s="530"/>
      <c r="S60" s="68"/>
      <c r="T60" s="68"/>
      <c r="U60" s="210"/>
      <c r="V60" s="218"/>
      <c r="W60" s="69"/>
      <c r="X60" s="69"/>
      <c r="Y60" s="517"/>
      <c r="Z60" s="518"/>
      <c r="AA60" s="66">
        <f t="shared" si="8"/>
        <v>-121.26055324890694</v>
      </c>
      <c r="AB60" s="211">
        <f t="shared" si="9"/>
        <v>0.95669265955396177</v>
      </c>
      <c r="AC60" s="530"/>
    </row>
    <row r="61" spans="1:29" ht="15.75" customHeight="1">
      <c r="A61" s="523" t="s">
        <v>1084</v>
      </c>
      <c r="B61" s="62" t="s">
        <v>10</v>
      </c>
      <c r="C61" s="512" t="s">
        <v>41</v>
      </c>
      <c r="D61" s="512"/>
      <c r="E61" s="62">
        <v>46</v>
      </c>
      <c r="F61" s="74">
        <v>2945</v>
      </c>
      <c r="G61" s="210">
        <f t="shared" ref="G61:G65" si="35">E61*F61</f>
        <v>135470</v>
      </c>
      <c r="H61" s="90" t="s">
        <v>5</v>
      </c>
      <c r="I61" s="217">
        <v>17</v>
      </c>
      <c r="J61" s="63">
        <v>2000</v>
      </c>
      <c r="K61" s="64">
        <f t="shared" si="1"/>
        <v>117.64705882352941</v>
      </c>
      <c r="L61" s="217">
        <v>17</v>
      </c>
      <c r="M61" s="65">
        <f t="shared" ref="M61:M65" si="36">F61/V61*60</f>
        <v>1920.652173913043</v>
      </c>
      <c r="N61" s="65">
        <f t="shared" si="3"/>
        <v>112.9795396419437</v>
      </c>
      <c r="O61" s="66">
        <f t="shared" si="4"/>
        <v>0</v>
      </c>
      <c r="P61" s="67">
        <f t="shared" si="5"/>
        <v>-4.6675191815857033</v>
      </c>
      <c r="Q61" s="211">
        <f t="shared" si="6"/>
        <v>0.96032608695652155</v>
      </c>
      <c r="R61" s="511">
        <f>Q66</f>
        <v>0.95955792266989681</v>
      </c>
      <c r="S61" s="68">
        <v>0.20833333333333334</v>
      </c>
      <c r="T61" s="68">
        <v>0.27222222222222225</v>
      </c>
      <c r="U61" s="73"/>
      <c r="V61" s="218">
        <f t="shared" ref="V61:V65" si="37">(T61-S61)*24*60</f>
        <v>92.000000000000028</v>
      </c>
      <c r="W61" s="73"/>
      <c r="X61" s="73"/>
      <c r="Y61" s="510"/>
      <c r="Z61" s="510"/>
      <c r="AA61" s="66">
        <f t="shared" si="8"/>
        <v>-79.347826086956957</v>
      </c>
      <c r="AB61" s="211">
        <f t="shared" si="9"/>
        <v>0.96032608695652155</v>
      </c>
      <c r="AC61" s="511">
        <f>AB66</f>
        <v>0.95955792266989681</v>
      </c>
    </row>
    <row r="62" spans="1:29" ht="15.75" customHeight="1">
      <c r="A62" s="523" t="s">
        <v>1084</v>
      </c>
      <c r="B62" s="62" t="s">
        <v>10</v>
      </c>
      <c r="C62" s="512" t="s">
        <v>42</v>
      </c>
      <c r="D62" s="512"/>
      <c r="E62" s="62">
        <v>46</v>
      </c>
      <c r="F62" s="74">
        <v>3057</v>
      </c>
      <c r="G62" s="210">
        <f t="shared" si="35"/>
        <v>140622</v>
      </c>
      <c r="H62" s="90" t="s">
        <v>5</v>
      </c>
      <c r="I62" s="217">
        <v>17</v>
      </c>
      <c r="J62" s="63">
        <v>2000</v>
      </c>
      <c r="K62" s="64">
        <f t="shared" si="1"/>
        <v>117.64705882352941</v>
      </c>
      <c r="L62" s="217">
        <v>17</v>
      </c>
      <c r="M62" s="65">
        <f t="shared" si="36"/>
        <v>1910.6250000000007</v>
      </c>
      <c r="N62" s="65">
        <f t="shared" si="3"/>
        <v>112.38970588235298</v>
      </c>
      <c r="O62" s="66">
        <f t="shared" si="4"/>
        <v>0</v>
      </c>
      <c r="P62" s="67">
        <f t="shared" si="5"/>
        <v>-5.2573529411764213</v>
      </c>
      <c r="Q62" s="211">
        <f t="shared" si="6"/>
        <v>0.95531250000000045</v>
      </c>
      <c r="R62" s="511"/>
      <c r="S62" s="68">
        <v>0.27569444444444446</v>
      </c>
      <c r="T62" s="68">
        <v>0.34236111111111112</v>
      </c>
      <c r="U62" s="210">
        <f t="shared" ref="U62:U65" si="38">IF(S62=TIME(17,0,0),"",(S62-T61)*24*60)</f>
        <v>4.9999999999999822</v>
      </c>
      <c r="V62" s="218">
        <f t="shared" si="37"/>
        <v>95.999999999999972</v>
      </c>
      <c r="W62" s="69"/>
      <c r="X62" s="69"/>
      <c r="Y62" s="510"/>
      <c r="Z62" s="510"/>
      <c r="AA62" s="66">
        <f t="shared" si="8"/>
        <v>-89.374999999999318</v>
      </c>
      <c r="AB62" s="211">
        <f t="shared" si="9"/>
        <v>0.95531250000000034</v>
      </c>
      <c r="AC62" s="511"/>
    </row>
    <row r="63" spans="1:29" ht="15.75" customHeight="1">
      <c r="A63" s="523" t="s">
        <v>1084</v>
      </c>
      <c r="B63" s="62" t="s">
        <v>6</v>
      </c>
      <c r="C63" s="521" t="s">
        <v>43</v>
      </c>
      <c r="D63" s="522"/>
      <c r="E63" s="62">
        <v>55.56</v>
      </c>
      <c r="F63" s="74">
        <v>2556</v>
      </c>
      <c r="G63" s="210">
        <f t="shared" si="35"/>
        <v>142011.36000000002</v>
      </c>
      <c r="H63" s="90" t="s">
        <v>5</v>
      </c>
      <c r="I63" s="217">
        <v>17</v>
      </c>
      <c r="J63" s="63">
        <v>2000</v>
      </c>
      <c r="K63" s="64">
        <f t="shared" si="1"/>
        <v>117.64705882352941</v>
      </c>
      <c r="L63" s="217">
        <v>17</v>
      </c>
      <c r="M63" s="65">
        <f t="shared" si="36"/>
        <v>1916.9999999999993</v>
      </c>
      <c r="N63" s="65">
        <f t="shared" si="3"/>
        <v>112.7647058823529</v>
      </c>
      <c r="O63" s="66">
        <f t="shared" si="4"/>
        <v>0</v>
      </c>
      <c r="P63" s="67">
        <f t="shared" si="5"/>
        <v>-4.8823529411765065</v>
      </c>
      <c r="Q63" s="211">
        <f t="shared" si="6"/>
        <v>0.95849999999999969</v>
      </c>
      <c r="R63" s="511"/>
      <c r="S63" s="68">
        <v>0.70833333333333337</v>
      </c>
      <c r="T63" s="68">
        <v>0.76388888888888895</v>
      </c>
      <c r="U63" s="210" t="str">
        <f t="shared" si="38"/>
        <v/>
      </c>
      <c r="V63" s="218">
        <f t="shared" si="37"/>
        <v>80.000000000000028</v>
      </c>
      <c r="W63" s="69"/>
      <c r="X63" s="69"/>
      <c r="Y63" s="213"/>
      <c r="Z63" s="214"/>
      <c r="AA63" s="66">
        <f t="shared" si="8"/>
        <v>-83.000000000000682</v>
      </c>
      <c r="AB63" s="211">
        <f t="shared" si="9"/>
        <v>0.95849999999999969</v>
      </c>
      <c r="AC63" s="511"/>
    </row>
    <row r="64" spans="1:29" ht="15.75" customHeight="1">
      <c r="A64" s="523" t="s">
        <v>1085</v>
      </c>
      <c r="B64" s="62" t="s">
        <v>6</v>
      </c>
      <c r="C64" s="215" t="s">
        <v>44</v>
      </c>
      <c r="D64" s="216"/>
      <c r="E64" s="62">
        <v>55.32</v>
      </c>
      <c r="F64" s="74">
        <v>1969</v>
      </c>
      <c r="G64" s="210">
        <f t="shared" si="35"/>
        <v>108925.08</v>
      </c>
      <c r="H64" s="90" t="s">
        <v>5</v>
      </c>
      <c r="I64" s="217">
        <v>15</v>
      </c>
      <c r="J64" s="63">
        <v>2000</v>
      </c>
      <c r="K64" s="64">
        <f t="shared" si="1"/>
        <v>133.33333333333334</v>
      </c>
      <c r="L64" s="217">
        <v>15</v>
      </c>
      <c r="M64" s="65">
        <f t="shared" si="36"/>
        <v>1905.4838709677435</v>
      </c>
      <c r="N64" s="65">
        <f t="shared" si="3"/>
        <v>127.03225806451624</v>
      </c>
      <c r="O64" s="66">
        <f t="shared" si="4"/>
        <v>0</v>
      </c>
      <c r="P64" s="67">
        <f t="shared" si="5"/>
        <v>-6.301075268817101</v>
      </c>
      <c r="Q64" s="211">
        <f t="shared" si="6"/>
        <v>0.95274193548387176</v>
      </c>
      <c r="R64" s="511"/>
      <c r="S64" s="68">
        <v>0.76875000000000004</v>
      </c>
      <c r="T64" s="68">
        <v>0.81180555555555556</v>
      </c>
      <c r="U64" s="210">
        <f t="shared" si="38"/>
        <v>6.9999999999999751</v>
      </c>
      <c r="V64" s="218">
        <f t="shared" si="37"/>
        <v>61.999999999999943</v>
      </c>
      <c r="W64" s="69"/>
      <c r="X64" s="69"/>
      <c r="Y64" s="213"/>
      <c r="Z64" s="214"/>
      <c r="AA64" s="66">
        <f t="shared" si="8"/>
        <v>-94.516129032256458</v>
      </c>
      <c r="AB64" s="211">
        <f t="shared" si="9"/>
        <v>0.95274193548387176</v>
      </c>
      <c r="AC64" s="511"/>
    </row>
    <row r="65" spans="1:29" ht="15.75" customHeight="1">
      <c r="A65" s="523" t="s">
        <v>1084</v>
      </c>
      <c r="B65" s="62" t="s">
        <v>6</v>
      </c>
      <c r="C65" s="215" t="s">
        <v>7</v>
      </c>
      <c r="D65" s="216"/>
      <c r="E65" s="62">
        <v>46.93</v>
      </c>
      <c r="F65" s="74">
        <v>1424</v>
      </c>
      <c r="G65" s="210">
        <f t="shared" si="35"/>
        <v>66828.319999999992</v>
      </c>
      <c r="H65" s="90" t="s">
        <v>5</v>
      </c>
      <c r="I65" s="217">
        <v>16</v>
      </c>
      <c r="J65" s="63">
        <v>2000</v>
      </c>
      <c r="K65" s="64">
        <f t="shared" si="1"/>
        <v>125</v>
      </c>
      <c r="L65" s="217">
        <v>16</v>
      </c>
      <c r="M65" s="65">
        <f t="shared" si="36"/>
        <v>1941.818181818182</v>
      </c>
      <c r="N65" s="65">
        <f t="shared" si="3"/>
        <v>121.36363636363637</v>
      </c>
      <c r="O65" s="66">
        <f t="shared" si="4"/>
        <v>0</v>
      </c>
      <c r="P65" s="67">
        <f t="shared" si="5"/>
        <v>-3.636363636363626</v>
      </c>
      <c r="Q65" s="211">
        <f t="shared" si="6"/>
        <v>0.97090909090909094</v>
      </c>
      <c r="R65" s="511"/>
      <c r="S65" s="68">
        <v>0.81666666666666665</v>
      </c>
      <c r="T65" s="68">
        <v>0.84722222222222221</v>
      </c>
      <c r="U65" s="210">
        <f t="shared" si="38"/>
        <v>6.9999999999999751</v>
      </c>
      <c r="V65" s="218">
        <f t="shared" si="37"/>
        <v>44</v>
      </c>
      <c r="W65" s="69"/>
      <c r="X65" s="69"/>
      <c r="Y65" s="213"/>
      <c r="Z65" s="214"/>
      <c r="AA65" s="66">
        <f t="shared" si="8"/>
        <v>-58.181818181818016</v>
      </c>
      <c r="AB65" s="211">
        <f t="shared" si="9"/>
        <v>0.97090909090909094</v>
      </c>
      <c r="AC65" s="511"/>
    </row>
    <row r="66" spans="1:29">
      <c r="A66" s="524" t="s">
        <v>1085</v>
      </c>
      <c r="B66" s="62" t="s">
        <v>1086</v>
      </c>
      <c r="C66" s="513"/>
      <c r="D66" s="513"/>
      <c r="E66" s="212"/>
      <c r="F66" s="71"/>
      <c r="G66" s="64"/>
      <c r="H66" s="220"/>
      <c r="I66" s="72">
        <v>16.399999999999999</v>
      </c>
      <c r="J66" s="63">
        <v>2000</v>
      </c>
      <c r="K66" s="64">
        <f t="shared" si="1"/>
        <v>121.95121951219514</v>
      </c>
      <c r="L66" s="72">
        <v>16.399999999999999</v>
      </c>
      <c r="M66" s="65">
        <f>AVERAGE(M61:M65)</f>
        <v>1919.1158453397936</v>
      </c>
      <c r="N66" s="64">
        <f t="shared" si="3"/>
        <v>117.01925886218255</v>
      </c>
      <c r="O66" s="66">
        <f t="shared" si="4"/>
        <v>0</v>
      </c>
      <c r="P66" s="67">
        <f t="shared" si="5"/>
        <v>-4.9319606500125843</v>
      </c>
      <c r="Q66" s="211">
        <f t="shared" si="6"/>
        <v>0.95955792266989681</v>
      </c>
      <c r="R66" s="511"/>
      <c r="S66" s="75"/>
      <c r="T66" s="68"/>
      <c r="U66" s="64"/>
      <c r="V66" s="218"/>
      <c r="W66" s="64"/>
      <c r="X66" s="64"/>
      <c r="Y66" s="510"/>
      <c r="Z66" s="510"/>
      <c r="AA66" s="66">
        <f t="shared" si="8"/>
        <v>-80.884154660206377</v>
      </c>
      <c r="AB66" s="211">
        <f t="shared" si="9"/>
        <v>0.95955792266989681</v>
      </c>
      <c r="AC66" s="511"/>
    </row>
    <row r="67" spans="1:29" ht="15.75" customHeight="1">
      <c r="A67" s="519" t="s">
        <v>1087</v>
      </c>
      <c r="B67" s="220" t="s">
        <v>10</v>
      </c>
      <c r="C67" s="512" t="s">
        <v>46</v>
      </c>
      <c r="D67" s="512"/>
      <c r="E67" s="62">
        <v>26.97</v>
      </c>
      <c r="F67" s="74">
        <v>3382</v>
      </c>
      <c r="G67" s="210">
        <f t="shared" ref="G67:G70" si="39">E67*F67</f>
        <v>91212.54</v>
      </c>
      <c r="H67" s="90" t="s">
        <v>5</v>
      </c>
      <c r="I67" s="217">
        <v>8</v>
      </c>
      <c r="J67" s="63">
        <v>1500</v>
      </c>
      <c r="K67" s="64">
        <f t="shared" si="1"/>
        <v>187.5</v>
      </c>
      <c r="L67" s="217">
        <v>8</v>
      </c>
      <c r="M67" s="65">
        <f t="shared" ref="M67:M70" si="40">F67/V67*60</f>
        <v>1429.0140845070421</v>
      </c>
      <c r="N67" s="64">
        <f t="shared" si="3"/>
        <v>178.62676056338026</v>
      </c>
      <c r="O67" s="66">
        <f t="shared" si="4"/>
        <v>0</v>
      </c>
      <c r="P67" s="67">
        <f t="shared" si="5"/>
        <v>-8.8732394366197411</v>
      </c>
      <c r="Q67" s="211">
        <f t="shared" si="6"/>
        <v>0.9526760563380281</v>
      </c>
      <c r="R67" s="511">
        <f>Q71</f>
        <v>0.9586321320476906</v>
      </c>
      <c r="S67" s="68">
        <v>0.20833333333333334</v>
      </c>
      <c r="T67" s="68">
        <v>0.30694444444444446</v>
      </c>
      <c r="U67" s="210"/>
      <c r="V67" s="218">
        <f t="shared" ref="V67:V70" si="41">(T67-S67)*24*60</f>
        <v>142.00000000000003</v>
      </c>
      <c r="W67" s="73"/>
      <c r="X67" s="73"/>
      <c r="Y67" s="510"/>
      <c r="Z67" s="510"/>
      <c r="AA67" s="66">
        <f t="shared" si="8"/>
        <v>-70.985915492957929</v>
      </c>
      <c r="AB67" s="211">
        <f t="shared" si="9"/>
        <v>0.9526760563380281</v>
      </c>
      <c r="AC67" s="511">
        <f>AB71</f>
        <v>0.9586321320476906</v>
      </c>
    </row>
    <row r="68" spans="1:29" ht="15.75" customHeight="1">
      <c r="A68" s="519" t="s">
        <v>1087</v>
      </c>
      <c r="B68" s="220" t="s">
        <v>35</v>
      </c>
      <c r="C68" s="512" t="s">
        <v>45</v>
      </c>
      <c r="D68" s="512"/>
      <c r="E68" s="62">
        <v>26.78</v>
      </c>
      <c r="F68" s="74">
        <v>2941</v>
      </c>
      <c r="G68" s="210">
        <f t="shared" si="39"/>
        <v>78759.98000000001</v>
      </c>
      <c r="H68" s="90" t="s">
        <v>5</v>
      </c>
      <c r="I68" s="217">
        <v>10</v>
      </c>
      <c r="J68" s="63">
        <v>3000</v>
      </c>
      <c r="K68" s="64">
        <f t="shared" si="1"/>
        <v>300</v>
      </c>
      <c r="L68" s="217">
        <v>10</v>
      </c>
      <c r="M68" s="65">
        <f t="shared" si="40"/>
        <v>2892.7868852459005</v>
      </c>
      <c r="N68" s="64">
        <f t="shared" si="3"/>
        <v>289.27868852459005</v>
      </c>
      <c r="O68" s="66">
        <f t="shared" si="4"/>
        <v>0</v>
      </c>
      <c r="P68" s="67">
        <f t="shared" si="5"/>
        <v>-10.721311475409948</v>
      </c>
      <c r="Q68" s="211">
        <f t="shared" si="6"/>
        <v>0.96426229508196681</v>
      </c>
      <c r="R68" s="511"/>
      <c r="S68" s="68">
        <v>0.31180555555555556</v>
      </c>
      <c r="T68" s="68">
        <v>0.35416666666666669</v>
      </c>
      <c r="U68" s="210">
        <f t="shared" ref="U68:U70" si="42">(S68-T67)*24*60</f>
        <v>6.9999999999999751</v>
      </c>
      <c r="V68" s="218">
        <f t="shared" si="41"/>
        <v>61.000000000000021</v>
      </c>
      <c r="W68" s="210"/>
      <c r="X68" s="210"/>
      <c r="Y68" s="510"/>
      <c r="Z68" s="510"/>
      <c r="AA68" s="66">
        <f t="shared" si="8"/>
        <v>-107.21311475409948</v>
      </c>
      <c r="AB68" s="211">
        <f t="shared" si="9"/>
        <v>0.96426229508196681</v>
      </c>
      <c r="AC68" s="511"/>
    </row>
    <row r="69" spans="1:29" ht="15.75" customHeight="1">
      <c r="A69" s="519" t="s">
        <v>1088</v>
      </c>
      <c r="B69" s="220" t="s">
        <v>35</v>
      </c>
      <c r="C69" s="512" t="s">
        <v>75</v>
      </c>
      <c r="D69" s="512"/>
      <c r="E69" s="62">
        <v>37.880000000000003</v>
      </c>
      <c r="F69" s="74">
        <v>3722</v>
      </c>
      <c r="G69" s="210">
        <f t="shared" si="39"/>
        <v>140989.36000000002</v>
      </c>
      <c r="H69" s="90" t="s">
        <v>5</v>
      </c>
      <c r="I69" s="217">
        <v>10</v>
      </c>
      <c r="J69" s="63">
        <v>3000</v>
      </c>
      <c r="K69" s="64">
        <f t="shared" ref="K69:K80" si="43">J69/I69</f>
        <v>300</v>
      </c>
      <c r="L69" s="217">
        <v>10</v>
      </c>
      <c r="M69" s="65">
        <f t="shared" si="40"/>
        <v>2863.0769230769247</v>
      </c>
      <c r="N69" s="64">
        <f t="shared" ref="N69:N80" si="44">M69/L69</f>
        <v>286.30769230769249</v>
      </c>
      <c r="O69" s="66">
        <f t="shared" ref="O69:O80" si="45">L69-I69</f>
        <v>0</v>
      </c>
      <c r="P69" s="67">
        <f t="shared" ref="P69:P80" si="46">N69-K69</f>
        <v>-13.692307692307509</v>
      </c>
      <c r="Q69" s="211">
        <f t="shared" ref="Q69:Q80" si="47">N69/K69</f>
        <v>0.95435897435897499</v>
      </c>
      <c r="R69" s="511"/>
      <c r="S69" s="68">
        <v>0.35833333333333334</v>
      </c>
      <c r="T69" s="68">
        <v>0.41249999999999998</v>
      </c>
      <c r="U69" s="210">
        <f t="shared" si="42"/>
        <v>5.9999999999999787</v>
      </c>
      <c r="V69" s="218">
        <f t="shared" si="41"/>
        <v>77.999999999999957</v>
      </c>
      <c r="W69" s="210"/>
      <c r="X69" s="210"/>
      <c r="Y69" s="510"/>
      <c r="Z69" s="510"/>
      <c r="AA69" s="66">
        <f t="shared" ref="AA69:AA80" si="48">M69-J69</f>
        <v>-136.92307692307531</v>
      </c>
      <c r="AB69" s="211">
        <f t="shared" ref="AB69:AB80" si="49">M69/J69</f>
        <v>0.95435897435897488</v>
      </c>
      <c r="AC69" s="511"/>
    </row>
    <row r="70" spans="1:29" ht="15.75" customHeight="1">
      <c r="A70" s="519" t="s">
        <v>1087</v>
      </c>
      <c r="B70" s="220" t="s">
        <v>35</v>
      </c>
      <c r="C70" s="512" t="s">
        <v>85</v>
      </c>
      <c r="D70" s="512"/>
      <c r="E70" s="62">
        <v>40.51</v>
      </c>
      <c r="F70" s="74">
        <v>3793</v>
      </c>
      <c r="G70" s="210">
        <f t="shared" si="39"/>
        <v>153654.43</v>
      </c>
      <c r="H70" s="90" t="s">
        <v>5</v>
      </c>
      <c r="I70" s="217">
        <v>8</v>
      </c>
      <c r="J70" s="63">
        <v>3000</v>
      </c>
      <c r="K70" s="64">
        <f t="shared" si="43"/>
        <v>375</v>
      </c>
      <c r="L70" s="217">
        <v>8</v>
      </c>
      <c r="M70" s="65">
        <f t="shared" si="40"/>
        <v>2880.7594936708847</v>
      </c>
      <c r="N70" s="64">
        <f t="shared" si="44"/>
        <v>360.09493670886059</v>
      </c>
      <c r="O70" s="66">
        <f t="shared" si="45"/>
        <v>0</v>
      </c>
      <c r="P70" s="67">
        <f t="shared" si="46"/>
        <v>-14.905063291139413</v>
      </c>
      <c r="Q70" s="211">
        <f t="shared" si="47"/>
        <v>0.96025316455696152</v>
      </c>
      <c r="R70" s="511"/>
      <c r="S70" s="68">
        <v>0.41805555555555551</v>
      </c>
      <c r="T70" s="68">
        <v>0.47291666666666665</v>
      </c>
      <c r="U70" s="210">
        <f t="shared" si="42"/>
        <v>7.9999999999999716</v>
      </c>
      <c r="V70" s="218">
        <f t="shared" si="41"/>
        <v>79.000000000000043</v>
      </c>
      <c r="W70" s="210"/>
      <c r="X70" s="210"/>
      <c r="Y70" s="510"/>
      <c r="Z70" s="510"/>
      <c r="AA70" s="66">
        <f t="shared" si="48"/>
        <v>-119.24050632911531</v>
      </c>
      <c r="AB70" s="211">
        <f t="shared" si="49"/>
        <v>0.96025316455696152</v>
      </c>
      <c r="AC70" s="511"/>
    </row>
    <row r="71" spans="1:29">
      <c r="A71" s="520" t="s">
        <v>1087</v>
      </c>
      <c r="B71" s="62" t="s">
        <v>1089</v>
      </c>
      <c r="C71" s="513"/>
      <c r="D71" s="513"/>
      <c r="E71" s="212"/>
      <c r="F71" s="71"/>
      <c r="G71" s="64"/>
      <c r="H71" s="220"/>
      <c r="I71" s="72">
        <v>9</v>
      </c>
      <c r="J71" s="63">
        <v>2625</v>
      </c>
      <c r="K71" s="64">
        <f t="shared" si="43"/>
        <v>291.66666666666669</v>
      </c>
      <c r="L71" s="72">
        <v>9</v>
      </c>
      <c r="M71" s="65">
        <f>AVERAGE(M67:M70)</f>
        <v>2516.4093466251879</v>
      </c>
      <c r="N71" s="64">
        <f t="shared" si="44"/>
        <v>279.60103851390977</v>
      </c>
      <c r="O71" s="66">
        <f t="shared" si="45"/>
        <v>0</v>
      </c>
      <c r="P71" s="67">
        <f t="shared" si="46"/>
        <v>-12.065628152756915</v>
      </c>
      <c r="Q71" s="211">
        <f t="shared" si="47"/>
        <v>0.9586321320476906</v>
      </c>
      <c r="R71" s="511"/>
      <c r="S71" s="68"/>
      <c r="T71" s="68"/>
      <c r="U71" s="64"/>
      <c r="V71" s="218"/>
      <c r="W71" s="64"/>
      <c r="X71" s="64"/>
      <c r="Y71" s="510"/>
      <c r="Z71" s="510"/>
      <c r="AA71" s="66">
        <f t="shared" si="48"/>
        <v>-108.59065337481206</v>
      </c>
      <c r="AB71" s="211">
        <f t="shared" si="49"/>
        <v>0.9586321320476906</v>
      </c>
      <c r="AC71" s="511"/>
    </row>
    <row r="72" spans="1:29" ht="15.75" customHeight="1">
      <c r="A72" s="514" t="s">
        <v>1090</v>
      </c>
      <c r="B72" s="220" t="s">
        <v>16</v>
      </c>
      <c r="C72" s="512" t="s">
        <v>48</v>
      </c>
      <c r="D72" s="512"/>
      <c r="E72" s="62">
        <v>20.2</v>
      </c>
      <c r="F72" s="220">
        <v>2743</v>
      </c>
      <c r="G72" s="210">
        <f t="shared" ref="G72:G79" si="50">E72*F72</f>
        <v>55408.6</v>
      </c>
      <c r="H72" s="90" t="s">
        <v>5</v>
      </c>
      <c r="I72" s="217">
        <v>19</v>
      </c>
      <c r="J72" s="63">
        <v>2400</v>
      </c>
      <c r="K72" s="64">
        <f t="shared" si="43"/>
        <v>126.31578947368421</v>
      </c>
      <c r="L72" s="217">
        <v>19</v>
      </c>
      <c r="M72" s="65">
        <f t="shared" ref="M72:M79" si="51">F72/V72*60</f>
        <v>2285.833333333333</v>
      </c>
      <c r="N72" s="64">
        <f t="shared" si="44"/>
        <v>120.30701754385963</v>
      </c>
      <c r="O72" s="66">
        <f t="shared" si="45"/>
        <v>0</v>
      </c>
      <c r="P72" s="67">
        <f t="shared" si="46"/>
        <v>-6.0087719298245759</v>
      </c>
      <c r="Q72" s="211">
        <f t="shared" si="47"/>
        <v>0.95243055555555545</v>
      </c>
      <c r="R72" s="511">
        <f>Q80</f>
        <v>0.95523256999592343</v>
      </c>
      <c r="S72" s="68">
        <v>8.3333333333333329E-2</v>
      </c>
      <c r="T72" s="68">
        <v>0.13333333333333333</v>
      </c>
      <c r="U72" s="73"/>
      <c r="V72" s="218">
        <f t="shared" ref="V72:V79" si="52">(T72-S72)*24*60</f>
        <v>72.000000000000014</v>
      </c>
      <c r="W72" s="69">
        <f>T72</f>
        <v>0.13333333333333333</v>
      </c>
      <c r="X72" s="69">
        <f>S73</f>
        <v>0.15277777777777776</v>
      </c>
      <c r="Y72" s="510"/>
      <c r="Z72" s="510"/>
      <c r="AA72" s="66">
        <f t="shared" si="48"/>
        <v>-114.16666666666697</v>
      </c>
      <c r="AB72" s="211">
        <f t="shared" si="49"/>
        <v>0.95243055555555545</v>
      </c>
      <c r="AC72" s="511">
        <f>AB80</f>
        <v>0.95523256999592343</v>
      </c>
    </row>
    <row r="73" spans="1:29" ht="15.75" customHeight="1">
      <c r="A73" s="515" t="s">
        <v>1091</v>
      </c>
      <c r="B73" s="220" t="s">
        <v>16</v>
      </c>
      <c r="C73" s="512" t="s">
        <v>51</v>
      </c>
      <c r="D73" s="512"/>
      <c r="E73" s="62">
        <v>24.25</v>
      </c>
      <c r="F73" s="220">
        <v>2645</v>
      </c>
      <c r="G73" s="210">
        <f t="shared" si="50"/>
        <v>64141.25</v>
      </c>
      <c r="H73" s="90" t="s">
        <v>5</v>
      </c>
      <c r="I73" s="217">
        <v>17</v>
      </c>
      <c r="J73" s="63">
        <v>2400</v>
      </c>
      <c r="K73" s="64">
        <f t="shared" si="43"/>
        <v>141.1764705882353</v>
      </c>
      <c r="L73" s="217">
        <v>17</v>
      </c>
      <c r="M73" s="65">
        <f t="shared" si="51"/>
        <v>2300</v>
      </c>
      <c r="N73" s="64">
        <f t="shared" si="44"/>
        <v>135.29411764705881</v>
      </c>
      <c r="O73" s="66">
        <f t="shared" si="45"/>
        <v>0</v>
      </c>
      <c r="P73" s="67">
        <f t="shared" si="46"/>
        <v>-5.8823529411764923</v>
      </c>
      <c r="Q73" s="211">
        <f t="shared" si="47"/>
        <v>0.95833333333333315</v>
      </c>
      <c r="R73" s="511"/>
      <c r="S73" s="68">
        <v>0.15277777777777776</v>
      </c>
      <c r="T73" s="68">
        <v>0.20069444444444443</v>
      </c>
      <c r="U73" s="210">
        <f t="shared" ref="U73:U79" si="53">(S73-T72)*24*60</f>
        <v>27.999999999999979</v>
      </c>
      <c r="V73" s="218">
        <f t="shared" si="52"/>
        <v>69</v>
      </c>
      <c r="W73" s="69"/>
      <c r="X73" s="69"/>
      <c r="Y73" s="510"/>
      <c r="Z73" s="510"/>
      <c r="AA73" s="66">
        <f t="shared" si="48"/>
        <v>-100</v>
      </c>
      <c r="AB73" s="211">
        <f t="shared" si="49"/>
        <v>0.95833333333333337</v>
      </c>
      <c r="AC73" s="511"/>
    </row>
    <row r="74" spans="1:29" ht="15.75" customHeight="1">
      <c r="A74" s="515" t="s">
        <v>1092</v>
      </c>
      <c r="B74" s="220" t="s">
        <v>16</v>
      </c>
      <c r="C74" s="512" t="s">
        <v>17</v>
      </c>
      <c r="D74" s="512"/>
      <c r="E74" s="62">
        <v>24.45</v>
      </c>
      <c r="F74" s="220">
        <v>2689</v>
      </c>
      <c r="G74" s="210">
        <f t="shared" si="50"/>
        <v>65746.05</v>
      </c>
      <c r="H74" s="90" t="s">
        <v>5</v>
      </c>
      <c r="I74" s="217">
        <v>20</v>
      </c>
      <c r="J74" s="63">
        <v>2400</v>
      </c>
      <c r="K74" s="64">
        <f t="shared" si="43"/>
        <v>120</v>
      </c>
      <c r="L74" s="217">
        <v>20</v>
      </c>
      <c r="M74" s="65">
        <f t="shared" si="51"/>
        <v>2304.8571428571436</v>
      </c>
      <c r="N74" s="64">
        <f t="shared" si="44"/>
        <v>115.24285714285718</v>
      </c>
      <c r="O74" s="66">
        <f t="shared" si="45"/>
        <v>0</v>
      </c>
      <c r="P74" s="67">
        <f t="shared" si="46"/>
        <v>-4.7571428571428243</v>
      </c>
      <c r="Q74" s="211">
        <f t="shared" si="47"/>
        <v>0.96035714285714313</v>
      </c>
      <c r="R74" s="511"/>
      <c r="S74" s="68">
        <v>0.2048611111111111</v>
      </c>
      <c r="T74" s="68">
        <v>0.25347222222222221</v>
      </c>
      <c r="U74" s="210">
        <f t="shared" si="53"/>
        <v>6.0000000000000187</v>
      </c>
      <c r="V74" s="218">
        <f t="shared" si="52"/>
        <v>69.999999999999986</v>
      </c>
      <c r="W74" s="69"/>
      <c r="X74" s="69"/>
      <c r="Y74" s="510"/>
      <c r="Z74" s="510"/>
      <c r="AA74" s="66">
        <f t="shared" si="48"/>
        <v>-95.142857142856428</v>
      </c>
      <c r="AB74" s="211">
        <f t="shared" si="49"/>
        <v>0.96035714285714313</v>
      </c>
      <c r="AC74" s="511"/>
    </row>
    <row r="75" spans="1:29" ht="15.75" customHeight="1">
      <c r="A75" s="515" t="s">
        <v>1090</v>
      </c>
      <c r="B75" s="220" t="s">
        <v>16</v>
      </c>
      <c r="C75" s="512" t="s">
        <v>34</v>
      </c>
      <c r="D75" s="512"/>
      <c r="E75" s="62">
        <v>24.25</v>
      </c>
      <c r="F75" s="220">
        <v>3742</v>
      </c>
      <c r="G75" s="210">
        <f t="shared" si="50"/>
        <v>90743.5</v>
      </c>
      <c r="H75" s="90" t="s">
        <v>5</v>
      </c>
      <c r="I75" s="217">
        <v>13</v>
      </c>
      <c r="J75" s="63">
        <v>2400</v>
      </c>
      <c r="K75" s="64">
        <f t="shared" si="43"/>
        <v>184.61538461538461</v>
      </c>
      <c r="L75" s="217">
        <v>13</v>
      </c>
      <c r="M75" s="65">
        <f t="shared" si="51"/>
        <v>2291.020408163266</v>
      </c>
      <c r="N75" s="64">
        <f t="shared" si="44"/>
        <v>176.232339089482</v>
      </c>
      <c r="O75" s="66">
        <f t="shared" si="45"/>
        <v>0</v>
      </c>
      <c r="P75" s="67">
        <f t="shared" si="46"/>
        <v>-8.3830455259026166</v>
      </c>
      <c r="Q75" s="211">
        <f t="shared" si="47"/>
        <v>0.95459183673469417</v>
      </c>
      <c r="R75" s="511"/>
      <c r="S75" s="68">
        <v>0.25902777777777775</v>
      </c>
      <c r="T75" s="68">
        <v>0.32708333333333328</v>
      </c>
      <c r="U75" s="210">
        <f t="shared" si="53"/>
        <v>7.9999999999999716</v>
      </c>
      <c r="V75" s="218">
        <f t="shared" si="52"/>
        <v>97.999999999999972</v>
      </c>
      <c r="W75" s="69"/>
      <c r="X75" s="69"/>
      <c r="Y75" s="510"/>
      <c r="Z75" s="510"/>
      <c r="AA75" s="66">
        <f t="shared" si="48"/>
        <v>-108.97959183673402</v>
      </c>
      <c r="AB75" s="211">
        <f t="shared" si="49"/>
        <v>0.95459183673469417</v>
      </c>
      <c r="AC75" s="511"/>
    </row>
    <row r="76" spans="1:29" ht="15.75" customHeight="1">
      <c r="A76" s="515" t="s">
        <v>1090</v>
      </c>
      <c r="B76" s="220" t="s">
        <v>16</v>
      </c>
      <c r="C76" s="512" t="s">
        <v>26</v>
      </c>
      <c r="D76" s="512"/>
      <c r="E76" s="62">
        <v>20.52</v>
      </c>
      <c r="F76" s="220">
        <v>3738</v>
      </c>
      <c r="G76" s="210">
        <f t="shared" si="50"/>
        <v>76703.759999999995</v>
      </c>
      <c r="H76" s="90" t="s">
        <v>5</v>
      </c>
      <c r="I76" s="217">
        <v>18</v>
      </c>
      <c r="J76" s="63">
        <v>2400</v>
      </c>
      <c r="K76" s="64">
        <f t="shared" si="43"/>
        <v>133.33333333333334</v>
      </c>
      <c r="L76" s="217">
        <v>18</v>
      </c>
      <c r="M76" s="65">
        <f t="shared" si="51"/>
        <v>2288.5714285714294</v>
      </c>
      <c r="N76" s="64">
        <f t="shared" si="44"/>
        <v>127.14285714285718</v>
      </c>
      <c r="O76" s="66">
        <f t="shared" si="45"/>
        <v>0</v>
      </c>
      <c r="P76" s="67">
        <f t="shared" si="46"/>
        <v>-6.1904761904761614</v>
      </c>
      <c r="Q76" s="211">
        <f t="shared" si="47"/>
        <v>0.95357142857142885</v>
      </c>
      <c r="R76" s="511"/>
      <c r="S76" s="68">
        <v>0.33124999999999993</v>
      </c>
      <c r="T76" s="68">
        <v>0.39930555555555547</v>
      </c>
      <c r="U76" s="210">
        <f t="shared" si="53"/>
        <v>5.9999999999999787</v>
      </c>
      <c r="V76" s="218">
        <f t="shared" si="52"/>
        <v>97.999999999999972</v>
      </c>
      <c r="W76" s="69"/>
      <c r="X76" s="69"/>
      <c r="Y76" s="510"/>
      <c r="Z76" s="510"/>
      <c r="AA76" s="66">
        <f t="shared" si="48"/>
        <v>-111.42857142857065</v>
      </c>
      <c r="AB76" s="211">
        <f t="shared" si="49"/>
        <v>0.95357142857142885</v>
      </c>
      <c r="AC76" s="511"/>
    </row>
    <row r="77" spans="1:29" ht="15.75" customHeight="1">
      <c r="A77" s="515" t="s">
        <v>1090</v>
      </c>
      <c r="B77" s="220" t="s">
        <v>16</v>
      </c>
      <c r="C77" s="512" t="s">
        <v>49</v>
      </c>
      <c r="D77" s="512"/>
      <c r="E77" s="62">
        <v>19.02</v>
      </c>
      <c r="F77" s="220">
        <v>5000</v>
      </c>
      <c r="G77" s="210">
        <f t="shared" si="50"/>
        <v>95100</v>
      </c>
      <c r="H77" s="90">
        <v>2</v>
      </c>
      <c r="I77" s="217">
        <v>15</v>
      </c>
      <c r="J77" s="63">
        <v>2400</v>
      </c>
      <c r="K77" s="64">
        <f t="shared" si="43"/>
        <v>160</v>
      </c>
      <c r="L77" s="217">
        <v>15</v>
      </c>
      <c r="M77" s="65">
        <f t="shared" si="51"/>
        <v>2290.0763358778627</v>
      </c>
      <c r="N77" s="64">
        <f t="shared" si="44"/>
        <v>152.67175572519085</v>
      </c>
      <c r="O77" s="66">
        <f t="shared" si="45"/>
        <v>0</v>
      </c>
      <c r="P77" s="67">
        <f t="shared" si="46"/>
        <v>-7.3282442748091512</v>
      </c>
      <c r="Q77" s="211">
        <f t="shared" si="47"/>
        <v>0.95419847328244278</v>
      </c>
      <c r="R77" s="511"/>
      <c r="S77" s="68">
        <v>0.40486111111111101</v>
      </c>
      <c r="T77" s="68">
        <v>0.49583333333333324</v>
      </c>
      <c r="U77" s="210">
        <f t="shared" si="53"/>
        <v>7.9999999999999716</v>
      </c>
      <c r="V77" s="218">
        <f t="shared" si="52"/>
        <v>131</v>
      </c>
      <c r="W77" s="69">
        <f>T77</f>
        <v>0.49583333333333324</v>
      </c>
      <c r="X77" s="69">
        <f>S78</f>
        <v>0.53611111111111098</v>
      </c>
      <c r="Y77" s="510"/>
      <c r="Z77" s="510"/>
      <c r="AA77" s="66">
        <f t="shared" si="48"/>
        <v>-109.92366412213732</v>
      </c>
      <c r="AB77" s="211">
        <f t="shared" si="49"/>
        <v>0.95419847328244278</v>
      </c>
      <c r="AC77" s="511"/>
    </row>
    <row r="78" spans="1:29" ht="15.75" customHeight="1">
      <c r="A78" s="515" t="s">
        <v>1091</v>
      </c>
      <c r="B78" s="220" t="s">
        <v>16</v>
      </c>
      <c r="C78" s="512" t="s">
        <v>49</v>
      </c>
      <c r="D78" s="512"/>
      <c r="E78" s="62">
        <v>19.02</v>
      </c>
      <c r="F78" s="220">
        <v>6225</v>
      </c>
      <c r="G78" s="210">
        <f t="shared" si="50"/>
        <v>118399.5</v>
      </c>
      <c r="H78" s="90" t="s">
        <v>5</v>
      </c>
      <c r="I78" s="217">
        <v>15</v>
      </c>
      <c r="J78" s="63">
        <v>2400</v>
      </c>
      <c r="K78" s="64">
        <f t="shared" si="43"/>
        <v>160</v>
      </c>
      <c r="L78" s="217">
        <v>15</v>
      </c>
      <c r="M78" s="65">
        <f t="shared" si="51"/>
        <v>2291.4110429447842</v>
      </c>
      <c r="N78" s="64">
        <f t="shared" si="44"/>
        <v>152.76073619631896</v>
      </c>
      <c r="O78" s="66">
        <f t="shared" si="45"/>
        <v>0</v>
      </c>
      <c r="P78" s="67">
        <f t="shared" si="46"/>
        <v>-7.2392638036810411</v>
      </c>
      <c r="Q78" s="211">
        <f t="shared" si="47"/>
        <v>0.95475460122699352</v>
      </c>
      <c r="R78" s="511"/>
      <c r="S78" s="68">
        <v>0.53611111111111098</v>
      </c>
      <c r="T78" s="68">
        <v>0.64930555555555547</v>
      </c>
      <c r="U78" s="210">
        <f t="shared" si="53"/>
        <v>57.999999999999957</v>
      </c>
      <c r="V78" s="218">
        <f t="shared" si="52"/>
        <v>163.00000000000006</v>
      </c>
      <c r="W78" s="69"/>
      <c r="X78" s="69"/>
      <c r="Y78" s="517"/>
      <c r="Z78" s="518"/>
      <c r="AA78" s="66">
        <f t="shared" si="48"/>
        <v>-108.58895705521581</v>
      </c>
      <c r="AB78" s="211">
        <f t="shared" si="49"/>
        <v>0.9547546012269934</v>
      </c>
      <c r="AC78" s="511"/>
    </row>
    <row r="79" spans="1:29" ht="15.75" customHeight="1">
      <c r="A79" s="515" t="s">
        <v>1091</v>
      </c>
      <c r="B79" s="220" t="s">
        <v>16</v>
      </c>
      <c r="C79" s="512" t="s">
        <v>25</v>
      </c>
      <c r="D79" s="512"/>
      <c r="E79" s="62">
        <v>26.2</v>
      </c>
      <c r="F79" s="220">
        <v>2632</v>
      </c>
      <c r="G79" s="210">
        <f t="shared" si="50"/>
        <v>68958.399999999994</v>
      </c>
      <c r="H79" s="90" t="s">
        <v>5</v>
      </c>
      <c r="I79" s="217">
        <v>20</v>
      </c>
      <c r="J79" s="63">
        <v>2400</v>
      </c>
      <c r="K79" s="64">
        <f t="shared" si="43"/>
        <v>120</v>
      </c>
      <c r="L79" s="217">
        <v>20</v>
      </c>
      <c r="M79" s="65">
        <f t="shared" si="51"/>
        <v>2288.6956521739107</v>
      </c>
      <c r="N79" s="64">
        <f t="shared" si="44"/>
        <v>114.43478260869554</v>
      </c>
      <c r="O79" s="66">
        <f t="shared" si="45"/>
        <v>0</v>
      </c>
      <c r="P79" s="67">
        <f t="shared" si="46"/>
        <v>-5.5652173913044578</v>
      </c>
      <c r="Q79" s="211">
        <f t="shared" si="47"/>
        <v>0.95362318840579618</v>
      </c>
      <c r="R79" s="511"/>
      <c r="S79" s="68">
        <v>0.65347222222222212</v>
      </c>
      <c r="T79" s="68">
        <v>0.70138888888888884</v>
      </c>
      <c r="U79" s="210">
        <f t="shared" si="53"/>
        <v>5.9999999999999787</v>
      </c>
      <c r="V79" s="218">
        <f t="shared" si="52"/>
        <v>69.000000000000071</v>
      </c>
      <c r="W79" s="69"/>
      <c r="X79" s="69"/>
      <c r="Y79" s="517"/>
      <c r="Z79" s="518"/>
      <c r="AA79" s="66">
        <f t="shared" si="48"/>
        <v>-111.30434782608927</v>
      </c>
      <c r="AB79" s="211">
        <f t="shared" si="49"/>
        <v>0.95362318840579618</v>
      </c>
      <c r="AC79" s="511"/>
    </row>
    <row r="80" spans="1:29" ht="16.5" customHeight="1">
      <c r="A80" s="516" t="s">
        <v>1090</v>
      </c>
      <c r="B80" s="62" t="s">
        <v>1083</v>
      </c>
      <c r="C80" s="508"/>
      <c r="D80" s="509"/>
      <c r="E80" s="212"/>
      <c r="F80" s="71"/>
      <c r="G80" s="64"/>
      <c r="H80" s="220"/>
      <c r="I80" s="72">
        <v>17.125</v>
      </c>
      <c r="J80" s="63">
        <v>2400</v>
      </c>
      <c r="K80" s="64">
        <f t="shared" si="43"/>
        <v>140.14598540145985</v>
      </c>
      <c r="L80" s="72">
        <v>17.125</v>
      </c>
      <c r="M80" s="65">
        <f>AVERAGE(M72:M79)</f>
        <v>2292.5581679902161</v>
      </c>
      <c r="N80" s="64">
        <f t="shared" si="44"/>
        <v>133.87200980964766</v>
      </c>
      <c r="O80" s="66">
        <f t="shared" si="45"/>
        <v>0</v>
      </c>
      <c r="P80" s="67">
        <f t="shared" si="46"/>
        <v>-6.2739755918121887</v>
      </c>
      <c r="Q80" s="211">
        <f t="shared" si="47"/>
        <v>0.95523256999592343</v>
      </c>
      <c r="R80" s="511"/>
      <c r="S80" s="68"/>
      <c r="T80" s="68"/>
      <c r="U80" s="64"/>
      <c r="V80" s="218"/>
      <c r="W80" s="64"/>
      <c r="X80" s="64"/>
      <c r="Y80" s="510"/>
      <c r="Z80" s="510"/>
      <c r="AA80" s="66">
        <f t="shared" si="48"/>
        <v>-107.44183200978387</v>
      </c>
      <c r="AB80" s="211">
        <f t="shared" si="49"/>
        <v>0.95523256999592343</v>
      </c>
      <c r="AC80" s="511"/>
    </row>
    <row r="81" spans="4:5">
      <c r="D81" s="76"/>
      <c r="E81" s="76"/>
    </row>
  </sheetData>
  <mergeCells count="208">
    <mergeCell ref="AC72:AC80"/>
    <mergeCell ref="C73:D73"/>
    <mergeCell ref="Y73:Z73"/>
    <mergeCell ref="C74:D74"/>
    <mergeCell ref="Y74:Z74"/>
    <mergeCell ref="C75:D75"/>
    <mergeCell ref="Y75:Z75"/>
    <mergeCell ref="C76:D76"/>
    <mergeCell ref="Y76:Z76"/>
    <mergeCell ref="C77:D77"/>
    <mergeCell ref="A72:A80"/>
    <mergeCell ref="C72:D72"/>
    <mergeCell ref="R72:R80"/>
    <mergeCell ref="Y72:Z72"/>
    <mergeCell ref="Y77:Z77"/>
    <mergeCell ref="C78:D78"/>
    <mergeCell ref="Y78:Z78"/>
    <mergeCell ref="A67:A71"/>
    <mergeCell ref="C67:D67"/>
    <mergeCell ref="R67:R71"/>
    <mergeCell ref="Y67:Z67"/>
    <mergeCell ref="C79:D79"/>
    <mergeCell ref="Y79:Z79"/>
    <mergeCell ref="C80:D80"/>
    <mergeCell ref="Y80:Z80"/>
    <mergeCell ref="AC67:AC71"/>
    <mergeCell ref="C68:D68"/>
    <mergeCell ref="Y68:Z68"/>
    <mergeCell ref="C69:D69"/>
    <mergeCell ref="Y69:Z69"/>
    <mergeCell ref="C70:D70"/>
    <mergeCell ref="AC61:AC66"/>
    <mergeCell ref="C62:D62"/>
    <mergeCell ref="Y62:Z62"/>
    <mergeCell ref="C63:D63"/>
    <mergeCell ref="C66:D66"/>
    <mergeCell ref="Y66:Z66"/>
    <mergeCell ref="Y70:Z70"/>
    <mergeCell ref="C71:D71"/>
    <mergeCell ref="Y71:Z71"/>
    <mergeCell ref="A50:A60"/>
    <mergeCell ref="C50:D50"/>
    <mergeCell ref="R50:R60"/>
    <mergeCell ref="Y50:Z50"/>
    <mergeCell ref="C60:D60"/>
    <mergeCell ref="Y60:Z60"/>
    <mergeCell ref="A61:A66"/>
    <mergeCell ref="C61:D61"/>
    <mergeCell ref="R61:R66"/>
    <mergeCell ref="Y61:Z61"/>
    <mergeCell ref="C57:D57"/>
    <mergeCell ref="Y57:Z57"/>
    <mergeCell ref="C58:D58"/>
    <mergeCell ref="Y58:Z58"/>
    <mergeCell ref="C59:D59"/>
    <mergeCell ref="Y59:Z59"/>
    <mergeCell ref="C45:D45"/>
    <mergeCell ref="Y45:Z45"/>
    <mergeCell ref="C46:D46"/>
    <mergeCell ref="Y53:Z53"/>
    <mergeCell ref="C54:D54"/>
    <mergeCell ref="Y54:Z54"/>
    <mergeCell ref="C55:D55"/>
    <mergeCell ref="Y55:Z55"/>
    <mergeCell ref="C56:D56"/>
    <mergeCell ref="Y56:Z56"/>
    <mergeCell ref="A41:A49"/>
    <mergeCell ref="C41:D41"/>
    <mergeCell ref="R41:R49"/>
    <mergeCell ref="Y41:Z41"/>
    <mergeCell ref="Y46:Z46"/>
    <mergeCell ref="AC50:AC60"/>
    <mergeCell ref="C51:D51"/>
    <mergeCell ref="Y51:Z51"/>
    <mergeCell ref="C52:D52"/>
    <mergeCell ref="Y52:Z52"/>
    <mergeCell ref="C53:D53"/>
    <mergeCell ref="C47:D47"/>
    <mergeCell ref="Y47:Z47"/>
    <mergeCell ref="C48:D48"/>
    <mergeCell ref="Y48:Z48"/>
    <mergeCell ref="C49:D49"/>
    <mergeCell ref="Y49:Z49"/>
    <mergeCell ref="AC41:AC49"/>
    <mergeCell ref="C42:D42"/>
    <mergeCell ref="Y42:Z42"/>
    <mergeCell ref="C43:D43"/>
    <mergeCell ref="Y43:Z43"/>
    <mergeCell ref="C44:D44"/>
    <mergeCell ref="Y44:Z44"/>
    <mergeCell ref="AC31:AC40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8:Z38"/>
    <mergeCell ref="C39:D39"/>
    <mergeCell ref="Y39:Z39"/>
    <mergeCell ref="C40:D40"/>
    <mergeCell ref="Y40:Z40"/>
    <mergeCell ref="Y25:Z25"/>
    <mergeCell ref="C26:D26"/>
    <mergeCell ref="Y26:Z26"/>
    <mergeCell ref="R20:R30"/>
    <mergeCell ref="Y20:Z20"/>
    <mergeCell ref="C30:D30"/>
    <mergeCell ref="Y30:Z30"/>
    <mergeCell ref="A31:A40"/>
    <mergeCell ref="C31:D31"/>
    <mergeCell ref="R31:R40"/>
    <mergeCell ref="Y31:Z31"/>
    <mergeCell ref="Y36:Z36"/>
    <mergeCell ref="C37:D37"/>
    <mergeCell ref="Y37:Z37"/>
    <mergeCell ref="C38:D38"/>
    <mergeCell ref="A20:A30"/>
    <mergeCell ref="C20:D20"/>
    <mergeCell ref="C12:D12"/>
    <mergeCell ref="Y12:Z12"/>
    <mergeCell ref="AC20:AC30"/>
    <mergeCell ref="C21:D21"/>
    <mergeCell ref="Y21:Z21"/>
    <mergeCell ref="C22:D22"/>
    <mergeCell ref="Y22:Z22"/>
    <mergeCell ref="C23:D23"/>
    <mergeCell ref="C17:D17"/>
    <mergeCell ref="Y17:Z17"/>
    <mergeCell ref="C18:D18"/>
    <mergeCell ref="Y18:Z18"/>
    <mergeCell ref="C19:D19"/>
    <mergeCell ref="Y19:Z19"/>
    <mergeCell ref="C27:D27"/>
    <mergeCell ref="Y27:Z27"/>
    <mergeCell ref="C28:D28"/>
    <mergeCell ref="Y28:Z28"/>
    <mergeCell ref="C29:D29"/>
    <mergeCell ref="Y29:Z29"/>
    <mergeCell ref="Y23:Z23"/>
    <mergeCell ref="C24:D24"/>
    <mergeCell ref="Y24:Z24"/>
    <mergeCell ref="C25:D25"/>
    <mergeCell ref="H3:H4"/>
    <mergeCell ref="I3:I4"/>
    <mergeCell ref="A13:A19"/>
    <mergeCell ref="C13:D13"/>
    <mergeCell ref="R13:R19"/>
    <mergeCell ref="Y13:Z13"/>
    <mergeCell ref="AC13:AC19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70:O77 O80 O5:O10 O12:O14 O60:O67 O19:O38 O40:O55">
    <cfRule type="cellIs" dxfId="1100" priority="80" operator="greaterThan">
      <formula>0</formula>
    </cfRule>
  </conditionalFormatting>
  <conditionalFormatting sqref="P5:P8 P70 AA70 P72:P77 P31:P38 P67 P10 P12:P14 P20:P29 P61:P65 P41:P55 AA5:AA67 AA72:AA80">
    <cfRule type="cellIs" dxfId="1099" priority="84" operator="lessThan">
      <formula>0</formula>
    </cfRule>
  </conditionalFormatting>
  <conditionalFormatting sqref="AB70 Q70:Q77 Q80 Q5:Q10 Q12:Q14 Q60:Q67 Q19:Q38 Q40:Q55 AB5:AB67 AB72:AB80">
    <cfRule type="cellIs" dxfId="1098" priority="81" operator="greaterThan">
      <formula>1</formula>
    </cfRule>
    <cfRule type="cellIs" dxfId="1097" priority="82" operator="lessThan">
      <formula>0.8</formula>
    </cfRule>
  </conditionalFormatting>
  <conditionalFormatting sqref="AC13:AC14 R13:R14 AC70 R70:R77 R19:R25 AC19:AC25 AC30:AC38 R30:R38 R80 AC5:AC10 R5:R10 R40:R55 AC40:AC55 AC60:AC67 R60:R67">
    <cfRule type="cellIs" dxfId="1096" priority="86" operator="lessThan">
      <formula>0.8</formula>
    </cfRule>
  </conditionalFormatting>
  <conditionalFormatting sqref="AC50">
    <cfRule type="cellIs" dxfId="1095" priority="88" operator="lessThan">
      <formula>0.8</formula>
    </cfRule>
  </conditionalFormatting>
  <conditionalFormatting sqref="AC20:AC25">
    <cfRule type="cellIs" dxfId="1094" priority="85" operator="lessThan">
      <formula>0.8</formula>
    </cfRule>
  </conditionalFormatting>
  <conditionalFormatting sqref="AC31">
    <cfRule type="cellIs" dxfId="1093" priority="87" operator="lessThan">
      <formula>0.8</formula>
    </cfRule>
  </conditionalFormatting>
  <conditionalFormatting sqref="AC41:AC48">
    <cfRule type="cellIs" dxfId="1092" priority="83" operator="lessThan">
      <formula>0.8</formula>
    </cfRule>
  </conditionalFormatting>
  <conditionalFormatting sqref="AA71">
    <cfRule type="cellIs" dxfId="1091" priority="79" operator="lessThan">
      <formula>0</formula>
    </cfRule>
  </conditionalFormatting>
  <conditionalFormatting sqref="AB71">
    <cfRule type="cellIs" dxfId="1090" priority="77" operator="greaterThan">
      <formula>1</formula>
    </cfRule>
    <cfRule type="cellIs" dxfId="1089" priority="78" operator="lessThan">
      <formula>0.8</formula>
    </cfRule>
  </conditionalFormatting>
  <conditionalFormatting sqref="O15:O16">
    <cfRule type="cellIs" dxfId="1088" priority="72" operator="greaterThan">
      <formula>0</formula>
    </cfRule>
  </conditionalFormatting>
  <conditionalFormatting sqref="P15:P16">
    <cfRule type="cellIs" dxfId="1087" priority="75" operator="lessThan">
      <formula>0</formula>
    </cfRule>
  </conditionalFormatting>
  <conditionalFormatting sqref="Q15:Q16">
    <cfRule type="cellIs" dxfId="1086" priority="73" operator="greaterThan">
      <formula>1</formula>
    </cfRule>
    <cfRule type="cellIs" dxfId="1085" priority="74" operator="lessThan">
      <formula>0.8</formula>
    </cfRule>
  </conditionalFormatting>
  <conditionalFormatting sqref="R15:R16 AC15:AC16">
    <cfRule type="cellIs" dxfId="1084" priority="76" operator="lessThan">
      <formula>0.8</formula>
    </cfRule>
  </conditionalFormatting>
  <conditionalFormatting sqref="O11">
    <cfRule type="cellIs" dxfId="1083" priority="68" operator="greaterThan">
      <formula>0</formula>
    </cfRule>
  </conditionalFormatting>
  <conditionalFormatting sqref="P11">
    <cfRule type="cellIs" dxfId="1082" priority="71" operator="lessThan">
      <formula>0</formula>
    </cfRule>
  </conditionalFormatting>
  <conditionalFormatting sqref="Q11">
    <cfRule type="cellIs" dxfId="1081" priority="69" operator="greaterThan">
      <formula>1</formula>
    </cfRule>
    <cfRule type="cellIs" dxfId="1080" priority="70" operator="lessThan">
      <formula>0.8</formula>
    </cfRule>
  </conditionalFormatting>
  <conditionalFormatting sqref="AC27 R27">
    <cfRule type="cellIs" dxfId="1079" priority="67" operator="lessThan">
      <formula>0.8</formula>
    </cfRule>
  </conditionalFormatting>
  <conditionalFormatting sqref="O69">
    <cfRule type="cellIs" dxfId="1078" priority="62" operator="greaterThan">
      <formula>0</formula>
    </cfRule>
  </conditionalFormatting>
  <conditionalFormatting sqref="P69 AA69">
    <cfRule type="cellIs" dxfId="1077" priority="65" operator="lessThan">
      <formula>0</formula>
    </cfRule>
  </conditionalFormatting>
  <conditionalFormatting sqref="Q69 AB69">
    <cfRule type="cellIs" dxfId="1076" priority="63" operator="greaterThan">
      <formula>1</formula>
    </cfRule>
    <cfRule type="cellIs" dxfId="1075" priority="64" operator="lessThan">
      <formula>0.8</formula>
    </cfRule>
  </conditionalFormatting>
  <conditionalFormatting sqref="R69 AC69">
    <cfRule type="cellIs" dxfId="1074" priority="66" operator="lessThan">
      <formula>0.8</formula>
    </cfRule>
  </conditionalFormatting>
  <conditionalFormatting sqref="O39">
    <cfRule type="cellIs" dxfId="1073" priority="57" operator="greaterThan">
      <formula>0</formula>
    </cfRule>
  </conditionalFormatting>
  <conditionalFormatting sqref="P39">
    <cfRule type="cellIs" dxfId="1072" priority="60" operator="lessThan">
      <formula>0</formula>
    </cfRule>
  </conditionalFormatting>
  <conditionalFormatting sqref="Q39">
    <cfRule type="cellIs" dxfId="1071" priority="58" operator="greaterThan">
      <formula>1</formula>
    </cfRule>
    <cfRule type="cellIs" dxfId="1070" priority="59" operator="lessThan">
      <formula>0.8</formula>
    </cfRule>
  </conditionalFormatting>
  <conditionalFormatting sqref="R39 AC39">
    <cfRule type="cellIs" dxfId="1069" priority="61" operator="lessThan">
      <formula>0.8</formula>
    </cfRule>
  </conditionalFormatting>
  <conditionalFormatting sqref="O78">
    <cfRule type="cellIs" dxfId="1068" priority="52" operator="greaterThan">
      <formula>0</formula>
    </cfRule>
  </conditionalFormatting>
  <conditionalFormatting sqref="P78">
    <cfRule type="cellIs" dxfId="1067" priority="55" operator="lessThan">
      <formula>0</formula>
    </cfRule>
  </conditionalFormatting>
  <conditionalFormatting sqref="Q78">
    <cfRule type="cellIs" dxfId="1066" priority="53" operator="greaterThan">
      <formula>1</formula>
    </cfRule>
    <cfRule type="cellIs" dxfId="1065" priority="54" operator="lessThan">
      <formula>0.8</formula>
    </cfRule>
  </conditionalFormatting>
  <conditionalFormatting sqref="R78">
    <cfRule type="cellIs" dxfId="1064" priority="56" operator="lessThan">
      <formula>0.8</formula>
    </cfRule>
  </conditionalFormatting>
  <conditionalFormatting sqref="O17:O18">
    <cfRule type="cellIs" dxfId="1063" priority="47" operator="greaterThan">
      <formula>0</formula>
    </cfRule>
  </conditionalFormatting>
  <conditionalFormatting sqref="P17:P18">
    <cfRule type="cellIs" dxfId="1062" priority="50" operator="lessThan">
      <formula>0</formula>
    </cfRule>
  </conditionalFormatting>
  <conditionalFormatting sqref="Q17:Q18">
    <cfRule type="cellIs" dxfId="1061" priority="48" operator="greaterThan">
      <formula>1</formula>
    </cfRule>
    <cfRule type="cellIs" dxfId="1060" priority="49" operator="lessThan">
      <formula>0.8</formula>
    </cfRule>
  </conditionalFormatting>
  <conditionalFormatting sqref="R17:R18 AC17:AC18">
    <cfRule type="cellIs" dxfId="1059" priority="51" operator="lessThan">
      <formula>0.8</formula>
    </cfRule>
  </conditionalFormatting>
  <conditionalFormatting sqref="O56">
    <cfRule type="cellIs" dxfId="1058" priority="41" operator="greaterThan">
      <formula>0</formula>
    </cfRule>
  </conditionalFormatting>
  <conditionalFormatting sqref="P56">
    <cfRule type="cellIs" dxfId="1057" priority="45" operator="lessThan">
      <formula>0</formula>
    </cfRule>
  </conditionalFormatting>
  <conditionalFormatting sqref="Q56">
    <cfRule type="cellIs" dxfId="1056" priority="42" operator="greaterThan">
      <formula>1</formula>
    </cfRule>
    <cfRule type="cellIs" dxfId="1055" priority="43" operator="lessThan">
      <formula>0.8</formula>
    </cfRule>
  </conditionalFormatting>
  <conditionalFormatting sqref="R56 AC56">
    <cfRule type="cellIs" dxfId="1054" priority="46" operator="lessThan">
      <formula>0.8</formula>
    </cfRule>
  </conditionalFormatting>
  <conditionalFormatting sqref="AC56">
    <cfRule type="cellIs" dxfId="1053" priority="44" operator="lessThan">
      <formula>0.8</formula>
    </cfRule>
  </conditionalFormatting>
  <conditionalFormatting sqref="O57">
    <cfRule type="cellIs" dxfId="1052" priority="35" operator="greaterThan">
      <formula>0</formula>
    </cfRule>
  </conditionalFormatting>
  <conditionalFormatting sqref="P57">
    <cfRule type="cellIs" dxfId="1051" priority="39" operator="lessThan">
      <formula>0</formula>
    </cfRule>
  </conditionalFormatting>
  <conditionalFormatting sqref="Q57">
    <cfRule type="cellIs" dxfId="1050" priority="36" operator="greaterThan">
      <formula>1</formula>
    </cfRule>
    <cfRule type="cellIs" dxfId="1049" priority="37" operator="lessThan">
      <formula>0.8</formula>
    </cfRule>
  </conditionalFormatting>
  <conditionalFormatting sqref="R57 AC57">
    <cfRule type="cellIs" dxfId="1048" priority="40" operator="lessThan">
      <formula>0.8</formula>
    </cfRule>
  </conditionalFormatting>
  <conditionalFormatting sqref="AC57">
    <cfRule type="cellIs" dxfId="1047" priority="38" operator="lessThan">
      <formula>0.8</formula>
    </cfRule>
  </conditionalFormatting>
  <conditionalFormatting sqref="AC28 R28">
    <cfRule type="cellIs" dxfId="1046" priority="34" operator="lessThan">
      <formula>0.8</formula>
    </cfRule>
  </conditionalFormatting>
  <conditionalFormatting sqref="R26 AC26">
    <cfRule type="cellIs" dxfId="1045" priority="33" operator="lessThan">
      <formula>0.8</formula>
    </cfRule>
  </conditionalFormatting>
  <conditionalFormatting sqref="AC26">
    <cfRule type="cellIs" dxfId="1044" priority="32" operator="lessThan">
      <formula>0.8</formula>
    </cfRule>
  </conditionalFormatting>
  <conditionalFormatting sqref="O58">
    <cfRule type="cellIs" dxfId="1043" priority="26" operator="greaterThan">
      <formula>0</formula>
    </cfRule>
  </conditionalFormatting>
  <conditionalFormatting sqref="P58">
    <cfRule type="cellIs" dxfId="1042" priority="30" operator="lessThan">
      <formula>0</formula>
    </cfRule>
  </conditionalFormatting>
  <conditionalFormatting sqref="Q58">
    <cfRule type="cellIs" dxfId="1041" priority="27" operator="greaterThan">
      <formula>1</formula>
    </cfRule>
    <cfRule type="cellIs" dxfId="1040" priority="28" operator="lessThan">
      <formula>0.8</formula>
    </cfRule>
  </conditionalFormatting>
  <conditionalFormatting sqref="R58 AC58">
    <cfRule type="cellIs" dxfId="1039" priority="31" operator="lessThan">
      <formula>0.8</formula>
    </cfRule>
  </conditionalFormatting>
  <conditionalFormatting sqref="AC58">
    <cfRule type="cellIs" dxfId="1038" priority="29" operator="lessThan">
      <formula>0.8</formula>
    </cfRule>
  </conditionalFormatting>
  <conditionalFormatting sqref="O59">
    <cfRule type="cellIs" dxfId="1037" priority="20" operator="greaterThan">
      <formula>0</formula>
    </cfRule>
  </conditionalFormatting>
  <conditionalFormatting sqref="P59">
    <cfRule type="cellIs" dxfId="1036" priority="24" operator="lessThan">
      <formula>0</formula>
    </cfRule>
  </conditionalFormatting>
  <conditionalFormatting sqref="Q59">
    <cfRule type="cellIs" dxfId="1035" priority="21" operator="greaterThan">
      <formula>1</formula>
    </cfRule>
    <cfRule type="cellIs" dxfId="1034" priority="22" operator="lessThan">
      <formula>0.8</formula>
    </cfRule>
  </conditionalFormatting>
  <conditionalFormatting sqref="R59 AC59">
    <cfRule type="cellIs" dxfId="1033" priority="25" operator="lessThan">
      <formula>0.8</formula>
    </cfRule>
  </conditionalFormatting>
  <conditionalFormatting sqref="AC59">
    <cfRule type="cellIs" dxfId="1032" priority="23" operator="lessThan">
      <formula>0.8</formula>
    </cfRule>
  </conditionalFormatting>
  <conditionalFormatting sqref="O68">
    <cfRule type="cellIs" dxfId="1031" priority="15" operator="greaterThan">
      <formula>0</formula>
    </cfRule>
  </conditionalFormatting>
  <conditionalFormatting sqref="P68 AA68">
    <cfRule type="cellIs" dxfId="1030" priority="18" operator="lessThan">
      <formula>0</formula>
    </cfRule>
  </conditionalFormatting>
  <conditionalFormatting sqref="Q68 AB68">
    <cfRule type="cellIs" dxfId="1029" priority="16" operator="greaterThan">
      <formula>1</formula>
    </cfRule>
    <cfRule type="cellIs" dxfId="1028" priority="17" operator="lessThan">
      <formula>0.8</formula>
    </cfRule>
  </conditionalFormatting>
  <conditionalFormatting sqref="R68 AC68">
    <cfRule type="cellIs" dxfId="1027" priority="19" operator="lessThan">
      <formula>0.8</formula>
    </cfRule>
  </conditionalFormatting>
  <conditionalFormatting sqref="P9">
    <cfRule type="cellIs" dxfId="1026" priority="14" operator="lessThan">
      <formula>0</formula>
    </cfRule>
  </conditionalFormatting>
  <conditionalFormatting sqref="P19">
    <cfRule type="cellIs" dxfId="1025" priority="13" operator="lessThan">
      <formula>0</formula>
    </cfRule>
  </conditionalFormatting>
  <conditionalFormatting sqref="P30">
    <cfRule type="cellIs" dxfId="1024" priority="12" operator="lessThan">
      <formula>0</formula>
    </cfRule>
  </conditionalFormatting>
  <conditionalFormatting sqref="P40">
    <cfRule type="cellIs" dxfId="1023" priority="11" operator="lessThan">
      <formula>0</formula>
    </cfRule>
  </conditionalFormatting>
  <conditionalFormatting sqref="P60">
    <cfRule type="cellIs" dxfId="1022" priority="10" operator="lessThan">
      <formula>0</formula>
    </cfRule>
  </conditionalFormatting>
  <conditionalFormatting sqref="P66">
    <cfRule type="cellIs" dxfId="1021" priority="9" operator="lessThan">
      <formula>0</formula>
    </cfRule>
  </conditionalFormatting>
  <conditionalFormatting sqref="P71">
    <cfRule type="cellIs" dxfId="1020" priority="8" operator="lessThan">
      <formula>0</formula>
    </cfRule>
  </conditionalFormatting>
  <conditionalFormatting sqref="P80">
    <cfRule type="cellIs" dxfId="1019" priority="7" operator="lessThan">
      <formula>0</formula>
    </cfRule>
  </conditionalFormatting>
  <conditionalFormatting sqref="O79">
    <cfRule type="cellIs" dxfId="1018" priority="2" operator="greaterThan">
      <formula>0</formula>
    </cfRule>
  </conditionalFormatting>
  <conditionalFormatting sqref="P79">
    <cfRule type="cellIs" dxfId="1017" priority="5" operator="lessThan">
      <formula>0</formula>
    </cfRule>
  </conditionalFormatting>
  <conditionalFormatting sqref="Q79">
    <cfRule type="cellIs" dxfId="1016" priority="3" operator="greaterThan">
      <formula>1</formula>
    </cfRule>
    <cfRule type="cellIs" dxfId="1015" priority="4" operator="lessThan">
      <formula>0.8</formula>
    </cfRule>
  </conditionalFormatting>
  <conditionalFormatting sqref="R79">
    <cfRule type="cellIs" dxfId="1014" priority="6" operator="lessThan">
      <formula>0.8</formula>
    </cfRule>
  </conditionalFormatting>
  <conditionalFormatting sqref="AC29 R29">
    <cfRule type="cellIs" dxfId="1013" priority="1" operator="lessThan">
      <formula>0.8</formula>
    </cfRule>
  </conditionalFormatting>
  <dataValidations count="1">
    <dataValidation type="list" allowBlank="1" showInputMessage="1" showErrorMessage="1" sqref="Z9 Y5:Z8 Y9:Y70 Z11:Z67 Y71:Z8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Y46" sqref="Y46:Z46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87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911</v>
      </c>
      <c r="C3" s="497" t="str">
        <f>TEXT('1111 4度C'!A2,"yyyy.mm.ddaaaa")</f>
        <v>2025.11.11星期二</v>
      </c>
      <c r="D3" s="498"/>
      <c r="E3" s="4" t="s">
        <v>912</v>
      </c>
      <c r="F3" s="499">
        <f>'1111 4度C'!D1</f>
        <v>222638</v>
      </c>
      <c r="G3" s="500"/>
      <c r="H3" s="4" t="s">
        <v>913</v>
      </c>
      <c r="I3" s="501">
        <f>'1111 4度C'!F1</f>
        <v>7691505.5099999988</v>
      </c>
      <c r="J3" s="502"/>
      <c r="K3" s="5"/>
      <c r="L3" s="6"/>
      <c r="M3" s="7"/>
      <c r="N3" s="7"/>
    </row>
    <row r="4" spans="2:17" ht="28.5" customHeight="1">
      <c r="B4" s="503" t="s">
        <v>914</v>
      </c>
      <c r="C4" s="485" t="s">
        <v>92</v>
      </c>
      <c r="D4" s="486"/>
      <c r="E4" s="506" t="s">
        <v>915</v>
      </c>
      <c r="F4" s="507"/>
      <c r="G4" s="506" t="s">
        <v>916</v>
      </c>
      <c r="H4" s="507"/>
      <c r="I4" s="506" t="s">
        <v>917</v>
      </c>
      <c r="J4" s="507"/>
      <c r="L4" s="7"/>
      <c r="M4" s="7"/>
      <c r="N4" s="7"/>
    </row>
    <row r="5" spans="2:17" ht="28.5" customHeight="1">
      <c r="B5" s="504"/>
      <c r="C5" s="485" t="s">
        <v>918</v>
      </c>
      <c r="D5" s="486"/>
      <c r="E5" s="485" t="s">
        <v>919</v>
      </c>
      <c r="F5" s="486"/>
      <c r="G5" s="487" t="s">
        <v>98</v>
      </c>
      <c r="H5" s="488"/>
      <c r="I5" s="489" t="s">
        <v>920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151.78511248548529</v>
      </c>
      <c r="F6" s="492">
        <f>AVERAGE(D27:O27,D13:J13)</f>
        <v>157.96165940696355</v>
      </c>
      <c r="G6" s="493">
        <f>AVERAGE(D13:J13)</f>
        <v>157.96165940696355</v>
      </c>
      <c r="H6" s="494"/>
      <c r="I6" s="493">
        <f>AVERAGE(K13:M13)</f>
        <v>137.37316966870273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145.20944057182567</v>
      </c>
      <c r="F7" s="478">
        <f>AVERAGE(D28:O28,D14:J14)</f>
        <v>151.1539651615139</v>
      </c>
      <c r="G7" s="479">
        <f>AVERAGE(D14:J14)</f>
        <v>151.1539651615139</v>
      </c>
      <c r="H7" s="480"/>
      <c r="I7" s="479">
        <f>AVERAGE(K14:M14)</f>
        <v>131.33888319588655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0.9570100000128331</v>
      </c>
      <c r="F8" s="482">
        <f>AVERAGE(D15:J15,D29:O29)</f>
        <v>0.95740451080521627</v>
      </c>
      <c r="G8" s="483">
        <f>AVERAGE(D15:J15)</f>
        <v>0.95740451080521627</v>
      </c>
      <c r="H8" s="484"/>
      <c r="I8" s="483">
        <f>AVERAGE(K15:M15)</f>
        <v>0.9560894748306058</v>
      </c>
      <c r="J8" s="484"/>
      <c r="K8" s="8" t="s">
        <v>921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922</v>
      </c>
      <c r="C10" s="459"/>
      <c r="D10" s="460" t="s">
        <v>923</v>
      </c>
      <c r="E10" s="461"/>
      <c r="F10" s="461"/>
      <c r="G10" s="461"/>
      <c r="H10" s="461"/>
      <c r="I10" s="461"/>
      <c r="J10" s="462"/>
      <c r="K10" s="463" t="s">
        <v>924</v>
      </c>
      <c r="L10" s="464"/>
      <c r="M10" s="465"/>
      <c r="P10" s="11"/>
      <c r="Q10" s="11"/>
    </row>
    <row r="11" spans="2:17" ht="17.25" customHeight="1">
      <c r="B11" s="466" t="s">
        <v>925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926</v>
      </c>
      <c r="C13" s="18" t="s">
        <v>927</v>
      </c>
      <c r="D13" s="19">
        <f>SUMIFS('1111 4度C'!$K:$K,'1111 4度C'!$A:$A,"新豐6線",'1111 4度C'!$B:$B,"平均")</f>
        <v>135.29411764705884</v>
      </c>
      <c r="E13" s="20">
        <f>SUMIFS('1111 4度C'!$K:$K,'1111 4度C'!$A:$A,"新豐2線",'1111 4度C'!$B:$B,"平均")</f>
        <v>81.081081081081081</v>
      </c>
      <c r="F13" s="21">
        <f>SUMIFS('1111 4度C'!$K:$K,'1111 4度C'!$A:$A,"新豐5線",'1111 4度C'!$B:$B,"平均")</f>
        <v>97.222222222222229</v>
      </c>
      <c r="G13" s="21">
        <f>SUMIFS('1111 4度C'!$K:$K,'1111 4度C'!$A:$A,"新豐7線",'1111 4度C'!$B:$B,"平均")</f>
        <v>119.86301369863014</v>
      </c>
      <c r="H13" s="21">
        <f>SUMIFS('1111 4度C'!$K:$K,'1111 4度C'!$A:$A,"新豐3線",'1111 4度C'!$B:$B,"平均")</f>
        <v>312.5</v>
      </c>
      <c r="I13" s="21">
        <f>SUMIFS('1111 4度C'!$K:$K,'1111 4度C'!$A:$A,"新豐1線",'1111 4度C'!$B:$B,"平均")</f>
        <v>117.34693877551021</v>
      </c>
      <c r="J13" s="22">
        <f>SUMIFS('1111 4度C'!$K:$K,'1111 4度C'!$A:$A,"新豐10線",'1111 4度C'!$B:$B,"平均")</f>
        <v>242.42424242424241</v>
      </c>
      <c r="K13" s="23">
        <f>SUMIFS('1111 4度C'!$K:$K,'1111 4度C'!$A:$A,"新豐8線",'1111 4度C'!$B:$B,"平均")</f>
        <v>132.41379310344828</v>
      </c>
      <c r="L13" s="24">
        <f>SUMIFS('1111 4度C'!$K:$K,'1111 4度C'!$A:$A,"新豐9線",'1111 4度C'!$B:$B,"平均")</f>
        <v>140.35087719298244</v>
      </c>
      <c r="M13" s="22">
        <f>SUMIFS('1111 4度C'!$K:$K,'1111 4度C'!$A:$A,"新豐4線",'1111 4度C'!$B:$B,"平均")</f>
        <v>139.35483870967744</v>
      </c>
    </row>
    <row r="14" spans="2:17" ht="39.6" customHeight="1">
      <c r="B14" s="471"/>
      <c r="C14" s="25" t="s">
        <v>105</v>
      </c>
      <c r="D14" s="26">
        <f>SUMIFS('1111 4度C'!$N:$N,'1111 4度C'!$A:$A,"新豐6線",'1111 4度C'!$B:$B,"平均")</f>
        <v>129.65089940558227</v>
      </c>
      <c r="E14" s="27">
        <f>SUMIFS('1111 4度C'!$N:$N,'1111 4度C'!$A:$A,"新豐2線",'1111 4度C'!$B:$B,"平均")</f>
        <v>77.771401975223625</v>
      </c>
      <c r="F14" s="27">
        <f>SUMIFS('1111 4度C'!$N:$N,'1111 4度C'!$A:$A,"新豐5線",'1111 4度C'!$B:$B,"平均")</f>
        <v>92.915807381913567</v>
      </c>
      <c r="G14" s="27">
        <f>SUMIFS('1111 4度C'!$N:$N,'1111 4度C'!$A:$A,"新豐7線",'1111 4度C'!$B:$B,"平均")</f>
        <v>115.02670396335211</v>
      </c>
      <c r="H14" s="27">
        <f>SUMIFS('1111 4度C'!$N:$N,'1111 4度C'!$A:$A,"新豐3線",'1111 4度C'!$B:$B,"平均")</f>
        <v>299.057012642985</v>
      </c>
      <c r="I14" s="27">
        <f>SUMIFS('1111 4度C'!$N:$N,'1111 4度C'!$A:$A,"新豐1線",'1111 4度C'!$B:$B,"平均")</f>
        <v>112.45646356207345</v>
      </c>
      <c r="J14" s="28">
        <f>SUMIFS('1111 4度C'!$N:$N,'1111 4度C'!$A:$A,"新豐10線",'1111 4度C'!$B:$B,"平均")</f>
        <v>231.19946719946719</v>
      </c>
      <c r="K14" s="29">
        <f>SUMIFS('1111 4度C'!$N:$N,'1111 4度C'!$A:$A,"新豐8線",'1111 4度C'!$B:$B,"平均")</f>
        <v>126.70106145351822</v>
      </c>
      <c r="L14" s="30">
        <f>SUMIFS('1111 4度C'!$N:$N,'1111 4度C'!$A:$A,"新豐9線",'1111 4度C'!$B:$B,"平均")</f>
        <v>134.02621943075664</v>
      </c>
      <c r="M14" s="28">
        <f>SUMIFS('1111 4度C'!$N:$N,'1111 4度C'!$A:$A,"新豐4線",'1111 4度C'!$B:$B,"平均")</f>
        <v>133.28936870338484</v>
      </c>
    </row>
    <row r="15" spans="2:17" ht="40.15" customHeight="1">
      <c r="B15" s="472"/>
      <c r="C15" s="31" t="s">
        <v>928</v>
      </c>
      <c r="D15" s="32">
        <f t="shared" ref="D15:M15" si="0">D14/D13</f>
        <v>0.95828925647604268</v>
      </c>
      <c r="E15" s="33">
        <f t="shared" si="0"/>
        <v>0.95918062436109142</v>
      </c>
      <c r="F15" s="33">
        <f t="shared" si="0"/>
        <v>0.95570544735682517</v>
      </c>
      <c r="G15" s="33">
        <f t="shared" si="0"/>
        <v>0.9596513587799661</v>
      </c>
      <c r="H15" s="33">
        <f t="shared" si="0"/>
        <v>0.95698244045755199</v>
      </c>
      <c r="I15" s="33">
        <f t="shared" si="0"/>
        <v>0.95832464600723455</v>
      </c>
      <c r="J15" s="34">
        <f t="shared" si="0"/>
        <v>0.9536978021978022</v>
      </c>
      <c r="K15" s="32">
        <f t="shared" si="0"/>
        <v>0.95685697451875729</v>
      </c>
      <c r="L15" s="33">
        <f t="shared" si="0"/>
        <v>0.95493681344414116</v>
      </c>
      <c r="M15" s="34">
        <f t="shared" si="0"/>
        <v>0.95647463652891884</v>
      </c>
    </row>
    <row r="16" spans="2:17" ht="17.25" customHeight="1">
      <c r="B16" s="473" t="s">
        <v>929</v>
      </c>
      <c r="C16" s="35" t="s">
        <v>69</v>
      </c>
      <c r="D16" s="49">
        <f>VLOOKUP("新豐6線",'1111 4度C'!$A:$T,19,0)</f>
        <v>0.25</v>
      </c>
      <c r="E16" s="50">
        <f>VLOOKUP("新豐2線",'1111 4度C'!$A:$T,19,0)</f>
        <v>0.16666666666666666</v>
      </c>
      <c r="F16" s="50">
        <f>VLOOKUP("新豐5線",'1111 4度C'!$A:$T,19,0)</f>
        <v>0.16666666666666666</v>
      </c>
      <c r="G16" s="50">
        <f>VLOOKUP("新豐7線",'1111 4度C'!$A:$T,19,0)</f>
        <v>0.20833333333333334</v>
      </c>
      <c r="H16" s="50">
        <f>VLOOKUP("新豐3線",'1111 4度C'!$A:$T,19,0)</f>
        <v>8.3333333333333329E-2</v>
      </c>
      <c r="I16" s="50">
        <f>VLOOKUP("新豐1線",'1111 4度C'!$A:$T,19,0)</f>
        <v>0.33333333333333331</v>
      </c>
      <c r="J16" s="51">
        <f>VLOOKUP("新豐10線",'1111 4度C'!$A:$T,19,0)</f>
        <v>0.20833333333333334</v>
      </c>
      <c r="K16" s="36">
        <f>VLOOKUP("新豐8線",'1111 4度C'!$A:$T,19,0)</f>
        <v>8.3333333333333329E-2</v>
      </c>
      <c r="L16" s="37">
        <f>VLOOKUP("新豐9線",'1111 4度C'!$A:$T,19,0)</f>
        <v>8.3333333333333329E-2</v>
      </c>
      <c r="M16" s="38">
        <f>VLOOKUP("新豐4線",'1111 4度C'!$A:$T,19,0)</f>
        <v>8.3333333333333329E-2</v>
      </c>
    </row>
    <row r="17" spans="2:13" ht="17.25" customHeight="1">
      <c r="B17" s="474"/>
      <c r="C17" s="35" t="s">
        <v>930</v>
      </c>
      <c r="D17" s="36">
        <f>LOOKUP(2,1/(('1111 4度C'!$A:$A="新豐6線")*('1111 4度C'!$T:$T&lt;&gt;"")),'1111 4度C'!$T:$T)</f>
        <v>0.98819444444444438</v>
      </c>
      <c r="E17" s="50">
        <f>LOOKUP(2,1/(('1111 4度C'!$A:$A="新豐2線")*('1111 4度C'!$T:$T&lt;&gt;"")),'1111 4度C'!$T:$T)</f>
        <v>0.4597222222222222</v>
      </c>
      <c r="F17" s="50">
        <f>LOOKUP(2,1/(('1111 4度C'!$A:$A="新豐5線")*('1111 4度C'!$T:$T&lt;&gt;"")),'1111 4度C'!$T:$T)</f>
        <v>0.98472222222222228</v>
      </c>
      <c r="G17" s="50">
        <f>LOOKUP(2,1/(('1111 4度C'!$A:$A="新豐7線")*('1111 4度C'!$T:$T&lt;&gt;"")),'1111 4度C'!$T:$T)</f>
        <v>0.99444444444444435</v>
      </c>
      <c r="H17" s="50">
        <f>LOOKUP(2,1/(('1111 4度C'!$A:$A="新豐3線")*('1111 4度C'!$T:$T&lt;&gt;"")),'1111 4度C'!$T:$T)</f>
        <v>0.59374999999999989</v>
      </c>
      <c r="I17" s="50">
        <f>LOOKUP(2,1/(('1111 4度C'!$A:$A="新豐1線")*('1111 4度C'!$T:$T&lt;&gt;"")),'1111 4度C'!$T:$T)</f>
        <v>0.94861111111111107</v>
      </c>
      <c r="J17" s="51">
        <f>LOOKUP(2,1/(('1111 4度C'!$A:$A="新豐10線")*('1111 4度C'!$T:$T&lt;&gt;"")),'1111 4度C'!$T:$T)</f>
        <v>0.44791666666666663</v>
      </c>
      <c r="K17" s="49">
        <f>LOOKUP(2,1/(('1111 4度C'!$A:$A="新豐8線")*('1111 4度C'!$T:$T&lt;&gt;"")),'1111 4度C'!$T:$T)</f>
        <v>0.76111111111111107</v>
      </c>
      <c r="L17" s="50">
        <f>LOOKUP(2,1/(('1111 4度C'!$A:$A="新豐9線")*('1111 4度C'!$T:$T&lt;&gt;"")),'1111 4度C'!$T:$T)</f>
        <v>0.77847222222222201</v>
      </c>
      <c r="M17" s="51">
        <f>LOOKUP(2,1/(('1111 4度C'!$A:$A="新豐4線")*('1111 4度C'!$T:$T&lt;&gt;"")),'1111 4度C'!$T:$T)</f>
        <v>0.74097222222222203</v>
      </c>
    </row>
    <row r="18" spans="2:13" ht="17.25" customHeight="1">
      <c r="B18" s="452" t="s">
        <v>931</v>
      </c>
      <c r="C18" s="453"/>
      <c r="D18" s="39">
        <f>SUMIFS('1111 4度C'!$I:$I,'1111 4度C'!$A:$A,"新豐6線",'1111 4度C'!$B:$B,"平均")</f>
        <v>14.166666666666666</v>
      </c>
      <c r="E18" s="40">
        <f>SUMIFS('1111 4度C'!$I:$I,'1111 4度C'!$A:$A,"新豐2線",'1111 4度C'!$B:$B,"平均")</f>
        <v>18.5</v>
      </c>
      <c r="F18" s="40">
        <f>SUMIFS('1111 4度C'!$I:$I,'1111 4度C'!$A:$A,"新豐5線",'1111 4度C'!$B:$B,"平均")</f>
        <v>18</v>
      </c>
      <c r="G18" s="40">
        <f>SUMIFS('1111 4度C'!$I:$I,'1111 4度C'!$A:$A,"新豐7線",'1111 4度C'!$B:$B,"平均")</f>
        <v>16.222222222222221</v>
      </c>
      <c r="H18" s="40">
        <f>SUMIFS('1111 4度C'!$I:$I,'1111 4度C'!$A:$A,"新豐3線",'1111 4度C'!$B:$B,"平均")</f>
        <v>9.6</v>
      </c>
      <c r="I18" s="40">
        <f>SUMIFS('1111 4度C'!$I:$I,'1111 4度C'!$A:$A,"新豐1線",'1111 4度C'!$B:$B,"平均")</f>
        <v>16.333333333333332</v>
      </c>
      <c r="J18" s="41">
        <f>SUMIFS('1111 4度C'!$I:$I,'1111 4度C'!$A:$A,"新豐10線",'1111 4度C'!$B:$B,"平均")</f>
        <v>11</v>
      </c>
      <c r="K18" s="39">
        <f>SUMIFS('1111 4度C'!$I:$I,'1111 4度C'!$A:$A,"新豐8線",'1111 4度C'!$B:$B,"平均")</f>
        <v>18.125</v>
      </c>
      <c r="L18" s="40">
        <f>SUMIFS('1111 4度C'!$I:$I,'1111 4度C'!$A:$A,"新豐9線",'1111 4度C'!$B:$B,"平均")</f>
        <v>17.100000000000001</v>
      </c>
      <c r="M18" s="41">
        <f>SUMIFS('1111 4度C'!$I:$I,'1111 4度C'!$A:$A,"新豐4線",'1111 4度C'!$B:$B,"平均")</f>
        <v>17.222222222222221</v>
      </c>
    </row>
    <row r="19" spans="2:13" ht="17.25" customHeight="1">
      <c r="B19" s="452" t="s">
        <v>932</v>
      </c>
      <c r="C19" s="453"/>
      <c r="D19" s="42" t="s">
        <v>65</v>
      </c>
      <c r="E19" s="43" t="s">
        <v>66</v>
      </c>
      <c r="F19" s="43" t="s">
        <v>933</v>
      </c>
      <c r="G19" s="43" t="s">
        <v>70</v>
      </c>
      <c r="H19" s="43" t="s">
        <v>67</v>
      </c>
      <c r="I19" s="43" t="s">
        <v>65</v>
      </c>
      <c r="J19" s="44" t="s">
        <v>67</v>
      </c>
      <c r="K19" s="42" t="s">
        <v>934</v>
      </c>
      <c r="L19" s="43" t="s">
        <v>934</v>
      </c>
      <c r="M19" s="44" t="s">
        <v>71</v>
      </c>
    </row>
    <row r="20" spans="2:13" ht="17.25" customHeight="1">
      <c r="B20" s="452" t="s">
        <v>935</v>
      </c>
      <c r="C20" s="453"/>
      <c r="D20" s="42"/>
      <c r="E20" s="43"/>
      <c r="F20" s="43" t="s">
        <v>936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937</v>
      </c>
      <c r="C21" s="455"/>
      <c r="D21" s="45"/>
      <c r="E21" s="46" t="s">
        <v>116</v>
      </c>
      <c r="F21" s="456" t="s">
        <v>938</v>
      </c>
      <c r="G21" s="457"/>
      <c r="H21" s="46" t="s">
        <v>939</v>
      </c>
      <c r="I21" s="46" t="s">
        <v>201</v>
      </c>
      <c r="J21" s="47" t="s">
        <v>940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01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zoomScale="80" zoomScaleNormal="80" workbookViewId="0">
      <pane ySplit="4" topLeftCell="A5" activePane="bottomLeft" state="frozen"/>
      <selection activeCell="Y46" sqref="Y46:Z46"/>
      <selection pane="bottomLeft" activeCell="Y80" sqref="Y80:Z80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941</v>
      </c>
      <c r="B1" s="52"/>
      <c r="C1" s="53" t="s">
        <v>942</v>
      </c>
      <c r="D1" s="54">
        <f>SUM(F5:F83)</f>
        <v>222638</v>
      </c>
      <c r="E1" s="200" t="s">
        <v>943</v>
      </c>
      <c r="F1" s="52">
        <f>SUM(G5:G83)</f>
        <v>7691505.5099999988</v>
      </c>
      <c r="G1" s="52" t="s">
        <v>944</v>
      </c>
      <c r="H1" s="55">
        <f>L11+L14+L62+L69+L21+L73+L40+L51+L31+L83</f>
        <v>156.26944444444445</v>
      </c>
      <c r="I1" s="556" t="s">
        <v>945</v>
      </c>
      <c r="J1" s="556"/>
      <c r="K1" s="556"/>
      <c r="L1" s="556" t="s">
        <v>946</v>
      </c>
      <c r="M1" s="556"/>
      <c r="N1" s="556"/>
      <c r="O1" s="556" t="s">
        <v>947</v>
      </c>
      <c r="P1" s="556"/>
      <c r="Q1" s="556"/>
      <c r="R1" s="556"/>
      <c r="S1" s="556" t="s">
        <v>948</v>
      </c>
      <c r="T1" s="556"/>
      <c r="U1" s="556"/>
      <c r="V1" s="556"/>
      <c r="W1" s="556"/>
      <c r="X1" s="556"/>
      <c r="Y1" s="556" t="s">
        <v>949</v>
      </c>
      <c r="Z1" s="556"/>
      <c r="AA1" s="556" t="s">
        <v>950</v>
      </c>
      <c r="AB1" s="557"/>
      <c r="AC1" s="557"/>
    </row>
    <row r="2" spans="1:29" ht="26.25" customHeight="1">
      <c r="A2" s="57">
        <v>45972</v>
      </c>
      <c r="B2" s="58" t="s">
        <v>387</v>
      </c>
      <c r="C2" s="53" t="s">
        <v>951</v>
      </c>
      <c r="D2" s="59">
        <f>AVERAGE(N11,N14,N62,N69,N21,N73,N31,N40,N51,N83)</f>
        <v>145.20944057182567</v>
      </c>
      <c r="E2" s="60" t="s">
        <v>0</v>
      </c>
      <c r="F2" s="61">
        <f>F1/D1</f>
        <v>34.547137101483116</v>
      </c>
      <c r="G2" s="52" t="s">
        <v>952</v>
      </c>
      <c r="H2" s="208">
        <f>COUNT(H5:H83)</f>
        <v>18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953</v>
      </c>
      <c r="B3" s="510" t="s">
        <v>954</v>
      </c>
      <c r="C3" s="510" t="s">
        <v>955</v>
      </c>
      <c r="D3" s="510"/>
      <c r="E3" s="554" t="s">
        <v>956</v>
      </c>
      <c r="F3" s="510" t="s">
        <v>957</v>
      </c>
      <c r="G3" s="554" t="s">
        <v>958</v>
      </c>
      <c r="H3" s="547" t="s">
        <v>959</v>
      </c>
      <c r="I3" s="545" t="s">
        <v>960</v>
      </c>
      <c r="J3" s="550" t="s">
        <v>961</v>
      </c>
      <c r="K3" s="552" t="s">
        <v>951</v>
      </c>
      <c r="L3" s="545" t="s">
        <v>960</v>
      </c>
      <c r="M3" s="550" t="s">
        <v>961</v>
      </c>
      <c r="N3" s="552" t="s">
        <v>951</v>
      </c>
      <c r="O3" s="545" t="s">
        <v>960</v>
      </c>
      <c r="P3" s="552" t="s">
        <v>951</v>
      </c>
      <c r="Q3" s="551" t="s">
        <v>962</v>
      </c>
      <c r="R3" s="523" t="s">
        <v>963</v>
      </c>
      <c r="S3" s="510" t="s">
        <v>1</v>
      </c>
      <c r="T3" s="510"/>
      <c r="U3" s="547" t="s">
        <v>2</v>
      </c>
      <c r="V3" s="547" t="s">
        <v>964</v>
      </c>
      <c r="W3" s="510" t="s">
        <v>965</v>
      </c>
      <c r="X3" s="510"/>
      <c r="Y3" s="548" t="s">
        <v>966</v>
      </c>
      <c r="Z3" s="549"/>
      <c r="AA3" s="550" t="s">
        <v>961</v>
      </c>
      <c r="AB3" s="551" t="s">
        <v>962</v>
      </c>
      <c r="AC3" s="523" t="s">
        <v>963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200" t="s">
        <v>3</v>
      </c>
      <c r="T4" s="200" t="s">
        <v>4</v>
      </c>
      <c r="U4" s="547"/>
      <c r="V4" s="547"/>
      <c r="W4" s="200" t="s">
        <v>967</v>
      </c>
      <c r="X4" s="200" t="s">
        <v>968</v>
      </c>
      <c r="Y4" s="549"/>
      <c r="Z4" s="549"/>
      <c r="AA4" s="550"/>
      <c r="AB4" s="551"/>
      <c r="AC4" s="523"/>
    </row>
    <row r="5" spans="1:29">
      <c r="A5" s="544" t="s">
        <v>969</v>
      </c>
      <c r="B5" s="62" t="s">
        <v>10</v>
      </c>
      <c r="C5" s="546" t="s">
        <v>46</v>
      </c>
      <c r="D5" s="546"/>
      <c r="E5" s="62">
        <v>26.97</v>
      </c>
      <c r="F5" s="207">
        <v>3485</v>
      </c>
      <c r="G5" s="200">
        <f t="shared" ref="G5:G10" si="0">E5*F5</f>
        <v>93990.45</v>
      </c>
      <c r="H5" s="90" t="s">
        <v>5</v>
      </c>
      <c r="I5" s="205">
        <v>8</v>
      </c>
      <c r="J5" s="63">
        <v>1500</v>
      </c>
      <c r="K5" s="64">
        <f t="shared" ref="K5:K68" si="1">J5/I5</f>
        <v>187.5</v>
      </c>
      <c r="L5" s="205">
        <v>8</v>
      </c>
      <c r="M5" s="65">
        <f t="shared" ref="M5:M10" si="2">F5/V5*60</f>
        <v>1432.191780821918</v>
      </c>
      <c r="N5" s="64">
        <f t="shared" ref="N5:N68" si="3">M5/L5</f>
        <v>179.02397260273975</v>
      </c>
      <c r="O5" s="66">
        <f t="shared" ref="O5:O68" si="4">L5-I5</f>
        <v>0</v>
      </c>
      <c r="P5" s="67">
        <f t="shared" ref="P5:P68" si="5">N5-K5</f>
        <v>-8.4760273972602533</v>
      </c>
      <c r="Q5" s="201">
        <f t="shared" ref="Q5:Q68" si="6">N5/K5</f>
        <v>0.95479452054794534</v>
      </c>
      <c r="R5" s="511">
        <f>Q11</f>
        <v>0.95828925647604268</v>
      </c>
      <c r="S5" s="68">
        <v>0.25</v>
      </c>
      <c r="T5" s="68">
        <v>0.35138888888888886</v>
      </c>
      <c r="U5" s="200"/>
      <c r="V5" s="206">
        <f t="shared" ref="V5:V10" si="7">(T5-S5)*24*60</f>
        <v>145.99999999999997</v>
      </c>
      <c r="W5" s="69"/>
      <c r="X5" s="70"/>
      <c r="Y5" s="510"/>
      <c r="Z5" s="510"/>
      <c r="AA5" s="66">
        <f t="shared" ref="AA5:AA68" si="8">M5-J5</f>
        <v>-67.808219178082027</v>
      </c>
      <c r="AB5" s="201">
        <f t="shared" ref="AB5:AB68" si="9">M5/J5</f>
        <v>0.95479452054794534</v>
      </c>
      <c r="AC5" s="511">
        <f>AB11</f>
        <v>0.95828925647604279</v>
      </c>
    </row>
    <row r="6" spans="1:29">
      <c r="A6" s="545" t="s">
        <v>970</v>
      </c>
      <c r="B6" s="62" t="s">
        <v>6</v>
      </c>
      <c r="C6" s="546" t="s">
        <v>971</v>
      </c>
      <c r="D6" s="546"/>
      <c r="E6" s="62">
        <v>47.6</v>
      </c>
      <c r="F6" s="207">
        <v>5222</v>
      </c>
      <c r="G6" s="200">
        <f t="shared" si="0"/>
        <v>248567.2</v>
      </c>
      <c r="H6" s="90" t="s">
        <v>5</v>
      </c>
      <c r="I6" s="205">
        <v>19</v>
      </c>
      <c r="J6" s="63">
        <v>2000</v>
      </c>
      <c r="K6" s="64">
        <f t="shared" si="1"/>
        <v>105.26315789473684</v>
      </c>
      <c r="L6" s="205">
        <v>19</v>
      </c>
      <c r="M6" s="65">
        <f t="shared" si="2"/>
        <v>1910.487804878049</v>
      </c>
      <c r="N6" s="64">
        <f t="shared" si="3"/>
        <v>100.55198973042363</v>
      </c>
      <c r="O6" s="66">
        <f t="shared" si="4"/>
        <v>0</v>
      </c>
      <c r="P6" s="67">
        <f t="shared" si="5"/>
        <v>-4.7111681643132073</v>
      </c>
      <c r="Q6" s="201">
        <f t="shared" si="6"/>
        <v>0.95524390243902457</v>
      </c>
      <c r="R6" s="511"/>
      <c r="S6" s="68">
        <v>0.3569444444444444</v>
      </c>
      <c r="T6" s="68">
        <v>0.47083333333333327</v>
      </c>
      <c r="U6" s="200">
        <f t="shared" ref="U6:U10" si="10">IF(S6=TIME(17,0,0),"",(S6-T5)*24*60)</f>
        <v>7.9999999999999716</v>
      </c>
      <c r="V6" s="206">
        <f t="shared" si="7"/>
        <v>163.99999999999997</v>
      </c>
      <c r="W6" s="69"/>
      <c r="X6" s="69"/>
      <c r="Y6" s="510"/>
      <c r="Z6" s="510"/>
      <c r="AA6" s="66">
        <f t="shared" si="8"/>
        <v>-89.512195121950981</v>
      </c>
      <c r="AB6" s="201">
        <f t="shared" si="9"/>
        <v>0.95524390243902446</v>
      </c>
      <c r="AC6" s="511"/>
    </row>
    <row r="7" spans="1:29">
      <c r="A7" s="545" t="s">
        <v>970</v>
      </c>
      <c r="B7" s="62" t="s">
        <v>6</v>
      </c>
      <c r="C7" s="539" t="s">
        <v>9</v>
      </c>
      <c r="D7" s="540"/>
      <c r="E7" s="62">
        <v>50.67</v>
      </c>
      <c r="F7" s="207">
        <v>2116</v>
      </c>
      <c r="G7" s="200">
        <f t="shared" si="0"/>
        <v>107217.72</v>
      </c>
      <c r="H7" s="90" t="s">
        <v>5</v>
      </c>
      <c r="I7" s="205">
        <v>17</v>
      </c>
      <c r="J7" s="63">
        <v>2000</v>
      </c>
      <c r="K7" s="64">
        <f t="shared" si="1"/>
        <v>117.64705882352941</v>
      </c>
      <c r="L7" s="205">
        <v>17</v>
      </c>
      <c r="M7" s="65">
        <f t="shared" si="2"/>
        <v>1923.6363636363658</v>
      </c>
      <c r="N7" s="64">
        <f t="shared" si="3"/>
        <v>113.15508021390387</v>
      </c>
      <c r="O7" s="66">
        <f t="shared" si="4"/>
        <v>0</v>
      </c>
      <c r="P7" s="67">
        <f t="shared" si="5"/>
        <v>-4.4919786096255336</v>
      </c>
      <c r="Q7" s="201">
        <f t="shared" si="6"/>
        <v>0.96181818181818302</v>
      </c>
      <c r="R7" s="511"/>
      <c r="S7" s="68">
        <v>0.70833333333333337</v>
      </c>
      <c r="T7" s="68">
        <v>0.75416666666666665</v>
      </c>
      <c r="U7" s="200" t="str">
        <f t="shared" si="10"/>
        <v/>
      </c>
      <c r="V7" s="206">
        <f t="shared" si="7"/>
        <v>65.999999999999929</v>
      </c>
      <c r="W7" s="69"/>
      <c r="X7" s="69"/>
      <c r="Y7" s="517"/>
      <c r="Z7" s="518"/>
      <c r="AA7" s="66">
        <f t="shared" si="8"/>
        <v>-76.363636363634214</v>
      </c>
      <c r="AB7" s="201">
        <f t="shared" si="9"/>
        <v>0.9618181818181829</v>
      </c>
      <c r="AC7" s="511"/>
    </row>
    <row r="8" spans="1:29">
      <c r="A8" s="545" t="s">
        <v>969</v>
      </c>
      <c r="B8" s="62" t="s">
        <v>6</v>
      </c>
      <c r="C8" s="539" t="s">
        <v>8</v>
      </c>
      <c r="D8" s="540"/>
      <c r="E8" s="62">
        <v>50.49</v>
      </c>
      <c r="F8" s="207">
        <v>1500</v>
      </c>
      <c r="G8" s="200">
        <f t="shared" si="0"/>
        <v>75735</v>
      </c>
      <c r="H8" s="90">
        <v>2</v>
      </c>
      <c r="I8" s="205">
        <v>15</v>
      </c>
      <c r="J8" s="63">
        <v>2000</v>
      </c>
      <c r="K8" s="64">
        <f t="shared" si="1"/>
        <v>133.33333333333334</v>
      </c>
      <c r="L8" s="205">
        <v>15</v>
      </c>
      <c r="M8" s="65">
        <f t="shared" si="2"/>
        <v>1914.8936170212769</v>
      </c>
      <c r="N8" s="64">
        <f t="shared" si="3"/>
        <v>127.65957446808513</v>
      </c>
      <c r="O8" s="66">
        <f t="shared" si="4"/>
        <v>0</v>
      </c>
      <c r="P8" s="67">
        <f t="shared" si="5"/>
        <v>-5.6737588652482174</v>
      </c>
      <c r="Q8" s="201">
        <f t="shared" si="6"/>
        <v>0.95744680851063835</v>
      </c>
      <c r="R8" s="511"/>
      <c r="S8" s="68">
        <v>0.75972222222222219</v>
      </c>
      <c r="T8" s="68">
        <v>0.79236111111111107</v>
      </c>
      <c r="U8" s="200">
        <f t="shared" si="10"/>
        <v>7.9999999999999716</v>
      </c>
      <c r="V8" s="206">
        <f t="shared" si="7"/>
        <v>46.999999999999993</v>
      </c>
      <c r="W8" s="73"/>
      <c r="X8" s="73"/>
      <c r="Y8" s="517"/>
      <c r="Z8" s="518"/>
      <c r="AA8" s="66">
        <f t="shared" si="8"/>
        <v>-85.106382978723104</v>
      </c>
      <c r="AB8" s="201">
        <f t="shared" si="9"/>
        <v>0.95744680851063846</v>
      </c>
      <c r="AC8" s="511"/>
    </row>
    <row r="9" spans="1:29">
      <c r="A9" s="545" t="s">
        <v>969</v>
      </c>
      <c r="B9" s="62" t="s">
        <v>6</v>
      </c>
      <c r="C9" s="539" t="s">
        <v>886</v>
      </c>
      <c r="D9" s="540"/>
      <c r="E9" s="62">
        <v>54.7</v>
      </c>
      <c r="F9" s="207">
        <v>1800</v>
      </c>
      <c r="G9" s="200">
        <f t="shared" si="0"/>
        <v>98460</v>
      </c>
      <c r="H9" s="90">
        <v>2</v>
      </c>
      <c r="I9" s="205">
        <v>13</v>
      </c>
      <c r="J9" s="63">
        <v>2000</v>
      </c>
      <c r="K9" s="64">
        <f t="shared" si="1"/>
        <v>153.84615384615384</v>
      </c>
      <c r="L9" s="205">
        <v>13</v>
      </c>
      <c r="M9" s="65">
        <f t="shared" si="2"/>
        <v>1928.57142857143</v>
      </c>
      <c r="N9" s="64">
        <f t="shared" si="3"/>
        <v>148.35164835164846</v>
      </c>
      <c r="O9" s="66">
        <f t="shared" si="4"/>
        <v>0</v>
      </c>
      <c r="P9" s="67">
        <f t="shared" si="5"/>
        <v>-5.4945054945053755</v>
      </c>
      <c r="Q9" s="201">
        <f t="shared" si="6"/>
        <v>0.96428571428571508</v>
      </c>
      <c r="R9" s="511"/>
      <c r="S9" s="68">
        <v>0.79583333333333328</v>
      </c>
      <c r="T9" s="68">
        <v>0.83472222222222214</v>
      </c>
      <c r="U9" s="200">
        <f t="shared" si="10"/>
        <v>4.9999999999999822</v>
      </c>
      <c r="V9" s="206">
        <f t="shared" si="7"/>
        <v>55.999999999999957</v>
      </c>
      <c r="W9" s="69">
        <f>T9</f>
        <v>0.83472222222222214</v>
      </c>
      <c r="X9" s="69">
        <f>S10</f>
        <v>0.87361111111111101</v>
      </c>
      <c r="Y9" s="517"/>
      <c r="Z9" s="518"/>
      <c r="AA9" s="66">
        <f t="shared" si="8"/>
        <v>-71.428571428569967</v>
      </c>
      <c r="AB9" s="201">
        <f t="shared" si="9"/>
        <v>0.96428571428571497</v>
      </c>
      <c r="AC9" s="511"/>
    </row>
    <row r="10" spans="1:29">
      <c r="A10" s="545" t="s">
        <v>970</v>
      </c>
      <c r="B10" s="62" t="s">
        <v>6</v>
      </c>
      <c r="C10" s="539" t="s">
        <v>886</v>
      </c>
      <c r="D10" s="540"/>
      <c r="E10" s="62">
        <v>54.7</v>
      </c>
      <c r="F10" s="207">
        <v>5254</v>
      </c>
      <c r="G10" s="200">
        <f t="shared" si="0"/>
        <v>287393.8</v>
      </c>
      <c r="H10" s="90" t="s">
        <v>5</v>
      </c>
      <c r="I10" s="205">
        <v>13</v>
      </c>
      <c r="J10" s="63">
        <v>2000</v>
      </c>
      <c r="K10" s="64">
        <f t="shared" si="1"/>
        <v>153.84615384615384</v>
      </c>
      <c r="L10" s="205">
        <v>13</v>
      </c>
      <c r="M10" s="65">
        <f t="shared" si="2"/>
        <v>1910.545454545454</v>
      </c>
      <c r="N10" s="64">
        <f t="shared" si="3"/>
        <v>146.96503496503493</v>
      </c>
      <c r="O10" s="66">
        <f t="shared" si="4"/>
        <v>0</v>
      </c>
      <c r="P10" s="67">
        <f t="shared" si="5"/>
        <v>-6.8811188811189083</v>
      </c>
      <c r="Q10" s="201">
        <f t="shared" si="6"/>
        <v>0.95527272727272705</v>
      </c>
      <c r="R10" s="511"/>
      <c r="S10" s="68">
        <v>0.87361111111111101</v>
      </c>
      <c r="T10" s="68">
        <v>0.98819444444444438</v>
      </c>
      <c r="U10" s="200">
        <f t="shared" si="10"/>
        <v>55.999999999999957</v>
      </c>
      <c r="V10" s="206">
        <f t="shared" si="7"/>
        <v>165.00000000000006</v>
      </c>
      <c r="W10" s="69"/>
      <c r="X10" s="69"/>
      <c r="Y10" s="517"/>
      <c r="Z10" s="518"/>
      <c r="AA10" s="66">
        <f t="shared" si="8"/>
        <v>-89.454545454545951</v>
      </c>
      <c r="AB10" s="201">
        <f t="shared" si="9"/>
        <v>0.95527272727272705</v>
      </c>
      <c r="AC10" s="511"/>
    </row>
    <row r="11" spans="1:29">
      <c r="A11" s="545" t="s">
        <v>969</v>
      </c>
      <c r="B11" s="62" t="s">
        <v>972</v>
      </c>
      <c r="C11" s="513"/>
      <c r="D11" s="513"/>
      <c r="E11" s="202"/>
      <c r="F11" s="71"/>
      <c r="G11" s="64"/>
      <c r="H11" s="207"/>
      <c r="I11" s="72">
        <v>14.166666666666666</v>
      </c>
      <c r="J11" s="63">
        <v>1916.6666666666667</v>
      </c>
      <c r="K11" s="64">
        <f t="shared" si="1"/>
        <v>135.29411764705884</v>
      </c>
      <c r="L11" s="72">
        <v>14.166666666666666</v>
      </c>
      <c r="M11" s="65">
        <f>AVERAGE(M5:M10)</f>
        <v>1836.7210749124154</v>
      </c>
      <c r="N11" s="64">
        <f t="shared" si="3"/>
        <v>129.65089940558227</v>
      </c>
      <c r="O11" s="66">
        <f t="shared" si="4"/>
        <v>0</v>
      </c>
      <c r="P11" s="67">
        <f t="shared" si="5"/>
        <v>-5.6432182414765748</v>
      </c>
      <c r="Q11" s="201">
        <f t="shared" si="6"/>
        <v>0.95828925647604268</v>
      </c>
      <c r="R11" s="511"/>
      <c r="S11" s="68"/>
      <c r="T11" s="68"/>
      <c r="U11" s="200"/>
      <c r="V11" s="206"/>
      <c r="W11" s="64"/>
      <c r="X11" s="64"/>
      <c r="Y11" s="510"/>
      <c r="Z11" s="510"/>
      <c r="AA11" s="66">
        <f t="shared" si="8"/>
        <v>-79.945591754251382</v>
      </c>
      <c r="AB11" s="201">
        <f t="shared" si="9"/>
        <v>0.95828925647604279</v>
      </c>
      <c r="AC11" s="511"/>
    </row>
    <row r="12" spans="1:29" ht="15.75" customHeight="1">
      <c r="A12" s="543" t="s">
        <v>973</v>
      </c>
      <c r="B12" s="62" t="s">
        <v>10</v>
      </c>
      <c r="C12" s="539" t="s">
        <v>12</v>
      </c>
      <c r="D12" s="540"/>
      <c r="E12" s="62">
        <v>39.36</v>
      </c>
      <c r="F12" s="207">
        <v>1951</v>
      </c>
      <c r="G12" s="200">
        <f t="shared" ref="G12:G13" si="11">E12*F12</f>
        <v>76791.360000000001</v>
      </c>
      <c r="H12" s="90" t="s">
        <v>5</v>
      </c>
      <c r="I12" s="205">
        <v>20</v>
      </c>
      <c r="J12" s="63">
        <v>1500</v>
      </c>
      <c r="K12" s="64">
        <f t="shared" si="1"/>
        <v>75</v>
      </c>
      <c r="L12" s="205">
        <v>20</v>
      </c>
      <c r="M12" s="65">
        <f t="shared" ref="M12:M13" si="12">F12/V12*60</f>
        <v>1445.1851851851854</v>
      </c>
      <c r="N12" s="64">
        <f t="shared" si="3"/>
        <v>72.259259259259267</v>
      </c>
      <c r="O12" s="66">
        <f t="shared" si="4"/>
        <v>0</v>
      </c>
      <c r="P12" s="67">
        <f t="shared" si="5"/>
        <v>-2.7407407407407334</v>
      </c>
      <c r="Q12" s="201">
        <f t="shared" si="6"/>
        <v>0.96345679012345686</v>
      </c>
      <c r="R12" s="511">
        <f>Q14</f>
        <v>0.95918062436109142</v>
      </c>
      <c r="S12" s="68">
        <v>0.16666666666666666</v>
      </c>
      <c r="T12" s="68">
        <v>0.22291666666666665</v>
      </c>
      <c r="U12" s="200"/>
      <c r="V12" s="206">
        <f t="shared" ref="V12:V13" si="13">(T12-S12)*24*60</f>
        <v>80.999999999999986</v>
      </c>
      <c r="W12" s="69">
        <f>T12</f>
        <v>0.22291666666666665</v>
      </c>
      <c r="X12" s="69">
        <f>S13</f>
        <v>0.24166666666666664</v>
      </c>
      <c r="Y12" s="510"/>
      <c r="Z12" s="510"/>
      <c r="AA12" s="66">
        <f t="shared" si="8"/>
        <v>-54.814814814814554</v>
      </c>
      <c r="AB12" s="201">
        <f t="shared" si="9"/>
        <v>0.96345679012345697</v>
      </c>
      <c r="AC12" s="511">
        <f>AB14</f>
        <v>0.95918062436109142</v>
      </c>
    </row>
    <row r="13" spans="1:29" ht="15.75" customHeight="1">
      <c r="A13" s="543" t="s">
        <v>974</v>
      </c>
      <c r="B13" s="62" t="s">
        <v>10</v>
      </c>
      <c r="C13" s="539" t="s">
        <v>11</v>
      </c>
      <c r="D13" s="540"/>
      <c r="E13" s="62">
        <v>39.799999999999997</v>
      </c>
      <c r="F13" s="207">
        <v>7496</v>
      </c>
      <c r="G13" s="200">
        <f t="shared" si="11"/>
        <v>298340.8</v>
      </c>
      <c r="H13" s="90" t="s">
        <v>5</v>
      </c>
      <c r="I13" s="205">
        <v>17</v>
      </c>
      <c r="J13" s="63">
        <v>1500</v>
      </c>
      <c r="K13" s="64">
        <f t="shared" si="1"/>
        <v>88.235294117647058</v>
      </c>
      <c r="L13" s="205">
        <v>17</v>
      </c>
      <c r="M13" s="65">
        <f t="shared" si="12"/>
        <v>1432.3566878980891</v>
      </c>
      <c r="N13" s="64">
        <f t="shared" si="3"/>
        <v>84.256275758711126</v>
      </c>
      <c r="O13" s="66">
        <f t="shared" si="4"/>
        <v>0</v>
      </c>
      <c r="P13" s="67">
        <f t="shared" si="5"/>
        <v>-3.9790183589359316</v>
      </c>
      <c r="Q13" s="201">
        <f t="shared" si="6"/>
        <v>0.95490445859872608</v>
      </c>
      <c r="R13" s="511"/>
      <c r="S13" s="68">
        <v>0.24166666666666664</v>
      </c>
      <c r="T13" s="68">
        <v>0.4597222222222222</v>
      </c>
      <c r="U13" s="200">
        <f t="shared" ref="U13" si="14">IF(S13=TIME(17,0,0),"",(S13-T12)*24*60)</f>
        <v>26.999999999999986</v>
      </c>
      <c r="V13" s="206">
        <f t="shared" si="13"/>
        <v>314</v>
      </c>
      <c r="W13" s="69"/>
      <c r="X13" s="69"/>
      <c r="Y13" s="510"/>
      <c r="Z13" s="510"/>
      <c r="AA13" s="66">
        <f t="shared" si="8"/>
        <v>-67.643312101910851</v>
      </c>
      <c r="AB13" s="201">
        <f t="shared" si="9"/>
        <v>0.95490445859872608</v>
      </c>
      <c r="AC13" s="511"/>
    </row>
    <row r="14" spans="1:29" ht="16.5" customHeight="1">
      <c r="A14" s="543" t="s">
        <v>974</v>
      </c>
      <c r="B14" s="62" t="s">
        <v>975</v>
      </c>
      <c r="C14" s="513"/>
      <c r="D14" s="513"/>
      <c r="E14" s="202"/>
      <c r="F14" s="63"/>
      <c r="G14" s="65"/>
      <c r="H14" s="207"/>
      <c r="I14" s="72">
        <v>18.5</v>
      </c>
      <c r="J14" s="63">
        <v>1500</v>
      </c>
      <c r="K14" s="64">
        <f t="shared" si="1"/>
        <v>81.081081081081081</v>
      </c>
      <c r="L14" s="72">
        <v>18.5</v>
      </c>
      <c r="M14" s="65">
        <f>AVERAGE(M12:M13)</f>
        <v>1438.7709365416372</v>
      </c>
      <c r="N14" s="64">
        <f t="shared" si="3"/>
        <v>77.771401975223625</v>
      </c>
      <c r="O14" s="66">
        <f t="shared" si="4"/>
        <v>0</v>
      </c>
      <c r="P14" s="67">
        <f t="shared" si="5"/>
        <v>-3.3096791058574553</v>
      </c>
      <c r="Q14" s="201">
        <f t="shared" si="6"/>
        <v>0.95918062436109142</v>
      </c>
      <c r="R14" s="511"/>
      <c r="S14" s="68"/>
      <c r="T14" s="68"/>
      <c r="U14" s="64"/>
      <c r="V14" s="206"/>
      <c r="W14" s="64"/>
      <c r="X14" s="64"/>
      <c r="Y14" s="510"/>
      <c r="Z14" s="510"/>
      <c r="AA14" s="66">
        <f t="shared" si="8"/>
        <v>-61.229063458362816</v>
      </c>
      <c r="AB14" s="201">
        <f t="shared" si="9"/>
        <v>0.95918062436109142</v>
      </c>
      <c r="AC14" s="511"/>
    </row>
    <row r="15" spans="1:29" ht="16.5" customHeight="1">
      <c r="A15" s="541" t="s">
        <v>976</v>
      </c>
      <c r="B15" s="207" t="s">
        <v>13</v>
      </c>
      <c r="C15" s="533" t="s">
        <v>14</v>
      </c>
      <c r="D15" s="533"/>
      <c r="E15" s="62">
        <v>41</v>
      </c>
      <c r="F15" s="207">
        <v>2635</v>
      </c>
      <c r="G15" s="200">
        <f t="shared" ref="G15:G20" si="15">E15*F15</f>
        <v>108035</v>
      </c>
      <c r="H15" s="90" t="s">
        <v>5</v>
      </c>
      <c r="I15" s="205">
        <v>26</v>
      </c>
      <c r="J15" s="63">
        <v>1500</v>
      </c>
      <c r="K15" s="64">
        <f t="shared" si="1"/>
        <v>57.692307692307693</v>
      </c>
      <c r="L15" s="205">
        <v>26</v>
      </c>
      <c r="M15" s="65">
        <f t="shared" ref="M15:M20" si="16">F15/V15*60</f>
        <v>1437.2727272727277</v>
      </c>
      <c r="N15" s="64">
        <f t="shared" si="3"/>
        <v>55.279720279720294</v>
      </c>
      <c r="O15" s="66">
        <f t="shared" si="4"/>
        <v>0</v>
      </c>
      <c r="P15" s="67">
        <f t="shared" si="5"/>
        <v>-2.4125874125873992</v>
      </c>
      <c r="Q15" s="201">
        <f t="shared" si="6"/>
        <v>0.95818181818181847</v>
      </c>
      <c r="R15" s="511">
        <f>Q21</f>
        <v>0.95570544735682517</v>
      </c>
      <c r="S15" s="68">
        <v>0.16666666666666666</v>
      </c>
      <c r="T15" s="68">
        <v>0.24305555555555552</v>
      </c>
      <c r="U15" s="200"/>
      <c r="V15" s="206">
        <f t="shared" ref="V15:V20" si="17">(T15-S15)*24*60</f>
        <v>109.99999999999997</v>
      </c>
      <c r="W15" s="69">
        <f>T15</f>
        <v>0.24305555555555552</v>
      </c>
      <c r="X15" s="69">
        <f>S16</f>
        <v>0.26249999999999996</v>
      </c>
      <c r="Y15" s="510"/>
      <c r="Z15" s="510"/>
      <c r="AA15" s="66">
        <f t="shared" si="8"/>
        <v>-62.727272727272293</v>
      </c>
      <c r="AB15" s="201">
        <f t="shared" si="9"/>
        <v>0.95818181818181847</v>
      </c>
      <c r="AC15" s="511">
        <f>AB21</f>
        <v>0.95570544735682528</v>
      </c>
    </row>
    <row r="16" spans="1:29" ht="16.5" customHeight="1">
      <c r="A16" s="542" t="s">
        <v>976</v>
      </c>
      <c r="B16" s="207" t="s">
        <v>77</v>
      </c>
      <c r="C16" s="533" t="s">
        <v>76</v>
      </c>
      <c r="D16" s="533"/>
      <c r="E16" s="62">
        <v>57.3</v>
      </c>
      <c r="F16" s="207">
        <v>1346</v>
      </c>
      <c r="G16" s="200">
        <f t="shared" si="15"/>
        <v>77125.8</v>
      </c>
      <c r="H16" s="90" t="s">
        <v>5</v>
      </c>
      <c r="I16" s="205">
        <v>17</v>
      </c>
      <c r="J16" s="63">
        <v>1500</v>
      </c>
      <c r="K16" s="64">
        <f t="shared" si="1"/>
        <v>88.235294117647058</v>
      </c>
      <c r="L16" s="205">
        <v>17</v>
      </c>
      <c r="M16" s="65">
        <f t="shared" si="16"/>
        <v>1442.1428571428582</v>
      </c>
      <c r="N16" s="64">
        <f t="shared" si="3"/>
        <v>84.831932773109315</v>
      </c>
      <c r="O16" s="66">
        <f t="shared" si="4"/>
        <v>0</v>
      </c>
      <c r="P16" s="67">
        <f t="shared" si="5"/>
        <v>-3.4033613445377426</v>
      </c>
      <c r="Q16" s="201">
        <f t="shared" si="6"/>
        <v>0.9614285714285723</v>
      </c>
      <c r="R16" s="511"/>
      <c r="S16" s="68">
        <v>0.26249999999999996</v>
      </c>
      <c r="T16" s="68">
        <v>0.30138888888888882</v>
      </c>
      <c r="U16" s="200">
        <f t="shared" ref="U16:U20" si="18">IF(S16=TIME(17,0,0),"",(S16-T15)*24*60)</f>
        <v>27.999999999999979</v>
      </c>
      <c r="V16" s="206">
        <f t="shared" si="17"/>
        <v>55.999999999999957</v>
      </c>
      <c r="W16" s="69"/>
      <c r="X16" s="69"/>
      <c r="Y16" s="510"/>
      <c r="Z16" s="510"/>
      <c r="AA16" s="66">
        <f t="shared" si="8"/>
        <v>-57.857142857141753</v>
      </c>
      <c r="AB16" s="201">
        <f t="shared" si="9"/>
        <v>0.96142857142857219</v>
      </c>
      <c r="AC16" s="511"/>
    </row>
    <row r="17" spans="1:29" ht="16.5" customHeight="1">
      <c r="A17" s="542" t="s">
        <v>976</v>
      </c>
      <c r="B17" s="207" t="s">
        <v>10</v>
      </c>
      <c r="C17" s="533" t="s">
        <v>15</v>
      </c>
      <c r="D17" s="533"/>
      <c r="E17" s="62">
        <v>39.619999999999997</v>
      </c>
      <c r="F17" s="207">
        <v>4748</v>
      </c>
      <c r="G17" s="200">
        <f t="shared" si="15"/>
        <v>188115.75999999998</v>
      </c>
      <c r="H17" s="90" t="s">
        <v>5</v>
      </c>
      <c r="I17" s="205">
        <v>19</v>
      </c>
      <c r="J17" s="63">
        <v>1500</v>
      </c>
      <c r="K17" s="64">
        <f t="shared" si="1"/>
        <v>78.94736842105263</v>
      </c>
      <c r="L17" s="205">
        <v>19</v>
      </c>
      <c r="M17" s="65">
        <f t="shared" si="16"/>
        <v>1431.5577889447236</v>
      </c>
      <c r="N17" s="64">
        <f t="shared" si="3"/>
        <v>75.345146786564399</v>
      </c>
      <c r="O17" s="66">
        <f t="shared" si="4"/>
        <v>0</v>
      </c>
      <c r="P17" s="67">
        <f t="shared" si="5"/>
        <v>-3.602221634488231</v>
      </c>
      <c r="Q17" s="201">
        <f t="shared" si="6"/>
        <v>0.95437185929648238</v>
      </c>
      <c r="R17" s="511"/>
      <c r="S17" s="68">
        <v>0.30486111111111103</v>
      </c>
      <c r="T17" s="68">
        <v>0.44305555555555548</v>
      </c>
      <c r="U17" s="200">
        <f t="shared" si="18"/>
        <v>4.9999999999999822</v>
      </c>
      <c r="V17" s="206">
        <f t="shared" si="17"/>
        <v>199</v>
      </c>
      <c r="W17" s="69"/>
      <c r="X17" s="69"/>
      <c r="Y17" s="510"/>
      <c r="Z17" s="510"/>
      <c r="AA17" s="66">
        <f t="shared" si="8"/>
        <v>-68.442211055276402</v>
      </c>
      <c r="AB17" s="201">
        <f t="shared" si="9"/>
        <v>0.95437185929648238</v>
      </c>
      <c r="AC17" s="511"/>
    </row>
    <row r="18" spans="1:29" ht="16.5" customHeight="1">
      <c r="A18" s="542" t="s">
        <v>977</v>
      </c>
      <c r="B18" s="207" t="s">
        <v>6</v>
      </c>
      <c r="C18" s="533" t="s">
        <v>890</v>
      </c>
      <c r="D18" s="533"/>
      <c r="E18" s="62">
        <v>48.67</v>
      </c>
      <c r="F18" s="207">
        <v>5175</v>
      </c>
      <c r="G18" s="200">
        <f t="shared" si="15"/>
        <v>251867.25</v>
      </c>
      <c r="H18" s="90" t="s">
        <v>5</v>
      </c>
      <c r="I18" s="205">
        <v>16</v>
      </c>
      <c r="J18" s="63">
        <v>2000</v>
      </c>
      <c r="K18" s="64">
        <f t="shared" si="1"/>
        <v>125</v>
      </c>
      <c r="L18" s="205">
        <v>16</v>
      </c>
      <c r="M18" s="65">
        <f t="shared" si="16"/>
        <v>1904.9079754601219</v>
      </c>
      <c r="N18" s="64">
        <f t="shared" si="3"/>
        <v>119.05674846625762</v>
      </c>
      <c r="O18" s="66">
        <f t="shared" si="4"/>
        <v>0</v>
      </c>
      <c r="P18" s="67">
        <f t="shared" si="5"/>
        <v>-5.9432515337423837</v>
      </c>
      <c r="Q18" s="201">
        <f t="shared" si="6"/>
        <v>0.95245398773006096</v>
      </c>
      <c r="R18" s="511"/>
      <c r="S18" s="68">
        <v>0.70833333333333337</v>
      </c>
      <c r="T18" s="68">
        <v>0.82152777777777786</v>
      </c>
      <c r="U18" s="200" t="str">
        <f t="shared" si="18"/>
        <v/>
      </c>
      <c r="V18" s="206">
        <f t="shared" si="17"/>
        <v>163.00000000000006</v>
      </c>
      <c r="W18" s="69"/>
      <c r="X18" s="69"/>
      <c r="Y18" s="510"/>
      <c r="Z18" s="510"/>
      <c r="AA18" s="66">
        <f t="shared" si="8"/>
        <v>-95.092024539878139</v>
      </c>
      <c r="AB18" s="201">
        <f t="shared" si="9"/>
        <v>0.95245398773006096</v>
      </c>
      <c r="AC18" s="511"/>
    </row>
    <row r="19" spans="1:29" ht="16.5" customHeight="1">
      <c r="A19" s="542" t="s">
        <v>976</v>
      </c>
      <c r="B19" s="207" t="s">
        <v>6</v>
      </c>
      <c r="C19" s="533" t="s">
        <v>20</v>
      </c>
      <c r="D19" s="533"/>
      <c r="E19" s="62">
        <v>48.61</v>
      </c>
      <c r="F19" s="207">
        <v>1500</v>
      </c>
      <c r="G19" s="200">
        <f t="shared" si="15"/>
        <v>72915</v>
      </c>
      <c r="H19" s="90">
        <v>2</v>
      </c>
      <c r="I19" s="205">
        <v>15</v>
      </c>
      <c r="J19" s="63">
        <v>2000</v>
      </c>
      <c r="K19" s="64">
        <f t="shared" si="1"/>
        <v>133.33333333333334</v>
      </c>
      <c r="L19" s="205">
        <v>15</v>
      </c>
      <c r="M19" s="65">
        <f t="shared" si="16"/>
        <v>1914.8936170212769</v>
      </c>
      <c r="N19" s="64">
        <f t="shared" si="3"/>
        <v>127.65957446808513</v>
      </c>
      <c r="O19" s="66">
        <f t="shared" si="4"/>
        <v>0</v>
      </c>
      <c r="P19" s="67">
        <f t="shared" si="5"/>
        <v>-5.6737588652482174</v>
      </c>
      <c r="Q19" s="201">
        <f t="shared" si="6"/>
        <v>0.95744680851063835</v>
      </c>
      <c r="R19" s="511"/>
      <c r="S19" s="68">
        <v>0.82569444444444451</v>
      </c>
      <c r="T19" s="68">
        <v>0.85833333333333339</v>
      </c>
      <c r="U19" s="200">
        <f t="shared" si="18"/>
        <v>5.9999999999999787</v>
      </c>
      <c r="V19" s="206">
        <f t="shared" si="17"/>
        <v>46.999999999999993</v>
      </c>
      <c r="W19" s="69">
        <f>T19</f>
        <v>0.85833333333333339</v>
      </c>
      <c r="X19" s="69">
        <f>S20</f>
        <v>0.90069444444444446</v>
      </c>
      <c r="Y19" s="510"/>
      <c r="Z19" s="510"/>
      <c r="AA19" s="66">
        <f t="shared" si="8"/>
        <v>-85.106382978723104</v>
      </c>
      <c r="AB19" s="201">
        <f t="shared" si="9"/>
        <v>0.95744680851063846</v>
      </c>
      <c r="AC19" s="511"/>
    </row>
    <row r="20" spans="1:29" ht="16.5" customHeight="1">
      <c r="A20" s="542" t="s">
        <v>976</v>
      </c>
      <c r="B20" s="207" t="s">
        <v>6</v>
      </c>
      <c r="C20" s="534" t="s">
        <v>20</v>
      </c>
      <c r="D20" s="535"/>
      <c r="E20" s="62">
        <v>48.61</v>
      </c>
      <c r="F20" s="207">
        <v>3840</v>
      </c>
      <c r="G20" s="200">
        <f t="shared" si="15"/>
        <v>186662.39999999999</v>
      </c>
      <c r="H20" s="90" t="s">
        <v>5</v>
      </c>
      <c r="I20" s="205">
        <v>15</v>
      </c>
      <c r="J20" s="63">
        <v>2000</v>
      </c>
      <c r="K20" s="64">
        <f t="shared" si="1"/>
        <v>133.33333333333334</v>
      </c>
      <c r="L20" s="205">
        <v>15</v>
      </c>
      <c r="M20" s="65">
        <f t="shared" si="16"/>
        <v>1904.1322314049578</v>
      </c>
      <c r="N20" s="64">
        <f t="shared" si="3"/>
        <v>126.94214876033053</v>
      </c>
      <c r="O20" s="66">
        <f t="shared" si="4"/>
        <v>0</v>
      </c>
      <c r="P20" s="67">
        <f t="shared" si="5"/>
        <v>-6.3911845730028176</v>
      </c>
      <c r="Q20" s="201">
        <f t="shared" si="6"/>
        <v>0.9520661157024789</v>
      </c>
      <c r="R20" s="511"/>
      <c r="S20" s="68">
        <v>0.90069444444444446</v>
      </c>
      <c r="T20" s="68">
        <v>0.98472222222222228</v>
      </c>
      <c r="U20" s="200">
        <f t="shared" si="18"/>
        <v>60.999999999999943</v>
      </c>
      <c r="V20" s="206">
        <f t="shared" si="17"/>
        <v>121.00000000000006</v>
      </c>
      <c r="W20" s="69"/>
      <c r="X20" s="69"/>
      <c r="Y20" s="517"/>
      <c r="Z20" s="518"/>
      <c r="AA20" s="66">
        <f t="shared" si="8"/>
        <v>-95.867768595042207</v>
      </c>
      <c r="AB20" s="201">
        <f t="shared" si="9"/>
        <v>0.9520661157024789</v>
      </c>
      <c r="AC20" s="511"/>
    </row>
    <row r="21" spans="1:29" ht="16.5" customHeight="1">
      <c r="A21" s="542" t="s">
        <v>976</v>
      </c>
      <c r="B21" s="62" t="s">
        <v>975</v>
      </c>
      <c r="C21" s="513"/>
      <c r="D21" s="513"/>
      <c r="E21" s="202"/>
      <c r="F21" s="71"/>
      <c r="G21" s="64"/>
      <c r="H21" s="207"/>
      <c r="I21" s="72">
        <v>18</v>
      </c>
      <c r="J21" s="63">
        <v>1750</v>
      </c>
      <c r="K21" s="64">
        <f t="shared" si="1"/>
        <v>97.222222222222229</v>
      </c>
      <c r="L21" s="72">
        <v>18</v>
      </c>
      <c r="M21" s="65">
        <f>AVERAGE(M15:M20)</f>
        <v>1672.4845328744443</v>
      </c>
      <c r="N21" s="64">
        <f t="shared" si="3"/>
        <v>92.915807381913567</v>
      </c>
      <c r="O21" s="66">
        <f t="shared" si="4"/>
        <v>0</v>
      </c>
      <c r="P21" s="67">
        <f t="shared" si="5"/>
        <v>-4.306414840308662</v>
      </c>
      <c r="Q21" s="201">
        <f t="shared" si="6"/>
        <v>0.95570544735682517</v>
      </c>
      <c r="R21" s="511"/>
      <c r="S21" s="68"/>
      <c r="T21" s="68"/>
      <c r="U21" s="200"/>
      <c r="V21" s="206"/>
      <c r="W21" s="64"/>
      <c r="X21" s="64"/>
      <c r="Y21" s="510"/>
      <c r="Z21" s="510"/>
      <c r="AA21" s="66">
        <f t="shared" si="8"/>
        <v>-77.515467125555688</v>
      </c>
      <c r="AB21" s="201">
        <f t="shared" si="9"/>
        <v>0.95570544735682528</v>
      </c>
      <c r="AC21" s="511"/>
    </row>
    <row r="22" spans="1:29" ht="15.75" customHeight="1">
      <c r="A22" s="537" t="s">
        <v>978</v>
      </c>
      <c r="B22" s="62" t="s">
        <v>13</v>
      </c>
      <c r="C22" s="533" t="s">
        <v>21</v>
      </c>
      <c r="D22" s="533"/>
      <c r="E22" s="62">
        <v>43.14</v>
      </c>
      <c r="F22" s="207">
        <v>1517</v>
      </c>
      <c r="G22" s="200">
        <f t="shared" ref="G22:G30" si="19">E22*F22</f>
        <v>65443.38</v>
      </c>
      <c r="H22" s="90" t="s">
        <v>5</v>
      </c>
      <c r="I22" s="205">
        <v>17</v>
      </c>
      <c r="J22" s="63">
        <v>2000</v>
      </c>
      <c r="K22" s="64">
        <f t="shared" si="1"/>
        <v>117.64705882352941</v>
      </c>
      <c r="L22" s="205">
        <v>17</v>
      </c>
      <c r="M22" s="65">
        <f t="shared" ref="M22:M30" si="20">F22/V22*60</f>
        <v>1936.5957446808513</v>
      </c>
      <c r="N22" s="64">
        <f t="shared" si="3"/>
        <v>113.91739674593244</v>
      </c>
      <c r="O22" s="66">
        <f t="shared" si="4"/>
        <v>0</v>
      </c>
      <c r="P22" s="67">
        <f t="shared" si="5"/>
        <v>-3.72966207759697</v>
      </c>
      <c r="Q22" s="201">
        <f t="shared" si="6"/>
        <v>0.96829787234042575</v>
      </c>
      <c r="R22" s="511">
        <f>Q31</f>
        <v>0.9596513587799661</v>
      </c>
      <c r="S22" s="68">
        <v>0.20833333333333334</v>
      </c>
      <c r="T22" s="68">
        <v>0.24097222222222223</v>
      </c>
      <c r="U22" s="200"/>
      <c r="V22" s="206">
        <f t="shared" ref="V22:V30" si="21">(T22-S22)*24*60</f>
        <v>46.999999999999993</v>
      </c>
      <c r="W22" s="73"/>
      <c r="X22" s="73"/>
      <c r="Y22" s="510"/>
      <c r="Z22" s="510"/>
      <c r="AA22" s="66">
        <f t="shared" si="8"/>
        <v>-63.40425531914866</v>
      </c>
      <c r="AB22" s="201">
        <f t="shared" si="9"/>
        <v>0.96829787234042564</v>
      </c>
      <c r="AC22" s="511">
        <f>AB31</f>
        <v>0.9596513587799661</v>
      </c>
    </row>
    <row r="23" spans="1:29" ht="15.75" customHeight="1">
      <c r="A23" s="538" t="s">
        <v>978</v>
      </c>
      <c r="B23" s="62" t="s">
        <v>6</v>
      </c>
      <c r="C23" s="533" t="s">
        <v>23</v>
      </c>
      <c r="D23" s="533"/>
      <c r="E23" s="62">
        <v>53.68</v>
      </c>
      <c r="F23" s="207">
        <v>1917</v>
      </c>
      <c r="G23" s="200">
        <f t="shared" si="19"/>
        <v>102904.56</v>
      </c>
      <c r="H23" s="90" t="s">
        <v>5</v>
      </c>
      <c r="I23" s="205">
        <v>16</v>
      </c>
      <c r="J23" s="63">
        <v>2000</v>
      </c>
      <c r="K23" s="64">
        <f t="shared" si="1"/>
        <v>125</v>
      </c>
      <c r="L23" s="205">
        <v>16</v>
      </c>
      <c r="M23" s="65">
        <f t="shared" si="20"/>
        <v>1917.0000000000005</v>
      </c>
      <c r="N23" s="64">
        <f t="shared" si="3"/>
        <v>119.81250000000003</v>
      </c>
      <c r="O23" s="66">
        <f t="shared" si="4"/>
        <v>0</v>
      </c>
      <c r="P23" s="67">
        <f t="shared" si="5"/>
        <v>-5.1874999999999716</v>
      </c>
      <c r="Q23" s="201">
        <f t="shared" si="6"/>
        <v>0.95850000000000024</v>
      </c>
      <c r="R23" s="511"/>
      <c r="S23" s="68">
        <v>0.24444444444444444</v>
      </c>
      <c r="T23" s="68">
        <v>0.28611111111111109</v>
      </c>
      <c r="U23" s="200">
        <f t="shared" ref="U23:U30" si="22">IF(S23=TIME(17,0,0),"",(S23-T22)*24*60)</f>
        <v>4.9999999999999822</v>
      </c>
      <c r="V23" s="206">
        <f t="shared" si="21"/>
        <v>59.999999999999986</v>
      </c>
      <c r="W23" s="69"/>
      <c r="X23" s="200"/>
      <c r="Y23" s="510"/>
      <c r="Z23" s="510"/>
      <c r="AA23" s="66">
        <f t="shared" si="8"/>
        <v>-82.999999999999545</v>
      </c>
      <c r="AB23" s="201">
        <f t="shared" si="9"/>
        <v>0.95850000000000024</v>
      </c>
      <c r="AC23" s="511"/>
    </row>
    <row r="24" spans="1:29" ht="15.75" customHeight="1">
      <c r="A24" s="538" t="s">
        <v>979</v>
      </c>
      <c r="B24" s="62" t="s">
        <v>6</v>
      </c>
      <c r="C24" s="533" t="s">
        <v>22</v>
      </c>
      <c r="D24" s="533"/>
      <c r="E24" s="62">
        <v>57.73</v>
      </c>
      <c r="F24" s="207">
        <v>3031</v>
      </c>
      <c r="G24" s="200">
        <f t="shared" si="19"/>
        <v>174979.63</v>
      </c>
      <c r="H24" s="90" t="s">
        <v>5</v>
      </c>
      <c r="I24" s="205">
        <v>14</v>
      </c>
      <c r="J24" s="63">
        <v>2000</v>
      </c>
      <c r="K24" s="64">
        <f t="shared" si="1"/>
        <v>142.85714285714286</v>
      </c>
      <c r="L24" s="205">
        <v>14</v>
      </c>
      <c r="M24" s="65">
        <f t="shared" si="20"/>
        <v>1914.3157894736844</v>
      </c>
      <c r="N24" s="64">
        <f t="shared" si="3"/>
        <v>136.73684210526318</v>
      </c>
      <c r="O24" s="66">
        <f t="shared" si="4"/>
        <v>0</v>
      </c>
      <c r="P24" s="67">
        <f t="shared" si="5"/>
        <v>-6.1203007518796824</v>
      </c>
      <c r="Q24" s="201">
        <f t="shared" si="6"/>
        <v>0.95715789473684221</v>
      </c>
      <c r="R24" s="511"/>
      <c r="S24" s="68">
        <v>0.29027777777777775</v>
      </c>
      <c r="T24" s="68">
        <v>0.35624999999999996</v>
      </c>
      <c r="U24" s="200">
        <f t="shared" si="22"/>
        <v>5.9999999999999787</v>
      </c>
      <c r="V24" s="206">
        <f t="shared" si="21"/>
        <v>94.999999999999986</v>
      </c>
      <c r="W24" s="69"/>
      <c r="X24" s="200"/>
      <c r="Y24" s="510"/>
      <c r="Z24" s="510"/>
      <c r="AA24" s="66">
        <f t="shared" si="8"/>
        <v>-85.68421052631561</v>
      </c>
      <c r="AB24" s="201">
        <f t="shared" si="9"/>
        <v>0.95715789473684221</v>
      </c>
      <c r="AC24" s="511"/>
    </row>
    <row r="25" spans="1:29" ht="15.75" customHeight="1">
      <c r="A25" s="538" t="s">
        <v>979</v>
      </c>
      <c r="B25" s="62" t="s">
        <v>77</v>
      </c>
      <c r="C25" s="533" t="s">
        <v>980</v>
      </c>
      <c r="D25" s="533"/>
      <c r="E25" s="62">
        <v>47.59</v>
      </c>
      <c r="F25" s="207">
        <v>5188</v>
      </c>
      <c r="G25" s="200">
        <f t="shared" si="19"/>
        <v>246896.92</v>
      </c>
      <c r="H25" s="90" t="s">
        <v>5</v>
      </c>
      <c r="I25" s="205">
        <v>19</v>
      </c>
      <c r="J25" s="63">
        <v>2000</v>
      </c>
      <c r="K25" s="64">
        <f t="shared" si="1"/>
        <v>105.26315789473684</v>
      </c>
      <c r="L25" s="205">
        <v>19</v>
      </c>
      <c r="M25" s="65">
        <f t="shared" si="20"/>
        <v>1909.6932515337428</v>
      </c>
      <c r="N25" s="64">
        <f t="shared" si="3"/>
        <v>100.51017113335489</v>
      </c>
      <c r="O25" s="66">
        <f t="shared" si="4"/>
        <v>0</v>
      </c>
      <c r="P25" s="67">
        <f t="shared" si="5"/>
        <v>-4.7529867613819476</v>
      </c>
      <c r="Q25" s="201">
        <f t="shared" si="6"/>
        <v>0.95484662576687152</v>
      </c>
      <c r="R25" s="511"/>
      <c r="S25" s="68">
        <v>0.36111111111111105</v>
      </c>
      <c r="T25" s="68">
        <v>0.47430555555555548</v>
      </c>
      <c r="U25" s="200">
        <f t="shared" si="22"/>
        <v>6.9999999999999751</v>
      </c>
      <c r="V25" s="206">
        <f t="shared" si="21"/>
        <v>162.99999999999997</v>
      </c>
      <c r="W25" s="69"/>
      <c r="X25" s="200"/>
      <c r="Y25" s="510"/>
      <c r="Z25" s="510"/>
      <c r="AA25" s="66">
        <f t="shared" si="8"/>
        <v>-90.306748466257204</v>
      </c>
      <c r="AB25" s="201">
        <f t="shared" si="9"/>
        <v>0.9548466257668714</v>
      </c>
      <c r="AC25" s="511"/>
    </row>
    <row r="26" spans="1:29" ht="15.75" customHeight="1">
      <c r="A26" s="538" t="s">
        <v>978</v>
      </c>
      <c r="B26" s="62" t="s">
        <v>6</v>
      </c>
      <c r="C26" s="533" t="s">
        <v>24</v>
      </c>
      <c r="D26" s="533"/>
      <c r="E26" s="62">
        <v>54.09</v>
      </c>
      <c r="F26" s="207">
        <v>2434</v>
      </c>
      <c r="G26" s="200">
        <f t="shared" si="19"/>
        <v>131655.06</v>
      </c>
      <c r="H26" s="90" t="s">
        <v>5</v>
      </c>
      <c r="I26" s="205">
        <v>19</v>
      </c>
      <c r="J26" s="63">
        <v>2000</v>
      </c>
      <c r="K26" s="64">
        <f t="shared" si="1"/>
        <v>105.26315789473684</v>
      </c>
      <c r="L26" s="205">
        <v>19</v>
      </c>
      <c r="M26" s="65">
        <f t="shared" si="20"/>
        <v>1921.5789473684199</v>
      </c>
      <c r="N26" s="64">
        <f t="shared" si="3"/>
        <v>101.1357340720221</v>
      </c>
      <c r="O26" s="66">
        <f t="shared" si="4"/>
        <v>0</v>
      </c>
      <c r="P26" s="67">
        <f t="shared" si="5"/>
        <v>-4.1274238227147322</v>
      </c>
      <c r="Q26" s="201">
        <f t="shared" si="6"/>
        <v>0.96078947368421008</v>
      </c>
      <c r="R26" s="511"/>
      <c r="S26" s="68">
        <v>0.70833333333333337</v>
      </c>
      <c r="T26" s="68">
        <v>0.76111111111111118</v>
      </c>
      <c r="U26" s="200" t="str">
        <f t="shared" si="22"/>
        <v/>
      </c>
      <c r="V26" s="206">
        <f t="shared" si="21"/>
        <v>76.000000000000057</v>
      </c>
      <c r="W26" s="69"/>
      <c r="X26" s="200"/>
      <c r="Y26" s="510"/>
      <c r="Z26" s="510"/>
      <c r="AA26" s="66">
        <f t="shared" si="8"/>
        <v>-78.421052631580096</v>
      </c>
      <c r="AB26" s="201">
        <f t="shared" si="9"/>
        <v>0.96078947368420997</v>
      </c>
      <c r="AC26" s="511"/>
    </row>
    <row r="27" spans="1:29" ht="15.75" customHeight="1">
      <c r="A27" s="538" t="s">
        <v>979</v>
      </c>
      <c r="B27" s="62" t="s">
        <v>6</v>
      </c>
      <c r="C27" s="533" t="s">
        <v>81</v>
      </c>
      <c r="D27" s="533"/>
      <c r="E27" s="62">
        <v>50.67</v>
      </c>
      <c r="F27" s="207">
        <v>1500</v>
      </c>
      <c r="G27" s="200">
        <f t="shared" si="19"/>
        <v>76005</v>
      </c>
      <c r="H27" s="90">
        <v>2</v>
      </c>
      <c r="I27" s="205">
        <v>15</v>
      </c>
      <c r="J27" s="63">
        <v>2000</v>
      </c>
      <c r="K27" s="64">
        <f t="shared" si="1"/>
        <v>133.33333333333334</v>
      </c>
      <c r="L27" s="205">
        <v>15</v>
      </c>
      <c r="M27" s="65">
        <f t="shared" si="20"/>
        <v>1914.8936170212769</v>
      </c>
      <c r="N27" s="64">
        <f t="shared" si="3"/>
        <v>127.65957446808513</v>
      </c>
      <c r="O27" s="66">
        <f t="shared" si="4"/>
        <v>0</v>
      </c>
      <c r="P27" s="67">
        <f t="shared" si="5"/>
        <v>-5.6737588652482174</v>
      </c>
      <c r="Q27" s="201">
        <f t="shared" si="6"/>
        <v>0.95744680851063835</v>
      </c>
      <c r="R27" s="511"/>
      <c r="S27" s="68">
        <v>0.76666666666666672</v>
      </c>
      <c r="T27" s="68">
        <v>0.7993055555555556</v>
      </c>
      <c r="U27" s="200">
        <f t="shared" si="22"/>
        <v>7.9999999999999716</v>
      </c>
      <c r="V27" s="206">
        <f t="shared" si="21"/>
        <v>46.999999999999993</v>
      </c>
      <c r="W27" s="69"/>
      <c r="X27" s="73"/>
      <c r="Y27" s="510"/>
      <c r="Z27" s="510"/>
      <c r="AA27" s="66">
        <f t="shared" si="8"/>
        <v>-85.106382978723104</v>
      </c>
      <c r="AB27" s="201">
        <f t="shared" si="9"/>
        <v>0.95744680851063846</v>
      </c>
      <c r="AC27" s="511"/>
    </row>
    <row r="28" spans="1:29" ht="15.75" customHeight="1">
      <c r="A28" s="538" t="s">
        <v>978</v>
      </c>
      <c r="B28" s="62" t="s">
        <v>6</v>
      </c>
      <c r="C28" s="533" t="s">
        <v>82</v>
      </c>
      <c r="D28" s="533"/>
      <c r="E28" s="62">
        <v>57.73</v>
      </c>
      <c r="F28" s="207">
        <v>1000</v>
      </c>
      <c r="G28" s="200">
        <f t="shared" si="19"/>
        <v>57730</v>
      </c>
      <c r="H28" s="90">
        <v>2</v>
      </c>
      <c r="I28" s="205">
        <v>16</v>
      </c>
      <c r="J28" s="63">
        <v>1500</v>
      </c>
      <c r="K28" s="64">
        <f t="shared" si="1"/>
        <v>93.75</v>
      </c>
      <c r="L28" s="205">
        <v>16</v>
      </c>
      <c r="M28" s="65">
        <f t="shared" si="20"/>
        <v>1428.5714285714282</v>
      </c>
      <c r="N28" s="64">
        <f t="shared" si="3"/>
        <v>89.285714285714263</v>
      </c>
      <c r="O28" s="66">
        <f t="shared" si="4"/>
        <v>0</v>
      </c>
      <c r="P28" s="67">
        <f t="shared" si="5"/>
        <v>-4.4642857142857366</v>
      </c>
      <c r="Q28" s="201">
        <f t="shared" si="6"/>
        <v>0.95238095238095211</v>
      </c>
      <c r="R28" s="511"/>
      <c r="S28" s="68">
        <v>0.8041666666666667</v>
      </c>
      <c r="T28" s="68">
        <v>0.83333333333333337</v>
      </c>
      <c r="U28" s="200">
        <f t="shared" si="22"/>
        <v>6.9999999999999751</v>
      </c>
      <c r="V28" s="206">
        <f t="shared" si="21"/>
        <v>42.000000000000014</v>
      </c>
      <c r="W28" s="69">
        <f>T28</f>
        <v>0.83333333333333337</v>
      </c>
      <c r="X28" s="69">
        <f>S29</f>
        <v>0.87222222222222223</v>
      </c>
      <c r="Y28" s="517"/>
      <c r="Z28" s="518"/>
      <c r="AA28" s="66">
        <f t="shared" si="8"/>
        <v>-71.428571428571786</v>
      </c>
      <c r="AB28" s="201">
        <f t="shared" si="9"/>
        <v>0.95238095238095211</v>
      </c>
      <c r="AC28" s="511"/>
    </row>
    <row r="29" spans="1:29" ht="15.75" customHeight="1">
      <c r="A29" s="538" t="s">
        <v>978</v>
      </c>
      <c r="B29" s="62" t="s">
        <v>6</v>
      </c>
      <c r="C29" s="534" t="s">
        <v>81</v>
      </c>
      <c r="D29" s="535"/>
      <c r="E29" s="62">
        <v>50.67</v>
      </c>
      <c r="F29" s="207">
        <v>3571</v>
      </c>
      <c r="G29" s="200">
        <f t="shared" si="19"/>
        <v>180942.57</v>
      </c>
      <c r="H29" s="90" t="s">
        <v>5</v>
      </c>
      <c r="I29" s="205">
        <v>15</v>
      </c>
      <c r="J29" s="63">
        <v>2000</v>
      </c>
      <c r="K29" s="64">
        <f t="shared" si="1"/>
        <v>133.33333333333334</v>
      </c>
      <c r="L29" s="205">
        <v>15</v>
      </c>
      <c r="M29" s="65">
        <f t="shared" si="20"/>
        <v>1913.0357142857156</v>
      </c>
      <c r="N29" s="64">
        <f t="shared" si="3"/>
        <v>127.53571428571438</v>
      </c>
      <c r="O29" s="66">
        <f t="shared" si="4"/>
        <v>0</v>
      </c>
      <c r="P29" s="67">
        <f t="shared" si="5"/>
        <v>-5.7976190476189657</v>
      </c>
      <c r="Q29" s="201">
        <f t="shared" si="6"/>
        <v>0.95651785714285775</v>
      </c>
      <c r="R29" s="511"/>
      <c r="S29" s="68">
        <v>0.87222222222222223</v>
      </c>
      <c r="T29" s="68">
        <v>0.95</v>
      </c>
      <c r="U29" s="200">
        <f t="shared" si="22"/>
        <v>55.999999999999957</v>
      </c>
      <c r="V29" s="206">
        <f t="shared" si="21"/>
        <v>111.99999999999991</v>
      </c>
      <c r="W29" s="69"/>
      <c r="X29" s="69"/>
      <c r="Y29" s="517"/>
      <c r="Z29" s="518"/>
      <c r="AA29" s="66">
        <f t="shared" si="8"/>
        <v>-86.964285714284415</v>
      </c>
      <c r="AB29" s="201">
        <f t="shared" si="9"/>
        <v>0.95651785714285775</v>
      </c>
      <c r="AC29" s="511"/>
    </row>
    <row r="30" spans="1:29" ht="15.75" customHeight="1">
      <c r="A30" s="538" t="s">
        <v>978</v>
      </c>
      <c r="B30" s="62" t="s">
        <v>6</v>
      </c>
      <c r="C30" s="534" t="s">
        <v>8</v>
      </c>
      <c r="D30" s="535"/>
      <c r="E30" s="62">
        <v>50.49</v>
      </c>
      <c r="F30" s="207">
        <v>1809</v>
      </c>
      <c r="G30" s="200">
        <f t="shared" si="19"/>
        <v>91336.41</v>
      </c>
      <c r="H30" s="90" t="s">
        <v>5</v>
      </c>
      <c r="I30" s="205">
        <v>15</v>
      </c>
      <c r="J30" s="63">
        <v>2000</v>
      </c>
      <c r="K30" s="64">
        <f t="shared" si="1"/>
        <v>133.33333333333334</v>
      </c>
      <c r="L30" s="205">
        <v>15</v>
      </c>
      <c r="M30" s="65">
        <f t="shared" si="20"/>
        <v>1938.2142857142871</v>
      </c>
      <c r="N30" s="64">
        <f t="shared" si="3"/>
        <v>129.21428571428581</v>
      </c>
      <c r="O30" s="66">
        <f t="shared" si="4"/>
        <v>0</v>
      </c>
      <c r="P30" s="67">
        <f t="shared" si="5"/>
        <v>-4.1190476190475351</v>
      </c>
      <c r="Q30" s="201">
        <f t="shared" si="6"/>
        <v>0.9691071428571435</v>
      </c>
      <c r="R30" s="511"/>
      <c r="S30" s="68">
        <v>0.95555555555555549</v>
      </c>
      <c r="T30" s="68">
        <v>0.99444444444444435</v>
      </c>
      <c r="U30" s="200">
        <f t="shared" si="22"/>
        <v>7.9999999999999716</v>
      </c>
      <c r="V30" s="206">
        <f t="shared" si="21"/>
        <v>55.999999999999957</v>
      </c>
      <c r="W30" s="69"/>
      <c r="X30" s="69"/>
      <c r="Y30" s="517"/>
      <c r="Z30" s="518"/>
      <c r="AA30" s="66">
        <f t="shared" si="8"/>
        <v>-61.785714285712857</v>
      </c>
      <c r="AB30" s="201">
        <f t="shared" si="9"/>
        <v>0.96910714285714361</v>
      </c>
      <c r="AC30" s="511"/>
    </row>
    <row r="31" spans="1:29" ht="15.75" customHeight="1">
      <c r="A31" s="538" t="s">
        <v>978</v>
      </c>
      <c r="B31" s="62" t="s">
        <v>975</v>
      </c>
      <c r="C31" s="513"/>
      <c r="D31" s="513"/>
      <c r="E31" s="202"/>
      <c r="F31" s="207"/>
      <c r="G31" s="200"/>
      <c r="H31" s="207"/>
      <c r="I31" s="72">
        <v>16.222222222222221</v>
      </c>
      <c r="J31" s="63">
        <v>1944.4444444444443</v>
      </c>
      <c r="K31" s="64">
        <f t="shared" si="1"/>
        <v>119.86301369863014</v>
      </c>
      <c r="L31" s="72">
        <v>16.222222222222221</v>
      </c>
      <c r="M31" s="65">
        <f>AVERAGE(M22:M30)</f>
        <v>1865.9887531832674</v>
      </c>
      <c r="N31" s="64">
        <f t="shared" si="3"/>
        <v>115.02670396335211</v>
      </c>
      <c r="O31" s="66">
        <f t="shared" si="4"/>
        <v>0</v>
      </c>
      <c r="P31" s="67">
        <f t="shared" si="5"/>
        <v>-4.8363097352780358</v>
      </c>
      <c r="Q31" s="201">
        <f t="shared" si="6"/>
        <v>0.9596513587799661</v>
      </c>
      <c r="R31" s="511"/>
      <c r="S31" s="68"/>
      <c r="T31" s="68"/>
      <c r="U31" s="64"/>
      <c r="V31" s="206"/>
      <c r="W31" s="64"/>
      <c r="X31" s="64"/>
      <c r="Y31" s="510"/>
      <c r="Z31" s="510"/>
      <c r="AA31" s="66">
        <f t="shared" si="8"/>
        <v>-78.45569126117698</v>
      </c>
      <c r="AB31" s="201">
        <f t="shared" si="9"/>
        <v>0.9596513587799661</v>
      </c>
      <c r="AC31" s="511"/>
    </row>
    <row r="32" spans="1:29" ht="15.75" customHeight="1">
      <c r="A32" s="536" t="s">
        <v>981</v>
      </c>
      <c r="B32" s="62" t="s">
        <v>16</v>
      </c>
      <c r="C32" s="533" t="s">
        <v>30</v>
      </c>
      <c r="D32" s="533"/>
      <c r="E32" s="62">
        <v>31.29</v>
      </c>
      <c r="F32" s="207">
        <v>6500</v>
      </c>
      <c r="G32" s="200">
        <f t="shared" ref="G32:G39" si="23">E32*F32</f>
        <v>203385</v>
      </c>
      <c r="H32" s="90">
        <v>2</v>
      </c>
      <c r="I32" s="205">
        <v>18</v>
      </c>
      <c r="J32" s="63">
        <v>2400</v>
      </c>
      <c r="K32" s="64">
        <f t="shared" si="1"/>
        <v>133.33333333333334</v>
      </c>
      <c r="L32" s="205">
        <v>18</v>
      </c>
      <c r="M32" s="65">
        <f t="shared" ref="M32:M39" si="24">F32/V32*60</f>
        <v>2294.1176470588234</v>
      </c>
      <c r="N32" s="64">
        <f t="shared" si="3"/>
        <v>127.45098039215685</v>
      </c>
      <c r="O32" s="66">
        <f t="shared" si="4"/>
        <v>0</v>
      </c>
      <c r="P32" s="67">
        <f t="shared" si="5"/>
        <v>-5.8823529411764923</v>
      </c>
      <c r="Q32" s="201">
        <f t="shared" si="6"/>
        <v>0.95588235294117629</v>
      </c>
      <c r="R32" s="511">
        <f>Q40</f>
        <v>0.95685697451875729</v>
      </c>
      <c r="S32" s="68">
        <v>8.3333333333333329E-2</v>
      </c>
      <c r="T32" s="68">
        <v>0.2013888888888889</v>
      </c>
      <c r="U32" s="200"/>
      <c r="V32" s="206">
        <f t="shared" ref="V32:V39" si="25">(T32-S32)*24*60</f>
        <v>170</v>
      </c>
      <c r="W32" s="69">
        <f>T32</f>
        <v>0.2013888888888889</v>
      </c>
      <c r="X32" s="69">
        <f>S33</f>
        <v>0.21944444444444444</v>
      </c>
      <c r="Y32" s="510"/>
      <c r="Z32" s="510"/>
      <c r="AA32" s="66">
        <f t="shared" si="8"/>
        <v>-105.88235294117658</v>
      </c>
      <c r="AB32" s="201">
        <f t="shared" si="9"/>
        <v>0.95588235294117641</v>
      </c>
      <c r="AC32" s="511">
        <f>AB40</f>
        <v>0.9568569745187574</v>
      </c>
    </row>
    <row r="33" spans="1:29" ht="15.75" customHeight="1">
      <c r="A33" s="536" t="s">
        <v>981</v>
      </c>
      <c r="B33" s="62" t="s">
        <v>16</v>
      </c>
      <c r="C33" s="533" t="s">
        <v>28</v>
      </c>
      <c r="D33" s="533"/>
      <c r="E33" s="62">
        <v>26.18</v>
      </c>
      <c r="F33" s="207">
        <v>3512</v>
      </c>
      <c r="G33" s="200">
        <f t="shared" si="23"/>
        <v>91944.16</v>
      </c>
      <c r="H33" s="90" t="s">
        <v>5</v>
      </c>
      <c r="I33" s="205">
        <v>19</v>
      </c>
      <c r="J33" s="63">
        <v>2400</v>
      </c>
      <c r="K33" s="64">
        <f t="shared" si="1"/>
        <v>126.31578947368421</v>
      </c>
      <c r="L33" s="205">
        <v>19</v>
      </c>
      <c r="M33" s="65">
        <f t="shared" si="24"/>
        <v>2290.4347826086955</v>
      </c>
      <c r="N33" s="64">
        <f t="shared" si="3"/>
        <v>120.54919908466819</v>
      </c>
      <c r="O33" s="66">
        <f t="shared" si="4"/>
        <v>0</v>
      </c>
      <c r="P33" s="67">
        <f t="shared" si="5"/>
        <v>-5.7665903890160166</v>
      </c>
      <c r="Q33" s="201">
        <f t="shared" si="6"/>
        <v>0.95434782608695656</v>
      </c>
      <c r="R33" s="511"/>
      <c r="S33" s="68">
        <v>0.21944444444444444</v>
      </c>
      <c r="T33" s="68">
        <v>0.28333333333333333</v>
      </c>
      <c r="U33" s="200">
        <f t="shared" ref="U33:U39" si="26">(S33-T32)*24*60</f>
        <v>25.999999999999986</v>
      </c>
      <c r="V33" s="206">
        <f t="shared" si="25"/>
        <v>92</v>
      </c>
      <c r="W33" s="69"/>
      <c r="X33" s="69"/>
      <c r="Y33" s="510"/>
      <c r="Z33" s="510"/>
      <c r="AA33" s="66">
        <f t="shared" si="8"/>
        <v>-109.56521739130449</v>
      </c>
      <c r="AB33" s="201">
        <f t="shared" si="9"/>
        <v>0.95434782608695645</v>
      </c>
      <c r="AC33" s="511"/>
    </row>
    <row r="34" spans="1:29" ht="15.75" customHeight="1">
      <c r="A34" s="536" t="s">
        <v>981</v>
      </c>
      <c r="B34" s="62" t="s">
        <v>16</v>
      </c>
      <c r="C34" s="533" t="s">
        <v>25</v>
      </c>
      <c r="D34" s="533"/>
      <c r="E34" s="62">
        <v>26.2</v>
      </c>
      <c r="F34" s="207">
        <v>3300</v>
      </c>
      <c r="G34" s="200">
        <f t="shared" si="23"/>
        <v>86460</v>
      </c>
      <c r="H34" s="90">
        <v>2</v>
      </c>
      <c r="I34" s="205">
        <v>20</v>
      </c>
      <c r="J34" s="63">
        <v>2400</v>
      </c>
      <c r="K34" s="64">
        <f t="shared" si="1"/>
        <v>120</v>
      </c>
      <c r="L34" s="205">
        <v>20</v>
      </c>
      <c r="M34" s="65">
        <f t="shared" si="24"/>
        <v>2302.3255813953483</v>
      </c>
      <c r="N34" s="64">
        <f t="shared" si="3"/>
        <v>115.11627906976742</v>
      </c>
      <c r="O34" s="66">
        <f t="shared" si="4"/>
        <v>0</v>
      </c>
      <c r="P34" s="67">
        <f t="shared" si="5"/>
        <v>-4.8837209302325846</v>
      </c>
      <c r="Q34" s="201">
        <f t="shared" si="6"/>
        <v>0.95930232558139517</v>
      </c>
      <c r="R34" s="511"/>
      <c r="S34" s="68">
        <v>0.28888888888888886</v>
      </c>
      <c r="T34" s="68">
        <v>0.34861111111111109</v>
      </c>
      <c r="U34" s="200">
        <f t="shared" si="26"/>
        <v>7.9999999999999716</v>
      </c>
      <c r="V34" s="206">
        <f t="shared" si="25"/>
        <v>86.000000000000014</v>
      </c>
      <c r="W34" s="69"/>
      <c r="X34" s="69"/>
      <c r="Y34" s="510"/>
      <c r="Z34" s="510"/>
      <c r="AA34" s="66">
        <f t="shared" si="8"/>
        <v>-97.674418604651692</v>
      </c>
      <c r="AB34" s="201">
        <f t="shared" si="9"/>
        <v>0.95930232558139517</v>
      </c>
      <c r="AC34" s="511"/>
    </row>
    <row r="35" spans="1:29" ht="15.75" customHeight="1">
      <c r="A35" s="536" t="s">
        <v>981</v>
      </c>
      <c r="B35" s="62" t="s">
        <v>16</v>
      </c>
      <c r="C35" s="533" t="s">
        <v>83</v>
      </c>
      <c r="D35" s="533"/>
      <c r="E35" s="62">
        <v>25.99</v>
      </c>
      <c r="F35" s="207">
        <v>2300</v>
      </c>
      <c r="G35" s="200">
        <f t="shared" si="23"/>
        <v>59777</v>
      </c>
      <c r="H35" s="90">
        <v>2</v>
      </c>
      <c r="I35" s="205">
        <v>14</v>
      </c>
      <c r="J35" s="63">
        <v>2400</v>
      </c>
      <c r="K35" s="64">
        <f t="shared" si="1"/>
        <v>171.42857142857142</v>
      </c>
      <c r="L35" s="205">
        <v>14</v>
      </c>
      <c r="M35" s="65">
        <f t="shared" si="24"/>
        <v>2299.9999999999991</v>
      </c>
      <c r="N35" s="64">
        <f t="shared" si="3"/>
        <v>164.28571428571422</v>
      </c>
      <c r="O35" s="66">
        <f t="shared" si="4"/>
        <v>0</v>
      </c>
      <c r="P35" s="67">
        <f t="shared" si="5"/>
        <v>-7.1428571428571956</v>
      </c>
      <c r="Q35" s="201">
        <f t="shared" si="6"/>
        <v>0.95833333333333304</v>
      </c>
      <c r="R35" s="511"/>
      <c r="S35" s="68">
        <v>0.3520833333333333</v>
      </c>
      <c r="T35" s="68">
        <v>0.39374999999999999</v>
      </c>
      <c r="U35" s="200">
        <f t="shared" si="26"/>
        <v>4.9999999999999822</v>
      </c>
      <c r="V35" s="206">
        <f t="shared" si="25"/>
        <v>60.000000000000028</v>
      </c>
      <c r="W35" s="69"/>
      <c r="X35" s="69"/>
      <c r="Y35" s="510"/>
      <c r="Z35" s="510"/>
      <c r="AA35" s="66">
        <f t="shared" si="8"/>
        <v>-100.00000000000091</v>
      </c>
      <c r="AB35" s="201">
        <f t="shared" si="9"/>
        <v>0.95833333333333293</v>
      </c>
      <c r="AC35" s="511"/>
    </row>
    <row r="36" spans="1:29" ht="15.75" customHeight="1">
      <c r="A36" s="536" t="s">
        <v>981</v>
      </c>
      <c r="B36" s="62" t="s">
        <v>16</v>
      </c>
      <c r="C36" s="533" t="s">
        <v>982</v>
      </c>
      <c r="D36" s="533"/>
      <c r="E36" s="62">
        <v>24.82</v>
      </c>
      <c r="F36" s="207">
        <v>5200</v>
      </c>
      <c r="G36" s="200">
        <f t="shared" si="23"/>
        <v>129064</v>
      </c>
      <c r="H36" s="90">
        <v>2</v>
      </c>
      <c r="I36" s="205">
        <v>21</v>
      </c>
      <c r="J36" s="63">
        <v>2400</v>
      </c>
      <c r="K36" s="64">
        <f t="shared" si="1"/>
        <v>114.28571428571429</v>
      </c>
      <c r="L36" s="205">
        <v>21</v>
      </c>
      <c r="M36" s="65">
        <f t="shared" si="24"/>
        <v>2294.1176470588234</v>
      </c>
      <c r="N36" s="64">
        <f t="shared" si="3"/>
        <v>109.24369747899159</v>
      </c>
      <c r="O36" s="66">
        <f t="shared" si="4"/>
        <v>0</v>
      </c>
      <c r="P36" s="67">
        <f t="shared" si="5"/>
        <v>-5.0420168067226996</v>
      </c>
      <c r="Q36" s="201">
        <f t="shared" si="6"/>
        <v>0.95588235294117641</v>
      </c>
      <c r="R36" s="511"/>
      <c r="S36" s="68">
        <v>0.39930555555555552</v>
      </c>
      <c r="T36" s="68">
        <v>0.49374999999999997</v>
      </c>
      <c r="U36" s="200">
        <f t="shared" si="26"/>
        <v>7.9999999999999716</v>
      </c>
      <c r="V36" s="206">
        <f t="shared" si="25"/>
        <v>136</v>
      </c>
      <c r="W36" s="69">
        <f>T36</f>
        <v>0.49374999999999997</v>
      </c>
      <c r="X36" s="69">
        <f>S37</f>
        <v>0.53541666666666665</v>
      </c>
      <c r="Y36" s="510"/>
      <c r="Z36" s="510"/>
      <c r="AA36" s="66">
        <f t="shared" si="8"/>
        <v>-105.88235294117658</v>
      </c>
      <c r="AB36" s="201">
        <f t="shared" si="9"/>
        <v>0.95588235294117641</v>
      </c>
      <c r="AC36" s="511"/>
    </row>
    <row r="37" spans="1:29" ht="15.75" customHeight="1">
      <c r="A37" s="536" t="s">
        <v>981</v>
      </c>
      <c r="B37" s="62" t="s">
        <v>16</v>
      </c>
      <c r="C37" s="533" t="s">
        <v>83</v>
      </c>
      <c r="D37" s="533"/>
      <c r="E37" s="62">
        <v>25.99</v>
      </c>
      <c r="F37" s="207">
        <v>3493</v>
      </c>
      <c r="G37" s="200">
        <f t="shared" si="23"/>
        <v>90783.069999999992</v>
      </c>
      <c r="H37" s="90" t="s">
        <v>5</v>
      </c>
      <c r="I37" s="205">
        <v>14</v>
      </c>
      <c r="J37" s="63">
        <v>2400</v>
      </c>
      <c r="K37" s="64">
        <f t="shared" si="1"/>
        <v>171.42857142857142</v>
      </c>
      <c r="L37" s="205">
        <v>14</v>
      </c>
      <c r="M37" s="65">
        <f t="shared" si="24"/>
        <v>2303.0769230769233</v>
      </c>
      <c r="N37" s="64">
        <f t="shared" si="3"/>
        <v>164.50549450549451</v>
      </c>
      <c r="O37" s="66">
        <f t="shared" si="4"/>
        <v>0</v>
      </c>
      <c r="P37" s="67">
        <f t="shared" si="5"/>
        <v>-6.9230769230769056</v>
      </c>
      <c r="Q37" s="201">
        <f t="shared" si="6"/>
        <v>0.95961538461538476</v>
      </c>
      <c r="R37" s="511"/>
      <c r="S37" s="68">
        <v>0.53541666666666665</v>
      </c>
      <c r="T37" s="68">
        <v>0.59861111111111109</v>
      </c>
      <c r="U37" s="200">
        <f t="shared" si="26"/>
        <v>60.000000000000028</v>
      </c>
      <c r="V37" s="206">
        <f t="shared" si="25"/>
        <v>91</v>
      </c>
      <c r="W37" s="69"/>
      <c r="X37" s="69"/>
      <c r="Y37" s="510"/>
      <c r="Z37" s="510"/>
      <c r="AA37" s="66">
        <f t="shared" si="8"/>
        <v>-96.923076923076678</v>
      </c>
      <c r="AB37" s="201">
        <f t="shared" si="9"/>
        <v>0.95961538461538476</v>
      </c>
      <c r="AC37" s="511"/>
    </row>
    <row r="38" spans="1:29" ht="15.75" customHeight="1">
      <c r="A38" s="536" t="s">
        <v>981</v>
      </c>
      <c r="B38" s="62" t="s">
        <v>16</v>
      </c>
      <c r="C38" s="533" t="s">
        <v>30</v>
      </c>
      <c r="D38" s="533"/>
      <c r="E38" s="62">
        <v>31.29</v>
      </c>
      <c r="F38" s="207">
        <v>3870</v>
      </c>
      <c r="G38" s="200">
        <f t="shared" si="23"/>
        <v>121092.3</v>
      </c>
      <c r="H38" s="90" t="s">
        <v>5</v>
      </c>
      <c r="I38" s="205">
        <v>18</v>
      </c>
      <c r="J38" s="63">
        <v>2400</v>
      </c>
      <c r="K38" s="64">
        <f t="shared" si="1"/>
        <v>133.33333333333334</v>
      </c>
      <c r="L38" s="205">
        <v>18</v>
      </c>
      <c r="M38" s="65">
        <f t="shared" si="24"/>
        <v>2299.0099009901</v>
      </c>
      <c r="N38" s="64">
        <f t="shared" si="3"/>
        <v>127.72277227722778</v>
      </c>
      <c r="O38" s="66">
        <f t="shared" si="4"/>
        <v>0</v>
      </c>
      <c r="P38" s="67">
        <f t="shared" si="5"/>
        <v>-5.610561056105567</v>
      </c>
      <c r="Q38" s="201">
        <f t="shared" si="6"/>
        <v>0.95792079207920822</v>
      </c>
      <c r="R38" s="511"/>
      <c r="S38" s="68">
        <v>0.60347222222222219</v>
      </c>
      <c r="T38" s="68">
        <v>0.67361111111111105</v>
      </c>
      <c r="U38" s="200">
        <f t="shared" si="26"/>
        <v>6.9999999999999751</v>
      </c>
      <c r="V38" s="206">
        <f t="shared" si="25"/>
        <v>100.99999999999996</v>
      </c>
      <c r="W38" s="69"/>
      <c r="X38" s="69"/>
      <c r="Y38" s="510"/>
      <c r="Z38" s="510"/>
      <c r="AA38" s="66">
        <f t="shared" si="8"/>
        <v>-100.99009900989995</v>
      </c>
      <c r="AB38" s="201">
        <f t="shared" si="9"/>
        <v>0.95792079207920833</v>
      </c>
      <c r="AC38" s="511"/>
    </row>
    <row r="39" spans="1:29" ht="15.75" customHeight="1">
      <c r="A39" s="536" t="s">
        <v>981</v>
      </c>
      <c r="B39" s="62" t="s">
        <v>16</v>
      </c>
      <c r="C39" s="533" t="s">
        <v>982</v>
      </c>
      <c r="D39" s="533"/>
      <c r="E39" s="62">
        <v>24.82</v>
      </c>
      <c r="F39" s="207">
        <v>4539</v>
      </c>
      <c r="G39" s="200">
        <f t="shared" si="23"/>
        <v>112657.98</v>
      </c>
      <c r="H39" s="90" t="s">
        <v>5</v>
      </c>
      <c r="I39" s="205">
        <v>21</v>
      </c>
      <c r="J39" s="63">
        <v>2400</v>
      </c>
      <c r="K39" s="64">
        <f t="shared" si="1"/>
        <v>114.28571428571429</v>
      </c>
      <c r="L39" s="205">
        <v>21</v>
      </c>
      <c r="M39" s="65">
        <f t="shared" si="24"/>
        <v>2288.5714285714275</v>
      </c>
      <c r="N39" s="64">
        <f t="shared" si="3"/>
        <v>108.97959183673464</v>
      </c>
      <c r="O39" s="66">
        <f t="shared" si="4"/>
        <v>0</v>
      </c>
      <c r="P39" s="67">
        <f t="shared" si="5"/>
        <v>-5.3061224489796501</v>
      </c>
      <c r="Q39" s="201">
        <f t="shared" si="6"/>
        <v>0.95357142857142807</v>
      </c>
      <c r="R39" s="511"/>
      <c r="S39" s="68">
        <v>0.67847222222222214</v>
      </c>
      <c r="T39" s="68">
        <v>0.76111111111111107</v>
      </c>
      <c r="U39" s="200">
        <f t="shared" si="26"/>
        <v>6.9999999999999751</v>
      </c>
      <c r="V39" s="206">
        <f t="shared" si="25"/>
        <v>119.00000000000006</v>
      </c>
      <c r="W39" s="69"/>
      <c r="X39" s="69"/>
      <c r="Y39" s="510"/>
      <c r="Z39" s="510"/>
      <c r="AA39" s="66">
        <f t="shared" si="8"/>
        <v>-111.42857142857247</v>
      </c>
      <c r="AB39" s="201">
        <f t="shared" si="9"/>
        <v>0.95357142857142818</v>
      </c>
      <c r="AC39" s="511"/>
    </row>
    <row r="40" spans="1:29" ht="15.75" customHeight="1">
      <c r="A40" s="536" t="s">
        <v>981</v>
      </c>
      <c r="B40" s="62" t="s">
        <v>975</v>
      </c>
      <c r="C40" s="513"/>
      <c r="D40" s="513"/>
      <c r="E40" s="202"/>
      <c r="F40" s="207"/>
      <c r="G40" s="200"/>
      <c r="H40" s="207"/>
      <c r="I40" s="72">
        <v>18.125</v>
      </c>
      <c r="J40" s="63">
        <v>2400</v>
      </c>
      <c r="K40" s="64">
        <f t="shared" si="1"/>
        <v>132.41379310344828</v>
      </c>
      <c r="L40" s="72">
        <v>18.125</v>
      </c>
      <c r="M40" s="65">
        <f>AVERAGE(M32:M39)</f>
        <v>2296.4567388450178</v>
      </c>
      <c r="N40" s="64">
        <f t="shared" si="3"/>
        <v>126.70106145351822</v>
      </c>
      <c r="O40" s="66">
        <f t="shared" si="4"/>
        <v>0</v>
      </c>
      <c r="P40" s="67">
        <f t="shared" si="5"/>
        <v>-5.7127316499300633</v>
      </c>
      <c r="Q40" s="201">
        <f t="shared" si="6"/>
        <v>0.95685697451875729</v>
      </c>
      <c r="R40" s="511"/>
      <c r="S40" s="68"/>
      <c r="T40" s="68"/>
      <c r="U40" s="200"/>
      <c r="V40" s="206"/>
      <c r="W40" s="200"/>
      <c r="X40" s="200"/>
      <c r="Y40" s="510"/>
      <c r="Z40" s="510"/>
      <c r="AA40" s="66">
        <f t="shared" si="8"/>
        <v>-103.54326115498225</v>
      </c>
      <c r="AB40" s="201">
        <f t="shared" si="9"/>
        <v>0.9568569745187574</v>
      </c>
      <c r="AC40" s="511"/>
    </row>
    <row r="41" spans="1:29" ht="15.75" customHeight="1">
      <c r="A41" s="531" t="s">
        <v>983</v>
      </c>
      <c r="B41" s="62" t="s">
        <v>16</v>
      </c>
      <c r="C41" s="512" t="s">
        <v>31</v>
      </c>
      <c r="D41" s="512"/>
      <c r="E41" s="62">
        <v>26.2</v>
      </c>
      <c r="F41" s="207">
        <v>4300</v>
      </c>
      <c r="G41" s="200">
        <f t="shared" ref="G41:G50" si="27">E41*F41</f>
        <v>112660</v>
      </c>
      <c r="H41" s="90">
        <v>2</v>
      </c>
      <c r="I41" s="205">
        <v>18</v>
      </c>
      <c r="J41" s="63">
        <v>2400</v>
      </c>
      <c r="K41" s="64">
        <f t="shared" si="1"/>
        <v>133.33333333333334</v>
      </c>
      <c r="L41" s="205">
        <v>18</v>
      </c>
      <c r="M41" s="65">
        <f t="shared" ref="M41:M50" si="28">F41/V41*60</f>
        <v>2283.1858407079653</v>
      </c>
      <c r="N41" s="64">
        <f t="shared" si="3"/>
        <v>126.84365781710919</v>
      </c>
      <c r="O41" s="66">
        <f t="shared" si="4"/>
        <v>0</v>
      </c>
      <c r="P41" s="67">
        <f t="shared" si="5"/>
        <v>-6.4896755162241533</v>
      </c>
      <c r="Q41" s="201">
        <f t="shared" si="6"/>
        <v>0.95132743362831884</v>
      </c>
      <c r="R41" s="511">
        <f>Q51</f>
        <v>0.95493681344414116</v>
      </c>
      <c r="S41" s="68">
        <v>8.3333333333333329E-2</v>
      </c>
      <c r="T41" s="68">
        <v>0.16180555555555554</v>
      </c>
      <c r="U41" s="200"/>
      <c r="V41" s="206">
        <f t="shared" ref="V41:V50" si="29">(T41-S41)*24*60</f>
        <v>112.99999999999997</v>
      </c>
      <c r="W41" s="73">
        <f>T41</f>
        <v>0.16180555555555554</v>
      </c>
      <c r="X41" s="73">
        <f>S42</f>
        <v>0.18055555555555552</v>
      </c>
      <c r="Y41" s="510"/>
      <c r="Z41" s="510"/>
      <c r="AA41" s="66">
        <f t="shared" si="8"/>
        <v>-116.81415929203467</v>
      </c>
      <c r="AB41" s="201">
        <f t="shared" si="9"/>
        <v>0.95132743362831884</v>
      </c>
      <c r="AC41" s="511">
        <f>AB51</f>
        <v>0.95493681344414127</v>
      </c>
    </row>
    <row r="42" spans="1:29" ht="15.75" customHeight="1">
      <c r="A42" s="531" t="s">
        <v>983</v>
      </c>
      <c r="B42" s="62" t="s">
        <v>16</v>
      </c>
      <c r="C42" s="512" t="s">
        <v>50</v>
      </c>
      <c r="D42" s="512"/>
      <c r="E42" s="62">
        <v>20.52</v>
      </c>
      <c r="F42" s="207">
        <v>3100</v>
      </c>
      <c r="G42" s="200">
        <f t="shared" si="27"/>
        <v>63612</v>
      </c>
      <c r="H42" s="90">
        <v>2</v>
      </c>
      <c r="I42" s="205">
        <v>18</v>
      </c>
      <c r="J42" s="63">
        <v>2400</v>
      </c>
      <c r="K42" s="64">
        <f t="shared" si="1"/>
        <v>133.33333333333334</v>
      </c>
      <c r="L42" s="205">
        <v>18</v>
      </c>
      <c r="M42" s="65">
        <f t="shared" si="28"/>
        <v>2296.296296296297</v>
      </c>
      <c r="N42" s="64">
        <f t="shared" si="3"/>
        <v>127.57201646090539</v>
      </c>
      <c r="O42" s="66">
        <f t="shared" si="4"/>
        <v>0</v>
      </c>
      <c r="P42" s="67">
        <f t="shared" si="5"/>
        <v>-5.7613168724279546</v>
      </c>
      <c r="Q42" s="201">
        <f t="shared" si="6"/>
        <v>0.95679012345679038</v>
      </c>
      <c r="R42" s="511"/>
      <c r="S42" s="68">
        <v>0.18055555555555552</v>
      </c>
      <c r="T42" s="68">
        <v>0.23680555555555552</v>
      </c>
      <c r="U42" s="200">
        <f t="shared" ref="U42:U50" si="30">(S42-T41)*24*60</f>
        <v>26.999999999999986</v>
      </c>
      <c r="V42" s="206">
        <f t="shared" si="29"/>
        <v>80.999999999999986</v>
      </c>
      <c r="W42" s="200"/>
      <c r="X42" s="200"/>
      <c r="Y42" s="510"/>
      <c r="Z42" s="510"/>
      <c r="AA42" s="66">
        <f t="shared" si="8"/>
        <v>-103.70370370370301</v>
      </c>
      <c r="AB42" s="201">
        <f t="shared" si="9"/>
        <v>0.95679012345679038</v>
      </c>
      <c r="AC42" s="511"/>
    </row>
    <row r="43" spans="1:29">
      <c r="A43" s="532" t="s">
        <v>983</v>
      </c>
      <c r="B43" s="62" t="s">
        <v>16</v>
      </c>
      <c r="C43" s="512" t="s">
        <v>18</v>
      </c>
      <c r="D43" s="512"/>
      <c r="E43" s="62">
        <v>22.35</v>
      </c>
      <c r="F43" s="207">
        <v>2220</v>
      </c>
      <c r="G43" s="200">
        <f t="shared" si="27"/>
        <v>49617</v>
      </c>
      <c r="H43" s="90" t="s">
        <v>5</v>
      </c>
      <c r="I43" s="205">
        <v>16</v>
      </c>
      <c r="J43" s="63">
        <v>2400</v>
      </c>
      <c r="K43" s="64">
        <f t="shared" si="1"/>
        <v>150</v>
      </c>
      <c r="L43" s="205">
        <v>16</v>
      </c>
      <c r="M43" s="65">
        <f t="shared" si="28"/>
        <v>2296.5517241379298</v>
      </c>
      <c r="N43" s="64">
        <f t="shared" si="3"/>
        <v>143.53448275862061</v>
      </c>
      <c r="O43" s="66">
        <f t="shared" si="4"/>
        <v>0</v>
      </c>
      <c r="P43" s="67">
        <f t="shared" si="5"/>
        <v>-6.4655172413793878</v>
      </c>
      <c r="Q43" s="201">
        <f t="shared" si="6"/>
        <v>0.95689655172413746</v>
      </c>
      <c r="R43" s="511"/>
      <c r="S43" s="68">
        <v>0.24166666666666664</v>
      </c>
      <c r="T43" s="68">
        <v>0.28194444444444444</v>
      </c>
      <c r="U43" s="200">
        <f t="shared" si="30"/>
        <v>7.0000000000000151</v>
      </c>
      <c r="V43" s="206">
        <f t="shared" si="29"/>
        <v>58.000000000000036</v>
      </c>
      <c r="W43" s="200"/>
      <c r="X43" s="200"/>
      <c r="Y43" s="510"/>
      <c r="Z43" s="510"/>
      <c r="AA43" s="66">
        <f t="shared" si="8"/>
        <v>-103.4482758620702</v>
      </c>
      <c r="AB43" s="201">
        <f t="shared" si="9"/>
        <v>0.95689655172413746</v>
      </c>
      <c r="AC43" s="511"/>
    </row>
    <row r="44" spans="1:29">
      <c r="A44" s="532" t="s">
        <v>983</v>
      </c>
      <c r="B44" s="62" t="s">
        <v>16</v>
      </c>
      <c r="C44" s="512" t="s">
        <v>27</v>
      </c>
      <c r="D44" s="512"/>
      <c r="E44" s="62">
        <v>25.98</v>
      </c>
      <c r="F44" s="207">
        <v>1316</v>
      </c>
      <c r="G44" s="200">
        <f t="shared" si="27"/>
        <v>34189.68</v>
      </c>
      <c r="H44" s="90" t="s">
        <v>5</v>
      </c>
      <c r="I44" s="205">
        <v>17</v>
      </c>
      <c r="J44" s="63">
        <v>2400</v>
      </c>
      <c r="K44" s="64">
        <f t="shared" si="1"/>
        <v>141.1764705882353</v>
      </c>
      <c r="L44" s="205">
        <v>17</v>
      </c>
      <c r="M44" s="65">
        <f t="shared" si="28"/>
        <v>2322.352941176468</v>
      </c>
      <c r="N44" s="64">
        <f t="shared" si="3"/>
        <v>136.60899653979223</v>
      </c>
      <c r="O44" s="66">
        <f t="shared" si="4"/>
        <v>0</v>
      </c>
      <c r="P44" s="67">
        <f t="shared" si="5"/>
        <v>-4.5674740484430743</v>
      </c>
      <c r="Q44" s="201">
        <f t="shared" si="6"/>
        <v>0.96764705882352819</v>
      </c>
      <c r="R44" s="511"/>
      <c r="S44" s="68">
        <v>0.28749999999999998</v>
      </c>
      <c r="T44" s="68">
        <v>0.31111111111111112</v>
      </c>
      <c r="U44" s="200">
        <f t="shared" si="30"/>
        <v>7.9999999999999716</v>
      </c>
      <c r="V44" s="206">
        <f t="shared" si="29"/>
        <v>34.000000000000043</v>
      </c>
      <c r="W44" s="69"/>
      <c r="X44" s="69"/>
      <c r="Y44" s="510"/>
      <c r="Z44" s="510"/>
      <c r="AA44" s="66">
        <f t="shared" si="8"/>
        <v>-77.647058823532006</v>
      </c>
      <c r="AB44" s="201">
        <f t="shared" si="9"/>
        <v>0.96764705882352831</v>
      </c>
      <c r="AC44" s="511"/>
    </row>
    <row r="45" spans="1:29">
      <c r="A45" s="532" t="s">
        <v>983</v>
      </c>
      <c r="B45" s="62" t="s">
        <v>16</v>
      </c>
      <c r="C45" s="512" t="s">
        <v>32</v>
      </c>
      <c r="D45" s="512"/>
      <c r="E45" s="62">
        <v>26.39</v>
      </c>
      <c r="F45" s="207">
        <v>4200</v>
      </c>
      <c r="G45" s="200">
        <f t="shared" si="27"/>
        <v>110838</v>
      </c>
      <c r="H45" s="90">
        <v>2</v>
      </c>
      <c r="I45" s="205">
        <v>19</v>
      </c>
      <c r="J45" s="63">
        <v>2400</v>
      </c>
      <c r="K45" s="64">
        <f t="shared" si="1"/>
        <v>126.31578947368421</v>
      </c>
      <c r="L45" s="205">
        <v>19</v>
      </c>
      <c r="M45" s="65">
        <f t="shared" si="28"/>
        <v>2290.909090909091</v>
      </c>
      <c r="N45" s="64">
        <f t="shared" si="3"/>
        <v>120.57416267942584</v>
      </c>
      <c r="O45" s="66">
        <f t="shared" si="4"/>
        <v>0</v>
      </c>
      <c r="P45" s="67">
        <f t="shared" si="5"/>
        <v>-5.7416267942583659</v>
      </c>
      <c r="Q45" s="201">
        <f t="shared" si="6"/>
        <v>0.95454545454545459</v>
      </c>
      <c r="R45" s="511"/>
      <c r="S45" s="68">
        <v>0.31666666666666665</v>
      </c>
      <c r="T45" s="68">
        <v>0.39305555555555555</v>
      </c>
      <c r="U45" s="200">
        <f t="shared" si="30"/>
        <v>7.9999999999999716</v>
      </c>
      <c r="V45" s="206">
        <f t="shared" si="29"/>
        <v>110.00000000000001</v>
      </c>
      <c r="W45" s="69"/>
      <c r="X45" s="69"/>
      <c r="Y45" s="510"/>
      <c r="Z45" s="510"/>
      <c r="AA45" s="66">
        <f t="shared" si="8"/>
        <v>-109.09090909090901</v>
      </c>
      <c r="AB45" s="201">
        <f t="shared" si="9"/>
        <v>0.95454545454545459</v>
      </c>
      <c r="AC45" s="511"/>
    </row>
    <row r="46" spans="1:29">
      <c r="A46" s="532" t="s">
        <v>983</v>
      </c>
      <c r="B46" s="62" t="s">
        <v>16</v>
      </c>
      <c r="C46" s="512" t="s">
        <v>33</v>
      </c>
      <c r="D46" s="512"/>
      <c r="E46" s="62">
        <v>24.43</v>
      </c>
      <c r="F46" s="207">
        <v>5000</v>
      </c>
      <c r="G46" s="200">
        <f t="shared" si="27"/>
        <v>122150</v>
      </c>
      <c r="H46" s="90">
        <v>2</v>
      </c>
      <c r="I46" s="205">
        <v>14</v>
      </c>
      <c r="J46" s="63">
        <v>2400</v>
      </c>
      <c r="K46" s="64">
        <f t="shared" si="1"/>
        <v>171.42857142857142</v>
      </c>
      <c r="L46" s="205">
        <v>14</v>
      </c>
      <c r="M46" s="65">
        <f t="shared" si="28"/>
        <v>2290.0763358778627</v>
      </c>
      <c r="N46" s="64">
        <f t="shared" si="3"/>
        <v>163.57688113413306</v>
      </c>
      <c r="O46" s="66">
        <f t="shared" si="4"/>
        <v>0</v>
      </c>
      <c r="P46" s="67">
        <f t="shared" si="5"/>
        <v>-7.851690294438356</v>
      </c>
      <c r="Q46" s="201">
        <f t="shared" si="6"/>
        <v>0.95419847328244289</v>
      </c>
      <c r="R46" s="511"/>
      <c r="S46" s="68">
        <v>0.39652777777777776</v>
      </c>
      <c r="T46" s="68">
        <v>0.48749999999999999</v>
      </c>
      <c r="U46" s="200">
        <f t="shared" si="30"/>
        <v>4.9999999999999822</v>
      </c>
      <c r="V46" s="206">
        <f t="shared" si="29"/>
        <v>131</v>
      </c>
      <c r="W46" s="69">
        <f>T46</f>
        <v>0.48749999999999999</v>
      </c>
      <c r="X46" s="69">
        <f>S47</f>
        <v>0.52916666666666656</v>
      </c>
      <c r="Y46" s="510"/>
      <c r="Z46" s="510"/>
      <c r="AA46" s="66">
        <f t="shared" si="8"/>
        <v>-109.92366412213732</v>
      </c>
      <c r="AB46" s="201">
        <f t="shared" si="9"/>
        <v>0.95419847328244278</v>
      </c>
      <c r="AC46" s="511"/>
    </row>
    <row r="47" spans="1:29">
      <c r="A47" s="532" t="s">
        <v>983</v>
      </c>
      <c r="B47" s="62" t="s">
        <v>16</v>
      </c>
      <c r="C47" s="512" t="s">
        <v>33</v>
      </c>
      <c r="D47" s="512"/>
      <c r="E47" s="62">
        <v>24.43</v>
      </c>
      <c r="F47" s="207">
        <v>4039</v>
      </c>
      <c r="G47" s="200">
        <f t="shared" si="27"/>
        <v>98672.77</v>
      </c>
      <c r="H47" s="90" t="s">
        <v>5</v>
      </c>
      <c r="I47" s="205">
        <v>14</v>
      </c>
      <c r="J47" s="63">
        <v>2400</v>
      </c>
      <c r="K47" s="64">
        <f t="shared" si="1"/>
        <v>171.42857142857142</v>
      </c>
      <c r="L47" s="205">
        <v>14</v>
      </c>
      <c r="M47" s="65">
        <f t="shared" si="28"/>
        <v>2286.2264150943411</v>
      </c>
      <c r="N47" s="64">
        <f t="shared" si="3"/>
        <v>163.30188679245293</v>
      </c>
      <c r="O47" s="66">
        <f t="shared" si="4"/>
        <v>0</v>
      </c>
      <c r="P47" s="67">
        <f t="shared" si="5"/>
        <v>-8.1266846361184832</v>
      </c>
      <c r="Q47" s="201">
        <f t="shared" si="6"/>
        <v>0.95259433962264217</v>
      </c>
      <c r="R47" s="511"/>
      <c r="S47" s="68">
        <v>0.52916666666666656</v>
      </c>
      <c r="T47" s="68">
        <v>0.60277777777777763</v>
      </c>
      <c r="U47" s="200">
        <f t="shared" si="30"/>
        <v>59.999999999999865</v>
      </c>
      <c r="V47" s="206">
        <f t="shared" si="29"/>
        <v>105.99999999999994</v>
      </c>
      <c r="W47" s="69"/>
      <c r="X47" s="69"/>
      <c r="Y47" s="517"/>
      <c r="Z47" s="518"/>
      <c r="AA47" s="66">
        <f t="shared" si="8"/>
        <v>-113.77358490565894</v>
      </c>
      <c r="AB47" s="201">
        <f t="shared" si="9"/>
        <v>0.95259433962264206</v>
      </c>
      <c r="AC47" s="511"/>
    </row>
    <row r="48" spans="1:29">
      <c r="A48" s="532" t="s">
        <v>983</v>
      </c>
      <c r="B48" s="62" t="s">
        <v>16</v>
      </c>
      <c r="C48" s="512" t="s">
        <v>32</v>
      </c>
      <c r="D48" s="512"/>
      <c r="E48" s="62">
        <v>26.39</v>
      </c>
      <c r="F48" s="207">
        <v>2970</v>
      </c>
      <c r="G48" s="200">
        <f t="shared" si="27"/>
        <v>78378.3</v>
      </c>
      <c r="H48" s="90" t="s">
        <v>5</v>
      </c>
      <c r="I48" s="205">
        <v>19</v>
      </c>
      <c r="J48" s="63">
        <v>2400</v>
      </c>
      <c r="K48" s="64">
        <f t="shared" si="1"/>
        <v>126.31578947368421</v>
      </c>
      <c r="L48" s="205">
        <v>19</v>
      </c>
      <c r="M48" s="65">
        <f t="shared" si="28"/>
        <v>2284.6153846153834</v>
      </c>
      <c r="N48" s="64">
        <f t="shared" si="3"/>
        <v>120.24291497975702</v>
      </c>
      <c r="O48" s="66">
        <f t="shared" si="4"/>
        <v>0</v>
      </c>
      <c r="P48" s="67">
        <f t="shared" si="5"/>
        <v>-6.0728744939271877</v>
      </c>
      <c r="Q48" s="201">
        <f t="shared" si="6"/>
        <v>0.95192307692307643</v>
      </c>
      <c r="R48" s="511"/>
      <c r="S48" s="68">
        <v>0.60833333333333317</v>
      </c>
      <c r="T48" s="68">
        <v>0.66249999999999987</v>
      </c>
      <c r="U48" s="200">
        <f t="shared" si="30"/>
        <v>7.9999999999999716</v>
      </c>
      <c r="V48" s="206">
        <f t="shared" si="29"/>
        <v>78.000000000000043</v>
      </c>
      <c r="W48" s="69"/>
      <c r="X48" s="69"/>
      <c r="Y48" s="517"/>
      <c r="Z48" s="518"/>
      <c r="AA48" s="66">
        <f t="shared" si="8"/>
        <v>-115.38461538461661</v>
      </c>
      <c r="AB48" s="201">
        <f t="shared" si="9"/>
        <v>0.95192307692307643</v>
      </c>
      <c r="AC48" s="511"/>
    </row>
    <row r="49" spans="1:29">
      <c r="A49" s="532" t="s">
        <v>983</v>
      </c>
      <c r="B49" s="62" t="s">
        <v>16</v>
      </c>
      <c r="C49" s="512" t="s">
        <v>31</v>
      </c>
      <c r="D49" s="512"/>
      <c r="E49" s="62">
        <v>26.2</v>
      </c>
      <c r="F49" s="207">
        <v>3271</v>
      </c>
      <c r="G49" s="200">
        <f t="shared" si="27"/>
        <v>85700.2</v>
      </c>
      <c r="H49" s="90" t="s">
        <v>5</v>
      </c>
      <c r="I49" s="205">
        <v>18</v>
      </c>
      <c r="J49" s="63">
        <v>2400</v>
      </c>
      <c r="K49" s="64">
        <f t="shared" si="1"/>
        <v>133.33333333333334</v>
      </c>
      <c r="L49" s="205">
        <v>18</v>
      </c>
      <c r="M49" s="65">
        <f t="shared" si="28"/>
        <v>2282.0930232558135</v>
      </c>
      <c r="N49" s="64">
        <f t="shared" si="3"/>
        <v>126.78294573643409</v>
      </c>
      <c r="O49" s="66">
        <f t="shared" si="4"/>
        <v>0</v>
      </c>
      <c r="P49" s="67">
        <f t="shared" si="5"/>
        <v>-6.550387596899256</v>
      </c>
      <c r="Q49" s="201">
        <f t="shared" si="6"/>
        <v>0.95087209302325559</v>
      </c>
      <c r="R49" s="511"/>
      <c r="S49" s="68">
        <v>0.66597222222222208</v>
      </c>
      <c r="T49" s="68">
        <v>0.72569444444444431</v>
      </c>
      <c r="U49" s="200">
        <f t="shared" si="30"/>
        <v>4.9999999999999822</v>
      </c>
      <c r="V49" s="206">
        <f t="shared" si="29"/>
        <v>86.000000000000014</v>
      </c>
      <c r="W49" s="69"/>
      <c r="X49" s="69"/>
      <c r="Y49" s="517"/>
      <c r="Z49" s="518"/>
      <c r="AA49" s="66">
        <f t="shared" si="8"/>
        <v>-117.90697674418652</v>
      </c>
      <c r="AB49" s="201">
        <f t="shared" si="9"/>
        <v>0.95087209302325559</v>
      </c>
      <c r="AC49" s="511"/>
    </row>
    <row r="50" spans="1:29">
      <c r="A50" s="532" t="s">
        <v>983</v>
      </c>
      <c r="B50" s="62" t="s">
        <v>16</v>
      </c>
      <c r="C50" s="512" t="s">
        <v>50</v>
      </c>
      <c r="D50" s="512"/>
      <c r="E50" s="62">
        <v>20.52</v>
      </c>
      <c r="F50" s="207">
        <v>2591</v>
      </c>
      <c r="G50" s="200">
        <f t="shared" si="27"/>
        <v>53167.32</v>
      </c>
      <c r="H50" s="90" t="s">
        <v>5</v>
      </c>
      <c r="I50" s="205">
        <v>18</v>
      </c>
      <c r="J50" s="63">
        <v>2400</v>
      </c>
      <c r="K50" s="64">
        <f t="shared" si="1"/>
        <v>133.33333333333334</v>
      </c>
      <c r="L50" s="205">
        <v>18</v>
      </c>
      <c r="M50" s="65">
        <f t="shared" si="28"/>
        <v>2286.1764705882383</v>
      </c>
      <c r="N50" s="64">
        <f t="shared" si="3"/>
        <v>127.00980392156879</v>
      </c>
      <c r="O50" s="66">
        <f t="shared" si="4"/>
        <v>0</v>
      </c>
      <c r="P50" s="67">
        <f t="shared" si="5"/>
        <v>-6.3235294117645537</v>
      </c>
      <c r="Q50" s="201">
        <f t="shared" si="6"/>
        <v>0.95257352941176587</v>
      </c>
      <c r="R50" s="511"/>
      <c r="S50" s="68">
        <v>0.73124999999999984</v>
      </c>
      <c r="T50" s="68">
        <v>0.77847222222222201</v>
      </c>
      <c r="U50" s="200">
        <f t="shared" si="30"/>
        <v>7.9999999999999716</v>
      </c>
      <c r="V50" s="206">
        <f t="shared" si="29"/>
        <v>67.999999999999915</v>
      </c>
      <c r="W50" s="69"/>
      <c r="X50" s="69"/>
      <c r="Y50" s="517"/>
      <c r="Z50" s="518"/>
      <c r="AA50" s="66">
        <f t="shared" si="8"/>
        <v>-113.82352941176168</v>
      </c>
      <c r="AB50" s="201">
        <f t="shared" si="9"/>
        <v>0.95257352941176598</v>
      </c>
      <c r="AC50" s="511"/>
    </row>
    <row r="51" spans="1:29">
      <c r="A51" s="532" t="s">
        <v>983</v>
      </c>
      <c r="B51" s="71" t="s">
        <v>975</v>
      </c>
      <c r="C51" s="513"/>
      <c r="D51" s="513"/>
      <c r="E51" s="202"/>
      <c r="F51" s="71"/>
      <c r="G51" s="64"/>
      <c r="H51" s="207"/>
      <c r="I51" s="72">
        <v>17.100000000000001</v>
      </c>
      <c r="J51" s="63">
        <v>2400</v>
      </c>
      <c r="K51" s="64">
        <f t="shared" si="1"/>
        <v>140.35087719298244</v>
      </c>
      <c r="L51" s="72">
        <v>17.100000000000001</v>
      </c>
      <c r="M51" s="65">
        <f>AVERAGE(M41:M50)</f>
        <v>2291.848352265939</v>
      </c>
      <c r="N51" s="64">
        <f t="shared" si="3"/>
        <v>134.02621943075664</v>
      </c>
      <c r="O51" s="66">
        <f t="shared" si="4"/>
        <v>0</v>
      </c>
      <c r="P51" s="67">
        <f t="shared" si="5"/>
        <v>-6.3246577622257973</v>
      </c>
      <c r="Q51" s="201">
        <f t="shared" si="6"/>
        <v>0.95493681344414116</v>
      </c>
      <c r="R51" s="511"/>
      <c r="S51" s="68"/>
      <c r="T51" s="68"/>
      <c r="U51" s="64"/>
      <c r="V51" s="206"/>
      <c r="W51" s="64"/>
      <c r="X51" s="64"/>
      <c r="Y51" s="510"/>
      <c r="Z51" s="510"/>
      <c r="AA51" s="66">
        <f t="shared" si="8"/>
        <v>-108.15164773406104</v>
      </c>
      <c r="AB51" s="201">
        <f t="shared" si="9"/>
        <v>0.95493681344414127</v>
      </c>
      <c r="AC51" s="511"/>
    </row>
    <row r="52" spans="1:29" ht="15.75" customHeight="1">
      <c r="A52" s="525" t="s">
        <v>984</v>
      </c>
      <c r="B52" s="62" t="s">
        <v>35</v>
      </c>
      <c r="C52" s="521" t="s">
        <v>36</v>
      </c>
      <c r="D52" s="522"/>
      <c r="E52" s="62">
        <v>21.13</v>
      </c>
      <c r="F52" s="207">
        <v>4000</v>
      </c>
      <c r="G52" s="200">
        <f t="shared" ref="G52:G61" si="31">E52*F52</f>
        <v>84520</v>
      </c>
      <c r="H52" s="90">
        <v>2</v>
      </c>
      <c r="I52" s="205">
        <v>10</v>
      </c>
      <c r="J52" s="63">
        <v>3000</v>
      </c>
      <c r="K52" s="64">
        <f t="shared" si="1"/>
        <v>300</v>
      </c>
      <c r="L52" s="205">
        <v>10</v>
      </c>
      <c r="M52" s="65">
        <f t="shared" ref="M52:M61" si="32">F52/V52*60</f>
        <v>2857.1428571428573</v>
      </c>
      <c r="N52" s="65">
        <f t="shared" si="3"/>
        <v>285.71428571428572</v>
      </c>
      <c r="O52" s="66">
        <f t="shared" si="4"/>
        <v>0</v>
      </c>
      <c r="P52" s="67">
        <f t="shared" si="5"/>
        <v>-14.285714285714278</v>
      </c>
      <c r="Q52" s="201">
        <f t="shared" si="6"/>
        <v>0.95238095238095244</v>
      </c>
      <c r="R52" s="528">
        <f>Q62</f>
        <v>0.95698244045755199</v>
      </c>
      <c r="S52" s="68">
        <v>8.3333333333333329E-2</v>
      </c>
      <c r="T52" s="68">
        <v>0.14166666666666666</v>
      </c>
      <c r="U52" s="73"/>
      <c r="V52" s="206">
        <f t="shared" ref="V52:V61" si="33">(T52-S52)*24*60</f>
        <v>84</v>
      </c>
      <c r="W52" s="69">
        <f>T52</f>
        <v>0.14166666666666666</v>
      </c>
      <c r="X52" s="69">
        <f>S53</f>
        <v>0.16319444444444445</v>
      </c>
      <c r="Y52" s="517"/>
      <c r="Z52" s="518"/>
      <c r="AA52" s="66">
        <f t="shared" si="8"/>
        <v>-142.85714285714266</v>
      </c>
      <c r="AB52" s="201">
        <f t="shared" si="9"/>
        <v>0.95238095238095244</v>
      </c>
      <c r="AC52" s="528">
        <f>AB62</f>
        <v>0.95698244045755199</v>
      </c>
    </row>
    <row r="53" spans="1:29" ht="15.75" customHeight="1">
      <c r="A53" s="526" t="s">
        <v>984</v>
      </c>
      <c r="B53" s="62" t="s">
        <v>35</v>
      </c>
      <c r="C53" s="521" t="s">
        <v>38</v>
      </c>
      <c r="D53" s="522"/>
      <c r="E53" s="62">
        <v>35.119999999999997</v>
      </c>
      <c r="F53" s="207">
        <v>3000</v>
      </c>
      <c r="G53" s="200">
        <f t="shared" si="31"/>
        <v>105359.99999999999</v>
      </c>
      <c r="H53" s="90">
        <v>2</v>
      </c>
      <c r="I53" s="205">
        <v>10</v>
      </c>
      <c r="J53" s="63">
        <v>3000</v>
      </c>
      <c r="K53" s="64">
        <f t="shared" si="1"/>
        <v>300</v>
      </c>
      <c r="L53" s="205">
        <v>10</v>
      </c>
      <c r="M53" s="65">
        <f t="shared" si="32"/>
        <v>2857.1428571428564</v>
      </c>
      <c r="N53" s="65">
        <f t="shared" si="3"/>
        <v>285.71428571428567</v>
      </c>
      <c r="O53" s="66">
        <f t="shared" si="4"/>
        <v>0</v>
      </c>
      <c r="P53" s="67">
        <f t="shared" si="5"/>
        <v>-14.285714285714334</v>
      </c>
      <c r="Q53" s="201">
        <f t="shared" si="6"/>
        <v>0.95238095238095222</v>
      </c>
      <c r="R53" s="529"/>
      <c r="S53" s="68">
        <v>0.16319444444444445</v>
      </c>
      <c r="T53" s="68">
        <v>0.20694444444444446</v>
      </c>
      <c r="U53" s="200">
        <f t="shared" ref="U53:U61" si="34">(S53-T52)*24*60</f>
        <v>31.000000000000011</v>
      </c>
      <c r="V53" s="206">
        <f t="shared" si="33"/>
        <v>63.000000000000014</v>
      </c>
      <c r="W53" s="69"/>
      <c r="X53" s="69"/>
      <c r="Y53" s="517"/>
      <c r="Z53" s="518"/>
      <c r="AA53" s="66">
        <f t="shared" si="8"/>
        <v>-142.85714285714357</v>
      </c>
      <c r="AB53" s="201">
        <f t="shared" si="9"/>
        <v>0.95238095238095211</v>
      </c>
      <c r="AC53" s="529"/>
    </row>
    <row r="54" spans="1:29" ht="15.75" customHeight="1">
      <c r="A54" s="526" t="s">
        <v>984</v>
      </c>
      <c r="B54" s="62" t="s">
        <v>35</v>
      </c>
      <c r="C54" s="521" t="s">
        <v>39</v>
      </c>
      <c r="D54" s="522"/>
      <c r="E54" s="62">
        <v>35.869999999999997</v>
      </c>
      <c r="F54" s="207">
        <v>3043</v>
      </c>
      <c r="G54" s="200">
        <f t="shared" si="31"/>
        <v>109152.40999999999</v>
      </c>
      <c r="H54" s="90" t="s">
        <v>5</v>
      </c>
      <c r="I54" s="205">
        <v>9</v>
      </c>
      <c r="J54" s="63">
        <v>3000</v>
      </c>
      <c r="K54" s="64">
        <f t="shared" si="1"/>
        <v>333.33333333333331</v>
      </c>
      <c r="L54" s="205">
        <v>9</v>
      </c>
      <c r="M54" s="65">
        <f t="shared" si="32"/>
        <v>2898.0952380952376</v>
      </c>
      <c r="N54" s="65">
        <f t="shared" si="3"/>
        <v>322.01058201058197</v>
      </c>
      <c r="O54" s="66">
        <f t="shared" si="4"/>
        <v>0</v>
      </c>
      <c r="P54" s="67">
        <f t="shared" si="5"/>
        <v>-11.322751322751344</v>
      </c>
      <c r="Q54" s="201">
        <f t="shared" si="6"/>
        <v>0.96603174603174602</v>
      </c>
      <c r="R54" s="529"/>
      <c r="S54" s="68">
        <v>0.21180555555555558</v>
      </c>
      <c r="T54" s="68">
        <v>0.25555555555555559</v>
      </c>
      <c r="U54" s="200">
        <f t="shared" si="34"/>
        <v>7.0000000000000151</v>
      </c>
      <c r="V54" s="206">
        <f t="shared" si="33"/>
        <v>63.000000000000014</v>
      </c>
      <c r="W54" s="69"/>
      <c r="X54" s="69"/>
      <c r="Y54" s="517"/>
      <c r="Z54" s="518"/>
      <c r="AA54" s="66">
        <f t="shared" si="8"/>
        <v>-101.90476190476238</v>
      </c>
      <c r="AB54" s="201">
        <f t="shared" si="9"/>
        <v>0.96603174603174591</v>
      </c>
      <c r="AC54" s="529"/>
    </row>
    <row r="55" spans="1:29" ht="15.75" customHeight="1">
      <c r="A55" s="526" t="s">
        <v>984</v>
      </c>
      <c r="B55" s="62" t="s">
        <v>35</v>
      </c>
      <c r="C55" s="521" t="s">
        <v>40</v>
      </c>
      <c r="D55" s="522"/>
      <c r="E55" s="62">
        <v>36.14</v>
      </c>
      <c r="F55" s="207">
        <v>1556</v>
      </c>
      <c r="G55" s="200">
        <f t="shared" si="31"/>
        <v>56233.840000000004</v>
      </c>
      <c r="H55" s="90" t="s">
        <v>5</v>
      </c>
      <c r="I55" s="205">
        <v>9</v>
      </c>
      <c r="J55" s="63">
        <v>3000</v>
      </c>
      <c r="K55" s="64">
        <f t="shared" si="1"/>
        <v>333.33333333333331</v>
      </c>
      <c r="L55" s="205">
        <v>9</v>
      </c>
      <c r="M55" s="65">
        <f t="shared" si="32"/>
        <v>2917.5000000000036</v>
      </c>
      <c r="N55" s="65">
        <f t="shared" si="3"/>
        <v>324.16666666666708</v>
      </c>
      <c r="O55" s="66">
        <f t="shared" si="4"/>
        <v>0</v>
      </c>
      <c r="P55" s="67">
        <f t="shared" si="5"/>
        <v>-9.1666666666662309</v>
      </c>
      <c r="Q55" s="201">
        <f t="shared" si="6"/>
        <v>0.97250000000000125</v>
      </c>
      <c r="R55" s="529"/>
      <c r="S55" s="68">
        <v>0.2590277777777778</v>
      </c>
      <c r="T55" s="68">
        <v>0.28125</v>
      </c>
      <c r="U55" s="200">
        <f t="shared" si="34"/>
        <v>4.9999999999999822</v>
      </c>
      <c r="V55" s="206">
        <f t="shared" si="33"/>
        <v>31.999999999999964</v>
      </c>
      <c r="W55" s="69"/>
      <c r="X55" s="69"/>
      <c r="Y55" s="517"/>
      <c r="Z55" s="518"/>
      <c r="AA55" s="66">
        <f t="shared" si="8"/>
        <v>-82.499999999996362</v>
      </c>
      <c r="AB55" s="201">
        <f t="shared" si="9"/>
        <v>0.97250000000000125</v>
      </c>
      <c r="AC55" s="529"/>
    </row>
    <row r="56" spans="1:29" ht="15.75" customHeight="1">
      <c r="A56" s="526" t="s">
        <v>984</v>
      </c>
      <c r="B56" s="62" t="s">
        <v>35</v>
      </c>
      <c r="C56" s="521" t="s">
        <v>37</v>
      </c>
      <c r="D56" s="522"/>
      <c r="E56" s="62">
        <v>27.17</v>
      </c>
      <c r="F56" s="207">
        <v>4300</v>
      </c>
      <c r="G56" s="200">
        <f t="shared" si="31"/>
        <v>116831.00000000001</v>
      </c>
      <c r="H56" s="90">
        <v>2</v>
      </c>
      <c r="I56" s="205">
        <v>10</v>
      </c>
      <c r="J56" s="63">
        <v>3000</v>
      </c>
      <c r="K56" s="64">
        <f t="shared" si="1"/>
        <v>300</v>
      </c>
      <c r="L56" s="205">
        <v>10</v>
      </c>
      <c r="M56" s="65">
        <f t="shared" si="32"/>
        <v>2866.6666666666665</v>
      </c>
      <c r="N56" s="65">
        <f t="shared" si="3"/>
        <v>286.66666666666663</v>
      </c>
      <c r="O56" s="66">
        <f t="shared" si="4"/>
        <v>0</v>
      </c>
      <c r="P56" s="67">
        <f t="shared" si="5"/>
        <v>-13.333333333333371</v>
      </c>
      <c r="Q56" s="201">
        <f t="shared" si="6"/>
        <v>0.95555555555555538</v>
      </c>
      <c r="R56" s="529"/>
      <c r="S56" s="68">
        <v>0.28611111111111109</v>
      </c>
      <c r="T56" s="68">
        <v>0.34861111111111109</v>
      </c>
      <c r="U56" s="200">
        <f t="shared" si="34"/>
        <v>6.9999999999999751</v>
      </c>
      <c r="V56" s="206">
        <f t="shared" si="33"/>
        <v>90</v>
      </c>
      <c r="W56" s="69"/>
      <c r="X56" s="69"/>
      <c r="Y56" s="517"/>
      <c r="Z56" s="518"/>
      <c r="AA56" s="66">
        <f t="shared" si="8"/>
        <v>-133.33333333333348</v>
      </c>
      <c r="AB56" s="201">
        <f t="shared" si="9"/>
        <v>0.95555555555555549</v>
      </c>
      <c r="AC56" s="529"/>
    </row>
    <row r="57" spans="1:29" ht="15.75" customHeight="1">
      <c r="A57" s="526" t="s">
        <v>984</v>
      </c>
      <c r="B57" s="62" t="s">
        <v>35</v>
      </c>
      <c r="C57" s="521" t="s">
        <v>85</v>
      </c>
      <c r="D57" s="522"/>
      <c r="E57" s="62">
        <v>40.51</v>
      </c>
      <c r="F57" s="207">
        <v>3335</v>
      </c>
      <c r="G57" s="200">
        <f t="shared" si="31"/>
        <v>135100.85</v>
      </c>
      <c r="H57" s="90" t="s">
        <v>5</v>
      </c>
      <c r="I57" s="205">
        <v>8</v>
      </c>
      <c r="J57" s="63">
        <v>3000</v>
      </c>
      <c r="K57" s="64">
        <f t="shared" si="1"/>
        <v>375</v>
      </c>
      <c r="L57" s="205">
        <v>8</v>
      </c>
      <c r="M57" s="65">
        <f t="shared" si="32"/>
        <v>2858.5714285714294</v>
      </c>
      <c r="N57" s="65">
        <f t="shared" si="3"/>
        <v>357.32142857142867</v>
      </c>
      <c r="O57" s="66">
        <f t="shared" si="4"/>
        <v>0</v>
      </c>
      <c r="P57" s="67">
        <f t="shared" si="5"/>
        <v>-17.678571428571331</v>
      </c>
      <c r="Q57" s="201">
        <f t="shared" si="6"/>
        <v>0.95285714285714307</v>
      </c>
      <c r="R57" s="529"/>
      <c r="S57" s="68">
        <v>0.3520833333333333</v>
      </c>
      <c r="T57" s="68">
        <v>0.40069444444444441</v>
      </c>
      <c r="U57" s="200">
        <f t="shared" si="34"/>
        <v>4.9999999999999822</v>
      </c>
      <c r="V57" s="206">
        <f t="shared" si="33"/>
        <v>69.999999999999986</v>
      </c>
      <c r="W57" s="69"/>
      <c r="X57" s="69"/>
      <c r="Y57" s="517"/>
      <c r="Z57" s="518"/>
      <c r="AA57" s="66">
        <f t="shared" si="8"/>
        <v>-141.42857142857065</v>
      </c>
      <c r="AB57" s="201">
        <f t="shared" si="9"/>
        <v>0.95285714285714307</v>
      </c>
      <c r="AC57" s="529"/>
    </row>
    <row r="58" spans="1:29" ht="15.75" customHeight="1">
      <c r="A58" s="526" t="s">
        <v>984</v>
      </c>
      <c r="B58" s="62" t="s">
        <v>35</v>
      </c>
      <c r="C58" s="521" t="s">
        <v>75</v>
      </c>
      <c r="D58" s="522"/>
      <c r="E58" s="62">
        <v>37.880000000000003</v>
      </c>
      <c r="F58" s="207">
        <v>3622</v>
      </c>
      <c r="G58" s="200">
        <f t="shared" si="31"/>
        <v>137201.36000000002</v>
      </c>
      <c r="H58" s="90" t="s">
        <v>5</v>
      </c>
      <c r="I58" s="205">
        <v>10</v>
      </c>
      <c r="J58" s="63">
        <v>3000</v>
      </c>
      <c r="K58" s="64">
        <f t="shared" si="1"/>
        <v>300</v>
      </c>
      <c r="L58" s="205">
        <v>10</v>
      </c>
      <c r="M58" s="65">
        <f t="shared" si="32"/>
        <v>2859.4736842105276</v>
      </c>
      <c r="N58" s="65">
        <f t="shared" si="3"/>
        <v>285.94736842105277</v>
      </c>
      <c r="O58" s="66">
        <f t="shared" si="4"/>
        <v>0</v>
      </c>
      <c r="P58" s="67">
        <f t="shared" si="5"/>
        <v>-14.052631578947228</v>
      </c>
      <c r="Q58" s="201">
        <f t="shared" si="6"/>
        <v>0.95315789473684254</v>
      </c>
      <c r="R58" s="529"/>
      <c r="S58" s="68">
        <v>0.40624999999999994</v>
      </c>
      <c r="T58" s="68">
        <v>0.4590277777777777</v>
      </c>
      <c r="U58" s="200">
        <f t="shared" si="34"/>
        <v>7.9999999999999716</v>
      </c>
      <c r="V58" s="206">
        <f t="shared" si="33"/>
        <v>75.999999999999972</v>
      </c>
      <c r="W58" s="69">
        <f>T58</f>
        <v>0.4590277777777777</v>
      </c>
      <c r="X58" s="69">
        <f>S59</f>
        <v>0.49999999999999989</v>
      </c>
      <c r="Y58" s="517"/>
      <c r="Z58" s="518"/>
      <c r="AA58" s="66">
        <f t="shared" si="8"/>
        <v>-140.52631578947239</v>
      </c>
      <c r="AB58" s="201">
        <f t="shared" si="9"/>
        <v>0.95315789473684254</v>
      </c>
      <c r="AC58" s="529"/>
    </row>
    <row r="59" spans="1:29" ht="15.75" customHeight="1">
      <c r="A59" s="526" t="s">
        <v>984</v>
      </c>
      <c r="B59" s="62" t="s">
        <v>35</v>
      </c>
      <c r="C59" s="521" t="s">
        <v>37</v>
      </c>
      <c r="D59" s="522"/>
      <c r="E59" s="62">
        <v>27.17</v>
      </c>
      <c r="F59" s="207">
        <v>2540</v>
      </c>
      <c r="G59" s="200">
        <f t="shared" si="31"/>
        <v>69011.8</v>
      </c>
      <c r="H59" s="90" t="s">
        <v>5</v>
      </c>
      <c r="I59" s="205">
        <v>10</v>
      </c>
      <c r="J59" s="63">
        <v>3000</v>
      </c>
      <c r="K59" s="64">
        <f t="shared" si="1"/>
        <v>300</v>
      </c>
      <c r="L59" s="205">
        <v>10</v>
      </c>
      <c r="M59" s="65">
        <f t="shared" si="32"/>
        <v>2875.4716981132092</v>
      </c>
      <c r="N59" s="65">
        <f t="shared" si="3"/>
        <v>287.54716981132094</v>
      </c>
      <c r="O59" s="66">
        <f t="shared" si="4"/>
        <v>0</v>
      </c>
      <c r="P59" s="67">
        <f t="shared" si="5"/>
        <v>-12.452830188679059</v>
      </c>
      <c r="Q59" s="201">
        <f t="shared" si="6"/>
        <v>0.95849056603773652</v>
      </c>
      <c r="R59" s="529"/>
      <c r="S59" s="68">
        <v>0.49999999999999989</v>
      </c>
      <c r="T59" s="68">
        <v>0.53680555555555542</v>
      </c>
      <c r="U59" s="200">
        <f t="shared" si="34"/>
        <v>58.99999999999995</v>
      </c>
      <c r="V59" s="206">
        <f t="shared" si="33"/>
        <v>52.999999999999972</v>
      </c>
      <c r="W59" s="69"/>
      <c r="X59" s="69"/>
      <c r="Y59" s="517"/>
      <c r="Z59" s="518"/>
      <c r="AA59" s="66">
        <f t="shared" si="8"/>
        <v>-124.52830188679081</v>
      </c>
      <c r="AB59" s="201">
        <f t="shared" si="9"/>
        <v>0.95849056603773641</v>
      </c>
      <c r="AC59" s="529"/>
    </row>
    <row r="60" spans="1:29" ht="15.75" customHeight="1">
      <c r="A60" s="526" t="s">
        <v>984</v>
      </c>
      <c r="B60" s="62" t="s">
        <v>35</v>
      </c>
      <c r="C60" s="521" t="s">
        <v>36</v>
      </c>
      <c r="D60" s="522"/>
      <c r="E60" s="62">
        <v>21.13</v>
      </c>
      <c r="F60" s="207">
        <v>1523</v>
      </c>
      <c r="G60" s="200">
        <f t="shared" si="31"/>
        <v>32180.989999999998</v>
      </c>
      <c r="H60" s="90" t="s">
        <v>5</v>
      </c>
      <c r="I60" s="205">
        <v>10</v>
      </c>
      <c r="J60" s="63">
        <v>3000</v>
      </c>
      <c r="K60" s="64">
        <f t="shared" si="1"/>
        <v>300</v>
      </c>
      <c r="L60" s="205">
        <v>10</v>
      </c>
      <c r="M60" s="65">
        <f t="shared" si="32"/>
        <v>2855.6249999999964</v>
      </c>
      <c r="N60" s="65">
        <f t="shared" si="3"/>
        <v>285.56249999999966</v>
      </c>
      <c r="O60" s="66">
        <f t="shared" si="4"/>
        <v>0</v>
      </c>
      <c r="P60" s="67">
        <f t="shared" si="5"/>
        <v>-14.437500000000341</v>
      </c>
      <c r="Q60" s="201">
        <f t="shared" si="6"/>
        <v>0.95187499999999892</v>
      </c>
      <c r="R60" s="529"/>
      <c r="S60" s="68">
        <v>0.54236111111111096</v>
      </c>
      <c r="T60" s="68">
        <v>0.56458333333333321</v>
      </c>
      <c r="U60" s="200">
        <f t="shared" si="34"/>
        <v>7.9999999999999716</v>
      </c>
      <c r="V60" s="206">
        <f t="shared" si="33"/>
        <v>32.000000000000043</v>
      </c>
      <c r="W60" s="69"/>
      <c r="X60" s="69"/>
      <c r="Y60" s="517"/>
      <c r="Z60" s="518"/>
      <c r="AA60" s="66">
        <f t="shared" si="8"/>
        <v>-144.37500000000364</v>
      </c>
      <c r="AB60" s="201">
        <f t="shared" si="9"/>
        <v>0.95187499999999881</v>
      </c>
      <c r="AC60" s="529"/>
    </row>
    <row r="61" spans="1:29" ht="15.75" customHeight="1">
      <c r="A61" s="526" t="s">
        <v>984</v>
      </c>
      <c r="B61" s="62" t="s">
        <v>35</v>
      </c>
      <c r="C61" s="521" t="s">
        <v>38</v>
      </c>
      <c r="D61" s="522"/>
      <c r="E61" s="62">
        <v>35.119999999999997</v>
      </c>
      <c r="F61" s="207">
        <v>1766</v>
      </c>
      <c r="G61" s="200">
        <f t="shared" si="31"/>
        <v>62021.919999999998</v>
      </c>
      <c r="H61" s="90" t="s">
        <v>5</v>
      </c>
      <c r="I61" s="205">
        <v>10</v>
      </c>
      <c r="J61" s="63">
        <v>3000</v>
      </c>
      <c r="K61" s="64">
        <f t="shared" si="1"/>
        <v>300</v>
      </c>
      <c r="L61" s="205">
        <v>10</v>
      </c>
      <c r="M61" s="65">
        <f t="shared" si="32"/>
        <v>2863.7837837837815</v>
      </c>
      <c r="N61" s="65">
        <f t="shared" si="3"/>
        <v>286.37837837837816</v>
      </c>
      <c r="O61" s="66">
        <f t="shared" si="4"/>
        <v>0</v>
      </c>
      <c r="P61" s="67">
        <f t="shared" si="5"/>
        <v>-13.621621621621841</v>
      </c>
      <c r="Q61" s="201">
        <f t="shared" si="6"/>
        <v>0.95459459459459384</v>
      </c>
      <c r="R61" s="529"/>
      <c r="S61" s="68">
        <v>0.56805555555555542</v>
      </c>
      <c r="T61" s="68">
        <v>0.59374999999999989</v>
      </c>
      <c r="U61" s="200">
        <f t="shared" si="34"/>
        <v>4.9999999999999822</v>
      </c>
      <c r="V61" s="206">
        <f t="shared" si="33"/>
        <v>37.000000000000028</v>
      </c>
      <c r="W61" s="69"/>
      <c r="X61" s="69"/>
      <c r="Y61" s="517"/>
      <c r="Z61" s="518"/>
      <c r="AA61" s="66">
        <f t="shared" si="8"/>
        <v>-136.21621621621853</v>
      </c>
      <c r="AB61" s="201">
        <f t="shared" si="9"/>
        <v>0.95459459459459384</v>
      </c>
      <c r="AC61" s="529"/>
    </row>
    <row r="62" spans="1:29" ht="15.75" customHeight="1">
      <c r="A62" s="527" t="s">
        <v>984</v>
      </c>
      <c r="B62" s="62" t="s">
        <v>975</v>
      </c>
      <c r="C62" s="508"/>
      <c r="D62" s="509"/>
      <c r="E62" s="199"/>
      <c r="F62" s="207"/>
      <c r="G62" s="200"/>
      <c r="H62" s="207"/>
      <c r="I62" s="72">
        <v>9.6</v>
      </c>
      <c r="J62" s="63">
        <v>3000</v>
      </c>
      <c r="K62" s="64">
        <f t="shared" si="1"/>
        <v>312.5</v>
      </c>
      <c r="L62" s="72">
        <v>9.6</v>
      </c>
      <c r="M62" s="65">
        <f>AVERAGE(M52:M61)</f>
        <v>2870.947321372656</v>
      </c>
      <c r="N62" s="64">
        <f t="shared" si="3"/>
        <v>299.057012642985</v>
      </c>
      <c r="O62" s="66">
        <f t="shared" si="4"/>
        <v>0</v>
      </c>
      <c r="P62" s="67">
        <f t="shared" si="5"/>
        <v>-13.442987357014999</v>
      </c>
      <c r="Q62" s="201">
        <f t="shared" si="6"/>
        <v>0.95698244045755199</v>
      </c>
      <c r="R62" s="530"/>
      <c r="S62" s="68"/>
      <c r="T62" s="68"/>
      <c r="U62" s="200"/>
      <c r="V62" s="206"/>
      <c r="W62" s="69"/>
      <c r="X62" s="69"/>
      <c r="Y62" s="517"/>
      <c r="Z62" s="518"/>
      <c r="AA62" s="66">
        <f t="shared" si="8"/>
        <v>-129.05267862734399</v>
      </c>
      <c r="AB62" s="201">
        <f t="shared" si="9"/>
        <v>0.95698244045755199</v>
      </c>
      <c r="AC62" s="530"/>
    </row>
    <row r="63" spans="1:29" ht="15.75" customHeight="1">
      <c r="A63" s="523" t="s">
        <v>985</v>
      </c>
      <c r="B63" s="62" t="s">
        <v>10</v>
      </c>
      <c r="C63" s="512" t="s">
        <v>41</v>
      </c>
      <c r="D63" s="512"/>
      <c r="E63" s="62">
        <v>46</v>
      </c>
      <c r="F63" s="74">
        <v>2856</v>
      </c>
      <c r="G63" s="200">
        <f t="shared" ref="G63:G68" si="35">E63*F63</f>
        <v>131376</v>
      </c>
      <c r="H63" s="90" t="s">
        <v>5</v>
      </c>
      <c r="I63" s="205">
        <v>17</v>
      </c>
      <c r="J63" s="63">
        <v>2000</v>
      </c>
      <c r="K63" s="64">
        <f t="shared" si="1"/>
        <v>117.64705882352941</v>
      </c>
      <c r="L63" s="205">
        <v>17</v>
      </c>
      <c r="M63" s="65">
        <f t="shared" ref="M63:M68" si="36">F63/V63*60</f>
        <v>1904</v>
      </c>
      <c r="N63" s="65">
        <f t="shared" si="3"/>
        <v>112</v>
      </c>
      <c r="O63" s="66">
        <f t="shared" si="4"/>
        <v>0</v>
      </c>
      <c r="P63" s="67">
        <f t="shared" si="5"/>
        <v>-5.6470588235294059</v>
      </c>
      <c r="Q63" s="201">
        <f t="shared" si="6"/>
        <v>0.95200000000000007</v>
      </c>
      <c r="R63" s="511">
        <f>Q69</f>
        <v>0.95832464600723455</v>
      </c>
      <c r="S63" s="68">
        <v>0.33333333333333331</v>
      </c>
      <c r="T63" s="68">
        <v>0.39583333333333331</v>
      </c>
      <c r="U63" s="73"/>
      <c r="V63" s="206">
        <f t="shared" ref="V63:V68" si="37">(T63-S63)*24*60</f>
        <v>90</v>
      </c>
      <c r="W63" s="73"/>
      <c r="X63" s="73"/>
      <c r="Y63" s="510"/>
      <c r="Z63" s="510"/>
      <c r="AA63" s="66">
        <f t="shared" si="8"/>
        <v>-96</v>
      </c>
      <c r="AB63" s="201">
        <f t="shared" si="9"/>
        <v>0.95199999999999996</v>
      </c>
      <c r="AC63" s="511">
        <f>AB69</f>
        <v>0.95832464600723455</v>
      </c>
    </row>
    <row r="64" spans="1:29" ht="15.75" customHeight="1">
      <c r="A64" s="523" t="s">
        <v>985</v>
      </c>
      <c r="B64" s="62" t="s">
        <v>10</v>
      </c>
      <c r="C64" s="512" t="s">
        <v>42</v>
      </c>
      <c r="D64" s="512"/>
      <c r="E64" s="62">
        <v>46</v>
      </c>
      <c r="F64" s="74">
        <v>3017</v>
      </c>
      <c r="G64" s="200">
        <f t="shared" si="35"/>
        <v>138782</v>
      </c>
      <c r="H64" s="90" t="s">
        <v>5</v>
      </c>
      <c r="I64" s="205">
        <v>17</v>
      </c>
      <c r="J64" s="63">
        <v>2000</v>
      </c>
      <c r="K64" s="64">
        <f t="shared" si="1"/>
        <v>117.64705882352941</v>
      </c>
      <c r="L64" s="205">
        <v>17</v>
      </c>
      <c r="M64" s="65">
        <f t="shared" si="36"/>
        <v>1905.4736842105267</v>
      </c>
      <c r="N64" s="65">
        <f t="shared" si="3"/>
        <v>112.08668730650157</v>
      </c>
      <c r="O64" s="66">
        <f t="shared" si="4"/>
        <v>0</v>
      </c>
      <c r="P64" s="67">
        <f t="shared" si="5"/>
        <v>-5.5603715170278321</v>
      </c>
      <c r="Q64" s="201">
        <f t="shared" si="6"/>
        <v>0.95273684210526344</v>
      </c>
      <c r="R64" s="511"/>
      <c r="S64" s="68">
        <v>0.40138888888888885</v>
      </c>
      <c r="T64" s="68">
        <v>0.46736111111111106</v>
      </c>
      <c r="U64" s="200">
        <f t="shared" ref="U64:U68" si="38">IF(S64=TIME(17,0,0),"",(S64-T63)*24*60)</f>
        <v>7.9999999999999716</v>
      </c>
      <c r="V64" s="206">
        <f t="shared" si="37"/>
        <v>94.999999999999986</v>
      </c>
      <c r="W64" s="69"/>
      <c r="X64" s="69"/>
      <c r="Y64" s="510"/>
      <c r="Z64" s="510"/>
      <c r="AA64" s="66">
        <f t="shared" si="8"/>
        <v>-94.526315789473301</v>
      </c>
      <c r="AB64" s="201">
        <f t="shared" si="9"/>
        <v>0.95273684210526333</v>
      </c>
      <c r="AC64" s="511"/>
    </row>
    <row r="65" spans="1:29" ht="15.75" customHeight="1">
      <c r="A65" s="523" t="s">
        <v>985</v>
      </c>
      <c r="B65" s="62" t="s">
        <v>6</v>
      </c>
      <c r="C65" s="521" t="s">
        <v>43</v>
      </c>
      <c r="D65" s="522"/>
      <c r="E65" s="62">
        <v>55.56</v>
      </c>
      <c r="F65" s="74">
        <v>2526</v>
      </c>
      <c r="G65" s="200">
        <f t="shared" si="35"/>
        <v>140344.56</v>
      </c>
      <c r="H65" s="90" t="s">
        <v>5</v>
      </c>
      <c r="I65" s="205">
        <v>17</v>
      </c>
      <c r="J65" s="63">
        <v>2000</v>
      </c>
      <c r="K65" s="64">
        <f t="shared" si="1"/>
        <v>117.64705882352941</v>
      </c>
      <c r="L65" s="205">
        <v>17</v>
      </c>
      <c r="M65" s="65">
        <f t="shared" si="36"/>
        <v>1918.4810126582267</v>
      </c>
      <c r="N65" s="65">
        <f t="shared" si="3"/>
        <v>112.85182427401334</v>
      </c>
      <c r="O65" s="66">
        <f t="shared" si="4"/>
        <v>0</v>
      </c>
      <c r="P65" s="67">
        <f t="shared" si="5"/>
        <v>-4.7952345495160671</v>
      </c>
      <c r="Q65" s="201">
        <f t="shared" si="6"/>
        <v>0.9592405063291134</v>
      </c>
      <c r="R65" s="511"/>
      <c r="S65" s="68">
        <v>0.70833333333333337</v>
      </c>
      <c r="T65" s="68">
        <v>0.76319444444444451</v>
      </c>
      <c r="U65" s="200" t="str">
        <f t="shared" si="38"/>
        <v/>
      </c>
      <c r="V65" s="206">
        <f t="shared" si="37"/>
        <v>79.000000000000043</v>
      </c>
      <c r="W65" s="69"/>
      <c r="X65" s="69"/>
      <c r="Y65" s="197"/>
      <c r="Z65" s="198"/>
      <c r="AA65" s="66">
        <f t="shared" si="8"/>
        <v>-81.518987341773254</v>
      </c>
      <c r="AB65" s="201">
        <f t="shared" si="9"/>
        <v>0.9592405063291134</v>
      </c>
      <c r="AC65" s="511"/>
    </row>
    <row r="66" spans="1:29" ht="15.75" customHeight="1">
      <c r="A66" s="523" t="s">
        <v>985</v>
      </c>
      <c r="B66" s="62" t="s">
        <v>6</v>
      </c>
      <c r="C66" s="203" t="s">
        <v>44</v>
      </c>
      <c r="D66" s="204"/>
      <c r="E66" s="62">
        <v>55.32</v>
      </c>
      <c r="F66" s="74">
        <v>2008</v>
      </c>
      <c r="G66" s="200">
        <f t="shared" si="35"/>
        <v>111082.56</v>
      </c>
      <c r="H66" s="90" t="s">
        <v>5</v>
      </c>
      <c r="I66" s="205">
        <v>15</v>
      </c>
      <c r="J66" s="63">
        <v>2000</v>
      </c>
      <c r="K66" s="64">
        <f t="shared" si="1"/>
        <v>133.33333333333334</v>
      </c>
      <c r="L66" s="205">
        <v>15</v>
      </c>
      <c r="M66" s="65">
        <f t="shared" si="36"/>
        <v>1912.3809523809543</v>
      </c>
      <c r="N66" s="65">
        <f t="shared" si="3"/>
        <v>127.49206349206362</v>
      </c>
      <c r="O66" s="66">
        <f t="shared" si="4"/>
        <v>0</v>
      </c>
      <c r="P66" s="67">
        <f t="shared" si="5"/>
        <v>-5.841269841269721</v>
      </c>
      <c r="Q66" s="201">
        <f t="shared" si="6"/>
        <v>0.95619047619047715</v>
      </c>
      <c r="R66" s="511"/>
      <c r="S66" s="68">
        <v>0.76666666666666672</v>
      </c>
      <c r="T66" s="68">
        <v>0.81041666666666667</v>
      </c>
      <c r="U66" s="200">
        <f t="shared" si="38"/>
        <v>4.9999999999999822</v>
      </c>
      <c r="V66" s="206">
        <f t="shared" si="37"/>
        <v>62.999999999999936</v>
      </c>
      <c r="W66" s="69"/>
      <c r="X66" s="69"/>
      <c r="Y66" s="197"/>
      <c r="Z66" s="198"/>
      <c r="AA66" s="66">
        <f t="shared" si="8"/>
        <v>-87.619047619045659</v>
      </c>
      <c r="AB66" s="201">
        <f t="shared" si="9"/>
        <v>0.95619047619047715</v>
      </c>
      <c r="AC66" s="511"/>
    </row>
    <row r="67" spans="1:29" ht="15.75" customHeight="1">
      <c r="A67" s="523" t="s">
        <v>985</v>
      </c>
      <c r="B67" s="62" t="s">
        <v>6</v>
      </c>
      <c r="C67" s="203" t="s">
        <v>7</v>
      </c>
      <c r="D67" s="204"/>
      <c r="E67" s="62">
        <v>46.93</v>
      </c>
      <c r="F67" s="74">
        <v>1521</v>
      </c>
      <c r="G67" s="200">
        <f t="shared" si="35"/>
        <v>71380.53</v>
      </c>
      <c r="H67" s="90" t="s">
        <v>5</v>
      </c>
      <c r="I67" s="205">
        <v>16</v>
      </c>
      <c r="J67" s="63">
        <v>2000</v>
      </c>
      <c r="K67" s="64">
        <f t="shared" si="1"/>
        <v>125</v>
      </c>
      <c r="L67" s="205">
        <v>16</v>
      </c>
      <c r="M67" s="65">
        <f t="shared" si="36"/>
        <v>1941.7021276595747</v>
      </c>
      <c r="N67" s="65">
        <f t="shared" si="3"/>
        <v>121.35638297872342</v>
      </c>
      <c r="O67" s="66">
        <f t="shared" si="4"/>
        <v>0</v>
      </c>
      <c r="P67" s="67">
        <f t="shared" si="5"/>
        <v>-3.643617021276583</v>
      </c>
      <c r="Q67" s="201">
        <f t="shared" si="6"/>
        <v>0.97085106382978736</v>
      </c>
      <c r="R67" s="511"/>
      <c r="S67" s="68">
        <v>0.81388888888888888</v>
      </c>
      <c r="T67" s="68">
        <v>0.84652777777777777</v>
      </c>
      <c r="U67" s="200">
        <f t="shared" si="38"/>
        <v>4.9999999999999822</v>
      </c>
      <c r="V67" s="206">
        <f t="shared" si="37"/>
        <v>46.999999999999993</v>
      </c>
      <c r="W67" s="69">
        <f>T67</f>
        <v>0.84652777777777777</v>
      </c>
      <c r="X67" s="69">
        <f>S68</f>
        <v>0.88472222222222219</v>
      </c>
      <c r="Y67" s="197"/>
      <c r="Z67" s="198"/>
      <c r="AA67" s="66">
        <f t="shared" si="8"/>
        <v>-58.297872340425329</v>
      </c>
      <c r="AB67" s="201">
        <f t="shared" si="9"/>
        <v>0.97085106382978736</v>
      </c>
      <c r="AC67" s="511"/>
    </row>
    <row r="68" spans="1:29" ht="15.75" customHeight="1">
      <c r="A68" s="523" t="s">
        <v>985</v>
      </c>
      <c r="B68" s="62" t="s">
        <v>6</v>
      </c>
      <c r="C68" s="521" t="s">
        <v>82</v>
      </c>
      <c r="D68" s="522"/>
      <c r="E68" s="62">
        <v>57.73</v>
      </c>
      <c r="F68" s="74">
        <v>2206</v>
      </c>
      <c r="G68" s="200">
        <f t="shared" si="35"/>
        <v>127352.37999999999</v>
      </c>
      <c r="H68" s="90" t="s">
        <v>5</v>
      </c>
      <c r="I68" s="205">
        <v>16</v>
      </c>
      <c r="J68" s="63">
        <v>1500</v>
      </c>
      <c r="K68" s="64">
        <f t="shared" si="1"/>
        <v>93.75</v>
      </c>
      <c r="L68" s="205">
        <v>16</v>
      </c>
      <c r="M68" s="65">
        <f t="shared" si="36"/>
        <v>1438.695652173913</v>
      </c>
      <c r="N68" s="65">
        <f t="shared" si="3"/>
        <v>89.918478260869563</v>
      </c>
      <c r="O68" s="66">
        <f t="shared" si="4"/>
        <v>0</v>
      </c>
      <c r="P68" s="67">
        <f t="shared" si="5"/>
        <v>-3.8315217391304373</v>
      </c>
      <c r="Q68" s="201">
        <f t="shared" si="6"/>
        <v>0.95913043478260862</v>
      </c>
      <c r="R68" s="511"/>
      <c r="S68" s="68">
        <v>0.88472222222222219</v>
      </c>
      <c r="T68" s="68">
        <v>0.94861111111111107</v>
      </c>
      <c r="U68" s="200">
        <f t="shared" si="38"/>
        <v>54.999999999999964</v>
      </c>
      <c r="V68" s="206">
        <f t="shared" si="37"/>
        <v>92</v>
      </c>
      <c r="W68" s="69"/>
      <c r="X68" s="69"/>
      <c r="Y68" s="517"/>
      <c r="Z68" s="518"/>
      <c r="AA68" s="66">
        <f t="shared" si="8"/>
        <v>-61.304347826086996</v>
      </c>
      <c r="AB68" s="201">
        <f t="shared" si="9"/>
        <v>0.95913043478260862</v>
      </c>
      <c r="AC68" s="511"/>
    </row>
    <row r="69" spans="1:29">
      <c r="A69" s="524" t="s">
        <v>985</v>
      </c>
      <c r="B69" s="62" t="s">
        <v>975</v>
      </c>
      <c r="C69" s="513"/>
      <c r="D69" s="513"/>
      <c r="E69" s="202"/>
      <c r="F69" s="71"/>
      <c r="G69" s="64"/>
      <c r="H69" s="207"/>
      <c r="I69" s="72">
        <v>16.333333333333332</v>
      </c>
      <c r="J69" s="63">
        <v>1916.6666666666667</v>
      </c>
      <c r="K69" s="64">
        <f t="shared" ref="K69:K83" si="39">J69/I69</f>
        <v>117.34693877551021</v>
      </c>
      <c r="L69" s="72">
        <v>16.333333333333332</v>
      </c>
      <c r="M69" s="65">
        <f>AVERAGE(M63:M68)</f>
        <v>1836.7889048471995</v>
      </c>
      <c r="N69" s="64">
        <f t="shared" ref="N69:N83" si="40">M69/L69</f>
        <v>112.45646356207345</v>
      </c>
      <c r="O69" s="66">
        <f t="shared" ref="O69:O83" si="41">L69-I69</f>
        <v>0</v>
      </c>
      <c r="P69" s="67">
        <f t="shared" ref="P69:P83" si="42">N69-K69</f>
        <v>-4.8904752134367584</v>
      </c>
      <c r="Q69" s="201">
        <f t="shared" ref="Q69:Q83" si="43">N69/K69</f>
        <v>0.95832464600723455</v>
      </c>
      <c r="R69" s="511"/>
      <c r="S69" s="75"/>
      <c r="T69" s="68"/>
      <c r="U69" s="64"/>
      <c r="V69" s="206"/>
      <c r="W69" s="64"/>
      <c r="X69" s="64"/>
      <c r="Y69" s="510"/>
      <c r="Z69" s="510"/>
      <c r="AA69" s="66">
        <f t="shared" ref="AA69:AA83" si="44">M69-J69</f>
        <v>-79.877761819467196</v>
      </c>
      <c r="AB69" s="201">
        <f t="shared" ref="AB69:AB83" si="45">M69/J69</f>
        <v>0.95832464600723455</v>
      </c>
      <c r="AC69" s="511"/>
    </row>
    <row r="70" spans="1:29" ht="15.75" customHeight="1">
      <c r="A70" s="519" t="s">
        <v>986</v>
      </c>
      <c r="B70" s="207" t="s">
        <v>35</v>
      </c>
      <c r="C70" s="512" t="s">
        <v>45</v>
      </c>
      <c r="D70" s="512"/>
      <c r="E70" s="62">
        <v>26.78</v>
      </c>
      <c r="F70" s="74">
        <v>3015</v>
      </c>
      <c r="G70" s="200">
        <f t="shared" ref="G70:G72" si="46">E70*F70</f>
        <v>80741.7</v>
      </c>
      <c r="H70" s="90" t="s">
        <v>5</v>
      </c>
      <c r="I70" s="205">
        <v>10</v>
      </c>
      <c r="J70" s="63">
        <v>3000</v>
      </c>
      <c r="K70" s="64">
        <f t="shared" si="39"/>
        <v>300</v>
      </c>
      <c r="L70" s="205">
        <v>10</v>
      </c>
      <c r="M70" s="65">
        <f t="shared" ref="M70:M72" si="47">F70/V70*60</f>
        <v>2871.4285714285725</v>
      </c>
      <c r="N70" s="64">
        <f t="shared" si="40"/>
        <v>287.14285714285722</v>
      </c>
      <c r="O70" s="66">
        <f t="shared" si="41"/>
        <v>0</v>
      </c>
      <c r="P70" s="67">
        <f t="shared" si="42"/>
        <v>-12.857142857142776</v>
      </c>
      <c r="Q70" s="201">
        <f t="shared" si="43"/>
        <v>0.95714285714285741</v>
      </c>
      <c r="R70" s="511">
        <f>Q73</f>
        <v>0.9536978021978022</v>
      </c>
      <c r="S70" s="68">
        <v>0.20833333333333334</v>
      </c>
      <c r="T70" s="68">
        <v>0.25208333333333333</v>
      </c>
      <c r="U70" s="200"/>
      <c r="V70" s="206">
        <f t="shared" ref="V70:V72" si="48">(T70-S70)*24*60</f>
        <v>62.999999999999979</v>
      </c>
      <c r="W70" s="73"/>
      <c r="X70" s="73"/>
      <c r="Y70" s="510"/>
      <c r="Z70" s="510"/>
      <c r="AA70" s="66">
        <f t="shared" si="44"/>
        <v>-128.57142857142753</v>
      </c>
      <c r="AB70" s="201">
        <f t="shared" si="45"/>
        <v>0.95714285714285752</v>
      </c>
      <c r="AC70" s="511">
        <f>AB73</f>
        <v>0.9536978021978022</v>
      </c>
    </row>
    <row r="71" spans="1:29" ht="15.75" customHeight="1">
      <c r="A71" s="519" t="s">
        <v>986</v>
      </c>
      <c r="B71" s="207" t="s">
        <v>35</v>
      </c>
      <c r="C71" s="512" t="s">
        <v>74</v>
      </c>
      <c r="D71" s="512"/>
      <c r="E71" s="62">
        <v>34.36</v>
      </c>
      <c r="F71" s="74">
        <v>2852</v>
      </c>
      <c r="G71" s="200">
        <f t="shared" si="46"/>
        <v>97994.72</v>
      </c>
      <c r="H71" s="90" t="s">
        <v>5</v>
      </c>
      <c r="I71" s="205">
        <v>10</v>
      </c>
      <c r="J71" s="63">
        <v>3000</v>
      </c>
      <c r="K71" s="64">
        <f t="shared" si="39"/>
        <v>300</v>
      </c>
      <c r="L71" s="205">
        <v>10</v>
      </c>
      <c r="M71" s="65">
        <f t="shared" si="47"/>
        <v>2851.9999999999986</v>
      </c>
      <c r="N71" s="64">
        <f t="shared" si="40"/>
        <v>285.19999999999987</v>
      </c>
      <c r="O71" s="66">
        <f t="shared" si="41"/>
        <v>0</v>
      </c>
      <c r="P71" s="67">
        <f t="shared" si="42"/>
        <v>-14.800000000000125</v>
      </c>
      <c r="Q71" s="201">
        <f t="shared" si="43"/>
        <v>0.95066666666666622</v>
      </c>
      <c r="R71" s="511"/>
      <c r="S71" s="68">
        <v>0.25763888888888886</v>
      </c>
      <c r="T71" s="68">
        <v>0.29930555555555555</v>
      </c>
      <c r="U71" s="200">
        <f t="shared" ref="U71:U72" si="49">(S71-T70)*24*60</f>
        <v>7.9999999999999716</v>
      </c>
      <c r="V71" s="206">
        <f t="shared" si="48"/>
        <v>60.000000000000028</v>
      </c>
      <c r="W71" s="200"/>
      <c r="X71" s="200"/>
      <c r="Y71" s="510"/>
      <c r="Z71" s="510"/>
      <c r="AA71" s="66">
        <f t="shared" si="44"/>
        <v>-148.00000000000136</v>
      </c>
      <c r="AB71" s="201">
        <f t="shared" si="45"/>
        <v>0.95066666666666622</v>
      </c>
      <c r="AC71" s="511"/>
    </row>
    <row r="72" spans="1:29" ht="15.75" customHeight="1">
      <c r="A72" s="519" t="s">
        <v>986</v>
      </c>
      <c r="B72" s="207" t="s">
        <v>35</v>
      </c>
      <c r="C72" s="512" t="s">
        <v>84</v>
      </c>
      <c r="D72" s="512"/>
      <c r="E72" s="62">
        <v>31</v>
      </c>
      <c r="F72" s="74">
        <v>6608</v>
      </c>
      <c r="G72" s="200">
        <f t="shared" si="46"/>
        <v>204848</v>
      </c>
      <c r="H72" s="90" t="s">
        <v>5</v>
      </c>
      <c r="I72" s="205">
        <v>13</v>
      </c>
      <c r="J72" s="63">
        <v>2000</v>
      </c>
      <c r="K72" s="64">
        <f t="shared" si="39"/>
        <v>153.84615384615384</v>
      </c>
      <c r="L72" s="205">
        <v>13</v>
      </c>
      <c r="M72" s="65">
        <f t="shared" si="47"/>
        <v>1906.1538461538464</v>
      </c>
      <c r="N72" s="64">
        <f t="shared" si="40"/>
        <v>146.62721893491127</v>
      </c>
      <c r="O72" s="66">
        <f t="shared" si="41"/>
        <v>0</v>
      </c>
      <c r="P72" s="67">
        <f t="shared" si="42"/>
        <v>-7.2189349112425703</v>
      </c>
      <c r="Q72" s="201">
        <f t="shared" si="43"/>
        <v>0.95307692307692327</v>
      </c>
      <c r="R72" s="511"/>
      <c r="S72" s="68">
        <v>0.3034722222222222</v>
      </c>
      <c r="T72" s="68">
        <v>0.44791666666666663</v>
      </c>
      <c r="U72" s="200">
        <f t="shared" si="49"/>
        <v>5.9999999999999787</v>
      </c>
      <c r="V72" s="206">
        <f t="shared" si="48"/>
        <v>207.99999999999997</v>
      </c>
      <c r="W72" s="200"/>
      <c r="X72" s="200"/>
      <c r="Y72" s="510"/>
      <c r="Z72" s="510"/>
      <c r="AA72" s="66">
        <f t="shared" si="44"/>
        <v>-93.846153846153584</v>
      </c>
      <c r="AB72" s="201">
        <f t="shared" si="45"/>
        <v>0.95307692307692315</v>
      </c>
      <c r="AC72" s="511"/>
    </row>
    <row r="73" spans="1:29">
      <c r="A73" s="520" t="s">
        <v>986</v>
      </c>
      <c r="B73" s="62" t="s">
        <v>975</v>
      </c>
      <c r="C73" s="513"/>
      <c r="D73" s="513"/>
      <c r="E73" s="202"/>
      <c r="F73" s="71"/>
      <c r="G73" s="64"/>
      <c r="H73" s="207"/>
      <c r="I73" s="72">
        <v>11</v>
      </c>
      <c r="J73" s="63">
        <v>2666.6666666666665</v>
      </c>
      <c r="K73" s="64">
        <f t="shared" si="39"/>
        <v>242.42424242424241</v>
      </c>
      <c r="L73" s="72">
        <v>11</v>
      </c>
      <c r="M73" s="65">
        <f>AVERAGE(M70:M72)</f>
        <v>2543.1941391941391</v>
      </c>
      <c r="N73" s="64">
        <f t="shared" si="40"/>
        <v>231.19946719946719</v>
      </c>
      <c r="O73" s="66">
        <f t="shared" si="41"/>
        <v>0</v>
      </c>
      <c r="P73" s="67">
        <f t="shared" si="42"/>
        <v>-11.224775224775215</v>
      </c>
      <c r="Q73" s="201">
        <f t="shared" si="43"/>
        <v>0.9536978021978022</v>
      </c>
      <c r="R73" s="511"/>
      <c r="S73" s="68"/>
      <c r="T73" s="68"/>
      <c r="U73" s="64"/>
      <c r="V73" s="206"/>
      <c r="W73" s="64"/>
      <c r="X73" s="64"/>
      <c r="Y73" s="510"/>
      <c r="Z73" s="510"/>
      <c r="AA73" s="66">
        <f t="shared" si="44"/>
        <v>-123.47252747252742</v>
      </c>
      <c r="AB73" s="201">
        <f t="shared" si="45"/>
        <v>0.9536978021978022</v>
      </c>
      <c r="AC73" s="511"/>
    </row>
    <row r="74" spans="1:29" ht="15.75" customHeight="1">
      <c r="A74" s="514" t="s">
        <v>987</v>
      </c>
      <c r="B74" s="207" t="s">
        <v>16</v>
      </c>
      <c r="C74" s="512" t="s">
        <v>48</v>
      </c>
      <c r="D74" s="512"/>
      <c r="E74" s="62">
        <v>20.2</v>
      </c>
      <c r="F74" s="207">
        <v>2791</v>
      </c>
      <c r="G74" s="200">
        <f t="shared" ref="G74:G82" si="50">E74*F74</f>
        <v>56378.2</v>
      </c>
      <c r="H74" s="90" t="s">
        <v>5</v>
      </c>
      <c r="I74" s="205">
        <v>19</v>
      </c>
      <c r="J74" s="63">
        <v>2400</v>
      </c>
      <c r="K74" s="64">
        <f t="shared" si="39"/>
        <v>126.31578947368421</v>
      </c>
      <c r="L74" s="205">
        <v>19</v>
      </c>
      <c r="M74" s="65">
        <f t="shared" ref="M74:M82" si="51">F74/V74*60</f>
        <v>2293.972602739726</v>
      </c>
      <c r="N74" s="64">
        <f t="shared" si="40"/>
        <v>120.73540014419611</v>
      </c>
      <c r="O74" s="66">
        <f t="shared" si="41"/>
        <v>0</v>
      </c>
      <c r="P74" s="67">
        <f t="shared" si="42"/>
        <v>-5.5803893294880993</v>
      </c>
      <c r="Q74" s="201">
        <f t="shared" si="43"/>
        <v>0.95582191780821923</v>
      </c>
      <c r="R74" s="511">
        <f>Q83</f>
        <v>0.95647463652891884</v>
      </c>
      <c r="S74" s="68">
        <v>8.3333333333333329E-2</v>
      </c>
      <c r="T74" s="68">
        <v>0.13402777777777777</v>
      </c>
      <c r="U74" s="73"/>
      <c r="V74" s="206">
        <f t="shared" ref="V74:V82" si="52">(T74-S74)*24*60</f>
        <v>73</v>
      </c>
      <c r="W74" s="69">
        <f>T74</f>
        <v>0.13402777777777777</v>
      </c>
      <c r="X74" s="69">
        <f>S75</f>
        <v>0.1534722222222222</v>
      </c>
      <c r="Y74" s="510"/>
      <c r="Z74" s="510"/>
      <c r="AA74" s="66">
        <f t="shared" si="44"/>
        <v>-106.02739726027403</v>
      </c>
      <c r="AB74" s="201">
        <f t="shared" si="45"/>
        <v>0.95582191780821912</v>
      </c>
      <c r="AC74" s="511">
        <f>AB83</f>
        <v>0.95647463652891895</v>
      </c>
    </row>
    <row r="75" spans="1:29" ht="15.75" customHeight="1">
      <c r="A75" s="515" t="s">
        <v>987</v>
      </c>
      <c r="B75" s="207" t="s">
        <v>16</v>
      </c>
      <c r="C75" s="512" t="s">
        <v>51</v>
      </c>
      <c r="D75" s="512"/>
      <c r="E75" s="62">
        <v>24.25</v>
      </c>
      <c r="F75" s="207">
        <v>2634</v>
      </c>
      <c r="G75" s="200">
        <f t="shared" si="50"/>
        <v>63874.5</v>
      </c>
      <c r="H75" s="90" t="s">
        <v>5</v>
      </c>
      <c r="I75" s="205">
        <v>17</v>
      </c>
      <c r="J75" s="63">
        <v>2400</v>
      </c>
      <c r="K75" s="64">
        <f t="shared" si="39"/>
        <v>141.1764705882353</v>
      </c>
      <c r="L75" s="205">
        <v>17</v>
      </c>
      <c r="M75" s="65">
        <f t="shared" si="51"/>
        <v>2290.4347826086955</v>
      </c>
      <c r="N75" s="64">
        <f t="shared" si="40"/>
        <v>134.73145780051149</v>
      </c>
      <c r="O75" s="66">
        <f t="shared" si="41"/>
        <v>0</v>
      </c>
      <c r="P75" s="67">
        <f t="shared" si="42"/>
        <v>-6.4450127877238117</v>
      </c>
      <c r="Q75" s="201">
        <f t="shared" si="43"/>
        <v>0.95434782608695634</v>
      </c>
      <c r="R75" s="511"/>
      <c r="S75" s="68">
        <v>0.1534722222222222</v>
      </c>
      <c r="T75" s="68">
        <v>0.20138888888888887</v>
      </c>
      <c r="U75" s="200">
        <f t="shared" ref="U75:U82" si="53">(S75-T74)*24*60</f>
        <v>27.999999999999979</v>
      </c>
      <c r="V75" s="206">
        <f t="shared" si="52"/>
        <v>69</v>
      </c>
      <c r="W75" s="69"/>
      <c r="X75" s="69"/>
      <c r="Y75" s="510"/>
      <c r="Z75" s="510"/>
      <c r="AA75" s="66">
        <f t="shared" si="44"/>
        <v>-109.56521739130449</v>
      </c>
      <c r="AB75" s="201">
        <f t="shared" si="45"/>
        <v>0.95434782608695645</v>
      </c>
      <c r="AC75" s="511"/>
    </row>
    <row r="76" spans="1:29" ht="15.75" customHeight="1">
      <c r="A76" s="515" t="s">
        <v>987</v>
      </c>
      <c r="B76" s="207" t="s">
        <v>16</v>
      </c>
      <c r="C76" s="512" t="s">
        <v>17</v>
      </c>
      <c r="D76" s="512"/>
      <c r="E76" s="62">
        <v>24.45</v>
      </c>
      <c r="F76" s="207">
        <v>2619</v>
      </c>
      <c r="G76" s="200">
        <f t="shared" si="50"/>
        <v>64034.549999999996</v>
      </c>
      <c r="H76" s="90" t="s">
        <v>5</v>
      </c>
      <c r="I76" s="205">
        <v>20</v>
      </c>
      <c r="J76" s="63">
        <v>2400</v>
      </c>
      <c r="K76" s="64">
        <f t="shared" si="39"/>
        <v>120</v>
      </c>
      <c r="L76" s="205">
        <v>20</v>
      </c>
      <c r="M76" s="65">
        <f t="shared" si="51"/>
        <v>2310.8823529411748</v>
      </c>
      <c r="N76" s="64">
        <f t="shared" si="40"/>
        <v>115.54411764705874</v>
      </c>
      <c r="O76" s="66">
        <f t="shared" si="41"/>
        <v>0</v>
      </c>
      <c r="P76" s="67">
        <f t="shared" si="42"/>
        <v>-4.4558823529412592</v>
      </c>
      <c r="Q76" s="201">
        <f t="shared" si="43"/>
        <v>0.96286764705882288</v>
      </c>
      <c r="R76" s="511"/>
      <c r="S76" s="68">
        <v>0.20486111111111108</v>
      </c>
      <c r="T76" s="68">
        <v>0.25208333333333333</v>
      </c>
      <c r="U76" s="200">
        <f t="shared" si="53"/>
        <v>4.9999999999999822</v>
      </c>
      <c r="V76" s="206">
        <f t="shared" si="52"/>
        <v>68.000000000000043</v>
      </c>
      <c r="W76" s="69"/>
      <c r="X76" s="69"/>
      <c r="Y76" s="510"/>
      <c r="Z76" s="510"/>
      <c r="AA76" s="66">
        <f t="shared" si="44"/>
        <v>-89.117647058825241</v>
      </c>
      <c r="AB76" s="201">
        <f t="shared" si="45"/>
        <v>0.96286764705882277</v>
      </c>
      <c r="AC76" s="511"/>
    </row>
    <row r="77" spans="1:29" ht="15.75" customHeight="1">
      <c r="A77" s="515" t="s">
        <v>987</v>
      </c>
      <c r="B77" s="207" t="s">
        <v>16</v>
      </c>
      <c r="C77" s="512" t="s">
        <v>49</v>
      </c>
      <c r="D77" s="512"/>
      <c r="E77" s="62">
        <v>19.02</v>
      </c>
      <c r="F77" s="207">
        <v>4400</v>
      </c>
      <c r="G77" s="200">
        <f t="shared" si="50"/>
        <v>83688</v>
      </c>
      <c r="H77" s="90">
        <v>2</v>
      </c>
      <c r="I77" s="205">
        <v>15</v>
      </c>
      <c r="J77" s="63">
        <v>2400</v>
      </c>
      <c r="K77" s="64">
        <f t="shared" si="39"/>
        <v>160</v>
      </c>
      <c r="L77" s="205">
        <v>15</v>
      </c>
      <c r="M77" s="65">
        <f t="shared" si="51"/>
        <v>2295.652173913044</v>
      </c>
      <c r="N77" s="64">
        <f t="shared" si="40"/>
        <v>153.04347826086959</v>
      </c>
      <c r="O77" s="66">
        <f t="shared" si="41"/>
        <v>0</v>
      </c>
      <c r="P77" s="67">
        <f t="shared" si="42"/>
        <v>-6.9565217391304088</v>
      </c>
      <c r="Q77" s="201">
        <f t="shared" si="43"/>
        <v>0.95652173913043492</v>
      </c>
      <c r="R77" s="511"/>
      <c r="S77" s="68">
        <v>0.25555555555555554</v>
      </c>
      <c r="T77" s="68">
        <v>0.33541666666666664</v>
      </c>
      <c r="U77" s="200">
        <f t="shared" si="53"/>
        <v>4.9999999999999822</v>
      </c>
      <c r="V77" s="206">
        <f t="shared" si="52"/>
        <v>114.99999999999999</v>
      </c>
      <c r="W77" s="69"/>
      <c r="X77" s="69"/>
      <c r="Y77" s="510"/>
      <c r="Z77" s="510"/>
      <c r="AA77" s="66">
        <f t="shared" si="44"/>
        <v>-104.34782608695605</v>
      </c>
      <c r="AB77" s="201">
        <f t="shared" si="45"/>
        <v>0.95652173913043503</v>
      </c>
      <c r="AC77" s="511"/>
    </row>
    <row r="78" spans="1:29" ht="15.75" customHeight="1">
      <c r="A78" s="515" t="s">
        <v>987</v>
      </c>
      <c r="B78" s="207" t="s">
        <v>16</v>
      </c>
      <c r="C78" s="512" t="s">
        <v>26</v>
      </c>
      <c r="D78" s="512"/>
      <c r="E78" s="62">
        <v>20.52</v>
      </c>
      <c r="F78" s="207">
        <v>2300</v>
      </c>
      <c r="G78" s="200">
        <f t="shared" si="50"/>
        <v>47196</v>
      </c>
      <c r="H78" s="90">
        <v>2</v>
      </c>
      <c r="I78" s="205">
        <v>18</v>
      </c>
      <c r="J78" s="63">
        <v>2400</v>
      </c>
      <c r="K78" s="64">
        <f t="shared" si="39"/>
        <v>133.33333333333334</v>
      </c>
      <c r="L78" s="205">
        <v>18</v>
      </c>
      <c r="M78" s="65">
        <f t="shared" si="51"/>
        <v>2299.9999999999991</v>
      </c>
      <c r="N78" s="64">
        <f t="shared" si="40"/>
        <v>127.77777777777773</v>
      </c>
      <c r="O78" s="66">
        <f t="shared" si="41"/>
        <v>0</v>
      </c>
      <c r="P78" s="67">
        <f t="shared" si="42"/>
        <v>-5.555555555555614</v>
      </c>
      <c r="Q78" s="201">
        <f t="shared" si="43"/>
        <v>0.95833333333333293</v>
      </c>
      <c r="R78" s="511"/>
      <c r="S78" s="68">
        <v>0.33888888888888885</v>
      </c>
      <c r="T78" s="68">
        <v>0.38055555555555554</v>
      </c>
      <c r="U78" s="200">
        <f t="shared" si="53"/>
        <v>4.9999999999999822</v>
      </c>
      <c r="V78" s="206">
        <f t="shared" si="52"/>
        <v>60.000000000000028</v>
      </c>
      <c r="W78" s="69"/>
      <c r="X78" s="69"/>
      <c r="Y78" s="510"/>
      <c r="Z78" s="510"/>
      <c r="AA78" s="66">
        <f t="shared" si="44"/>
        <v>-100.00000000000091</v>
      </c>
      <c r="AB78" s="201">
        <f t="shared" si="45"/>
        <v>0.95833333333333293</v>
      </c>
      <c r="AC78" s="511"/>
    </row>
    <row r="79" spans="1:29" ht="15.75" customHeight="1">
      <c r="A79" s="515" t="s">
        <v>987</v>
      </c>
      <c r="B79" s="207" t="s">
        <v>16</v>
      </c>
      <c r="C79" s="512" t="s">
        <v>34</v>
      </c>
      <c r="D79" s="512"/>
      <c r="E79" s="62">
        <v>24.25</v>
      </c>
      <c r="F79" s="207">
        <v>3777</v>
      </c>
      <c r="G79" s="200">
        <f t="shared" si="50"/>
        <v>91592.25</v>
      </c>
      <c r="H79" s="90" t="s">
        <v>5</v>
      </c>
      <c r="I79" s="205">
        <v>13</v>
      </c>
      <c r="J79" s="63">
        <v>2400</v>
      </c>
      <c r="K79" s="64">
        <f t="shared" si="39"/>
        <v>184.61538461538461</v>
      </c>
      <c r="L79" s="205">
        <v>13</v>
      </c>
      <c r="M79" s="65">
        <f t="shared" si="51"/>
        <v>2289.0909090909099</v>
      </c>
      <c r="N79" s="64">
        <f t="shared" si="40"/>
        <v>176.08391608391614</v>
      </c>
      <c r="O79" s="66">
        <f t="shared" si="41"/>
        <v>0</v>
      </c>
      <c r="P79" s="67">
        <f t="shared" si="42"/>
        <v>-8.5314685314684766</v>
      </c>
      <c r="Q79" s="201">
        <f t="shared" si="43"/>
        <v>0.95378787878787907</v>
      </c>
      <c r="R79" s="511"/>
      <c r="S79" s="68">
        <v>0.38611111111111107</v>
      </c>
      <c r="T79" s="68">
        <v>0.45486111111111105</v>
      </c>
      <c r="U79" s="200">
        <f t="shared" si="53"/>
        <v>7.9999999999999716</v>
      </c>
      <c r="V79" s="206">
        <f t="shared" si="52"/>
        <v>98.999999999999972</v>
      </c>
      <c r="W79" s="69">
        <f>T79</f>
        <v>0.45486111111111105</v>
      </c>
      <c r="X79" s="69">
        <f>S80</f>
        <v>0.4951388888888888</v>
      </c>
      <c r="Y79" s="510"/>
      <c r="Z79" s="510"/>
      <c r="AA79" s="66">
        <f t="shared" si="44"/>
        <v>-110.90909090909008</v>
      </c>
      <c r="AB79" s="201">
        <f t="shared" si="45"/>
        <v>0.95378787878787918</v>
      </c>
      <c r="AC79" s="511"/>
    </row>
    <row r="80" spans="1:29" ht="15.75" customHeight="1">
      <c r="A80" s="515" t="s">
        <v>987</v>
      </c>
      <c r="B80" s="207" t="s">
        <v>16</v>
      </c>
      <c r="C80" s="512" t="s">
        <v>49</v>
      </c>
      <c r="D80" s="512"/>
      <c r="E80" s="62">
        <v>19.02</v>
      </c>
      <c r="F80" s="207">
        <v>8019</v>
      </c>
      <c r="G80" s="200">
        <f t="shared" si="50"/>
        <v>152521.38</v>
      </c>
      <c r="H80" s="90" t="s">
        <v>5</v>
      </c>
      <c r="I80" s="205">
        <v>15</v>
      </c>
      <c r="J80" s="63">
        <v>2400</v>
      </c>
      <c r="K80" s="64">
        <f t="shared" si="39"/>
        <v>160</v>
      </c>
      <c r="L80" s="205">
        <v>15</v>
      </c>
      <c r="M80" s="65">
        <f t="shared" si="51"/>
        <v>2291.1428571428564</v>
      </c>
      <c r="N80" s="64">
        <f t="shared" si="40"/>
        <v>152.7428571428571</v>
      </c>
      <c r="O80" s="66">
        <f t="shared" si="41"/>
        <v>0</v>
      </c>
      <c r="P80" s="67">
        <f t="shared" si="42"/>
        <v>-7.2571428571428953</v>
      </c>
      <c r="Q80" s="201">
        <f t="shared" si="43"/>
        <v>0.9546428571428569</v>
      </c>
      <c r="R80" s="511"/>
      <c r="S80" s="68">
        <v>0.4951388888888888</v>
      </c>
      <c r="T80" s="68">
        <v>0.64097222222222217</v>
      </c>
      <c r="U80" s="200">
        <f t="shared" si="53"/>
        <v>57.999999999999957</v>
      </c>
      <c r="V80" s="206">
        <f t="shared" si="52"/>
        <v>210.00000000000006</v>
      </c>
      <c r="W80" s="69"/>
      <c r="X80" s="69"/>
      <c r="Y80" s="517"/>
      <c r="Z80" s="518"/>
      <c r="AA80" s="66">
        <f t="shared" si="44"/>
        <v>-108.85714285714357</v>
      </c>
      <c r="AB80" s="201">
        <f t="shared" si="45"/>
        <v>0.95464285714285679</v>
      </c>
      <c r="AC80" s="511"/>
    </row>
    <row r="81" spans="1:29" ht="15.75" customHeight="1">
      <c r="A81" s="515" t="s">
        <v>987</v>
      </c>
      <c r="B81" s="207" t="s">
        <v>16</v>
      </c>
      <c r="C81" s="512" t="s">
        <v>26</v>
      </c>
      <c r="D81" s="512"/>
      <c r="E81" s="62">
        <v>20.52</v>
      </c>
      <c r="F81" s="207">
        <v>2608</v>
      </c>
      <c r="G81" s="200">
        <f t="shared" si="50"/>
        <v>53516.159999999996</v>
      </c>
      <c r="H81" s="90" t="s">
        <v>5</v>
      </c>
      <c r="I81" s="205">
        <v>18</v>
      </c>
      <c r="J81" s="63">
        <v>2400</v>
      </c>
      <c r="K81" s="64">
        <f t="shared" si="39"/>
        <v>133.33333333333334</v>
      </c>
      <c r="L81" s="205">
        <v>18</v>
      </c>
      <c r="M81" s="65">
        <f t="shared" si="51"/>
        <v>2301.1764705882383</v>
      </c>
      <c r="N81" s="64">
        <f t="shared" si="40"/>
        <v>127.84313725490213</v>
      </c>
      <c r="O81" s="66">
        <f t="shared" si="41"/>
        <v>0</v>
      </c>
      <c r="P81" s="67">
        <f t="shared" si="42"/>
        <v>-5.4901960784312109</v>
      </c>
      <c r="Q81" s="201">
        <f t="shared" si="43"/>
        <v>0.95882352941176596</v>
      </c>
      <c r="R81" s="511"/>
      <c r="S81" s="68">
        <v>0.64513888888888882</v>
      </c>
      <c r="T81" s="68">
        <v>0.69236111111111098</v>
      </c>
      <c r="U81" s="200">
        <f t="shared" si="53"/>
        <v>5.9999999999999787</v>
      </c>
      <c r="V81" s="206">
        <f t="shared" si="52"/>
        <v>67.999999999999915</v>
      </c>
      <c r="W81" s="69"/>
      <c r="X81" s="69"/>
      <c r="Y81" s="517"/>
      <c r="Z81" s="518"/>
      <c r="AA81" s="66">
        <f t="shared" si="44"/>
        <v>-98.823529411761683</v>
      </c>
      <c r="AB81" s="201">
        <f t="shared" si="45"/>
        <v>0.95882352941176596</v>
      </c>
      <c r="AC81" s="511"/>
    </row>
    <row r="82" spans="1:29" ht="15.75" customHeight="1">
      <c r="A82" s="515" t="s">
        <v>987</v>
      </c>
      <c r="B82" s="207" t="s">
        <v>16</v>
      </c>
      <c r="C82" s="512" t="s">
        <v>25</v>
      </c>
      <c r="D82" s="512"/>
      <c r="E82" s="62">
        <v>26.2</v>
      </c>
      <c r="F82" s="207">
        <v>2440</v>
      </c>
      <c r="G82" s="200">
        <f t="shared" si="50"/>
        <v>63928</v>
      </c>
      <c r="H82" s="90" t="s">
        <v>5</v>
      </c>
      <c r="I82" s="205">
        <v>20</v>
      </c>
      <c r="J82" s="63">
        <v>2400</v>
      </c>
      <c r="K82" s="64">
        <f t="shared" si="39"/>
        <v>120</v>
      </c>
      <c r="L82" s="205">
        <v>20</v>
      </c>
      <c r="M82" s="65">
        <f t="shared" si="51"/>
        <v>2287.5000000000027</v>
      </c>
      <c r="N82" s="64">
        <f t="shared" si="40"/>
        <v>114.37500000000014</v>
      </c>
      <c r="O82" s="66">
        <f t="shared" si="41"/>
        <v>0</v>
      </c>
      <c r="P82" s="67">
        <f t="shared" si="42"/>
        <v>-5.6249999999998579</v>
      </c>
      <c r="Q82" s="201">
        <f t="shared" si="43"/>
        <v>0.95312500000000122</v>
      </c>
      <c r="R82" s="511"/>
      <c r="S82" s="68">
        <v>0.69652777777777763</v>
      </c>
      <c r="T82" s="68">
        <v>0.74097222222222203</v>
      </c>
      <c r="U82" s="200">
        <f t="shared" si="53"/>
        <v>5.9999999999999787</v>
      </c>
      <c r="V82" s="206">
        <f t="shared" si="52"/>
        <v>63.999999999999929</v>
      </c>
      <c r="W82" s="69"/>
      <c r="X82" s="69"/>
      <c r="Y82" s="517"/>
      <c r="Z82" s="518"/>
      <c r="AA82" s="66">
        <f t="shared" si="44"/>
        <v>-112.49999999999727</v>
      </c>
      <c r="AB82" s="201">
        <f t="shared" si="45"/>
        <v>0.95312500000000111</v>
      </c>
      <c r="AC82" s="511"/>
    </row>
    <row r="83" spans="1:29" ht="16.5" customHeight="1">
      <c r="A83" s="516" t="s">
        <v>987</v>
      </c>
      <c r="B83" s="62" t="s">
        <v>975</v>
      </c>
      <c r="C83" s="508"/>
      <c r="D83" s="509"/>
      <c r="E83" s="202"/>
      <c r="F83" s="71"/>
      <c r="G83" s="64"/>
      <c r="H83" s="207"/>
      <c r="I83" s="72">
        <v>17.222222222222221</v>
      </c>
      <c r="J83" s="63">
        <v>2400</v>
      </c>
      <c r="K83" s="64">
        <f t="shared" si="39"/>
        <v>139.35483870967744</v>
      </c>
      <c r="L83" s="72">
        <v>17.222222222222221</v>
      </c>
      <c r="M83" s="65">
        <f>AVERAGE(M74:M82)</f>
        <v>2295.5391276694054</v>
      </c>
      <c r="N83" s="64">
        <f t="shared" si="40"/>
        <v>133.28936870338484</v>
      </c>
      <c r="O83" s="66">
        <f t="shared" si="41"/>
        <v>0</v>
      </c>
      <c r="P83" s="67">
        <f t="shared" si="42"/>
        <v>-6.0654700062925997</v>
      </c>
      <c r="Q83" s="201">
        <f t="shared" si="43"/>
        <v>0.95647463652891884</v>
      </c>
      <c r="R83" s="511"/>
      <c r="S83" s="68"/>
      <c r="T83" s="68"/>
      <c r="U83" s="64"/>
      <c r="V83" s="206"/>
      <c r="W83" s="64"/>
      <c r="X83" s="64"/>
      <c r="Y83" s="510"/>
      <c r="Z83" s="510"/>
      <c r="AA83" s="66">
        <f t="shared" si="44"/>
        <v>-104.46087233059461</v>
      </c>
      <c r="AB83" s="201">
        <f t="shared" si="45"/>
        <v>0.95647463652891895</v>
      </c>
      <c r="AC83" s="511"/>
    </row>
    <row r="84" spans="1:29">
      <c r="D84" s="76"/>
      <c r="E84" s="76"/>
    </row>
  </sheetData>
  <mergeCells count="214">
    <mergeCell ref="AC5:AC11"/>
    <mergeCell ref="C6:D6"/>
    <mergeCell ref="Y6:Z6"/>
    <mergeCell ref="C7:D7"/>
    <mergeCell ref="Y7:Z7"/>
    <mergeCell ref="H3:H4"/>
    <mergeCell ref="C11:D11"/>
    <mergeCell ref="Y11:Z11"/>
    <mergeCell ref="Y5:Z5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C3:AC4"/>
    <mergeCell ref="U3:U4"/>
    <mergeCell ref="V3:V4"/>
    <mergeCell ref="W3:X3"/>
    <mergeCell ref="Y3:Z4"/>
    <mergeCell ref="AA3:AA4"/>
    <mergeCell ref="AB3:AB4"/>
    <mergeCell ref="N3:N4"/>
    <mergeCell ref="O3:O4"/>
    <mergeCell ref="R12:R14"/>
    <mergeCell ref="Y12:Z12"/>
    <mergeCell ref="C8:D8"/>
    <mergeCell ref="Y8:Z8"/>
    <mergeCell ref="C9:D9"/>
    <mergeCell ref="Y9:Z9"/>
    <mergeCell ref="C10:D10"/>
    <mergeCell ref="Y10:Z10"/>
    <mergeCell ref="I1:K2"/>
    <mergeCell ref="L1:N2"/>
    <mergeCell ref="O1:R2"/>
    <mergeCell ref="S1:X2"/>
    <mergeCell ref="Y1:Z2"/>
    <mergeCell ref="I3:I4"/>
    <mergeCell ref="A3:A4"/>
    <mergeCell ref="B3:B4"/>
    <mergeCell ref="C3:D4"/>
    <mergeCell ref="E3:E4"/>
    <mergeCell ref="F3:F4"/>
    <mergeCell ref="G3:G4"/>
    <mergeCell ref="A5:A11"/>
    <mergeCell ref="C5:D5"/>
    <mergeCell ref="R5:R11"/>
    <mergeCell ref="AC12:AC14"/>
    <mergeCell ref="C13:D13"/>
    <mergeCell ref="Y13:Z13"/>
    <mergeCell ref="C14:D14"/>
    <mergeCell ref="Y14:Z14"/>
    <mergeCell ref="A15:A21"/>
    <mergeCell ref="C15:D15"/>
    <mergeCell ref="R15:R21"/>
    <mergeCell ref="Y15:Z15"/>
    <mergeCell ref="AC15:AC21"/>
    <mergeCell ref="C19:D19"/>
    <mergeCell ref="Y19:Z19"/>
    <mergeCell ref="C20:D20"/>
    <mergeCell ref="Y20:Z20"/>
    <mergeCell ref="C21:D21"/>
    <mergeCell ref="Y21:Z21"/>
    <mergeCell ref="C16:D16"/>
    <mergeCell ref="Y16:Z16"/>
    <mergeCell ref="C17:D17"/>
    <mergeCell ref="Y17:Z17"/>
    <mergeCell ref="C18:D18"/>
    <mergeCell ref="Y18:Z18"/>
    <mergeCell ref="A12:A14"/>
    <mergeCell ref="C12:D12"/>
    <mergeCell ref="Y27:Z27"/>
    <mergeCell ref="C28:D28"/>
    <mergeCell ref="Y28:Z28"/>
    <mergeCell ref="A22:A31"/>
    <mergeCell ref="C22:D22"/>
    <mergeCell ref="R22:R31"/>
    <mergeCell ref="Y22:Z22"/>
    <mergeCell ref="C23:D23"/>
    <mergeCell ref="Y23:Z23"/>
    <mergeCell ref="C24:D24"/>
    <mergeCell ref="Y24:Z24"/>
    <mergeCell ref="C25:D25"/>
    <mergeCell ref="AC32:AC40"/>
    <mergeCell ref="C33:D33"/>
    <mergeCell ref="Y33:Z33"/>
    <mergeCell ref="C34:D34"/>
    <mergeCell ref="Y34:Z34"/>
    <mergeCell ref="C35:D35"/>
    <mergeCell ref="C29:D29"/>
    <mergeCell ref="Y29:Z29"/>
    <mergeCell ref="C30:D30"/>
    <mergeCell ref="Y30:Z30"/>
    <mergeCell ref="C31:D31"/>
    <mergeCell ref="Y31:Z31"/>
    <mergeCell ref="AC22:AC31"/>
    <mergeCell ref="Y35:Z35"/>
    <mergeCell ref="C36:D36"/>
    <mergeCell ref="Y36:Z36"/>
    <mergeCell ref="C37:D37"/>
    <mergeCell ref="Y37:Z37"/>
    <mergeCell ref="C38:D38"/>
    <mergeCell ref="Y38:Z38"/>
    <mergeCell ref="Y25:Z25"/>
    <mergeCell ref="C26:D26"/>
    <mergeCell ref="Y26:Z26"/>
    <mergeCell ref="C27:D27"/>
    <mergeCell ref="A32:A40"/>
    <mergeCell ref="C32:D32"/>
    <mergeCell ref="R32:R40"/>
    <mergeCell ref="Y32:Z32"/>
    <mergeCell ref="C39:D39"/>
    <mergeCell ref="Y39:Z39"/>
    <mergeCell ref="C40:D40"/>
    <mergeCell ref="Y40:Z40"/>
    <mergeCell ref="A41:A51"/>
    <mergeCell ref="C41:D41"/>
    <mergeCell ref="R41:R51"/>
    <mergeCell ref="Y41:Z41"/>
    <mergeCell ref="Y46:Z46"/>
    <mergeCell ref="C47:D47"/>
    <mergeCell ref="Y47:Z47"/>
    <mergeCell ref="C48:D48"/>
    <mergeCell ref="Y48:Z48"/>
    <mergeCell ref="C49:D49"/>
    <mergeCell ref="Y49:Z49"/>
    <mergeCell ref="C50:D50"/>
    <mergeCell ref="Y50:Z50"/>
    <mergeCell ref="AC41:AC51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C51:D51"/>
    <mergeCell ref="Y51:Z51"/>
    <mergeCell ref="A52:A62"/>
    <mergeCell ref="C52:D52"/>
    <mergeCell ref="R52:R62"/>
    <mergeCell ref="Y52:Z52"/>
    <mergeCell ref="Y57:Z57"/>
    <mergeCell ref="C58:D58"/>
    <mergeCell ref="Y58:Z58"/>
    <mergeCell ref="C59:D59"/>
    <mergeCell ref="Y59:Z59"/>
    <mergeCell ref="C60:D60"/>
    <mergeCell ref="Y60:Z60"/>
    <mergeCell ref="C61:D61"/>
    <mergeCell ref="Y61:Z61"/>
    <mergeCell ref="C62:D62"/>
    <mergeCell ref="Y62:Z62"/>
    <mergeCell ref="AC52:AC62"/>
    <mergeCell ref="C53:D53"/>
    <mergeCell ref="Y53:Z53"/>
    <mergeCell ref="C54:D54"/>
    <mergeCell ref="Y54:Z54"/>
    <mergeCell ref="C55:D55"/>
    <mergeCell ref="Y55:Z55"/>
    <mergeCell ref="C56:D56"/>
    <mergeCell ref="Y56:Z56"/>
    <mergeCell ref="C57:D57"/>
    <mergeCell ref="A70:A73"/>
    <mergeCell ref="C70:D70"/>
    <mergeCell ref="R70:R73"/>
    <mergeCell ref="Y70:Z70"/>
    <mergeCell ref="A63:A69"/>
    <mergeCell ref="C63:D63"/>
    <mergeCell ref="R63:R69"/>
    <mergeCell ref="Y63:Z63"/>
    <mergeCell ref="AC63:AC69"/>
    <mergeCell ref="C64:D64"/>
    <mergeCell ref="Y64:Z64"/>
    <mergeCell ref="C65:D65"/>
    <mergeCell ref="C68:D68"/>
    <mergeCell ref="Y68:Z68"/>
    <mergeCell ref="AC70:AC73"/>
    <mergeCell ref="C71:D71"/>
    <mergeCell ref="Y71:Z71"/>
    <mergeCell ref="C72:D72"/>
    <mergeCell ref="Y72:Z72"/>
    <mergeCell ref="C73:D73"/>
    <mergeCell ref="Y73:Z73"/>
    <mergeCell ref="C69:D69"/>
    <mergeCell ref="Y69:Z69"/>
    <mergeCell ref="A74:A83"/>
    <mergeCell ref="C74:D74"/>
    <mergeCell ref="R74:R83"/>
    <mergeCell ref="Y74:Z74"/>
    <mergeCell ref="AC74:AC83"/>
    <mergeCell ref="C75:D75"/>
    <mergeCell ref="Y75:Z75"/>
    <mergeCell ref="C76:D76"/>
    <mergeCell ref="Y76:Z76"/>
    <mergeCell ref="C77:D77"/>
    <mergeCell ref="C81:D81"/>
    <mergeCell ref="Y81:Z81"/>
    <mergeCell ref="C82:D82"/>
    <mergeCell ref="Y82:Z82"/>
    <mergeCell ref="C83:D83"/>
    <mergeCell ref="Y83:Z83"/>
    <mergeCell ref="Y77:Z77"/>
    <mergeCell ref="C78:D78"/>
    <mergeCell ref="Y78:Z78"/>
    <mergeCell ref="C79:D79"/>
    <mergeCell ref="Y79:Z79"/>
    <mergeCell ref="C80:D80"/>
    <mergeCell ref="Y80:Z80"/>
  </mergeCells>
  <phoneticPr fontId="3" type="noConversion"/>
  <conditionalFormatting sqref="O73:O79 O83 O5:O12 O14:O16 O62:O70 O21:O57">
    <cfRule type="cellIs" dxfId="1011" priority="83" operator="greaterThan">
      <formula>0</formula>
    </cfRule>
  </conditionalFormatting>
  <conditionalFormatting sqref="P5:P10 P74:P79 P32:P39 P70 P12 P14:P16 P22:P30 P63:P68 P41:P57 AA5:AA70 AA74:AA83">
    <cfRule type="cellIs" dxfId="1010" priority="87" operator="lessThan">
      <formula>0</formula>
    </cfRule>
  </conditionalFormatting>
  <conditionalFormatting sqref="Q73:Q79 Q83 Q5:Q12 Q14:Q16 Q62:Q70 Q21:Q57 AB5:AB70 AB74:AB83">
    <cfRule type="cellIs" dxfId="1009" priority="84" operator="greaterThan">
      <formula>1</formula>
    </cfRule>
    <cfRule type="cellIs" dxfId="1008" priority="85" operator="lessThan">
      <formula>0.8</formula>
    </cfRule>
  </conditionalFormatting>
  <conditionalFormatting sqref="AC15:AC16 R15:R16 R73:R79 R21:R27 AC21:AC27 R31:R48 AC31:AC48 R83 AC5:AC12 R5:R12 R51:R57 AC51:AC57 AC62:AC70 R62:R70">
    <cfRule type="cellIs" dxfId="1007" priority="89" operator="lessThan">
      <formula>0.8</formula>
    </cfRule>
  </conditionalFormatting>
  <conditionalFormatting sqref="AC52">
    <cfRule type="cellIs" dxfId="1006" priority="91" operator="lessThan">
      <formula>0.8</formula>
    </cfRule>
  </conditionalFormatting>
  <conditionalFormatting sqref="AC22:AC27">
    <cfRule type="cellIs" dxfId="1005" priority="88" operator="lessThan">
      <formula>0.8</formula>
    </cfRule>
  </conditionalFormatting>
  <conditionalFormatting sqref="AC32">
    <cfRule type="cellIs" dxfId="1004" priority="90" operator="lessThan">
      <formula>0.8</formula>
    </cfRule>
  </conditionalFormatting>
  <conditionalFormatting sqref="AC41:AC48">
    <cfRule type="cellIs" dxfId="1003" priority="86" operator="lessThan">
      <formula>0.8</formula>
    </cfRule>
  </conditionalFormatting>
  <conditionalFormatting sqref="AA73">
    <cfRule type="cellIs" dxfId="1002" priority="82" operator="lessThan">
      <formula>0</formula>
    </cfRule>
  </conditionalFormatting>
  <conditionalFormatting sqref="AB73">
    <cfRule type="cellIs" dxfId="1001" priority="80" operator="greaterThan">
      <formula>1</formula>
    </cfRule>
    <cfRule type="cellIs" dxfId="1000" priority="81" operator="lessThan">
      <formula>0.8</formula>
    </cfRule>
  </conditionalFormatting>
  <conditionalFormatting sqref="O17:O18">
    <cfRule type="cellIs" dxfId="999" priority="75" operator="greaterThan">
      <formula>0</formula>
    </cfRule>
  </conditionalFormatting>
  <conditionalFormatting sqref="P17:P18">
    <cfRule type="cellIs" dxfId="998" priority="78" operator="lessThan">
      <formula>0</formula>
    </cfRule>
  </conditionalFormatting>
  <conditionalFormatting sqref="Q17:Q18">
    <cfRule type="cellIs" dxfId="997" priority="76" operator="greaterThan">
      <formula>1</formula>
    </cfRule>
    <cfRule type="cellIs" dxfId="996" priority="77" operator="lessThan">
      <formula>0.8</formula>
    </cfRule>
  </conditionalFormatting>
  <conditionalFormatting sqref="R17:R18 AC17:AC18">
    <cfRule type="cellIs" dxfId="995" priority="79" operator="lessThan">
      <formula>0.8</formula>
    </cfRule>
  </conditionalFormatting>
  <conditionalFormatting sqref="O13">
    <cfRule type="cellIs" dxfId="994" priority="71" operator="greaterThan">
      <formula>0</formula>
    </cfRule>
  </conditionalFormatting>
  <conditionalFormatting sqref="P13">
    <cfRule type="cellIs" dxfId="993" priority="74" operator="lessThan">
      <formula>0</formula>
    </cfRule>
  </conditionalFormatting>
  <conditionalFormatting sqref="Q13">
    <cfRule type="cellIs" dxfId="992" priority="72" operator="greaterThan">
      <formula>1</formula>
    </cfRule>
    <cfRule type="cellIs" dxfId="991" priority="73" operator="lessThan">
      <formula>0.8</formula>
    </cfRule>
  </conditionalFormatting>
  <conditionalFormatting sqref="AC29 R29">
    <cfRule type="cellIs" dxfId="990" priority="70" operator="lessThan">
      <formula>0.8</formula>
    </cfRule>
  </conditionalFormatting>
  <conditionalFormatting sqref="R49 AC49">
    <cfRule type="cellIs" dxfId="989" priority="69" operator="lessThan">
      <formula>0.8</formula>
    </cfRule>
  </conditionalFormatting>
  <conditionalFormatting sqref="AC49">
    <cfRule type="cellIs" dxfId="988" priority="68" operator="lessThan">
      <formula>0.8</formula>
    </cfRule>
  </conditionalFormatting>
  <conditionalFormatting sqref="O72">
    <cfRule type="cellIs" dxfId="987" priority="63" operator="greaterThan">
      <formula>0</formula>
    </cfRule>
  </conditionalFormatting>
  <conditionalFormatting sqref="P72 AA72">
    <cfRule type="cellIs" dxfId="986" priority="66" operator="lessThan">
      <formula>0</formula>
    </cfRule>
  </conditionalFormatting>
  <conditionalFormatting sqref="Q72 AB72">
    <cfRule type="cellIs" dxfId="985" priority="64" operator="greaterThan">
      <formula>1</formula>
    </cfRule>
    <cfRule type="cellIs" dxfId="984" priority="65" operator="lessThan">
      <formula>0.8</formula>
    </cfRule>
  </conditionalFormatting>
  <conditionalFormatting sqref="R72 AC72">
    <cfRule type="cellIs" dxfId="983" priority="67" operator="lessThan">
      <formula>0.8</formula>
    </cfRule>
  </conditionalFormatting>
  <conditionalFormatting sqref="O80">
    <cfRule type="cellIs" dxfId="982" priority="58" operator="greaterThan">
      <formula>0</formula>
    </cfRule>
  </conditionalFormatting>
  <conditionalFormatting sqref="P80">
    <cfRule type="cellIs" dxfId="981" priority="61" operator="lessThan">
      <formula>0</formula>
    </cfRule>
  </conditionalFormatting>
  <conditionalFormatting sqref="Q80">
    <cfRule type="cellIs" dxfId="980" priority="59" operator="greaterThan">
      <formula>1</formula>
    </cfRule>
    <cfRule type="cellIs" dxfId="979" priority="60" operator="lessThan">
      <formula>0.8</formula>
    </cfRule>
  </conditionalFormatting>
  <conditionalFormatting sqref="R80">
    <cfRule type="cellIs" dxfId="978" priority="62" operator="lessThan">
      <formula>0.8</formula>
    </cfRule>
  </conditionalFormatting>
  <conditionalFormatting sqref="O19:O20">
    <cfRule type="cellIs" dxfId="977" priority="53" operator="greaterThan">
      <formula>0</formula>
    </cfRule>
  </conditionalFormatting>
  <conditionalFormatting sqref="P19:P20">
    <cfRule type="cellIs" dxfId="976" priority="56" operator="lessThan">
      <formula>0</formula>
    </cfRule>
  </conditionalFormatting>
  <conditionalFormatting sqref="Q19:Q20">
    <cfRule type="cellIs" dxfId="975" priority="54" operator="greaterThan">
      <formula>1</formula>
    </cfRule>
    <cfRule type="cellIs" dxfId="974" priority="55" operator="lessThan">
      <formula>0.8</formula>
    </cfRule>
  </conditionalFormatting>
  <conditionalFormatting sqref="R19:R20 AC19:AC20">
    <cfRule type="cellIs" dxfId="973" priority="57" operator="lessThan">
      <formula>0.8</formula>
    </cfRule>
  </conditionalFormatting>
  <conditionalFormatting sqref="O58">
    <cfRule type="cellIs" dxfId="972" priority="47" operator="greaterThan">
      <formula>0</formula>
    </cfRule>
  </conditionalFormatting>
  <conditionalFormatting sqref="P58">
    <cfRule type="cellIs" dxfId="971" priority="51" operator="lessThan">
      <formula>0</formula>
    </cfRule>
  </conditionalFormatting>
  <conditionalFormatting sqref="Q58">
    <cfRule type="cellIs" dxfId="970" priority="48" operator="greaterThan">
      <formula>1</formula>
    </cfRule>
    <cfRule type="cellIs" dxfId="969" priority="49" operator="lessThan">
      <formula>0.8</formula>
    </cfRule>
  </conditionalFormatting>
  <conditionalFormatting sqref="R58 AC58">
    <cfRule type="cellIs" dxfId="968" priority="52" operator="lessThan">
      <formula>0.8</formula>
    </cfRule>
  </conditionalFormatting>
  <conditionalFormatting sqref="AC58">
    <cfRule type="cellIs" dxfId="967" priority="50" operator="lessThan">
      <formula>0.8</formula>
    </cfRule>
  </conditionalFormatting>
  <conditionalFormatting sqref="O59">
    <cfRule type="cellIs" dxfId="966" priority="41" operator="greaterThan">
      <formula>0</formula>
    </cfRule>
  </conditionalFormatting>
  <conditionalFormatting sqref="P59">
    <cfRule type="cellIs" dxfId="965" priority="45" operator="lessThan">
      <formula>0</formula>
    </cfRule>
  </conditionalFormatting>
  <conditionalFormatting sqref="Q59">
    <cfRule type="cellIs" dxfId="964" priority="42" operator="greaterThan">
      <formula>1</formula>
    </cfRule>
    <cfRule type="cellIs" dxfId="963" priority="43" operator="lessThan">
      <formula>0.8</formula>
    </cfRule>
  </conditionalFormatting>
  <conditionalFormatting sqref="R59 AC59">
    <cfRule type="cellIs" dxfId="962" priority="46" operator="lessThan">
      <formula>0.8</formula>
    </cfRule>
  </conditionalFormatting>
  <conditionalFormatting sqref="AC59">
    <cfRule type="cellIs" dxfId="961" priority="44" operator="lessThan">
      <formula>0.8</formula>
    </cfRule>
  </conditionalFormatting>
  <conditionalFormatting sqref="AC30 R30">
    <cfRule type="cellIs" dxfId="960" priority="40" operator="lessThan">
      <formula>0.8</formula>
    </cfRule>
  </conditionalFormatting>
  <conditionalFormatting sqref="R28 AC28">
    <cfRule type="cellIs" dxfId="959" priority="39" operator="lessThan">
      <formula>0.8</formula>
    </cfRule>
  </conditionalFormatting>
  <conditionalFormatting sqref="AC28">
    <cfRule type="cellIs" dxfId="958" priority="38" operator="lessThan">
      <formula>0.8</formula>
    </cfRule>
  </conditionalFormatting>
  <conditionalFormatting sqref="O60">
    <cfRule type="cellIs" dxfId="957" priority="32" operator="greaterThan">
      <formula>0</formula>
    </cfRule>
  </conditionalFormatting>
  <conditionalFormatting sqref="P60">
    <cfRule type="cellIs" dxfId="956" priority="36" operator="lessThan">
      <formula>0</formula>
    </cfRule>
  </conditionalFormatting>
  <conditionalFormatting sqref="Q60">
    <cfRule type="cellIs" dxfId="955" priority="33" operator="greaterThan">
      <formula>1</formula>
    </cfRule>
    <cfRule type="cellIs" dxfId="954" priority="34" operator="lessThan">
      <formula>0.8</formula>
    </cfRule>
  </conditionalFormatting>
  <conditionalFormatting sqref="R60 AC60">
    <cfRule type="cellIs" dxfId="953" priority="37" operator="lessThan">
      <formula>0.8</formula>
    </cfRule>
  </conditionalFormatting>
  <conditionalFormatting sqref="AC60">
    <cfRule type="cellIs" dxfId="952" priority="35" operator="lessThan">
      <formula>0.8</formula>
    </cfRule>
  </conditionalFormatting>
  <conditionalFormatting sqref="O61">
    <cfRule type="cellIs" dxfId="951" priority="26" operator="greaterThan">
      <formula>0</formula>
    </cfRule>
  </conditionalFormatting>
  <conditionalFormatting sqref="P61">
    <cfRule type="cellIs" dxfId="950" priority="30" operator="lessThan">
      <formula>0</formula>
    </cfRule>
  </conditionalFormatting>
  <conditionalFormatting sqref="Q61">
    <cfRule type="cellIs" dxfId="949" priority="27" operator="greaterThan">
      <formula>1</formula>
    </cfRule>
    <cfRule type="cellIs" dxfId="948" priority="28" operator="lessThan">
      <formula>0.8</formula>
    </cfRule>
  </conditionalFormatting>
  <conditionalFormatting sqref="R61 AC61">
    <cfRule type="cellIs" dxfId="947" priority="31" operator="lessThan">
      <formula>0.8</formula>
    </cfRule>
  </conditionalFormatting>
  <conditionalFormatting sqref="AC61">
    <cfRule type="cellIs" dxfId="946" priority="29" operator="lessThan">
      <formula>0.8</formula>
    </cfRule>
  </conditionalFormatting>
  <conditionalFormatting sqref="O71">
    <cfRule type="cellIs" dxfId="945" priority="21" operator="greaterThan">
      <formula>0</formula>
    </cfRule>
  </conditionalFormatting>
  <conditionalFormatting sqref="P71 AA71">
    <cfRule type="cellIs" dxfId="944" priority="24" operator="lessThan">
      <formula>0</formula>
    </cfRule>
  </conditionalFormatting>
  <conditionalFormatting sqref="Q71 AB71">
    <cfRule type="cellIs" dxfId="943" priority="22" operator="greaterThan">
      <formula>1</formula>
    </cfRule>
    <cfRule type="cellIs" dxfId="942" priority="23" operator="lessThan">
      <formula>0.8</formula>
    </cfRule>
  </conditionalFormatting>
  <conditionalFormatting sqref="R71 AC71">
    <cfRule type="cellIs" dxfId="941" priority="25" operator="lessThan">
      <formula>0.8</formula>
    </cfRule>
  </conditionalFormatting>
  <conditionalFormatting sqref="P11">
    <cfRule type="cellIs" dxfId="940" priority="20" operator="lessThan">
      <formula>0</formula>
    </cfRule>
  </conditionalFormatting>
  <conditionalFormatting sqref="P21">
    <cfRule type="cellIs" dxfId="939" priority="19" operator="lessThan">
      <formula>0</formula>
    </cfRule>
  </conditionalFormatting>
  <conditionalFormatting sqref="P31">
    <cfRule type="cellIs" dxfId="938" priority="18" operator="lessThan">
      <formula>0</formula>
    </cfRule>
  </conditionalFormatting>
  <conditionalFormatting sqref="P40">
    <cfRule type="cellIs" dxfId="937" priority="17" operator="lessThan">
      <formula>0</formula>
    </cfRule>
  </conditionalFormatting>
  <conditionalFormatting sqref="P62">
    <cfRule type="cellIs" dxfId="936" priority="16" operator="lessThan">
      <formula>0</formula>
    </cfRule>
  </conditionalFormatting>
  <conditionalFormatting sqref="P69">
    <cfRule type="cellIs" dxfId="935" priority="15" operator="lessThan">
      <formula>0</formula>
    </cfRule>
  </conditionalFormatting>
  <conditionalFormatting sqref="P73">
    <cfRule type="cellIs" dxfId="934" priority="14" operator="lessThan">
      <formula>0</formula>
    </cfRule>
  </conditionalFormatting>
  <conditionalFormatting sqref="P83">
    <cfRule type="cellIs" dxfId="933" priority="13" operator="lessThan">
      <formula>0</formula>
    </cfRule>
  </conditionalFormatting>
  <conditionalFormatting sqref="R50 AC50">
    <cfRule type="cellIs" dxfId="932" priority="12" operator="lessThan">
      <formula>0.8</formula>
    </cfRule>
  </conditionalFormatting>
  <conditionalFormatting sqref="AC50">
    <cfRule type="cellIs" dxfId="931" priority="11" operator="lessThan">
      <formula>0.8</formula>
    </cfRule>
  </conditionalFormatting>
  <conditionalFormatting sqref="O81">
    <cfRule type="cellIs" dxfId="930" priority="6" operator="greaterThan">
      <formula>0</formula>
    </cfRule>
  </conditionalFormatting>
  <conditionalFormatting sqref="P81">
    <cfRule type="cellIs" dxfId="929" priority="9" operator="lessThan">
      <formula>0</formula>
    </cfRule>
  </conditionalFormatting>
  <conditionalFormatting sqref="Q81">
    <cfRule type="cellIs" dxfId="928" priority="7" operator="greaterThan">
      <formula>1</formula>
    </cfRule>
    <cfRule type="cellIs" dxfId="927" priority="8" operator="lessThan">
      <formula>0.8</formula>
    </cfRule>
  </conditionalFormatting>
  <conditionalFormatting sqref="R81">
    <cfRule type="cellIs" dxfId="926" priority="10" operator="lessThan">
      <formula>0.8</formula>
    </cfRule>
  </conditionalFormatting>
  <conditionalFormatting sqref="O82">
    <cfRule type="cellIs" dxfId="925" priority="1" operator="greaterThan">
      <formula>0</formula>
    </cfRule>
  </conditionalFormatting>
  <conditionalFormatting sqref="P82">
    <cfRule type="cellIs" dxfId="924" priority="4" operator="lessThan">
      <formula>0</formula>
    </cfRule>
  </conditionalFormatting>
  <conditionalFormatting sqref="Q82">
    <cfRule type="cellIs" dxfId="923" priority="2" operator="greaterThan">
      <formula>1</formula>
    </cfRule>
    <cfRule type="cellIs" dxfId="922" priority="3" operator="lessThan">
      <formula>0.8</formula>
    </cfRule>
  </conditionalFormatting>
  <conditionalFormatting sqref="R82">
    <cfRule type="cellIs" dxfId="921" priority="5" operator="lessThan">
      <formula>0.8</formula>
    </cfRule>
  </conditionalFormatting>
  <dataValidations count="1">
    <dataValidation type="list" allowBlank="1" showInputMessage="1" showErrorMessage="1" sqref="Z10:Z11 Y5:Z9 Y10:Y72 Z13:Z70 Y73:Z8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817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818</v>
      </c>
      <c r="C3" s="497" t="str">
        <f>TEXT('1110 4度C'!A2,"yyyy.mm.ddaaaa")</f>
        <v>2025.11.10星期一</v>
      </c>
      <c r="D3" s="498"/>
      <c r="E3" s="4" t="s">
        <v>819</v>
      </c>
      <c r="F3" s="499">
        <f>'1110 4度C'!D1</f>
        <v>206503</v>
      </c>
      <c r="G3" s="500"/>
      <c r="H3" s="4" t="s">
        <v>820</v>
      </c>
      <c r="I3" s="501">
        <f>'1110 4度C'!F1</f>
        <v>7016674.6699999962</v>
      </c>
      <c r="J3" s="502"/>
      <c r="K3" s="5"/>
      <c r="L3" s="6"/>
      <c r="M3" s="7"/>
      <c r="N3" s="7"/>
    </row>
    <row r="4" spans="2:17" ht="28.5" customHeight="1">
      <c r="B4" s="503" t="s">
        <v>821</v>
      </c>
      <c r="C4" s="485" t="s">
        <v>822</v>
      </c>
      <c r="D4" s="486"/>
      <c r="E4" s="506" t="s">
        <v>823</v>
      </c>
      <c r="F4" s="507"/>
      <c r="G4" s="506" t="s">
        <v>824</v>
      </c>
      <c r="H4" s="507"/>
      <c r="I4" s="506" t="s">
        <v>825</v>
      </c>
      <c r="J4" s="507"/>
      <c r="L4" s="7"/>
      <c r="M4" s="7"/>
      <c r="N4" s="7"/>
    </row>
    <row r="5" spans="2:17" ht="28.5" customHeight="1">
      <c r="B5" s="504"/>
      <c r="C5" s="485" t="s">
        <v>826</v>
      </c>
      <c r="D5" s="486"/>
      <c r="E5" s="485" t="s">
        <v>827</v>
      </c>
      <c r="F5" s="486"/>
      <c r="G5" s="487" t="s">
        <v>828</v>
      </c>
      <c r="H5" s="488"/>
      <c r="I5" s="489" t="s">
        <v>829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154.1036707373672</v>
      </c>
      <c r="F6" s="492">
        <f>AVERAGE(D27:O27,D13:J13)</f>
        <v>159.46721331367044</v>
      </c>
      <c r="G6" s="493">
        <f>AVERAGE(D13:J13)</f>
        <v>159.46721331367044</v>
      </c>
      <c r="H6" s="494"/>
      <c r="I6" s="493">
        <f>AVERAGE(K13:M13)</f>
        <v>141.58873805932629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147.55686746674448</v>
      </c>
      <c r="F7" s="478">
        <f>AVERAGE(D28:O28,D14:J14)</f>
        <v>152.74912252491274</v>
      </c>
      <c r="G7" s="479">
        <f>AVERAGE(D14:J14)</f>
        <v>152.74912252491274</v>
      </c>
      <c r="H7" s="480"/>
      <c r="I7" s="479">
        <f>AVERAGE(K14:M14)</f>
        <v>135.44160566435193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0.95734388936360015</v>
      </c>
      <c r="F8" s="482">
        <f>AVERAGE(D15:J15,D29:O29)</f>
        <v>0.95767052409267406</v>
      </c>
      <c r="G8" s="483">
        <f>AVERAGE(D15:J15)</f>
        <v>0.95767052409267406</v>
      </c>
      <c r="H8" s="484"/>
      <c r="I8" s="483">
        <f>AVERAGE(K15:M15)</f>
        <v>0.95658174166242771</v>
      </c>
      <c r="J8" s="484"/>
      <c r="K8" s="8" t="s">
        <v>830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831</v>
      </c>
      <c r="C10" s="459"/>
      <c r="D10" s="460" t="s">
        <v>832</v>
      </c>
      <c r="E10" s="461"/>
      <c r="F10" s="461"/>
      <c r="G10" s="461"/>
      <c r="H10" s="461"/>
      <c r="I10" s="461"/>
      <c r="J10" s="462"/>
      <c r="K10" s="463" t="s">
        <v>833</v>
      </c>
      <c r="L10" s="464"/>
      <c r="M10" s="465"/>
      <c r="P10" s="11"/>
      <c r="Q10" s="11"/>
    </row>
    <row r="11" spans="2:17" ht="17.25" customHeight="1">
      <c r="B11" s="466" t="s">
        <v>834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835</v>
      </c>
      <c r="C13" s="18" t="s">
        <v>836</v>
      </c>
      <c r="D13" s="19">
        <f>SUMIFS('1110 4度C'!$K:$K,'1110 4度C'!$A:$A,"新豐6線",'1110 4度C'!$B:$B,"平均")</f>
        <v>137.93103448275863</v>
      </c>
      <c r="E13" s="20">
        <f>SUMIFS('1110 4度C'!$K:$K,'1110 4度C'!$A:$A,"新豐2線",'1110 4度C'!$B:$B,"平均")</f>
        <v>81.081081081081081</v>
      </c>
      <c r="F13" s="21">
        <f>SUMIFS('1110 4度C'!$K:$K,'1110 4度C'!$A:$A,"新豐5線",'1110 4度C'!$B:$B,"平均")</f>
        <v>97.222222222222229</v>
      </c>
      <c r="G13" s="21">
        <f>SUMIFS('1110 4度C'!$K:$K,'1110 4度C'!$A:$A,"新豐7線",'1110 4度C'!$B:$B,"平均")</f>
        <v>117.1875</v>
      </c>
      <c r="H13" s="21">
        <f>SUMIFS('1110 4度C'!$K:$K,'1110 4度C'!$A:$A,"新豐3線",'1110 4度C'!$B:$B,"平均")</f>
        <v>269.23076923076923</v>
      </c>
      <c r="I13" s="21">
        <f>SUMIFS('1110 4度C'!$K:$K,'1110 4度C'!$A:$A,"新豐1線",'1110 4度C'!$B:$B,"平均")</f>
        <v>121.95121951219514</v>
      </c>
      <c r="J13" s="22">
        <f>SUMIFS('1110 4度C'!$K:$K,'1110 4度C'!$A:$A,"新豐10線",'1110 4度C'!$B:$B,"平均")</f>
        <v>291.66666666666669</v>
      </c>
      <c r="K13" s="23">
        <f>SUMIFS('1110 4度C'!$K:$K,'1110 4度C'!$A:$A,"新豐8線",'1110 4度C'!$B:$B,"平均")</f>
        <v>140</v>
      </c>
      <c r="L13" s="24">
        <f>SUMIFS('1110 4度C'!$K:$K,'1110 4度C'!$A:$A,"新豐9線",'1110 4度C'!$B:$B,"平均")</f>
        <v>141.1764705882353</v>
      </c>
      <c r="M13" s="22">
        <f>SUMIFS('1110 4度C'!$K:$K,'1110 4度C'!$A:$A,"新豐4線",'1110 4度C'!$B:$B,"平均")</f>
        <v>143.58974358974359</v>
      </c>
    </row>
    <row r="14" spans="2:17" ht="39.6" customHeight="1">
      <c r="B14" s="471"/>
      <c r="C14" s="25" t="s">
        <v>837</v>
      </c>
      <c r="D14" s="26">
        <f>SUMIFS('1110 4度C'!$N:$N,'1110 4度C'!$A:$A,"新豐6線",'1110 4度C'!$B:$B,"平均")</f>
        <v>132.24731056215595</v>
      </c>
      <c r="E14" s="27">
        <f>SUMIFS('1110 4度C'!$N:$N,'1110 4度C'!$A:$A,"新豐2線",'1110 4度C'!$B:$B,"平均")</f>
        <v>77.338345707194961</v>
      </c>
      <c r="F14" s="27">
        <f>SUMIFS('1110 4度C'!$N:$N,'1110 4度C'!$A:$A,"新豐5線",'1110 4度C'!$B:$B,"平均")</f>
        <v>92.845460761847505</v>
      </c>
      <c r="G14" s="27">
        <f>SUMIFS('1110 4度C'!$N:$N,'1110 4度C'!$A:$A,"新豐7線",'1110 4度C'!$B:$B,"平均")</f>
        <v>112.38090990802435</v>
      </c>
      <c r="H14" s="27">
        <f>SUMIFS('1110 4度C'!$N:$N,'1110 4度C'!$A:$A,"新豐3線",'1110 4度C'!$B:$B,"平均")</f>
        <v>257.59544386739952</v>
      </c>
      <c r="I14" s="27">
        <f>SUMIFS('1110 4度C'!$N:$N,'1110 4度C'!$A:$A,"新豐1線",'1110 4度C'!$B:$B,"平均")</f>
        <v>117.30877658840257</v>
      </c>
      <c r="J14" s="28">
        <f>SUMIFS('1110 4度C'!$N:$N,'1110 4度C'!$A:$A,"新豐10線",'1110 4度C'!$B:$B,"平均")</f>
        <v>279.5276102793643</v>
      </c>
      <c r="K14" s="29">
        <f>SUMIFS('1110 4度C'!$N:$N,'1110 4度C'!$A:$A,"新豐8線",'1110 4度C'!$B:$B,"平均")</f>
        <v>133.89394015528455</v>
      </c>
      <c r="L14" s="30">
        <f>SUMIFS('1110 4度C'!$N:$N,'1110 4度C'!$A:$A,"新豐9線",'1110 4度C'!$B:$B,"平均")</f>
        <v>135.01718556648873</v>
      </c>
      <c r="M14" s="28">
        <f>SUMIFS('1110 4度C'!$N:$N,'1110 4度C'!$A:$A,"新豐4線",'1110 4度C'!$B:$B,"平均")</f>
        <v>137.41369127128252</v>
      </c>
    </row>
    <row r="15" spans="2:17" ht="40.15" customHeight="1">
      <c r="B15" s="472"/>
      <c r="C15" s="31" t="s">
        <v>838</v>
      </c>
      <c r="D15" s="32">
        <f t="shared" ref="D15:M15" si="0">D14/D13</f>
        <v>0.95879300157563052</v>
      </c>
      <c r="E15" s="33">
        <f t="shared" si="0"/>
        <v>0.95383959705540455</v>
      </c>
      <c r="F15" s="33">
        <f t="shared" si="0"/>
        <v>0.95498188212185997</v>
      </c>
      <c r="G15" s="33">
        <f t="shared" si="0"/>
        <v>0.95898376454847445</v>
      </c>
      <c r="H15" s="33">
        <f t="shared" si="0"/>
        <v>0.9567830772217697</v>
      </c>
      <c r="I15" s="33">
        <f t="shared" si="0"/>
        <v>0.96193196802490089</v>
      </c>
      <c r="J15" s="34">
        <f t="shared" si="0"/>
        <v>0.95838037810067755</v>
      </c>
      <c r="K15" s="32">
        <f t="shared" si="0"/>
        <v>0.95638528682346113</v>
      </c>
      <c r="L15" s="33">
        <f t="shared" si="0"/>
        <v>0.95637173109596185</v>
      </c>
      <c r="M15" s="34">
        <f t="shared" si="0"/>
        <v>0.95698820706786036</v>
      </c>
    </row>
    <row r="16" spans="2:17" ht="17.25" customHeight="1">
      <c r="B16" s="473" t="s">
        <v>839</v>
      </c>
      <c r="C16" s="35" t="s">
        <v>840</v>
      </c>
      <c r="D16" s="49">
        <f>VLOOKUP("新豐6線",'1110 4度C'!$A:$T,19,0)</f>
        <v>0.70833333333333337</v>
      </c>
      <c r="E16" s="50">
        <f>VLOOKUP("新豐2線",'1110 4度C'!$A:$T,19,0)</f>
        <v>0.20833333333333334</v>
      </c>
      <c r="F16" s="50">
        <f>VLOOKUP("新豐5線",'1110 4度C'!$A:$T,19,0)</f>
        <v>0.125</v>
      </c>
      <c r="G16" s="50">
        <f>VLOOKUP("新豐7線",'1110 4度C'!$A:$T,19,0)</f>
        <v>0.20833333333333334</v>
      </c>
      <c r="H16" s="50">
        <f>VLOOKUP("新豐3線",'1110 4度C'!$A:$T,19,0)</f>
        <v>8.3333333333333329E-2</v>
      </c>
      <c r="I16" s="50">
        <f>VLOOKUP("新豐1線",'1110 4度C'!$A:$T,19,0)</f>
        <v>0.20833333333333334</v>
      </c>
      <c r="J16" s="51">
        <f>VLOOKUP("新豐10線",'1110 4度C'!$A:$T,19,0)</f>
        <v>0.20833333333333334</v>
      </c>
      <c r="K16" s="36">
        <f>VLOOKUP("新豐8線",'1110 4度C'!$A:$T,19,0)</f>
        <v>8.3333333333333329E-2</v>
      </c>
      <c r="L16" s="37">
        <f>VLOOKUP("新豐9線",'1110 4度C'!$A:$T,19,0)</f>
        <v>8.3333333333333329E-2</v>
      </c>
      <c r="M16" s="38">
        <f>VLOOKUP("新豐4線",'1110 4度C'!$A:$T,19,0)</f>
        <v>8.3333333333333329E-2</v>
      </c>
    </row>
    <row r="17" spans="2:13" ht="17.25" customHeight="1">
      <c r="B17" s="474"/>
      <c r="C17" s="35" t="s">
        <v>841</v>
      </c>
      <c r="D17" s="36">
        <f>LOOKUP(2,1/(('1110 4度C'!$A:$A="新豐6線")*('1110 4度C'!$T:$T&lt;&gt;"")),'1110 4度C'!$T:$T)</f>
        <v>0.98124999999999996</v>
      </c>
      <c r="E17" s="50">
        <f>LOOKUP(2,1/(('1110 4度C'!$A:$A="新豐2線")*('1110 4度C'!$T:$T&lt;&gt;"")),'1110 4度C'!$T:$T)</f>
        <v>0.49652777777777779</v>
      </c>
      <c r="F17" s="50">
        <f>LOOKUP(2,1/(('1110 4度C'!$A:$A="新豐5線")*('1110 4度C'!$T:$T&lt;&gt;"")),'1110 4度C'!$T:$T)</f>
        <v>0.96597222222222212</v>
      </c>
      <c r="G17" s="50">
        <f>LOOKUP(2,1/(('1110 4度C'!$A:$A="新豐7線")*('1110 4度C'!$T:$T&lt;&gt;"")),'1110 4度C'!$T:$T)</f>
        <v>1</v>
      </c>
      <c r="H17" s="50">
        <f>LOOKUP(2,1/(('1110 4度C'!$A:$A="新豐3線")*('1110 4度C'!$T:$T&lt;&gt;"")),'1110 4度C'!$T:$T)</f>
        <v>0.72361111111111098</v>
      </c>
      <c r="I17" s="50">
        <f>LOOKUP(2,1/(('1110 4度C'!$A:$A="新豐1線")*('1110 4度C'!$T:$T&lt;&gt;"")),'1110 4度C'!$T:$T)</f>
        <v>0.84375</v>
      </c>
      <c r="J17" s="51">
        <f>LOOKUP(2,1/(('1110 4度C'!$A:$A="新豐10線")*('1110 4度C'!$T:$T&lt;&gt;"")),'1110 4度C'!$T:$T)</f>
        <v>0.48125000000000001</v>
      </c>
      <c r="K17" s="49">
        <f>LOOKUP(2,1/(('1110 4度C'!$A:$A="新豐8線")*('1110 4度C'!$T:$T&lt;&gt;"")),'1110 4度C'!$T:$T)</f>
        <v>0.69236111111111098</v>
      </c>
      <c r="L17" s="50">
        <f>LOOKUP(2,1/(('1110 4度C'!$A:$A="新豐9線")*('1110 4度C'!$T:$T&lt;&gt;"")),'1110 4度C'!$T:$T)</f>
        <v>0.77013888888888871</v>
      </c>
      <c r="M17" s="51">
        <f>LOOKUP(2,1/(('1110 4度C'!$A:$A="新豐4線")*('1110 4度C'!$T:$T&lt;&gt;"")),'1110 4度C'!$T:$T)</f>
        <v>0.67291666666666661</v>
      </c>
    </row>
    <row r="18" spans="2:13" ht="17.25" customHeight="1">
      <c r="B18" s="452" t="s">
        <v>842</v>
      </c>
      <c r="C18" s="453"/>
      <c r="D18" s="39">
        <f>SUMIFS('1110 4度C'!$I:$I,'1110 4度C'!$A:$A,"新豐6線",'1110 4度C'!$B:$B,"平均")</f>
        <v>14.5</v>
      </c>
      <c r="E18" s="40">
        <f>SUMIFS('1110 4度C'!$I:$I,'1110 4度C'!$A:$A,"新豐2線",'1110 4度C'!$B:$B,"平均")</f>
        <v>18.5</v>
      </c>
      <c r="F18" s="40">
        <f>SUMIFS('1110 4度C'!$I:$I,'1110 4度C'!$A:$A,"新豐5線",'1110 4度C'!$B:$B,"平均")</f>
        <v>18</v>
      </c>
      <c r="G18" s="40">
        <f>SUMIFS('1110 4度C'!$I:$I,'1110 4度C'!$A:$A,"新豐7線",'1110 4度C'!$B:$B,"平均")</f>
        <v>16</v>
      </c>
      <c r="H18" s="40">
        <f>SUMIFS('1110 4度C'!$I:$I,'1110 4度C'!$A:$A,"新豐3線",'1110 4度C'!$B:$B,"平均")</f>
        <v>10.4</v>
      </c>
      <c r="I18" s="40">
        <f>SUMIFS('1110 4度C'!$I:$I,'1110 4度C'!$A:$A,"新豐1線",'1110 4度C'!$B:$B,"平均")</f>
        <v>16.399999999999999</v>
      </c>
      <c r="J18" s="41">
        <f>SUMIFS('1110 4度C'!$I:$I,'1110 4度C'!$A:$A,"新豐10線",'1110 4度C'!$B:$B,"平均")</f>
        <v>9</v>
      </c>
      <c r="K18" s="39">
        <f>SUMIFS('1110 4度C'!$I:$I,'1110 4度C'!$A:$A,"新豐8線",'1110 4度C'!$B:$B,"平均")</f>
        <v>17.142857142857142</v>
      </c>
      <c r="L18" s="40">
        <f>SUMIFS('1110 4度C'!$I:$I,'1110 4度C'!$A:$A,"新豐9線",'1110 4度C'!$B:$B,"平均")</f>
        <v>17</v>
      </c>
      <c r="M18" s="41">
        <f>SUMIFS('1110 4度C'!$I:$I,'1110 4度C'!$A:$A,"新豐4線",'1110 4度C'!$B:$B,"平均")</f>
        <v>16.714285714285715</v>
      </c>
    </row>
    <row r="19" spans="2:13" ht="17.25" customHeight="1">
      <c r="B19" s="452" t="s">
        <v>843</v>
      </c>
      <c r="C19" s="453"/>
      <c r="D19" s="42" t="s">
        <v>65</v>
      </c>
      <c r="E19" s="43" t="s">
        <v>66</v>
      </c>
      <c r="F19" s="43" t="s">
        <v>844</v>
      </c>
      <c r="G19" s="43" t="s">
        <v>844</v>
      </c>
      <c r="H19" s="43" t="s">
        <v>67</v>
      </c>
      <c r="I19" s="43" t="s">
        <v>65</v>
      </c>
      <c r="J19" s="44" t="s">
        <v>67</v>
      </c>
      <c r="K19" s="42" t="s">
        <v>845</v>
      </c>
      <c r="L19" s="43" t="s">
        <v>846</v>
      </c>
      <c r="M19" s="44" t="s">
        <v>847</v>
      </c>
    </row>
    <row r="20" spans="2:13" ht="17.25" customHeight="1">
      <c r="B20" s="452" t="s">
        <v>848</v>
      </c>
      <c r="C20" s="453"/>
      <c r="D20" s="42"/>
      <c r="E20" s="43"/>
      <c r="F20" s="43" t="s">
        <v>849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850</v>
      </c>
      <c r="C21" s="455"/>
      <c r="D21" s="45"/>
      <c r="E21" s="46" t="s">
        <v>851</v>
      </c>
      <c r="F21" s="456" t="s">
        <v>852</v>
      </c>
      <c r="G21" s="457"/>
      <c r="H21" s="46" t="s">
        <v>853</v>
      </c>
      <c r="I21" s="46" t="s">
        <v>854</v>
      </c>
      <c r="J21" s="47" t="s">
        <v>853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9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A10" sqref="A10"/>
      <selection pane="bottomLeft" activeCell="A10" sqref="A10:A12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855</v>
      </c>
      <c r="B1" s="52"/>
      <c r="C1" s="53" t="s">
        <v>856</v>
      </c>
      <c r="D1" s="54">
        <f>SUM(F5:F75)</f>
        <v>206503</v>
      </c>
      <c r="E1" s="188" t="s">
        <v>857</v>
      </c>
      <c r="F1" s="52">
        <f>SUM(G5:G75)</f>
        <v>7016674.6699999962</v>
      </c>
      <c r="G1" s="52" t="s">
        <v>858</v>
      </c>
      <c r="H1" s="55">
        <f>L9+L12+L56+L62+L19+L67+L36+L45+L28+L75</f>
        <v>153.65714285714284</v>
      </c>
      <c r="I1" s="556" t="s">
        <v>859</v>
      </c>
      <c r="J1" s="556"/>
      <c r="K1" s="556"/>
      <c r="L1" s="556" t="s">
        <v>860</v>
      </c>
      <c r="M1" s="556"/>
      <c r="N1" s="556"/>
      <c r="O1" s="556" t="s">
        <v>861</v>
      </c>
      <c r="P1" s="556"/>
      <c r="Q1" s="556"/>
      <c r="R1" s="556"/>
      <c r="S1" s="556" t="s">
        <v>862</v>
      </c>
      <c r="T1" s="556"/>
      <c r="U1" s="556"/>
      <c r="V1" s="556"/>
      <c r="W1" s="556"/>
      <c r="X1" s="556"/>
      <c r="Y1" s="556" t="s">
        <v>863</v>
      </c>
      <c r="Z1" s="556"/>
      <c r="AA1" s="556" t="s">
        <v>864</v>
      </c>
      <c r="AB1" s="557"/>
      <c r="AC1" s="557"/>
    </row>
    <row r="2" spans="1:29" ht="26.25" customHeight="1">
      <c r="A2" s="57">
        <v>45971</v>
      </c>
      <c r="B2" s="58" t="s">
        <v>302</v>
      </c>
      <c r="C2" s="53" t="s">
        <v>865</v>
      </c>
      <c r="D2" s="59">
        <f>AVERAGE(N9,N12,N56,N62,N19,N67,N28,N36,N45,N75)</f>
        <v>147.55686746674448</v>
      </c>
      <c r="E2" s="60" t="s">
        <v>0</v>
      </c>
      <c r="F2" s="61">
        <f>F1/D1</f>
        <v>33.978560456748795</v>
      </c>
      <c r="G2" s="52" t="s">
        <v>866</v>
      </c>
      <c r="H2" s="195">
        <f>COUNT(H5:H75)</f>
        <v>13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867</v>
      </c>
      <c r="B3" s="510" t="s">
        <v>868</v>
      </c>
      <c r="C3" s="510" t="s">
        <v>869</v>
      </c>
      <c r="D3" s="510"/>
      <c r="E3" s="554" t="s">
        <v>870</v>
      </c>
      <c r="F3" s="510" t="s">
        <v>871</v>
      </c>
      <c r="G3" s="554" t="s">
        <v>872</v>
      </c>
      <c r="H3" s="547" t="s">
        <v>873</v>
      </c>
      <c r="I3" s="545" t="s">
        <v>874</v>
      </c>
      <c r="J3" s="550" t="s">
        <v>875</v>
      </c>
      <c r="K3" s="552" t="s">
        <v>865</v>
      </c>
      <c r="L3" s="545" t="s">
        <v>874</v>
      </c>
      <c r="M3" s="550" t="s">
        <v>875</v>
      </c>
      <c r="N3" s="552" t="s">
        <v>865</v>
      </c>
      <c r="O3" s="545" t="s">
        <v>874</v>
      </c>
      <c r="P3" s="552" t="s">
        <v>865</v>
      </c>
      <c r="Q3" s="551" t="s">
        <v>876</v>
      </c>
      <c r="R3" s="523" t="s">
        <v>877</v>
      </c>
      <c r="S3" s="510" t="s">
        <v>1</v>
      </c>
      <c r="T3" s="510"/>
      <c r="U3" s="547" t="s">
        <v>2</v>
      </c>
      <c r="V3" s="547" t="s">
        <v>878</v>
      </c>
      <c r="W3" s="510" t="s">
        <v>879</v>
      </c>
      <c r="X3" s="510"/>
      <c r="Y3" s="548" t="s">
        <v>880</v>
      </c>
      <c r="Z3" s="549"/>
      <c r="AA3" s="550" t="s">
        <v>881</v>
      </c>
      <c r="AB3" s="551" t="s">
        <v>882</v>
      </c>
      <c r="AC3" s="523" t="s">
        <v>877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88" t="s">
        <v>3</v>
      </c>
      <c r="T4" s="188" t="s">
        <v>4</v>
      </c>
      <c r="U4" s="547"/>
      <c r="V4" s="547"/>
      <c r="W4" s="188" t="s">
        <v>883</v>
      </c>
      <c r="X4" s="188" t="s">
        <v>884</v>
      </c>
      <c r="Y4" s="549"/>
      <c r="Z4" s="549"/>
      <c r="AA4" s="550"/>
      <c r="AB4" s="551"/>
      <c r="AC4" s="523"/>
    </row>
    <row r="5" spans="1:29">
      <c r="A5" s="544" t="s">
        <v>885</v>
      </c>
      <c r="B5" s="62" t="s">
        <v>6</v>
      </c>
      <c r="C5" s="546" t="s">
        <v>9</v>
      </c>
      <c r="D5" s="546"/>
      <c r="E5" s="62">
        <v>50.67</v>
      </c>
      <c r="F5" s="196">
        <v>2039</v>
      </c>
      <c r="G5" s="188">
        <f t="shared" ref="G5:G8" si="0">E5*F5</f>
        <v>103316.13</v>
      </c>
      <c r="H5" s="90" t="s">
        <v>5</v>
      </c>
      <c r="I5" s="193">
        <v>17</v>
      </c>
      <c r="J5" s="63">
        <v>2000</v>
      </c>
      <c r="K5" s="64">
        <f t="shared" ref="K5:K68" si="1">J5/I5</f>
        <v>117.64705882352941</v>
      </c>
      <c r="L5" s="193">
        <v>17</v>
      </c>
      <c r="M5" s="65">
        <f t="shared" ref="M5:M8" si="2">F5/V5*60</f>
        <v>1911.562500000002</v>
      </c>
      <c r="N5" s="64">
        <f t="shared" ref="N5:N68" si="3">M5/L5</f>
        <v>112.44485294117659</v>
      </c>
      <c r="O5" s="66">
        <f t="shared" ref="O5:O68" si="4">L5-I5</f>
        <v>0</v>
      </c>
      <c r="P5" s="67">
        <f t="shared" ref="P5:P68" si="5">N5-K5</f>
        <v>-5.2022058823528141</v>
      </c>
      <c r="Q5" s="189">
        <f t="shared" ref="Q5:Q68" si="6">N5/K5</f>
        <v>0.95578125000000103</v>
      </c>
      <c r="R5" s="511">
        <f>Q9</f>
        <v>0.95879300157563052</v>
      </c>
      <c r="S5" s="68">
        <v>0.70833333333333337</v>
      </c>
      <c r="T5" s="68">
        <v>0.75277777777777777</v>
      </c>
      <c r="U5" s="188"/>
      <c r="V5" s="194">
        <f t="shared" ref="V5:V8" si="7">(T5-S5)*24*60</f>
        <v>63.999999999999929</v>
      </c>
      <c r="W5" s="69"/>
      <c r="X5" s="70"/>
      <c r="Y5" s="510"/>
      <c r="Z5" s="510"/>
      <c r="AA5" s="66">
        <f t="shared" ref="AA5:AA68" si="8">M5-J5</f>
        <v>-88.437499999997954</v>
      </c>
      <c r="AB5" s="189">
        <f t="shared" ref="AB5:AB68" si="9">M5/J5</f>
        <v>0.95578125000000103</v>
      </c>
      <c r="AC5" s="511">
        <f>AB9</f>
        <v>0.95879300157563052</v>
      </c>
    </row>
    <row r="6" spans="1:29">
      <c r="A6" s="545" t="s">
        <v>885</v>
      </c>
      <c r="B6" s="62" t="s">
        <v>6</v>
      </c>
      <c r="C6" s="546" t="s">
        <v>8</v>
      </c>
      <c r="D6" s="546"/>
      <c r="E6" s="62">
        <v>50.49</v>
      </c>
      <c r="F6" s="196">
        <v>2687</v>
      </c>
      <c r="G6" s="188">
        <f t="shared" si="0"/>
        <v>135666.63</v>
      </c>
      <c r="H6" s="90" t="s">
        <v>5</v>
      </c>
      <c r="I6" s="193">
        <v>15</v>
      </c>
      <c r="J6" s="63">
        <v>2000</v>
      </c>
      <c r="K6" s="64">
        <f t="shared" si="1"/>
        <v>133.33333333333334</v>
      </c>
      <c r="L6" s="193">
        <v>15</v>
      </c>
      <c r="M6" s="65">
        <f t="shared" si="2"/>
        <v>1919.2857142857135</v>
      </c>
      <c r="N6" s="64">
        <f t="shared" si="3"/>
        <v>127.95238095238091</v>
      </c>
      <c r="O6" s="66">
        <f t="shared" si="4"/>
        <v>0</v>
      </c>
      <c r="P6" s="67">
        <f t="shared" si="5"/>
        <v>-5.3809523809524364</v>
      </c>
      <c r="Q6" s="189">
        <f t="shared" si="6"/>
        <v>0.95964285714285669</v>
      </c>
      <c r="R6" s="511"/>
      <c r="S6" s="68">
        <v>0.75763888888888886</v>
      </c>
      <c r="T6" s="68">
        <v>0.81597222222222221</v>
      </c>
      <c r="U6" s="188">
        <f t="shared" ref="U6:U8" si="10">IF(S6=TIME(17,0,0),"",(S6-T5)*24*60)</f>
        <v>6.9999999999999751</v>
      </c>
      <c r="V6" s="194">
        <f t="shared" si="7"/>
        <v>84.000000000000028</v>
      </c>
      <c r="W6" s="69"/>
      <c r="X6" s="69"/>
      <c r="Y6" s="510"/>
      <c r="Z6" s="510"/>
      <c r="AA6" s="66">
        <f t="shared" si="8"/>
        <v>-80.714285714286461</v>
      </c>
      <c r="AB6" s="189">
        <f t="shared" si="9"/>
        <v>0.9596428571428568</v>
      </c>
      <c r="AC6" s="511"/>
    </row>
    <row r="7" spans="1:29">
      <c r="A7" s="545" t="s">
        <v>885</v>
      </c>
      <c r="B7" s="62" t="s">
        <v>6</v>
      </c>
      <c r="C7" s="539" t="s">
        <v>886</v>
      </c>
      <c r="D7" s="540"/>
      <c r="E7" s="62">
        <v>54.7</v>
      </c>
      <c r="F7" s="196">
        <v>1800</v>
      </c>
      <c r="G7" s="188">
        <f t="shared" si="0"/>
        <v>98460</v>
      </c>
      <c r="H7" s="90">
        <v>2</v>
      </c>
      <c r="I7" s="193">
        <v>13</v>
      </c>
      <c r="J7" s="63">
        <v>2000</v>
      </c>
      <c r="K7" s="64">
        <f t="shared" si="1"/>
        <v>153.84615384615384</v>
      </c>
      <c r="L7" s="193">
        <v>13</v>
      </c>
      <c r="M7" s="65">
        <f t="shared" si="2"/>
        <v>1928.57142857143</v>
      </c>
      <c r="N7" s="64">
        <f t="shared" si="3"/>
        <v>148.35164835164846</v>
      </c>
      <c r="O7" s="66">
        <f t="shared" si="4"/>
        <v>0</v>
      </c>
      <c r="P7" s="67">
        <f t="shared" si="5"/>
        <v>-5.4945054945053755</v>
      </c>
      <c r="Q7" s="189">
        <f t="shared" si="6"/>
        <v>0.96428571428571508</v>
      </c>
      <c r="R7" s="511"/>
      <c r="S7" s="68">
        <v>0.82013888888888886</v>
      </c>
      <c r="T7" s="68">
        <v>0.85902777777777772</v>
      </c>
      <c r="U7" s="188">
        <f t="shared" si="10"/>
        <v>5.9999999999999787</v>
      </c>
      <c r="V7" s="194">
        <f t="shared" si="7"/>
        <v>55.999999999999957</v>
      </c>
      <c r="W7" s="69">
        <f>T7</f>
        <v>0.85902777777777772</v>
      </c>
      <c r="X7" s="69">
        <f>S8</f>
        <v>0.89861111111111103</v>
      </c>
      <c r="Y7" s="517"/>
      <c r="Z7" s="518"/>
      <c r="AA7" s="66">
        <f t="shared" si="8"/>
        <v>-71.428571428569967</v>
      </c>
      <c r="AB7" s="189">
        <f t="shared" si="9"/>
        <v>0.96428571428571497</v>
      </c>
      <c r="AC7" s="511"/>
    </row>
    <row r="8" spans="1:29">
      <c r="A8" s="545" t="s">
        <v>885</v>
      </c>
      <c r="B8" s="62" t="s">
        <v>6</v>
      </c>
      <c r="C8" s="539" t="s">
        <v>886</v>
      </c>
      <c r="D8" s="540"/>
      <c r="E8" s="62">
        <v>54.7</v>
      </c>
      <c r="F8" s="196">
        <v>3790</v>
      </c>
      <c r="G8" s="188">
        <f t="shared" si="0"/>
        <v>207313</v>
      </c>
      <c r="H8" s="90" t="s">
        <v>5</v>
      </c>
      <c r="I8" s="193">
        <v>13</v>
      </c>
      <c r="J8" s="63">
        <v>2000</v>
      </c>
      <c r="K8" s="64">
        <f t="shared" si="1"/>
        <v>153.84615384615384</v>
      </c>
      <c r="L8" s="193">
        <v>13</v>
      </c>
      <c r="M8" s="65">
        <f t="shared" si="2"/>
        <v>1910.9243697478983</v>
      </c>
      <c r="N8" s="64">
        <f t="shared" si="3"/>
        <v>146.99418228829987</v>
      </c>
      <c r="O8" s="66">
        <f t="shared" si="4"/>
        <v>0</v>
      </c>
      <c r="P8" s="67">
        <f t="shared" si="5"/>
        <v>-6.8519715578539717</v>
      </c>
      <c r="Q8" s="189">
        <f t="shared" si="6"/>
        <v>0.95546218487394918</v>
      </c>
      <c r="R8" s="511"/>
      <c r="S8" s="68">
        <v>0.89861111111111103</v>
      </c>
      <c r="T8" s="68">
        <v>0.98124999999999996</v>
      </c>
      <c r="U8" s="188">
        <f t="shared" si="10"/>
        <v>56.999999999999957</v>
      </c>
      <c r="V8" s="194">
        <f t="shared" si="7"/>
        <v>119.00000000000006</v>
      </c>
      <c r="W8" s="73"/>
      <c r="X8" s="73"/>
      <c r="Y8" s="517"/>
      <c r="Z8" s="518"/>
      <c r="AA8" s="66">
        <f t="shared" si="8"/>
        <v>-89.075630252101746</v>
      </c>
      <c r="AB8" s="189">
        <f t="shared" si="9"/>
        <v>0.95546218487394907</v>
      </c>
      <c r="AC8" s="511"/>
    </row>
    <row r="9" spans="1:29">
      <c r="A9" s="545" t="s">
        <v>885</v>
      </c>
      <c r="B9" s="62" t="s">
        <v>887</v>
      </c>
      <c r="C9" s="513"/>
      <c r="D9" s="513"/>
      <c r="E9" s="190"/>
      <c r="F9" s="71"/>
      <c r="G9" s="64"/>
      <c r="H9" s="196"/>
      <c r="I9" s="72">
        <v>14.5</v>
      </c>
      <c r="J9" s="63">
        <v>2000</v>
      </c>
      <c r="K9" s="64">
        <f t="shared" si="1"/>
        <v>137.93103448275863</v>
      </c>
      <c r="L9" s="72">
        <v>14.5</v>
      </c>
      <c r="M9" s="65">
        <f>AVERAGE(M5:M8)</f>
        <v>1917.5860031512611</v>
      </c>
      <c r="N9" s="64">
        <f t="shared" si="3"/>
        <v>132.24731056215595</v>
      </c>
      <c r="O9" s="66">
        <f t="shared" si="4"/>
        <v>0</v>
      </c>
      <c r="P9" s="67">
        <f t="shared" si="5"/>
        <v>-5.6837239206026879</v>
      </c>
      <c r="Q9" s="189">
        <f t="shared" si="6"/>
        <v>0.95879300157563052</v>
      </c>
      <c r="R9" s="511"/>
      <c r="S9" s="68"/>
      <c r="T9" s="68"/>
      <c r="U9" s="188"/>
      <c r="V9" s="194"/>
      <c r="W9" s="64"/>
      <c r="X9" s="64"/>
      <c r="Y9" s="510"/>
      <c r="Z9" s="510"/>
      <c r="AA9" s="66">
        <f t="shared" si="8"/>
        <v>-82.413996848738861</v>
      </c>
      <c r="AB9" s="189">
        <f t="shared" si="9"/>
        <v>0.95879300157563052</v>
      </c>
      <c r="AC9" s="511"/>
    </row>
    <row r="10" spans="1:29" ht="15.75" customHeight="1">
      <c r="A10" s="543" t="s">
        <v>888</v>
      </c>
      <c r="B10" s="62" t="s">
        <v>10</v>
      </c>
      <c r="C10" s="539" t="s">
        <v>12</v>
      </c>
      <c r="D10" s="540"/>
      <c r="E10" s="62">
        <v>39.36</v>
      </c>
      <c r="F10" s="196">
        <v>2127</v>
      </c>
      <c r="G10" s="188">
        <f t="shared" ref="G10:G11" si="11">E10*F10</f>
        <v>83718.720000000001</v>
      </c>
      <c r="H10" s="90" t="s">
        <v>5</v>
      </c>
      <c r="I10" s="193">
        <v>20</v>
      </c>
      <c r="J10" s="63">
        <v>1500</v>
      </c>
      <c r="K10" s="64">
        <f t="shared" si="1"/>
        <v>75</v>
      </c>
      <c r="L10" s="193">
        <v>20</v>
      </c>
      <c r="M10" s="65">
        <f t="shared" ref="M10:M11" si="12">F10/V10*60</f>
        <v>1433.9325842696621</v>
      </c>
      <c r="N10" s="64">
        <f t="shared" si="3"/>
        <v>71.696629213483106</v>
      </c>
      <c r="O10" s="66">
        <f t="shared" si="4"/>
        <v>0</v>
      </c>
      <c r="P10" s="67">
        <f t="shared" si="5"/>
        <v>-3.3033707865168935</v>
      </c>
      <c r="Q10" s="189">
        <f t="shared" si="6"/>
        <v>0.95595505617977472</v>
      </c>
      <c r="R10" s="511">
        <f>Q12</f>
        <v>0.95383959705540455</v>
      </c>
      <c r="S10" s="68">
        <v>0.20833333333333334</v>
      </c>
      <c r="T10" s="68">
        <v>0.27013888888888893</v>
      </c>
      <c r="U10" s="188"/>
      <c r="V10" s="194">
        <f t="shared" ref="V10:V11" si="13">(T10-S10)*24*60</f>
        <v>89.000000000000043</v>
      </c>
      <c r="W10" s="69"/>
      <c r="X10" s="69"/>
      <c r="Y10" s="510"/>
      <c r="Z10" s="510"/>
      <c r="AA10" s="66">
        <f t="shared" si="8"/>
        <v>-66.067415730337871</v>
      </c>
      <c r="AB10" s="189">
        <f t="shared" si="9"/>
        <v>0.95595505617977472</v>
      </c>
      <c r="AC10" s="511">
        <f>AB12</f>
        <v>0.95383959705540455</v>
      </c>
    </row>
    <row r="11" spans="1:29" ht="15.75" customHeight="1">
      <c r="A11" s="543" t="s">
        <v>888</v>
      </c>
      <c r="B11" s="62" t="s">
        <v>10</v>
      </c>
      <c r="C11" s="539" t="s">
        <v>11</v>
      </c>
      <c r="D11" s="540"/>
      <c r="E11" s="62">
        <v>39.799999999999997</v>
      </c>
      <c r="F11" s="196">
        <v>7590</v>
      </c>
      <c r="G11" s="188">
        <f t="shared" si="11"/>
        <v>302082</v>
      </c>
      <c r="H11" s="90" t="s">
        <v>5</v>
      </c>
      <c r="I11" s="193">
        <v>17</v>
      </c>
      <c r="J11" s="63">
        <v>1500</v>
      </c>
      <c r="K11" s="64">
        <f t="shared" si="1"/>
        <v>88.235294117647058</v>
      </c>
      <c r="L11" s="193">
        <v>17</v>
      </c>
      <c r="M11" s="65">
        <f t="shared" si="12"/>
        <v>1427.5862068965516</v>
      </c>
      <c r="N11" s="64">
        <f t="shared" si="3"/>
        <v>83.975659229208915</v>
      </c>
      <c r="O11" s="66">
        <f t="shared" si="4"/>
        <v>0</v>
      </c>
      <c r="P11" s="67">
        <f t="shared" si="5"/>
        <v>-4.2596348884381428</v>
      </c>
      <c r="Q11" s="189">
        <f t="shared" si="6"/>
        <v>0.95172413793103439</v>
      </c>
      <c r="R11" s="511"/>
      <c r="S11" s="68">
        <v>0.27500000000000002</v>
      </c>
      <c r="T11" s="68">
        <v>0.49652777777777779</v>
      </c>
      <c r="U11" s="188">
        <f t="shared" ref="U11" si="14">IF(S11=TIME(17,0,0),"",(S11-T10)*24*60)</f>
        <v>6.9999999999999751</v>
      </c>
      <c r="V11" s="194">
        <f t="shared" si="13"/>
        <v>319</v>
      </c>
      <c r="W11" s="69"/>
      <c r="X11" s="69"/>
      <c r="Y11" s="510"/>
      <c r="Z11" s="510"/>
      <c r="AA11" s="66">
        <f t="shared" si="8"/>
        <v>-72.41379310344837</v>
      </c>
      <c r="AB11" s="189">
        <f t="shared" si="9"/>
        <v>0.95172413793103439</v>
      </c>
      <c r="AC11" s="511"/>
    </row>
    <row r="12" spans="1:29" ht="16.5" customHeight="1">
      <c r="A12" s="543" t="s">
        <v>888</v>
      </c>
      <c r="B12" s="62" t="s">
        <v>887</v>
      </c>
      <c r="C12" s="513"/>
      <c r="D12" s="513"/>
      <c r="E12" s="190"/>
      <c r="F12" s="63"/>
      <c r="G12" s="65"/>
      <c r="H12" s="196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1430.7593955831069</v>
      </c>
      <c r="N12" s="64">
        <f t="shared" si="3"/>
        <v>77.338345707194961</v>
      </c>
      <c r="O12" s="66">
        <f t="shared" si="4"/>
        <v>0</v>
      </c>
      <c r="P12" s="67">
        <f t="shared" si="5"/>
        <v>-3.74273537388612</v>
      </c>
      <c r="Q12" s="189">
        <f t="shared" si="6"/>
        <v>0.95383959705540455</v>
      </c>
      <c r="R12" s="511"/>
      <c r="S12" s="68"/>
      <c r="T12" s="68"/>
      <c r="U12" s="64"/>
      <c r="V12" s="194"/>
      <c r="W12" s="64"/>
      <c r="X12" s="64"/>
      <c r="Y12" s="510"/>
      <c r="Z12" s="510"/>
      <c r="AA12" s="66">
        <f t="shared" si="8"/>
        <v>-69.24060441689312</v>
      </c>
      <c r="AB12" s="189">
        <f t="shared" si="9"/>
        <v>0.95383959705540455</v>
      </c>
      <c r="AC12" s="511"/>
    </row>
    <row r="13" spans="1:29" ht="16.5" customHeight="1">
      <c r="A13" s="541" t="s">
        <v>889</v>
      </c>
      <c r="B13" s="196" t="s">
        <v>13</v>
      </c>
      <c r="C13" s="533" t="s">
        <v>14</v>
      </c>
      <c r="D13" s="533"/>
      <c r="E13" s="62">
        <v>41</v>
      </c>
      <c r="F13" s="196">
        <v>2589</v>
      </c>
      <c r="G13" s="188">
        <f t="shared" ref="G13:G18" si="15">E13*F13</f>
        <v>106149</v>
      </c>
      <c r="H13" s="90" t="s">
        <v>5</v>
      </c>
      <c r="I13" s="193">
        <v>26</v>
      </c>
      <c r="J13" s="63">
        <v>1500</v>
      </c>
      <c r="K13" s="64">
        <f t="shared" si="1"/>
        <v>57.692307692307693</v>
      </c>
      <c r="L13" s="193">
        <v>26</v>
      </c>
      <c r="M13" s="65">
        <f t="shared" ref="M13:M18" si="16">F13/V13*60</f>
        <v>1438.333333333333</v>
      </c>
      <c r="N13" s="64">
        <f t="shared" si="3"/>
        <v>55.32051282051281</v>
      </c>
      <c r="O13" s="66">
        <f t="shared" si="4"/>
        <v>0</v>
      </c>
      <c r="P13" s="67">
        <f t="shared" si="5"/>
        <v>-2.3717948717948829</v>
      </c>
      <c r="Q13" s="189">
        <f t="shared" si="6"/>
        <v>0.95888888888888868</v>
      </c>
      <c r="R13" s="511">
        <f>Q19</f>
        <v>0.95498188212185997</v>
      </c>
      <c r="S13" s="68">
        <v>0.125</v>
      </c>
      <c r="T13" s="68">
        <v>0.2</v>
      </c>
      <c r="U13" s="188"/>
      <c r="V13" s="194">
        <f t="shared" ref="V13:V18" si="17">(T13-S13)*24*60</f>
        <v>108.00000000000001</v>
      </c>
      <c r="W13" s="69">
        <f>T13</f>
        <v>0.2</v>
      </c>
      <c r="X13" s="69">
        <f>S14</f>
        <v>0.21944444444444447</v>
      </c>
      <c r="Y13" s="510"/>
      <c r="Z13" s="510"/>
      <c r="AA13" s="66">
        <f t="shared" si="8"/>
        <v>-61.66666666666697</v>
      </c>
      <c r="AB13" s="189">
        <f t="shared" si="9"/>
        <v>0.95888888888888868</v>
      </c>
      <c r="AC13" s="511">
        <f>AB19</f>
        <v>0.95498188212185997</v>
      </c>
    </row>
    <row r="14" spans="1:29" ht="16.5" customHeight="1">
      <c r="A14" s="542" t="s">
        <v>889</v>
      </c>
      <c r="B14" s="196" t="s">
        <v>10</v>
      </c>
      <c r="C14" s="533" t="s">
        <v>15</v>
      </c>
      <c r="D14" s="533"/>
      <c r="E14" s="62">
        <v>39.619999999999997</v>
      </c>
      <c r="F14" s="196">
        <v>4974</v>
      </c>
      <c r="G14" s="188">
        <f t="shared" si="15"/>
        <v>197069.87999999998</v>
      </c>
      <c r="H14" s="90" t="s">
        <v>5</v>
      </c>
      <c r="I14" s="193">
        <v>19</v>
      </c>
      <c r="J14" s="63">
        <v>1500</v>
      </c>
      <c r="K14" s="64">
        <f t="shared" si="1"/>
        <v>78.94736842105263</v>
      </c>
      <c r="L14" s="193">
        <v>19</v>
      </c>
      <c r="M14" s="65">
        <f t="shared" si="16"/>
        <v>1434.8076923076924</v>
      </c>
      <c r="N14" s="64">
        <f t="shared" si="3"/>
        <v>75.516194331983812</v>
      </c>
      <c r="O14" s="66">
        <f t="shared" si="4"/>
        <v>0</v>
      </c>
      <c r="P14" s="67">
        <f t="shared" si="5"/>
        <v>-3.4311740890688185</v>
      </c>
      <c r="Q14" s="189">
        <f t="shared" si="6"/>
        <v>0.95653846153846167</v>
      </c>
      <c r="R14" s="511"/>
      <c r="S14" s="68">
        <v>0.21944444444444447</v>
      </c>
      <c r="T14" s="68">
        <v>0.36388888888888893</v>
      </c>
      <c r="U14" s="188">
        <f t="shared" ref="U14:U18" si="18">IF(S14=TIME(17,0,0),"",(S14-T13)*24*60)</f>
        <v>28.000000000000021</v>
      </c>
      <c r="V14" s="194">
        <f t="shared" si="17"/>
        <v>208</v>
      </c>
      <c r="W14" s="69"/>
      <c r="X14" s="69"/>
      <c r="Y14" s="510"/>
      <c r="Z14" s="510"/>
      <c r="AA14" s="66">
        <f t="shared" si="8"/>
        <v>-65.192307692307622</v>
      </c>
      <c r="AB14" s="189">
        <f t="shared" si="9"/>
        <v>0.95653846153846156</v>
      </c>
      <c r="AC14" s="511"/>
    </row>
    <row r="15" spans="1:29" ht="16.5" customHeight="1">
      <c r="A15" s="542" t="s">
        <v>889</v>
      </c>
      <c r="B15" s="196" t="s">
        <v>77</v>
      </c>
      <c r="C15" s="533" t="s">
        <v>76</v>
      </c>
      <c r="D15" s="533"/>
      <c r="E15" s="62">
        <v>57.3</v>
      </c>
      <c r="F15" s="196">
        <v>1354</v>
      </c>
      <c r="G15" s="188">
        <f t="shared" si="15"/>
        <v>77584.2</v>
      </c>
      <c r="H15" s="90" t="s">
        <v>5</v>
      </c>
      <c r="I15" s="193">
        <v>17</v>
      </c>
      <c r="J15" s="63">
        <v>1500</v>
      </c>
      <c r="K15" s="64">
        <f t="shared" si="1"/>
        <v>88.235294117647058</v>
      </c>
      <c r="L15" s="193">
        <v>17</v>
      </c>
      <c r="M15" s="65">
        <f t="shared" si="16"/>
        <v>1425.263157894738</v>
      </c>
      <c r="N15" s="64">
        <f t="shared" si="3"/>
        <v>83.839009287925762</v>
      </c>
      <c r="O15" s="66">
        <f t="shared" si="4"/>
        <v>0</v>
      </c>
      <c r="P15" s="67">
        <f t="shared" si="5"/>
        <v>-4.3962848297212958</v>
      </c>
      <c r="Q15" s="189">
        <f t="shared" si="6"/>
        <v>0.95017543859649201</v>
      </c>
      <c r="R15" s="511"/>
      <c r="S15" s="68">
        <v>0.36805555555555558</v>
      </c>
      <c r="T15" s="68">
        <v>0.40763888888888888</v>
      </c>
      <c r="U15" s="188">
        <f t="shared" si="18"/>
        <v>5.9999999999999787</v>
      </c>
      <c r="V15" s="194">
        <f t="shared" si="17"/>
        <v>56.999999999999957</v>
      </c>
      <c r="W15" s="69"/>
      <c r="X15" s="69"/>
      <c r="Y15" s="510"/>
      <c r="Z15" s="510"/>
      <c r="AA15" s="66">
        <f t="shared" si="8"/>
        <v>-74.736842105261985</v>
      </c>
      <c r="AB15" s="189">
        <f t="shared" si="9"/>
        <v>0.95017543859649201</v>
      </c>
      <c r="AC15" s="511"/>
    </row>
    <row r="16" spans="1:29" ht="16.5" customHeight="1">
      <c r="A16" s="542" t="s">
        <v>889</v>
      </c>
      <c r="B16" s="196" t="s">
        <v>6</v>
      </c>
      <c r="C16" s="533" t="s">
        <v>890</v>
      </c>
      <c r="D16" s="533"/>
      <c r="E16" s="62">
        <v>48.67</v>
      </c>
      <c r="F16" s="196">
        <v>4841</v>
      </c>
      <c r="G16" s="188">
        <f t="shared" si="15"/>
        <v>235611.47</v>
      </c>
      <c r="H16" s="90" t="s">
        <v>5</v>
      </c>
      <c r="I16" s="193">
        <v>16</v>
      </c>
      <c r="J16" s="63">
        <v>2000</v>
      </c>
      <c r="K16" s="64">
        <f t="shared" si="1"/>
        <v>125</v>
      </c>
      <c r="L16" s="193">
        <v>16</v>
      </c>
      <c r="M16" s="65">
        <f t="shared" si="16"/>
        <v>1910.9210526315796</v>
      </c>
      <c r="N16" s="64">
        <f t="shared" si="3"/>
        <v>119.43256578947373</v>
      </c>
      <c r="O16" s="66">
        <f t="shared" si="4"/>
        <v>0</v>
      </c>
      <c r="P16" s="67">
        <f t="shared" si="5"/>
        <v>-5.5674342105262724</v>
      </c>
      <c r="Q16" s="189">
        <f t="shared" si="6"/>
        <v>0.95546052631578982</v>
      </c>
      <c r="R16" s="511"/>
      <c r="S16" s="68">
        <v>0.70833333333333337</v>
      </c>
      <c r="T16" s="68">
        <v>0.81388888888888888</v>
      </c>
      <c r="U16" s="188" t="str">
        <f t="shared" si="18"/>
        <v/>
      </c>
      <c r="V16" s="194">
        <f t="shared" si="17"/>
        <v>151.99999999999994</v>
      </c>
      <c r="W16" s="69"/>
      <c r="X16" s="69"/>
      <c r="Y16" s="510"/>
      <c r="Z16" s="510"/>
      <c r="AA16" s="66">
        <f t="shared" si="8"/>
        <v>-89.078947368420359</v>
      </c>
      <c r="AB16" s="189">
        <f t="shared" si="9"/>
        <v>0.95546052631578982</v>
      </c>
      <c r="AC16" s="511"/>
    </row>
    <row r="17" spans="1:29" ht="16.5" customHeight="1">
      <c r="A17" s="542" t="s">
        <v>889</v>
      </c>
      <c r="B17" s="196" t="s">
        <v>6</v>
      </c>
      <c r="C17" s="533" t="s">
        <v>20</v>
      </c>
      <c r="D17" s="533"/>
      <c r="E17" s="62">
        <v>48.61</v>
      </c>
      <c r="F17" s="196">
        <v>1500</v>
      </c>
      <c r="G17" s="188">
        <f t="shared" si="15"/>
        <v>72915</v>
      </c>
      <c r="H17" s="90">
        <v>2</v>
      </c>
      <c r="I17" s="193">
        <v>15</v>
      </c>
      <c r="J17" s="63">
        <v>2000</v>
      </c>
      <c r="K17" s="64">
        <f t="shared" si="1"/>
        <v>133.33333333333334</v>
      </c>
      <c r="L17" s="193">
        <v>15</v>
      </c>
      <c r="M17" s="65">
        <f t="shared" si="16"/>
        <v>1914.8936170212769</v>
      </c>
      <c r="N17" s="64">
        <f t="shared" si="3"/>
        <v>127.65957446808513</v>
      </c>
      <c r="O17" s="66">
        <f t="shared" si="4"/>
        <v>0</v>
      </c>
      <c r="P17" s="67">
        <f t="shared" si="5"/>
        <v>-5.6737588652482174</v>
      </c>
      <c r="Q17" s="189">
        <f t="shared" si="6"/>
        <v>0.95744680851063835</v>
      </c>
      <c r="R17" s="511"/>
      <c r="S17" s="68">
        <v>0.81874999999999998</v>
      </c>
      <c r="T17" s="68">
        <v>0.85138888888888886</v>
      </c>
      <c r="U17" s="188">
        <f t="shared" si="18"/>
        <v>6.9999999999999751</v>
      </c>
      <c r="V17" s="194">
        <f t="shared" si="17"/>
        <v>46.999999999999993</v>
      </c>
      <c r="W17" s="69">
        <f>T17</f>
        <v>0.85138888888888886</v>
      </c>
      <c r="X17" s="69">
        <f>S18</f>
        <v>0.88958333333333328</v>
      </c>
      <c r="Y17" s="510"/>
      <c r="Z17" s="510"/>
      <c r="AA17" s="66">
        <f t="shared" si="8"/>
        <v>-85.106382978723104</v>
      </c>
      <c r="AB17" s="189">
        <f t="shared" si="9"/>
        <v>0.95744680851063846</v>
      </c>
      <c r="AC17" s="511"/>
    </row>
    <row r="18" spans="1:29" ht="16.5" customHeight="1">
      <c r="A18" s="542" t="s">
        <v>889</v>
      </c>
      <c r="B18" s="196" t="s">
        <v>6</v>
      </c>
      <c r="C18" s="534" t="s">
        <v>20</v>
      </c>
      <c r="D18" s="535"/>
      <c r="E18" s="62">
        <v>48.61</v>
      </c>
      <c r="F18" s="196">
        <v>3489</v>
      </c>
      <c r="G18" s="188">
        <f t="shared" si="15"/>
        <v>169600.29</v>
      </c>
      <c r="H18" s="90" t="s">
        <v>5</v>
      </c>
      <c r="I18" s="193">
        <v>15</v>
      </c>
      <c r="J18" s="63">
        <v>2000</v>
      </c>
      <c r="K18" s="64">
        <f t="shared" si="1"/>
        <v>133.33333333333334</v>
      </c>
      <c r="L18" s="193">
        <v>15</v>
      </c>
      <c r="M18" s="65">
        <f t="shared" si="16"/>
        <v>1903.0909090909104</v>
      </c>
      <c r="N18" s="64">
        <f t="shared" si="3"/>
        <v>126.87272727272736</v>
      </c>
      <c r="O18" s="66">
        <f t="shared" si="4"/>
        <v>0</v>
      </c>
      <c r="P18" s="67">
        <f t="shared" si="5"/>
        <v>-6.4606060606059827</v>
      </c>
      <c r="Q18" s="189">
        <f t="shared" si="6"/>
        <v>0.95154545454545514</v>
      </c>
      <c r="R18" s="511"/>
      <c r="S18" s="68">
        <v>0.88958333333333328</v>
      </c>
      <c r="T18" s="68">
        <v>0.96597222222222212</v>
      </c>
      <c r="U18" s="188">
        <f t="shared" si="18"/>
        <v>54.999999999999964</v>
      </c>
      <c r="V18" s="194">
        <f t="shared" si="17"/>
        <v>109.99999999999993</v>
      </c>
      <c r="W18" s="69"/>
      <c r="X18" s="69"/>
      <c r="Y18" s="517"/>
      <c r="Z18" s="518"/>
      <c r="AA18" s="66">
        <f t="shared" si="8"/>
        <v>-96.909090909089628</v>
      </c>
      <c r="AB18" s="189">
        <f t="shared" si="9"/>
        <v>0.95154545454545514</v>
      </c>
      <c r="AC18" s="511"/>
    </row>
    <row r="19" spans="1:29" ht="16.5" customHeight="1">
      <c r="A19" s="542" t="s">
        <v>891</v>
      </c>
      <c r="B19" s="62" t="s">
        <v>887</v>
      </c>
      <c r="C19" s="513"/>
      <c r="D19" s="513"/>
      <c r="E19" s="190"/>
      <c r="F19" s="71"/>
      <c r="G19" s="64"/>
      <c r="H19" s="196"/>
      <c r="I19" s="72">
        <v>18</v>
      </c>
      <c r="J19" s="63">
        <v>1750</v>
      </c>
      <c r="K19" s="64">
        <f t="shared" si="1"/>
        <v>97.222222222222229</v>
      </c>
      <c r="L19" s="72">
        <v>18</v>
      </c>
      <c r="M19" s="65">
        <f>AVERAGE(M13:M18)</f>
        <v>1671.218293713255</v>
      </c>
      <c r="N19" s="64">
        <f t="shared" si="3"/>
        <v>92.845460761847505</v>
      </c>
      <c r="O19" s="66">
        <f t="shared" si="4"/>
        <v>0</v>
      </c>
      <c r="P19" s="67">
        <f t="shared" si="5"/>
        <v>-4.3767614603747234</v>
      </c>
      <c r="Q19" s="189">
        <f t="shared" si="6"/>
        <v>0.95498188212185997</v>
      </c>
      <c r="R19" s="511"/>
      <c r="S19" s="68"/>
      <c r="T19" s="68"/>
      <c r="U19" s="188"/>
      <c r="V19" s="194"/>
      <c r="W19" s="64"/>
      <c r="X19" s="64"/>
      <c r="Y19" s="510"/>
      <c r="Z19" s="510"/>
      <c r="AA19" s="66">
        <f t="shared" si="8"/>
        <v>-78.78170628674502</v>
      </c>
      <c r="AB19" s="189">
        <f t="shared" si="9"/>
        <v>0.95498188212185997</v>
      </c>
      <c r="AC19" s="511"/>
    </row>
    <row r="20" spans="1:29" ht="15.75" customHeight="1">
      <c r="A20" s="537" t="s">
        <v>892</v>
      </c>
      <c r="B20" s="62" t="s">
        <v>13</v>
      </c>
      <c r="C20" s="533" t="s">
        <v>21</v>
      </c>
      <c r="D20" s="533"/>
      <c r="E20" s="62">
        <v>43.14</v>
      </c>
      <c r="F20" s="196">
        <v>1537</v>
      </c>
      <c r="G20" s="188">
        <f t="shared" ref="G20:G27" si="19">E20*F20</f>
        <v>66306.180000000008</v>
      </c>
      <c r="H20" s="90" t="s">
        <v>5</v>
      </c>
      <c r="I20" s="193">
        <v>17</v>
      </c>
      <c r="J20" s="63">
        <v>2000</v>
      </c>
      <c r="K20" s="64">
        <f t="shared" si="1"/>
        <v>117.64705882352941</v>
      </c>
      <c r="L20" s="193">
        <v>17</v>
      </c>
      <c r="M20" s="65">
        <f t="shared" ref="M20:M27" si="20">F20/V20*60</f>
        <v>1921.2500000000005</v>
      </c>
      <c r="N20" s="64">
        <f t="shared" si="3"/>
        <v>113.01470588235297</v>
      </c>
      <c r="O20" s="66">
        <f t="shared" si="4"/>
        <v>0</v>
      </c>
      <c r="P20" s="67">
        <f t="shared" si="5"/>
        <v>-4.6323529411764355</v>
      </c>
      <c r="Q20" s="189">
        <f t="shared" si="6"/>
        <v>0.96062500000000028</v>
      </c>
      <c r="R20" s="511">
        <f>Q28</f>
        <v>0.95898376454847445</v>
      </c>
      <c r="S20" s="68">
        <v>0.20833333333333334</v>
      </c>
      <c r="T20" s="68">
        <v>0.24166666666666667</v>
      </c>
      <c r="U20" s="188"/>
      <c r="V20" s="194">
        <f t="shared" ref="V20:V27" si="21">(T20-S20)*24*60</f>
        <v>47.999999999999986</v>
      </c>
      <c r="W20" s="73"/>
      <c r="X20" s="73"/>
      <c r="Y20" s="510"/>
      <c r="Z20" s="510"/>
      <c r="AA20" s="66">
        <f t="shared" si="8"/>
        <v>-78.749999999999545</v>
      </c>
      <c r="AB20" s="189">
        <f t="shared" si="9"/>
        <v>0.96062500000000017</v>
      </c>
      <c r="AC20" s="511">
        <f>AB28</f>
        <v>0.95898376454847445</v>
      </c>
    </row>
    <row r="21" spans="1:29" ht="15.75" customHeight="1">
      <c r="A21" s="538" t="s">
        <v>893</v>
      </c>
      <c r="B21" s="62" t="s">
        <v>6</v>
      </c>
      <c r="C21" s="533" t="s">
        <v>23</v>
      </c>
      <c r="D21" s="533"/>
      <c r="E21" s="62">
        <v>53.68</v>
      </c>
      <c r="F21" s="196">
        <v>2135</v>
      </c>
      <c r="G21" s="188">
        <f t="shared" si="19"/>
        <v>114606.8</v>
      </c>
      <c r="H21" s="90" t="s">
        <v>5</v>
      </c>
      <c r="I21" s="193">
        <v>16</v>
      </c>
      <c r="J21" s="63">
        <v>2000</v>
      </c>
      <c r="K21" s="64">
        <f t="shared" si="1"/>
        <v>125</v>
      </c>
      <c r="L21" s="193">
        <v>16</v>
      </c>
      <c r="M21" s="65">
        <f t="shared" si="20"/>
        <v>1911.9402985074628</v>
      </c>
      <c r="N21" s="64">
        <f t="shared" si="3"/>
        <v>119.49626865671642</v>
      </c>
      <c r="O21" s="66">
        <f t="shared" si="4"/>
        <v>0</v>
      </c>
      <c r="P21" s="67">
        <f t="shared" si="5"/>
        <v>-5.5037313432835759</v>
      </c>
      <c r="Q21" s="189">
        <f t="shared" si="6"/>
        <v>0.95597014925373136</v>
      </c>
      <c r="R21" s="511"/>
      <c r="S21" s="68">
        <v>0.24652777777777779</v>
      </c>
      <c r="T21" s="68">
        <v>0.29305555555555557</v>
      </c>
      <c r="U21" s="188">
        <f t="shared" ref="U21:U27" si="22">IF(S21=TIME(17,0,0),"",(S21-T20)*24*60)</f>
        <v>7.0000000000000151</v>
      </c>
      <c r="V21" s="194">
        <f t="shared" si="21"/>
        <v>67</v>
      </c>
      <c r="W21" s="69"/>
      <c r="X21" s="188"/>
      <c r="Y21" s="510"/>
      <c r="Z21" s="510"/>
      <c r="AA21" s="66">
        <f t="shared" si="8"/>
        <v>-88.059701492537215</v>
      </c>
      <c r="AB21" s="189">
        <f t="shared" si="9"/>
        <v>0.95597014925373136</v>
      </c>
      <c r="AC21" s="511"/>
    </row>
    <row r="22" spans="1:29" ht="15.75" customHeight="1">
      <c r="A22" s="538" t="s">
        <v>893</v>
      </c>
      <c r="B22" s="62" t="s">
        <v>6</v>
      </c>
      <c r="C22" s="533" t="s">
        <v>22</v>
      </c>
      <c r="D22" s="533"/>
      <c r="E22" s="62">
        <v>57.73</v>
      </c>
      <c r="F22" s="196">
        <v>3232</v>
      </c>
      <c r="G22" s="188">
        <f t="shared" si="19"/>
        <v>186583.36</v>
      </c>
      <c r="H22" s="90" t="s">
        <v>5</v>
      </c>
      <c r="I22" s="193">
        <v>14</v>
      </c>
      <c r="J22" s="63">
        <v>2000</v>
      </c>
      <c r="K22" s="64">
        <f t="shared" si="1"/>
        <v>142.85714285714286</v>
      </c>
      <c r="L22" s="193">
        <v>14</v>
      </c>
      <c r="M22" s="65">
        <f t="shared" si="20"/>
        <v>1919.9999999999991</v>
      </c>
      <c r="N22" s="64">
        <f t="shared" si="3"/>
        <v>137.14285714285708</v>
      </c>
      <c r="O22" s="66">
        <f t="shared" si="4"/>
        <v>0</v>
      </c>
      <c r="P22" s="67">
        <f t="shared" si="5"/>
        <v>-5.7142857142857792</v>
      </c>
      <c r="Q22" s="189">
        <f t="shared" si="6"/>
        <v>0.95999999999999952</v>
      </c>
      <c r="R22" s="511"/>
      <c r="S22" s="68">
        <v>0.29652777777777778</v>
      </c>
      <c r="T22" s="68">
        <v>0.3666666666666667</v>
      </c>
      <c r="U22" s="188">
        <f t="shared" si="22"/>
        <v>4.9999999999999822</v>
      </c>
      <c r="V22" s="194">
        <f t="shared" si="21"/>
        <v>101.00000000000004</v>
      </c>
      <c r="W22" s="69"/>
      <c r="X22" s="188"/>
      <c r="Y22" s="510"/>
      <c r="Z22" s="510"/>
      <c r="AA22" s="66">
        <f t="shared" si="8"/>
        <v>-80.000000000000909</v>
      </c>
      <c r="AB22" s="189">
        <f t="shared" si="9"/>
        <v>0.95999999999999952</v>
      </c>
      <c r="AC22" s="511"/>
    </row>
    <row r="23" spans="1:29" ht="15.75" customHeight="1">
      <c r="A23" s="538" t="s">
        <v>893</v>
      </c>
      <c r="B23" s="62" t="s">
        <v>6</v>
      </c>
      <c r="C23" s="533" t="s">
        <v>24</v>
      </c>
      <c r="D23" s="533"/>
      <c r="E23" s="62">
        <v>54.09</v>
      </c>
      <c r="F23" s="196">
        <v>2488</v>
      </c>
      <c r="G23" s="188">
        <f t="shared" si="19"/>
        <v>134575.92000000001</v>
      </c>
      <c r="H23" s="90" t="s">
        <v>5</v>
      </c>
      <c r="I23" s="193">
        <v>19</v>
      </c>
      <c r="J23" s="63">
        <v>2000</v>
      </c>
      <c r="K23" s="64">
        <f t="shared" si="1"/>
        <v>105.26315789473684</v>
      </c>
      <c r="L23" s="193">
        <v>19</v>
      </c>
      <c r="M23" s="65">
        <f t="shared" si="20"/>
        <v>1913.8461538461529</v>
      </c>
      <c r="N23" s="64">
        <f t="shared" si="3"/>
        <v>100.72874493927121</v>
      </c>
      <c r="O23" s="66">
        <f t="shared" si="4"/>
        <v>0</v>
      </c>
      <c r="P23" s="67">
        <f t="shared" si="5"/>
        <v>-4.5344129554656263</v>
      </c>
      <c r="Q23" s="189">
        <f t="shared" si="6"/>
        <v>0.95692307692307654</v>
      </c>
      <c r="R23" s="511"/>
      <c r="S23" s="68">
        <v>0.70833333333333337</v>
      </c>
      <c r="T23" s="68">
        <v>0.76250000000000007</v>
      </c>
      <c r="U23" s="188" t="str">
        <f t="shared" si="22"/>
        <v/>
      </c>
      <c r="V23" s="194">
        <f t="shared" si="21"/>
        <v>78.000000000000043</v>
      </c>
      <c r="W23" s="69"/>
      <c r="X23" s="188"/>
      <c r="Y23" s="510"/>
      <c r="Z23" s="510"/>
      <c r="AA23" s="66">
        <f t="shared" si="8"/>
        <v>-86.153846153847098</v>
      </c>
      <c r="AB23" s="189">
        <f t="shared" si="9"/>
        <v>0.95692307692307643</v>
      </c>
      <c r="AC23" s="511"/>
    </row>
    <row r="24" spans="1:29" ht="15.75" customHeight="1">
      <c r="A24" s="538" t="s">
        <v>893</v>
      </c>
      <c r="B24" s="62" t="s">
        <v>6</v>
      </c>
      <c r="C24" s="533" t="s">
        <v>81</v>
      </c>
      <c r="D24" s="533"/>
      <c r="E24" s="62">
        <v>50.67</v>
      </c>
      <c r="F24" s="196">
        <v>1500</v>
      </c>
      <c r="G24" s="188">
        <f t="shared" si="19"/>
        <v>76005</v>
      </c>
      <c r="H24" s="90">
        <v>2</v>
      </c>
      <c r="I24" s="193">
        <v>15</v>
      </c>
      <c r="J24" s="63">
        <v>2000</v>
      </c>
      <c r="K24" s="64">
        <f t="shared" si="1"/>
        <v>133.33333333333334</v>
      </c>
      <c r="L24" s="193">
        <v>15</v>
      </c>
      <c r="M24" s="65">
        <f t="shared" si="20"/>
        <v>1914.8936170212769</v>
      </c>
      <c r="N24" s="64">
        <f t="shared" si="3"/>
        <v>127.65957446808513</v>
      </c>
      <c r="O24" s="66">
        <f t="shared" si="4"/>
        <v>0</v>
      </c>
      <c r="P24" s="67">
        <f t="shared" si="5"/>
        <v>-5.6737588652482174</v>
      </c>
      <c r="Q24" s="189">
        <f t="shared" si="6"/>
        <v>0.95744680851063835</v>
      </c>
      <c r="R24" s="511"/>
      <c r="S24" s="68">
        <v>0.76666666666666672</v>
      </c>
      <c r="T24" s="68">
        <v>0.7993055555555556</v>
      </c>
      <c r="U24" s="188">
        <f t="shared" si="22"/>
        <v>5.9999999999999787</v>
      </c>
      <c r="V24" s="194">
        <f t="shared" si="21"/>
        <v>46.999999999999993</v>
      </c>
      <c r="W24" s="69"/>
      <c r="X24" s="188"/>
      <c r="Y24" s="510"/>
      <c r="Z24" s="510"/>
      <c r="AA24" s="66">
        <f t="shared" si="8"/>
        <v>-85.106382978723104</v>
      </c>
      <c r="AB24" s="189">
        <f t="shared" si="9"/>
        <v>0.95744680851063846</v>
      </c>
      <c r="AC24" s="511"/>
    </row>
    <row r="25" spans="1:29" ht="15.75" customHeight="1">
      <c r="A25" s="538" t="s">
        <v>893</v>
      </c>
      <c r="B25" s="62" t="s">
        <v>6</v>
      </c>
      <c r="C25" s="533" t="s">
        <v>82</v>
      </c>
      <c r="D25" s="533"/>
      <c r="E25" s="62">
        <v>57.73</v>
      </c>
      <c r="F25" s="196">
        <v>1000</v>
      </c>
      <c r="G25" s="188">
        <f t="shared" si="19"/>
        <v>57730</v>
      </c>
      <c r="H25" s="90">
        <v>2</v>
      </c>
      <c r="I25" s="193">
        <v>16</v>
      </c>
      <c r="J25" s="63">
        <v>1500</v>
      </c>
      <c r="K25" s="64">
        <f t="shared" si="1"/>
        <v>93.75</v>
      </c>
      <c r="L25" s="193">
        <v>16</v>
      </c>
      <c r="M25" s="65">
        <f t="shared" si="20"/>
        <v>1463.4146341463411</v>
      </c>
      <c r="N25" s="64">
        <f t="shared" si="3"/>
        <v>91.463414634146318</v>
      </c>
      <c r="O25" s="66">
        <f t="shared" si="4"/>
        <v>0</v>
      </c>
      <c r="P25" s="67">
        <f t="shared" si="5"/>
        <v>-2.2865853658536821</v>
      </c>
      <c r="Q25" s="189">
        <f t="shared" si="6"/>
        <v>0.97560975609756073</v>
      </c>
      <c r="R25" s="511"/>
      <c r="S25" s="68">
        <v>0.8041666666666667</v>
      </c>
      <c r="T25" s="68">
        <v>0.83263888888888893</v>
      </c>
      <c r="U25" s="188">
        <f t="shared" si="22"/>
        <v>6.9999999999999751</v>
      </c>
      <c r="V25" s="194">
        <f t="shared" si="21"/>
        <v>41.000000000000014</v>
      </c>
      <c r="W25" s="69">
        <f>T25</f>
        <v>0.83263888888888893</v>
      </c>
      <c r="X25" s="69">
        <f>S26</f>
        <v>0.87361111111111112</v>
      </c>
      <c r="Y25" s="510"/>
      <c r="Z25" s="510"/>
      <c r="AA25" s="66">
        <f t="shared" si="8"/>
        <v>-36.585365853658914</v>
      </c>
      <c r="AB25" s="189">
        <f t="shared" si="9"/>
        <v>0.97560975609756073</v>
      </c>
      <c r="AC25" s="511"/>
    </row>
    <row r="26" spans="1:29" ht="15.75" customHeight="1">
      <c r="A26" s="538" t="s">
        <v>893</v>
      </c>
      <c r="B26" s="62" t="s">
        <v>6</v>
      </c>
      <c r="C26" s="533" t="s">
        <v>81</v>
      </c>
      <c r="D26" s="533"/>
      <c r="E26" s="62">
        <v>50.67</v>
      </c>
      <c r="F26" s="196">
        <v>2865</v>
      </c>
      <c r="G26" s="188">
        <f t="shared" si="19"/>
        <v>145169.55000000002</v>
      </c>
      <c r="H26" s="90" t="s">
        <v>5</v>
      </c>
      <c r="I26" s="193">
        <v>15</v>
      </c>
      <c r="J26" s="63">
        <v>2000</v>
      </c>
      <c r="K26" s="64">
        <f t="shared" si="1"/>
        <v>133.33333333333334</v>
      </c>
      <c r="L26" s="193">
        <v>15</v>
      </c>
      <c r="M26" s="65">
        <f t="shared" si="20"/>
        <v>1910</v>
      </c>
      <c r="N26" s="64">
        <f t="shared" si="3"/>
        <v>127.33333333333333</v>
      </c>
      <c r="O26" s="66">
        <f t="shared" si="4"/>
        <v>0</v>
      </c>
      <c r="P26" s="67">
        <f t="shared" si="5"/>
        <v>-6.0000000000000142</v>
      </c>
      <c r="Q26" s="189">
        <f t="shared" si="6"/>
        <v>0.95499999999999985</v>
      </c>
      <c r="R26" s="511"/>
      <c r="S26" s="68">
        <v>0.87361111111111112</v>
      </c>
      <c r="T26" s="68">
        <v>0.93611111111111112</v>
      </c>
      <c r="U26" s="188">
        <f t="shared" si="22"/>
        <v>58.99999999999995</v>
      </c>
      <c r="V26" s="194">
        <f t="shared" si="21"/>
        <v>90</v>
      </c>
      <c r="W26" s="69"/>
      <c r="X26" s="73"/>
      <c r="Y26" s="517"/>
      <c r="Z26" s="518"/>
      <c r="AA26" s="66">
        <f t="shared" si="8"/>
        <v>-90</v>
      </c>
      <c r="AB26" s="189">
        <f t="shared" si="9"/>
        <v>0.95499999999999996</v>
      </c>
      <c r="AC26" s="511"/>
    </row>
    <row r="27" spans="1:29" ht="15.75" customHeight="1">
      <c r="A27" s="538" t="s">
        <v>893</v>
      </c>
      <c r="B27" s="62" t="s">
        <v>6</v>
      </c>
      <c r="C27" s="534" t="s">
        <v>82</v>
      </c>
      <c r="D27" s="535"/>
      <c r="E27" s="62">
        <v>57.73</v>
      </c>
      <c r="F27" s="196">
        <v>2025</v>
      </c>
      <c r="G27" s="188">
        <f t="shared" si="19"/>
        <v>116903.25</v>
      </c>
      <c r="H27" s="90" t="s">
        <v>5</v>
      </c>
      <c r="I27" s="193">
        <v>16</v>
      </c>
      <c r="J27" s="63">
        <v>1500</v>
      </c>
      <c r="K27" s="64">
        <f t="shared" si="1"/>
        <v>93.75</v>
      </c>
      <c r="L27" s="193">
        <v>16</v>
      </c>
      <c r="M27" s="65">
        <f t="shared" si="20"/>
        <v>1429.4117647058822</v>
      </c>
      <c r="N27" s="64">
        <f t="shared" si="3"/>
        <v>89.338235294117638</v>
      </c>
      <c r="O27" s="66">
        <f t="shared" si="4"/>
        <v>0</v>
      </c>
      <c r="P27" s="67">
        <f t="shared" si="5"/>
        <v>-4.4117647058823621</v>
      </c>
      <c r="Q27" s="189">
        <f t="shared" si="6"/>
        <v>0.95294117647058818</v>
      </c>
      <c r="R27" s="511"/>
      <c r="S27" s="68">
        <v>0.94097222222222221</v>
      </c>
      <c r="T27" s="68">
        <v>1</v>
      </c>
      <c r="U27" s="188">
        <f t="shared" si="22"/>
        <v>6.9999999999999751</v>
      </c>
      <c r="V27" s="194">
        <f t="shared" si="21"/>
        <v>85.000000000000014</v>
      </c>
      <c r="W27" s="69"/>
      <c r="X27" s="69"/>
      <c r="Y27" s="517"/>
      <c r="Z27" s="518"/>
      <c r="AA27" s="66">
        <f t="shared" si="8"/>
        <v>-70.588235294117794</v>
      </c>
      <c r="AB27" s="189">
        <f t="shared" si="9"/>
        <v>0.95294117647058818</v>
      </c>
      <c r="AC27" s="511"/>
    </row>
    <row r="28" spans="1:29" ht="15.75" customHeight="1">
      <c r="A28" s="538" t="s">
        <v>893</v>
      </c>
      <c r="B28" s="62" t="s">
        <v>887</v>
      </c>
      <c r="C28" s="513"/>
      <c r="D28" s="513"/>
      <c r="E28" s="190"/>
      <c r="F28" s="196"/>
      <c r="G28" s="188"/>
      <c r="H28" s="196"/>
      <c r="I28" s="72">
        <v>16</v>
      </c>
      <c r="J28" s="63">
        <v>1875</v>
      </c>
      <c r="K28" s="64">
        <f t="shared" si="1"/>
        <v>117.1875</v>
      </c>
      <c r="L28" s="72">
        <v>16</v>
      </c>
      <c r="M28" s="65">
        <f>AVERAGE(M20:M27)</f>
        <v>1798.0945585283896</v>
      </c>
      <c r="N28" s="64">
        <f t="shared" si="3"/>
        <v>112.38090990802435</v>
      </c>
      <c r="O28" s="66">
        <f t="shared" si="4"/>
        <v>0</v>
      </c>
      <c r="P28" s="67">
        <f t="shared" si="5"/>
        <v>-4.8065900919756501</v>
      </c>
      <c r="Q28" s="189">
        <f t="shared" si="6"/>
        <v>0.95898376454847445</v>
      </c>
      <c r="R28" s="511"/>
      <c r="S28" s="68"/>
      <c r="T28" s="68"/>
      <c r="U28" s="64"/>
      <c r="V28" s="194"/>
      <c r="W28" s="64"/>
      <c r="X28" s="64"/>
      <c r="Y28" s="510"/>
      <c r="Z28" s="510"/>
      <c r="AA28" s="66">
        <f t="shared" si="8"/>
        <v>-76.905441471610402</v>
      </c>
      <c r="AB28" s="189">
        <f t="shared" si="9"/>
        <v>0.95898376454847445</v>
      </c>
      <c r="AC28" s="511"/>
    </row>
    <row r="29" spans="1:29" ht="15.75" customHeight="1">
      <c r="A29" s="536" t="s">
        <v>894</v>
      </c>
      <c r="B29" s="62" t="s">
        <v>16</v>
      </c>
      <c r="C29" s="533" t="s">
        <v>30</v>
      </c>
      <c r="D29" s="533"/>
      <c r="E29" s="62">
        <v>31.29</v>
      </c>
      <c r="F29" s="196">
        <v>6500</v>
      </c>
      <c r="G29" s="188">
        <f t="shared" ref="G29:G35" si="23">E29*F29</f>
        <v>203385</v>
      </c>
      <c r="H29" s="90">
        <v>2</v>
      </c>
      <c r="I29" s="193">
        <v>18</v>
      </c>
      <c r="J29" s="63">
        <v>2400</v>
      </c>
      <c r="K29" s="64">
        <f t="shared" si="1"/>
        <v>133.33333333333334</v>
      </c>
      <c r="L29" s="193">
        <v>18</v>
      </c>
      <c r="M29" s="65">
        <f t="shared" ref="M29:M35" si="24">F29/V29*60</f>
        <v>2294.1176470588234</v>
      </c>
      <c r="N29" s="64">
        <f t="shared" si="3"/>
        <v>127.45098039215685</v>
      </c>
      <c r="O29" s="66">
        <f t="shared" si="4"/>
        <v>0</v>
      </c>
      <c r="P29" s="67">
        <f t="shared" si="5"/>
        <v>-5.8823529411764923</v>
      </c>
      <c r="Q29" s="189">
        <f t="shared" si="6"/>
        <v>0.95588235294117629</v>
      </c>
      <c r="R29" s="511">
        <f>Q36</f>
        <v>0.95638528682346113</v>
      </c>
      <c r="S29" s="68">
        <v>8.3333333333333329E-2</v>
      </c>
      <c r="T29" s="68">
        <v>0.2013888888888889</v>
      </c>
      <c r="U29" s="188"/>
      <c r="V29" s="194">
        <f t="shared" ref="V29:V35" si="25">(T29-S29)*24*60</f>
        <v>170</v>
      </c>
      <c r="W29" s="69">
        <f>T29</f>
        <v>0.2013888888888889</v>
      </c>
      <c r="X29" s="69">
        <f>S30</f>
        <v>0.22083333333333335</v>
      </c>
      <c r="Y29" s="510"/>
      <c r="Z29" s="510"/>
      <c r="AA29" s="66">
        <f t="shared" si="8"/>
        <v>-105.88235294117658</v>
      </c>
      <c r="AB29" s="189">
        <f t="shared" si="9"/>
        <v>0.95588235294117641</v>
      </c>
      <c r="AC29" s="511">
        <f>AB36</f>
        <v>0.95638528682346113</v>
      </c>
    </row>
    <row r="30" spans="1:29" ht="15.75" customHeight="1">
      <c r="A30" s="536" t="s">
        <v>895</v>
      </c>
      <c r="B30" s="62" t="s">
        <v>16</v>
      </c>
      <c r="C30" s="533" t="s">
        <v>28</v>
      </c>
      <c r="D30" s="533"/>
      <c r="E30" s="62">
        <v>26.18</v>
      </c>
      <c r="F30" s="196">
        <v>3906</v>
      </c>
      <c r="G30" s="188">
        <f t="shared" si="23"/>
        <v>102259.08</v>
      </c>
      <c r="H30" s="90" t="s">
        <v>5</v>
      </c>
      <c r="I30" s="193">
        <v>19</v>
      </c>
      <c r="J30" s="63">
        <v>2400</v>
      </c>
      <c r="K30" s="64">
        <f t="shared" si="1"/>
        <v>126.31578947368421</v>
      </c>
      <c r="L30" s="193">
        <v>19</v>
      </c>
      <c r="M30" s="65">
        <f t="shared" si="24"/>
        <v>2297.6470588235297</v>
      </c>
      <c r="N30" s="64">
        <f t="shared" si="3"/>
        <v>120.92879256965946</v>
      </c>
      <c r="O30" s="66">
        <f t="shared" si="4"/>
        <v>0</v>
      </c>
      <c r="P30" s="67">
        <f t="shared" si="5"/>
        <v>-5.3869969040247412</v>
      </c>
      <c r="Q30" s="189">
        <f t="shared" si="6"/>
        <v>0.95735294117647085</v>
      </c>
      <c r="R30" s="511"/>
      <c r="S30" s="68">
        <v>0.22083333333333335</v>
      </c>
      <c r="T30" s="68">
        <v>0.29166666666666669</v>
      </c>
      <c r="U30" s="188">
        <f t="shared" ref="U30:U35" si="26">(S30-T29)*24*60</f>
        <v>28.000000000000021</v>
      </c>
      <c r="V30" s="194">
        <f t="shared" si="25"/>
        <v>102</v>
      </c>
      <c r="W30" s="69"/>
      <c r="X30" s="69"/>
      <c r="Y30" s="510"/>
      <c r="Z30" s="510"/>
      <c r="AA30" s="66">
        <f t="shared" si="8"/>
        <v>-102.35294117647027</v>
      </c>
      <c r="AB30" s="189">
        <f t="shared" si="9"/>
        <v>0.95735294117647074</v>
      </c>
      <c r="AC30" s="511"/>
    </row>
    <row r="31" spans="1:29" ht="15.75" customHeight="1">
      <c r="A31" s="536" t="s">
        <v>895</v>
      </c>
      <c r="B31" s="62" t="s">
        <v>16</v>
      </c>
      <c r="C31" s="533" t="s">
        <v>25</v>
      </c>
      <c r="D31" s="533"/>
      <c r="E31" s="62">
        <v>26.2</v>
      </c>
      <c r="F31" s="196">
        <v>5995</v>
      </c>
      <c r="G31" s="188">
        <f t="shared" si="23"/>
        <v>157069</v>
      </c>
      <c r="H31" s="90" t="s">
        <v>5</v>
      </c>
      <c r="I31" s="193">
        <v>20</v>
      </c>
      <c r="J31" s="63">
        <v>2400</v>
      </c>
      <c r="K31" s="64">
        <f t="shared" si="1"/>
        <v>120</v>
      </c>
      <c r="L31" s="193">
        <v>20</v>
      </c>
      <c r="M31" s="65">
        <f t="shared" si="24"/>
        <v>2291.0828025477708</v>
      </c>
      <c r="N31" s="64">
        <f t="shared" si="3"/>
        <v>114.55414012738854</v>
      </c>
      <c r="O31" s="66">
        <f t="shared" si="4"/>
        <v>0</v>
      </c>
      <c r="P31" s="67">
        <f t="shared" si="5"/>
        <v>-5.4458598726114644</v>
      </c>
      <c r="Q31" s="189">
        <f t="shared" si="6"/>
        <v>0.95461783439490444</v>
      </c>
      <c r="R31" s="511"/>
      <c r="S31" s="68">
        <v>0.29722222222222222</v>
      </c>
      <c r="T31" s="68">
        <v>0.40625</v>
      </c>
      <c r="U31" s="188">
        <f t="shared" si="26"/>
        <v>7.9999999999999716</v>
      </c>
      <c r="V31" s="194">
        <f t="shared" si="25"/>
        <v>157</v>
      </c>
      <c r="W31" s="69"/>
      <c r="X31" s="69"/>
      <c r="Y31" s="510"/>
      <c r="Z31" s="510"/>
      <c r="AA31" s="66">
        <f t="shared" si="8"/>
        <v>-108.91719745222917</v>
      </c>
      <c r="AB31" s="189">
        <f t="shared" si="9"/>
        <v>0.95461783439490455</v>
      </c>
      <c r="AC31" s="511"/>
    </row>
    <row r="32" spans="1:29" ht="15.75" customHeight="1">
      <c r="A32" s="536" t="s">
        <v>895</v>
      </c>
      <c r="B32" s="62" t="s">
        <v>16</v>
      </c>
      <c r="C32" s="533" t="s">
        <v>83</v>
      </c>
      <c r="D32" s="533"/>
      <c r="E32" s="62">
        <v>25.99</v>
      </c>
      <c r="F32" s="196">
        <v>2800</v>
      </c>
      <c r="G32" s="188">
        <f t="shared" si="23"/>
        <v>72772</v>
      </c>
      <c r="H32" s="90">
        <v>2</v>
      </c>
      <c r="I32" s="193">
        <v>14</v>
      </c>
      <c r="J32" s="63">
        <v>2400</v>
      </c>
      <c r="K32" s="64">
        <f t="shared" si="1"/>
        <v>171.42857142857142</v>
      </c>
      <c r="L32" s="193">
        <v>14</v>
      </c>
      <c r="M32" s="65">
        <f t="shared" si="24"/>
        <v>2301.3698630136987</v>
      </c>
      <c r="N32" s="64">
        <f t="shared" si="3"/>
        <v>164.38356164383563</v>
      </c>
      <c r="O32" s="66">
        <f t="shared" si="4"/>
        <v>0</v>
      </c>
      <c r="P32" s="67">
        <f t="shared" si="5"/>
        <v>-7.0450097847357824</v>
      </c>
      <c r="Q32" s="189">
        <f t="shared" si="6"/>
        <v>0.95890410958904126</v>
      </c>
      <c r="R32" s="511"/>
      <c r="S32" s="68">
        <v>0.41041666666666665</v>
      </c>
      <c r="T32" s="68">
        <v>0.46111111111111108</v>
      </c>
      <c r="U32" s="188">
        <f t="shared" si="26"/>
        <v>5.9999999999999787</v>
      </c>
      <c r="V32" s="194">
        <f t="shared" si="25"/>
        <v>72.999999999999986</v>
      </c>
      <c r="W32" s="69"/>
      <c r="X32" s="69"/>
      <c r="Y32" s="510"/>
      <c r="Z32" s="510"/>
      <c r="AA32" s="66">
        <f t="shared" si="8"/>
        <v>-98.630136986301295</v>
      </c>
      <c r="AB32" s="189">
        <f t="shared" si="9"/>
        <v>0.95890410958904115</v>
      </c>
      <c r="AC32" s="511"/>
    </row>
    <row r="33" spans="1:29" ht="15.75" customHeight="1">
      <c r="A33" s="536" t="s">
        <v>895</v>
      </c>
      <c r="B33" s="62" t="s">
        <v>16</v>
      </c>
      <c r="C33" s="533" t="s">
        <v>27</v>
      </c>
      <c r="D33" s="533"/>
      <c r="E33" s="62">
        <v>25.98</v>
      </c>
      <c r="F33" s="196">
        <v>1461</v>
      </c>
      <c r="G33" s="188">
        <f t="shared" si="23"/>
        <v>37956.78</v>
      </c>
      <c r="H33" s="90" t="s">
        <v>5</v>
      </c>
      <c r="I33" s="193">
        <v>17</v>
      </c>
      <c r="J33" s="63">
        <v>2400</v>
      </c>
      <c r="K33" s="64">
        <f t="shared" si="1"/>
        <v>141.1764705882353</v>
      </c>
      <c r="L33" s="193">
        <v>17</v>
      </c>
      <c r="M33" s="65">
        <f t="shared" si="24"/>
        <v>2306.8421052631561</v>
      </c>
      <c r="N33" s="64">
        <f t="shared" si="3"/>
        <v>135.69659442724446</v>
      </c>
      <c r="O33" s="66">
        <f t="shared" si="4"/>
        <v>0</v>
      </c>
      <c r="P33" s="67">
        <f t="shared" si="5"/>
        <v>-5.4798761609908411</v>
      </c>
      <c r="Q33" s="189">
        <f t="shared" si="6"/>
        <v>0.96118421052631486</v>
      </c>
      <c r="R33" s="511"/>
      <c r="S33" s="68">
        <v>0.46597222222222218</v>
      </c>
      <c r="T33" s="68">
        <v>0.49236111111111108</v>
      </c>
      <c r="U33" s="188">
        <f t="shared" si="26"/>
        <v>6.9999999999999751</v>
      </c>
      <c r="V33" s="194">
        <f t="shared" si="25"/>
        <v>38.000000000000028</v>
      </c>
      <c r="W33" s="69">
        <f>T33</f>
        <v>0.49236111111111108</v>
      </c>
      <c r="X33" s="69">
        <f>S34</f>
        <v>0.53333333333333321</v>
      </c>
      <c r="Y33" s="510"/>
      <c r="Z33" s="510"/>
      <c r="AA33" s="66">
        <f t="shared" si="8"/>
        <v>-93.1578947368439</v>
      </c>
      <c r="AB33" s="189">
        <f t="shared" si="9"/>
        <v>0.96118421052631509</v>
      </c>
      <c r="AC33" s="511"/>
    </row>
    <row r="34" spans="1:29" ht="15.75" customHeight="1">
      <c r="A34" s="536" t="s">
        <v>896</v>
      </c>
      <c r="B34" s="62" t="s">
        <v>16</v>
      </c>
      <c r="C34" s="533" t="s">
        <v>83</v>
      </c>
      <c r="D34" s="533"/>
      <c r="E34" s="62">
        <v>25.99</v>
      </c>
      <c r="F34" s="196">
        <v>4082</v>
      </c>
      <c r="G34" s="188">
        <f t="shared" si="23"/>
        <v>106091.18</v>
      </c>
      <c r="H34" s="90" t="s">
        <v>5</v>
      </c>
      <c r="I34" s="193">
        <v>14</v>
      </c>
      <c r="J34" s="63">
        <v>2400</v>
      </c>
      <c r="K34" s="64">
        <f t="shared" si="1"/>
        <v>171.42857142857142</v>
      </c>
      <c r="L34" s="193">
        <v>14</v>
      </c>
      <c r="M34" s="65">
        <f t="shared" si="24"/>
        <v>2288.9719626168239</v>
      </c>
      <c r="N34" s="64">
        <f t="shared" si="3"/>
        <v>163.49799732977314</v>
      </c>
      <c r="O34" s="66">
        <f t="shared" si="4"/>
        <v>0</v>
      </c>
      <c r="P34" s="67">
        <f t="shared" si="5"/>
        <v>-7.9305740987982745</v>
      </c>
      <c r="Q34" s="189">
        <f t="shared" si="6"/>
        <v>0.95373831775701001</v>
      </c>
      <c r="R34" s="511"/>
      <c r="S34" s="68">
        <v>0.53333333333333321</v>
      </c>
      <c r="T34" s="68">
        <v>0.60763888888888873</v>
      </c>
      <c r="U34" s="188">
        <f t="shared" si="26"/>
        <v>58.999999999999872</v>
      </c>
      <c r="V34" s="194">
        <f t="shared" si="25"/>
        <v>106.99999999999994</v>
      </c>
      <c r="W34" s="69"/>
      <c r="X34" s="69"/>
      <c r="Y34" s="510"/>
      <c r="Z34" s="510"/>
      <c r="AA34" s="66">
        <f t="shared" si="8"/>
        <v>-111.02803738317607</v>
      </c>
      <c r="AB34" s="189">
        <f t="shared" si="9"/>
        <v>0.95373831775701001</v>
      </c>
      <c r="AC34" s="511"/>
    </row>
    <row r="35" spans="1:29" ht="15.75" customHeight="1">
      <c r="A35" s="536" t="s">
        <v>896</v>
      </c>
      <c r="B35" s="62" t="s">
        <v>16</v>
      </c>
      <c r="C35" s="533" t="s">
        <v>30</v>
      </c>
      <c r="D35" s="533"/>
      <c r="E35" s="62">
        <v>31.29</v>
      </c>
      <c r="F35" s="196">
        <v>4422</v>
      </c>
      <c r="G35" s="188">
        <f t="shared" si="23"/>
        <v>138364.38</v>
      </c>
      <c r="H35" s="90" t="s">
        <v>5</v>
      </c>
      <c r="I35" s="193">
        <v>18</v>
      </c>
      <c r="J35" s="63">
        <v>2400</v>
      </c>
      <c r="K35" s="64">
        <f t="shared" si="1"/>
        <v>133.33333333333334</v>
      </c>
      <c r="L35" s="193">
        <v>18</v>
      </c>
      <c r="M35" s="65">
        <f t="shared" si="24"/>
        <v>2287.2413793103433</v>
      </c>
      <c r="N35" s="64">
        <f t="shared" si="3"/>
        <v>127.0689655172413</v>
      </c>
      <c r="O35" s="66">
        <f t="shared" si="4"/>
        <v>0</v>
      </c>
      <c r="P35" s="67">
        <f t="shared" si="5"/>
        <v>-6.2643678160920473</v>
      </c>
      <c r="Q35" s="189">
        <f t="shared" si="6"/>
        <v>0.95301724137930965</v>
      </c>
      <c r="R35" s="511"/>
      <c r="S35" s="68">
        <v>0.61180555555555538</v>
      </c>
      <c r="T35" s="68">
        <v>0.69236111111111098</v>
      </c>
      <c r="U35" s="188">
        <f t="shared" si="26"/>
        <v>5.9999999999999787</v>
      </c>
      <c r="V35" s="194">
        <f t="shared" si="25"/>
        <v>116.00000000000007</v>
      </c>
      <c r="W35" s="69"/>
      <c r="X35" s="69"/>
      <c r="Y35" s="510"/>
      <c r="Z35" s="510"/>
      <c r="AA35" s="66">
        <f t="shared" si="8"/>
        <v>-112.75862068965671</v>
      </c>
      <c r="AB35" s="189">
        <f t="shared" si="9"/>
        <v>0.95301724137930965</v>
      </c>
      <c r="AC35" s="511"/>
    </row>
    <row r="36" spans="1:29" ht="15.75" customHeight="1">
      <c r="A36" s="536" t="s">
        <v>896</v>
      </c>
      <c r="B36" s="62" t="s">
        <v>897</v>
      </c>
      <c r="C36" s="513"/>
      <c r="D36" s="513"/>
      <c r="E36" s="190"/>
      <c r="F36" s="196"/>
      <c r="G36" s="188"/>
      <c r="H36" s="196"/>
      <c r="I36" s="72">
        <v>17.142857142857142</v>
      </c>
      <c r="J36" s="63">
        <v>2400</v>
      </c>
      <c r="K36" s="64">
        <f t="shared" si="1"/>
        <v>140</v>
      </c>
      <c r="L36" s="72">
        <v>17.142857142857142</v>
      </c>
      <c r="M36" s="65">
        <f>AVERAGE(M29:M35)</f>
        <v>2295.3246883763068</v>
      </c>
      <c r="N36" s="64">
        <f t="shared" si="3"/>
        <v>133.89394015528455</v>
      </c>
      <c r="O36" s="66">
        <f t="shared" si="4"/>
        <v>0</v>
      </c>
      <c r="P36" s="67">
        <f t="shared" si="5"/>
        <v>-6.1060598447154462</v>
      </c>
      <c r="Q36" s="189">
        <f t="shared" si="6"/>
        <v>0.95638528682346113</v>
      </c>
      <c r="R36" s="511"/>
      <c r="S36" s="68"/>
      <c r="T36" s="68"/>
      <c r="U36" s="188"/>
      <c r="V36" s="194"/>
      <c r="W36" s="188"/>
      <c r="X36" s="188"/>
      <c r="Y36" s="510"/>
      <c r="Z36" s="510"/>
      <c r="AA36" s="66">
        <f t="shared" si="8"/>
        <v>-104.67531162369323</v>
      </c>
      <c r="AB36" s="189">
        <f t="shared" si="9"/>
        <v>0.95638528682346113</v>
      </c>
      <c r="AC36" s="511"/>
    </row>
    <row r="37" spans="1:29" ht="15.75" customHeight="1">
      <c r="A37" s="531" t="s">
        <v>898</v>
      </c>
      <c r="B37" s="62" t="s">
        <v>16</v>
      </c>
      <c r="C37" s="512" t="s">
        <v>31</v>
      </c>
      <c r="D37" s="512"/>
      <c r="E37" s="62">
        <v>26.2</v>
      </c>
      <c r="F37" s="196">
        <v>4800</v>
      </c>
      <c r="G37" s="188">
        <f t="shared" ref="G37:G44" si="27">E37*F37</f>
        <v>125760</v>
      </c>
      <c r="H37" s="90">
        <v>2</v>
      </c>
      <c r="I37" s="193">
        <v>18</v>
      </c>
      <c r="J37" s="63">
        <v>2400</v>
      </c>
      <c r="K37" s="64">
        <f t="shared" si="1"/>
        <v>133.33333333333334</v>
      </c>
      <c r="L37" s="193">
        <v>18</v>
      </c>
      <c r="M37" s="65">
        <f t="shared" ref="M37:M44" si="28">F37/V37*60</f>
        <v>2285.7142857142858</v>
      </c>
      <c r="N37" s="64">
        <f t="shared" si="3"/>
        <v>126.98412698412699</v>
      </c>
      <c r="O37" s="66">
        <f t="shared" si="4"/>
        <v>0</v>
      </c>
      <c r="P37" s="67">
        <f t="shared" si="5"/>
        <v>-6.3492063492063551</v>
      </c>
      <c r="Q37" s="189">
        <f t="shared" si="6"/>
        <v>0.95238095238095233</v>
      </c>
      <c r="R37" s="511">
        <f>Q45</f>
        <v>0.95637173109596185</v>
      </c>
      <c r="S37" s="68">
        <v>8.3333333333333329E-2</v>
      </c>
      <c r="T37" s="68">
        <v>0.17083333333333334</v>
      </c>
      <c r="U37" s="188"/>
      <c r="V37" s="194">
        <f t="shared" ref="V37:V44" si="29">(T37-S37)*24*60</f>
        <v>126</v>
      </c>
      <c r="W37" s="73">
        <f>T37</f>
        <v>0.17083333333333334</v>
      </c>
      <c r="X37" s="73">
        <f>S38</f>
        <v>0.19027777777777777</v>
      </c>
      <c r="Y37" s="510"/>
      <c r="Z37" s="510"/>
      <c r="AA37" s="66">
        <f t="shared" si="8"/>
        <v>-114.28571428571422</v>
      </c>
      <c r="AB37" s="189">
        <f t="shared" si="9"/>
        <v>0.95238095238095244</v>
      </c>
      <c r="AC37" s="511">
        <f>AB45</f>
        <v>0.95637173109596196</v>
      </c>
    </row>
    <row r="38" spans="1:29" ht="15.75" customHeight="1">
      <c r="A38" s="531" t="s">
        <v>898</v>
      </c>
      <c r="B38" s="62" t="s">
        <v>16</v>
      </c>
      <c r="C38" s="512" t="s">
        <v>32</v>
      </c>
      <c r="D38" s="512"/>
      <c r="E38" s="62">
        <v>26.39</v>
      </c>
      <c r="F38" s="196">
        <v>4600</v>
      </c>
      <c r="G38" s="188">
        <f t="shared" si="27"/>
        <v>121394</v>
      </c>
      <c r="H38" s="90">
        <v>2</v>
      </c>
      <c r="I38" s="193">
        <v>19</v>
      </c>
      <c r="J38" s="63">
        <v>2400</v>
      </c>
      <c r="K38" s="64">
        <f t="shared" si="1"/>
        <v>126.31578947368421</v>
      </c>
      <c r="L38" s="193">
        <v>19</v>
      </c>
      <c r="M38" s="65">
        <f t="shared" si="28"/>
        <v>2300.0000000000005</v>
      </c>
      <c r="N38" s="64">
        <f t="shared" si="3"/>
        <v>121.0526315789474</v>
      </c>
      <c r="O38" s="66">
        <f t="shared" si="4"/>
        <v>0</v>
      </c>
      <c r="P38" s="67">
        <f t="shared" si="5"/>
        <v>-5.263157894736807</v>
      </c>
      <c r="Q38" s="189">
        <f t="shared" si="6"/>
        <v>0.95833333333333359</v>
      </c>
      <c r="R38" s="511"/>
      <c r="S38" s="68">
        <v>0.19027777777777777</v>
      </c>
      <c r="T38" s="68">
        <v>0.27361111111111108</v>
      </c>
      <c r="U38" s="188">
        <f t="shared" ref="U38:U44" si="30">(S38-T37)*24*60</f>
        <v>27.999999999999979</v>
      </c>
      <c r="V38" s="194">
        <f t="shared" si="29"/>
        <v>119.99999999999997</v>
      </c>
      <c r="W38" s="188"/>
      <c r="X38" s="188"/>
      <c r="Y38" s="510"/>
      <c r="Z38" s="510"/>
      <c r="AA38" s="66">
        <f t="shared" si="8"/>
        <v>-99.999999999999545</v>
      </c>
      <c r="AB38" s="189">
        <f t="shared" si="9"/>
        <v>0.95833333333333348</v>
      </c>
      <c r="AC38" s="511"/>
    </row>
    <row r="39" spans="1:29">
      <c r="A39" s="532" t="s">
        <v>898</v>
      </c>
      <c r="B39" s="62" t="s">
        <v>16</v>
      </c>
      <c r="C39" s="512" t="s">
        <v>50</v>
      </c>
      <c r="D39" s="512"/>
      <c r="E39" s="62">
        <v>20.52</v>
      </c>
      <c r="F39" s="196">
        <v>5697</v>
      </c>
      <c r="G39" s="188">
        <f t="shared" si="27"/>
        <v>116902.44</v>
      </c>
      <c r="H39" s="90" t="s">
        <v>5</v>
      </c>
      <c r="I39" s="193">
        <v>18</v>
      </c>
      <c r="J39" s="63">
        <v>2400</v>
      </c>
      <c r="K39" s="64">
        <f t="shared" si="1"/>
        <v>133.33333333333334</v>
      </c>
      <c r="L39" s="193">
        <v>18</v>
      </c>
      <c r="M39" s="65">
        <f t="shared" si="28"/>
        <v>2294.0939597315432</v>
      </c>
      <c r="N39" s="64">
        <f t="shared" si="3"/>
        <v>127.44966442953017</v>
      </c>
      <c r="O39" s="66">
        <f t="shared" si="4"/>
        <v>0</v>
      </c>
      <c r="P39" s="67">
        <f t="shared" si="5"/>
        <v>-5.8836689038031693</v>
      </c>
      <c r="Q39" s="189">
        <f t="shared" si="6"/>
        <v>0.95587248322147622</v>
      </c>
      <c r="R39" s="511"/>
      <c r="S39" s="68">
        <v>0.27847222222222218</v>
      </c>
      <c r="T39" s="68">
        <v>0.38194444444444442</v>
      </c>
      <c r="U39" s="188">
        <f t="shared" si="30"/>
        <v>6.9999999999999751</v>
      </c>
      <c r="V39" s="194">
        <f t="shared" si="29"/>
        <v>149.00000000000003</v>
      </c>
      <c r="W39" s="188"/>
      <c r="X39" s="188"/>
      <c r="Y39" s="510"/>
      <c r="Z39" s="510"/>
      <c r="AA39" s="66">
        <f t="shared" si="8"/>
        <v>-105.90604026845676</v>
      </c>
      <c r="AB39" s="189">
        <f t="shared" si="9"/>
        <v>0.95587248322147633</v>
      </c>
      <c r="AC39" s="511"/>
    </row>
    <row r="40" spans="1:29">
      <c r="A40" s="532" t="s">
        <v>898</v>
      </c>
      <c r="B40" s="62" t="s">
        <v>16</v>
      </c>
      <c r="C40" s="512" t="s">
        <v>18</v>
      </c>
      <c r="D40" s="512"/>
      <c r="E40" s="62">
        <v>22.35</v>
      </c>
      <c r="F40" s="196">
        <v>2149</v>
      </c>
      <c r="G40" s="188">
        <f t="shared" si="27"/>
        <v>48030.15</v>
      </c>
      <c r="H40" s="90" t="s">
        <v>5</v>
      </c>
      <c r="I40" s="193">
        <v>16</v>
      </c>
      <c r="J40" s="63">
        <v>2400</v>
      </c>
      <c r="K40" s="64">
        <f t="shared" si="1"/>
        <v>150</v>
      </c>
      <c r="L40" s="193">
        <v>16</v>
      </c>
      <c r="M40" s="65">
        <f t="shared" si="28"/>
        <v>2302.5000000000018</v>
      </c>
      <c r="N40" s="64">
        <f t="shared" si="3"/>
        <v>143.90625000000011</v>
      </c>
      <c r="O40" s="66">
        <f t="shared" si="4"/>
        <v>0</v>
      </c>
      <c r="P40" s="67">
        <f t="shared" si="5"/>
        <v>-6.0937499999998863</v>
      </c>
      <c r="Q40" s="189">
        <f t="shared" si="6"/>
        <v>0.95937500000000075</v>
      </c>
      <c r="R40" s="511"/>
      <c r="S40" s="68">
        <v>0.38541666666666663</v>
      </c>
      <c r="T40" s="68">
        <v>0.42430555555555549</v>
      </c>
      <c r="U40" s="188">
        <f t="shared" si="30"/>
        <v>4.9999999999999822</v>
      </c>
      <c r="V40" s="194">
        <f t="shared" si="29"/>
        <v>55.999999999999957</v>
      </c>
      <c r="W40" s="69"/>
      <c r="X40" s="69"/>
      <c r="Y40" s="510"/>
      <c r="Z40" s="510"/>
      <c r="AA40" s="66">
        <f t="shared" si="8"/>
        <v>-97.499999999998181</v>
      </c>
      <c r="AB40" s="189">
        <f t="shared" si="9"/>
        <v>0.95937500000000075</v>
      </c>
      <c r="AC40" s="511"/>
    </row>
    <row r="41" spans="1:29">
      <c r="A41" s="532" t="s">
        <v>898</v>
      </c>
      <c r="B41" s="62" t="s">
        <v>16</v>
      </c>
      <c r="C41" s="512" t="s">
        <v>33</v>
      </c>
      <c r="D41" s="512"/>
      <c r="E41" s="62">
        <v>24.43</v>
      </c>
      <c r="F41" s="196">
        <v>4000</v>
      </c>
      <c r="G41" s="188">
        <f t="shared" si="27"/>
        <v>97720</v>
      </c>
      <c r="H41" s="90">
        <v>2</v>
      </c>
      <c r="I41" s="193">
        <v>14</v>
      </c>
      <c r="J41" s="63">
        <v>2400</v>
      </c>
      <c r="K41" s="64">
        <f t="shared" si="1"/>
        <v>171.42857142857142</v>
      </c>
      <c r="L41" s="193">
        <v>14</v>
      </c>
      <c r="M41" s="65">
        <f t="shared" si="28"/>
        <v>2285.7142857142871</v>
      </c>
      <c r="N41" s="64">
        <f t="shared" si="3"/>
        <v>163.26530612244909</v>
      </c>
      <c r="O41" s="66">
        <f t="shared" si="4"/>
        <v>0</v>
      </c>
      <c r="P41" s="67">
        <f t="shared" si="5"/>
        <v>-8.1632653061223266</v>
      </c>
      <c r="Q41" s="189">
        <f t="shared" si="6"/>
        <v>0.95238095238095311</v>
      </c>
      <c r="R41" s="511"/>
      <c r="S41" s="68">
        <v>0.42916666666666659</v>
      </c>
      <c r="T41" s="68">
        <v>0.50208333333333321</v>
      </c>
      <c r="U41" s="188">
        <f t="shared" si="30"/>
        <v>6.9999999999999751</v>
      </c>
      <c r="V41" s="194">
        <f t="shared" si="29"/>
        <v>104.99999999999994</v>
      </c>
      <c r="W41" s="69">
        <f>T41</f>
        <v>0.50208333333333321</v>
      </c>
      <c r="X41" s="69">
        <f>S42</f>
        <v>0.54236111111111096</v>
      </c>
      <c r="Y41" s="510"/>
      <c r="Z41" s="510"/>
      <c r="AA41" s="66">
        <f t="shared" si="8"/>
        <v>-114.28571428571286</v>
      </c>
      <c r="AB41" s="189">
        <f t="shared" si="9"/>
        <v>0.95238095238095299</v>
      </c>
      <c r="AC41" s="511"/>
    </row>
    <row r="42" spans="1:29">
      <c r="A42" s="532" t="s">
        <v>899</v>
      </c>
      <c r="B42" s="62" t="s">
        <v>16</v>
      </c>
      <c r="C42" s="512" t="s">
        <v>33</v>
      </c>
      <c r="D42" s="512"/>
      <c r="E42" s="62">
        <v>24.43</v>
      </c>
      <c r="F42" s="196">
        <v>5732</v>
      </c>
      <c r="G42" s="188">
        <f t="shared" si="27"/>
        <v>140032.76</v>
      </c>
      <c r="H42" s="90" t="s">
        <v>5</v>
      </c>
      <c r="I42" s="193">
        <v>14</v>
      </c>
      <c r="J42" s="63">
        <v>2400</v>
      </c>
      <c r="K42" s="64">
        <f t="shared" si="1"/>
        <v>171.42857142857142</v>
      </c>
      <c r="L42" s="193">
        <v>14</v>
      </c>
      <c r="M42" s="65">
        <f t="shared" si="28"/>
        <v>2292.8000000000006</v>
      </c>
      <c r="N42" s="64">
        <f t="shared" si="3"/>
        <v>163.77142857142863</v>
      </c>
      <c r="O42" s="66">
        <f t="shared" si="4"/>
        <v>0</v>
      </c>
      <c r="P42" s="67">
        <f t="shared" si="5"/>
        <v>-7.6571428571427873</v>
      </c>
      <c r="Q42" s="189">
        <f t="shared" si="6"/>
        <v>0.9553333333333337</v>
      </c>
      <c r="R42" s="511"/>
      <c r="S42" s="68">
        <v>0.54236111111111096</v>
      </c>
      <c r="T42" s="68">
        <v>0.64652777777777759</v>
      </c>
      <c r="U42" s="188">
        <f t="shared" si="30"/>
        <v>57.999999999999957</v>
      </c>
      <c r="V42" s="194">
        <f t="shared" si="29"/>
        <v>149.99999999999994</v>
      </c>
      <c r="W42" s="69"/>
      <c r="X42" s="69"/>
      <c r="Y42" s="510"/>
      <c r="Z42" s="510"/>
      <c r="AA42" s="66">
        <f t="shared" si="8"/>
        <v>-107.19999999999936</v>
      </c>
      <c r="AB42" s="189">
        <f t="shared" si="9"/>
        <v>0.95533333333333359</v>
      </c>
      <c r="AC42" s="511"/>
    </row>
    <row r="43" spans="1:29">
      <c r="A43" s="532" t="s">
        <v>900</v>
      </c>
      <c r="B43" s="62" t="s">
        <v>16</v>
      </c>
      <c r="C43" s="512" t="s">
        <v>32</v>
      </c>
      <c r="D43" s="512"/>
      <c r="E43" s="62">
        <v>26.39</v>
      </c>
      <c r="F43" s="196">
        <v>3069</v>
      </c>
      <c r="G43" s="188">
        <f t="shared" si="27"/>
        <v>80990.91</v>
      </c>
      <c r="H43" s="90" t="s">
        <v>5</v>
      </c>
      <c r="I43" s="193">
        <v>19</v>
      </c>
      <c r="J43" s="63">
        <v>2400</v>
      </c>
      <c r="K43" s="64">
        <f t="shared" si="1"/>
        <v>126.31578947368421</v>
      </c>
      <c r="L43" s="193">
        <v>19</v>
      </c>
      <c r="M43" s="65">
        <f t="shared" si="28"/>
        <v>2301.7499999999991</v>
      </c>
      <c r="N43" s="64">
        <f t="shared" si="3"/>
        <v>121.14473684210522</v>
      </c>
      <c r="O43" s="66">
        <f t="shared" si="4"/>
        <v>0</v>
      </c>
      <c r="P43" s="67">
        <f t="shared" si="5"/>
        <v>-5.1710526315789878</v>
      </c>
      <c r="Q43" s="189">
        <f t="shared" si="6"/>
        <v>0.95906249999999971</v>
      </c>
      <c r="R43" s="511"/>
      <c r="S43" s="68">
        <v>0.6499999999999998</v>
      </c>
      <c r="T43" s="68">
        <v>0.70555555555555538</v>
      </c>
      <c r="U43" s="188">
        <f t="shared" si="30"/>
        <v>4.9999999999999822</v>
      </c>
      <c r="V43" s="194">
        <f t="shared" si="29"/>
        <v>80.000000000000028</v>
      </c>
      <c r="W43" s="69"/>
      <c r="X43" s="69"/>
      <c r="Y43" s="517"/>
      <c r="Z43" s="518"/>
      <c r="AA43" s="66">
        <f t="shared" si="8"/>
        <v>-98.250000000000909</v>
      </c>
      <c r="AB43" s="189">
        <f t="shared" si="9"/>
        <v>0.9590624999999996</v>
      </c>
      <c r="AC43" s="511"/>
    </row>
    <row r="44" spans="1:29">
      <c r="A44" s="532" t="s">
        <v>488</v>
      </c>
      <c r="B44" s="62" t="s">
        <v>16</v>
      </c>
      <c r="C44" s="512" t="s">
        <v>31</v>
      </c>
      <c r="D44" s="512"/>
      <c r="E44" s="62">
        <v>26.2</v>
      </c>
      <c r="F44" s="196">
        <v>3258</v>
      </c>
      <c r="G44" s="188">
        <f t="shared" si="27"/>
        <v>85359.599999999991</v>
      </c>
      <c r="H44" s="90" t="s">
        <v>5</v>
      </c>
      <c r="I44" s="193">
        <v>18</v>
      </c>
      <c r="J44" s="63">
        <v>2400</v>
      </c>
      <c r="K44" s="64">
        <f t="shared" si="1"/>
        <v>133.33333333333334</v>
      </c>
      <c r="L44" s="193">
        <v>18</v>
      </c>
      <c r="M44" s="65">
        <f t="shared" si="28"/>
        <v>2299.7647058823522</v>
      </c>
      <c r="N44" s="64">
        <f t="shared" si="3"/>
        <v>127.7647058823529</v>
      </c>
      <c r="O44" s="66">
        <f t="shared" si="4"/>
        <v>0</v>
      </c>
      <c r="P44" s="67">
        <f t="shared" si="5"/>
        <v>-5.5686274509804434</v>
      </c>
      <c r="Q44" s="189">
        <f t="shared" si="6"/>
        <v>0.95823529411764663</v>
      </c>
      <c r="R44" s="511"/>
      <c r="S44" s="68">
        <v>0.71111111111111092</v>
      </c>
      <c r="T44" s="68">
        <v>0.77013888888888871</v>
      </c>
      <c r="U44" s="188">
        <f t="shared" si="30"/>
        <v>7.9999999999999716</v>
      </c>
      <c r="V44" s="194">
        <f t="shared" si="29"/>
        <v>85.000000000000014</v>
      </c>
      <c r="W44" s="69"/>
      <c r="X44" s="69"/>
      <c r="Y44" s="517"/>
      <c r="Z44" s="518"/>
      <c r="AA44" s="66">
        <f t="shared" si="8"/>
        <v>-100.23529411764775</v>
      </c>
      <c r="AB44" s="189">
        <f t="shared" si="9"/>
        <v>0.95823529411764674</v>
      </c>
      <c r="AC44" s="511"/>
    </row>
    <row r="45" spans="1:29">
      <c r="A45" s="532" t="s">
        <v>899</v>
      </c>
      <c r="B45" s="71" t="s">
        <v>901</v>
      </c>
      <c r="C45" s="513"/>
      <c r="D45" s="513"/>
      <c r="E45" s="190"/>
      <c r="F45" s="71"/>
      <c r="G45" s="64"/>
      <c r="H45" s="196"/>
      <c r="I45" s="72">
        <v>17</v>
      </c>
      <c r="J45" s="63">
        <v>2400</v>
      </c>
      <c r="K45" s="64">
        <f t="shared" si="1"/>
        <v>141.1764705882353</v>
      </c>
      <c r="L45" s="72">
        <v>17</v>
      </c>
      <c r="M45" s="65">
        <f>AVERAGE(M37:M44)</f>
        <v>2295.2921546303087</v>
      </c>
      <c r="N45" s="64">
        <f t="shared" si="3"/>
        <v>135.01718556648873</v>
      </c>
      <c r="O45" s="66">
        <f t="shared" si="4"/>
        <v>0</v>
      </c>
      <c r="P45" s="67">
        <f t="shared" si="5"/>
        <v>-6.1592850217465696</v>
      </c>
      <c r="Q45" s="189">
        <f t="shared" si="6"/>
        <v>0.95637173109596185</v>
      </c>
      <c r="R45" s="511"/>
      <c r="S45" s="68"/>
      <c r="T45" s="68"/>
      <c r="U45" s="64"/>
      <c r="V45" s="194"/>
      <c r="W45" s="64"/>
      <c r="X45" s="64"/>
      <c r="Y45" s="510"/>
      <c r="Z45" s="510"/>
      <c r="AA45" s="66">
        <f t="shared" si="8"/>
        <v>-104.70784536969131</v>
      </c>
      <c r="AB45" s="189">
        <f t="shared" si="9"/>
        <v>0.95637173109596196</v>
      </c>
      <c r="AC45" s="511"/>
    </row>
    <row r="46" spans="1:29" ht="15.75" customHeight="1">
      <c r="A46" s="525" t="s">
        <v>902</v>
      </c>
      <c r="B46" s="62" t="s">
        <v>35</v>
      </c>
      <c r="C46" s="521" t="s">
        <v>36</v>
      </c>
      <c r="D46" s="522"/>
      <c r="E46" s="62">
        <v>21.13</v>
      </c>
      <c r="F46" s="196">
        <v>3500</v>
      </c>
      <c r="G46" s="188">
        <f t="shared" ref="G46:G55" si="31">E46*F46</f>
        <v>73955</v>
      </c>
      <c r="H46" s="90">
        <v>2</v>
      </c>
      <c r="I46" s="193">
        <v>10</v>
      </c>
      <c r="J46" s="63">
        <v>3000</v>
      </c>
      <c r="K46" s="64">
        <f t="shared" si="1"/>
        <v>300</v>
      </c>
      <c r="L46" s="193">
        <v>10</v>
      </c>
      <c r="M46" s="65">
        <f t="shared" ref="M46:M55" si="32">F46/V46*60</f>
        <v>2876.7123287671234</v>
      </c>
      <c r="N46" s="65">
        <f t="shared" si="3"/>
        <v>287.67123287671234</v>
      </c>
      <c r="O46" s="66">
        <f t="shared" si="4"/>
        <v>0</v>
      </c>
      <c r="P46" s="67">
        <f t="shared" si="5"/>
        <v>-12.328767123287662</v>
      </c>
      <c r="Q46" s="189">
        <f t="shared" si="6"/>
        <v>0.95890410958904115</v>
      </c>
      <c r="R46" s="528">
        <f>Q56</f>
        <v>0.9567830772217697</v>
      </c>
      <c r="S46" s="68">
        <v>8.3333333333333329E-2</v>
      </c>
      <c r="T46" s="68">
        <v>0.13402777777777777</v>
      </c>
      <c r="U46" s="73"/>
      <c r="V46" s="194">
        <f t="shared" ref="V46:V55" si="33">(T46-S46)*24*60</f>
        <v>73</v>
      </c>
      <c r="W46" s="69">
        <f>T46</f>
        <v>0.13402777777777777</v>
      </c>
      <c r="X46" s="69">
        <f>S47</f>
        <v>0.15277777777777779</v>
      </c>
      <c r="Y46" s="517"/>
      <c r="Z46" s="518"/>
      <c r="AA46" s="66">
        <f t="shared" si="8"/>
        <v>-123.28767123287662</v>
      </c>
      <c r="AB46" s="189">
        <f t="shared" si="9"/>
        <v>0.95890410958904115</v>
      </c>
      <c r="AC46" s="528">
        <f>AB56</f>
        <v>0.95678307722176981</v>
      </c>
    </row>
    <row r="47" spans="1:29" ht="15.75" customHeight="1">
      <c r="A47" s="526" t="s">
        <v>492</v>
      </c>
      <c r="B47" s="62" t="s">
        <v>35</v>
      </c>
      <c r="C47" s="521" t="s">
        <v>37</v>
      </c>
      <c r="D47" s="522"/>
      <c r="E47" s="62">
        <v>27.17</v>
      </c>
      <c r="F47" s="196">
        <v>4300</v>
      </c>
      <c r="G47" s="188">
        <f t="shared" si="31"/>
        <v>116831.00000000001</v>
      </c>
      <c r="H47" s="90">
        <v>2</v>
      </c>
      <c r="I47" s="193">
        <v>10</v>
      </c>
      <c r="J47" s="63">
        <v>3000</v>
      </c>
      <c r="K47" s="64">
        <f t="shared" si="1"/>
        <v>300</v>
      </c>
      <c r="L47" s="193">
        <v>10</v>
      </c>
      <c r="M47" s="65">
        <f t="shared" si="32"/>
        <v>2866.6666666666665</v>
      </c>
      <c r="N47" s="65">
        <f t="shared" si="3"/>
        <v>286.66666666666663</v>
      </c>
      <c r="O47" s="66">
        <f t="shared" si="4"/>
        <v>0</v>
      </c>
      <c r="P47" s="67">
        <f t="shared" si="5"/>
        <v>-13.333333333333371</v>
      </c>
      <c r="Q47" s="189">
        <f t="shared" si="6"/>
        <v>0.95555555555555538</v>
      </c>
      <c r="R47" s="529"/>
      <c r="S47" s="68">
        <v>0.15277777777777779</v>
      </c>
      <c r="T47" s="68">
        <v>0.21527777777777779</v>
      </c>
      <c r="U47" s="188">
        <f t="shared" ref="U47:U55" si="34">(S47-T46)*24*60</f>
        <v>27.000000000000025</v>
      </c>
      <c r="V47" s="194">
        <f t="shared" si="33"/>
        <v>90</v>
      </c>
      <c r="W47" s="69"/>
      <c r="X47" s="69"/>
      <c r="Y47" s="517"/>
      <c r="Z47" s="518"/>
      <c r="AA47" s="66">
        <f t="shared" si="8"/>
        <v>-133.33333333333348</v>
      </c>
      <c r="AB47" s="189">
        <f t="shared" si="9"/>
        <v>0.95555555555555549</v>
      </c>
      <c r="AC47" s="529"/>
    </row>
    <row r="48" spans="1:29" ht="15.75" customHeight="1">
      <c r="A48" s="526" t="s">
        <v>492</v>
      </c>
      <c r="B48" s="62" t="s">
        <v>35</v>
      </c>
      <c r="C48" s="521" t="s">
        <v>38</v>
      </c>
      <c r="D48" s="522"/>
      <c r="E48" s="62">
        <v>35.119999999999997</v>
      </c>
      <c r="F48" s="196">
        <v>5155</v>
      </c>
      <c r="G48" s="188">
        <f t="shared" si="31"/>
        <v>181043.59999999998</v>
      </c>
      <c r="H48" s="90" t="s">
        <v>5</v>
      </c>
      <c r="I48" s="193">
        <v>10</v>
      </c>
      <c r="J48" s="63">
        <v>3000</v>
      </c>
      <c r="K48" s="64">
        <f t="shared" si="1"/>
        <v>300</v>
      </c>
      <c r="L48" s="193">
        <v>10</v>
      </c>
      <c r="M48" s="65">
        <f t="shared" si="32"/>
        <v>2863.8888888888896</v>
      </c>
      <c r="N48" s="65">
        <f t="shared" si="3"/>
        <v>286.38888888888897</v>
      </c>
      <c r="O48" s="66">
        <f t="shared" si="4"/>
        <v>0</v>
      </c>
      <c r="P48" s="67">
        <f t="shared" si="5"/>
        <v>-13.611111111111029</v>
      </c>
      <c r="Q48" s="189">
        <f t="shared" si="6"/>
        <v>0.95462962962962994</v>
      </c>
      <c r="R48" s="529"/>
      <c r="S48" s="68">
        <v>0.22013888888888891</v>
      </c>
      <c r="T48" s="68">
        <v>0.2951388888888889</v>
      </c>
      <c r="U48" s="188">
        <f t="shared" si="34"/>
        <v>7.0000000000000151</v>
      </c>
      <c r="V48" s="194">
        <f t="shared" si="33"/>
        <v>107.99999999999997</v>
      </c>
      <c r="W48" s="69"/>
      <c r="X48" s="69"/>
      <c r="Y48" s="517"/>
      <c r="Z48" s="518"/>
      <c r="AA48" s="66">
        <f t="shared" si="8"/>
        <v>-136.1111111111104</v>
      </c>
      <c r="AB48" s="189">
        <f t="shared" si="9"/>
        <v>0.95462962962962983</v>
      </c>
      <c r="AC48" s="529"/>
    </row>
    <row r="49" spans="1:29" ht="15.75" customHeight="1">
      <c r="A49" s="526" t="s">
        <v>492</v>
      </c>
      <c r="B49" s="62" t="s">
        <v>35</v>
      </c>
      <c r="C49" s="521" t="s">
        <v>39</v>
      </c>
      <c r="D49" s="522"/>
      <c r="E49" s="62">
        <v>35.869999999999997</v>
      </c>
      <c r="F49" s="196">
        <v>3246</v>
      </c>
      <c r="G49" s="188">
        <f t="shared" si="31"/>
        <v>116434.01999999999</v>
      </c>
      <c r="H49" s="90" t="s">
        <v>5</v>
      </c>
      <c r="I49" s="193">
        <v>9</v>
      </c>
      <c r="J49" s="63">
        <v>3000</v>
      </c>
      <c r="K49" s="64">
        <f t="shared" si="1"/>
        <v>333.33333333333331</v>
      </c>
      <c r="L49" s="193">
        <v>9</v>
      </c>
      <c r="M49" s="65">
        <f t="shared" si="32"/>
        <v>2864.1176470588234</v>
      </c>
      <c r="N49" s="65">
        <f t="shared" si="3"/>
        <v>318.23529411764707</v>
      </c>
      <c r="O49" s="66">
        <f t="shared" si="4"/>
        <v>0</v>
      </c>
      <c r="P49" s="67">
        <f t="shared" si="5"/>
        <v>-15.098039215686242</v>
      </c>
      <c r="Q49" s="189">
        <f t="shared" si="6"/>
        <v>0.95470588235294129</v>
      </c>
      <c r="R49" s="529"/>
      <c r="S49" s="68">
        <v>0.29930555555555555</v>
      </c>
      <c r="T49" s="68">
        <v>0.34652777777777777</v>
      </c>
      <c r="U49" s="188">
        <f t="shared" si="34"/>
        <v>5.9999999999999787</v>
      </c>
      <c r="V49" s="194">
        <f t="shared" si="33"/>
        <v>68</v>
      </c>
      <c r="W49" s="69"/>
      <c r="X49" s="69"/>
      <c r="Y49" s="517"/>
      <c r="Z49" s="518"/>
      <c r="AA49" s="66">
        <f t="shared" si="8"/>
        <v>-135.88235294117658</v>
      </c>
      <c r="AB49" s="189">
        <f t="shared" si="9"/>
        <v>0.95470588235294118</v>
      </c>
      <c r="AC49" s="529"/>
    </row>
    <row r="50" spans="1:29" ht="15.75" customHeight="1">
      <c r="A50" s="526" t="s">
        <v>492</v>
      </c>
      <c r="B50" s="62" t="s">
        <v>35</v>
      </c>
      <c r="C50" s="521" t="s">
        <v>40</v>
      </c>
      <c r="D50" s="522"/>
      <c r="E50" s="62">
        <v>36.14</v>
      </c>
      <c r="F50" s="196">
        <v>1623</v>
      </c>
      <c r="G50" s="188">
        <f t="shared" si="31"/>
        <v>58655.22</v>
      </c>
      <c r="H50" s="90" t="s">
        <v>5</v>
      </c>
      <c r="I50" s="193">
        <v>9</v>
      </c>
      <c r="J50" s="63">
        <v>3000</v>
      </c>
      <c r="K50" s="64">
        <f t="shared" si="1"/>
        <v>333.33333333333331</v>
      </c>
      <c r="L50" s="193">
        <v>9</v>
      </c>
      <c r="M50" s="65">
        <f t="shared" si="32"/>
        <v>2864.1176470588202</v>
      </c>
      <c r="N50" s="65">
        <f t="shared" si="3"/>
        <v>318.23529411764667</v>
      </c>
      <c r="O50" s="66">
        <f t="shared" si="4"/>
        <v>0</v>
      </c>
      <c r="P50" s="67">
        <f t="shared" si="5"/>
        <v>-15.09803921568664</v>
      </c>
      <c r="Q50" s="189">
        <f t="shared" si="6"/>
        <v>0.95470588235294007</v>
      </c>
      <c r="R50" s="529"/>
      <c r="S50" s="68">
        <v>0.35069444444444442</v>
      </c>
      <c r="T50" s="68">
        <v>0.37430555555555556</v>
      </c>
      <c r="U50" s="188">
        <f t="shared" si="34"/>
        <v>5.9999999999999787</v>
      </c>
      <c r="V50" s="194">
        <f t="shared" si="33"/>
        <v>34.000000000000043</v>
      </c>
      <c r="W50" s="69"/>
      <c r="X50" s="69"/>
      <c r="Y50" s="517"/>
      <c r="Z50" s="518"/>
      <c r="AA50" s="66">
        <f t="shared" si="8"/>
        <v>-135.88235294117976</v>
      </c>
      <c r="AB50" s="189">
        <f t="shared" si="9"/>
        <v>0.95470588235294007</v>
      </c>
      <c r="AC50" s="529"/>
    </row>
    <row r="51" spans="1:29" ht="15.75" customHeight="1">
      <c r="A51" s="526" t="s">
        <v>903</v>
      </c>
      <c r="B51" s="62" t="s">
        <v>35</v>
      </c>
      <c r="C51" s="521" t="s">
        <v>74</v>
      </c>
      <c r="D51" s="522"/>
      <c r="E51" s="62">
        <v>34.36</v>
      </c>
      <c r="F51" s="196">
        <v>3108</v>
      </c>
      <c r="G51" s="188">
        <f t="shared" si="31"/>
        <v>106790.88</v>
      </c>
      <c r="H51" s="90" t="s">
        <v>5</v>
      </c>
      <c r="I51" s="193">
        <v>10</v>
      </c>
      <c r="J51" s="63">
        <v>3000</v>
      </c>
      <c r="K51" s="64">
        <f t="shared" si="1"/>
        <v>300</v>
      </c>
      <c r="L51" s="193">
        <v>10</v>
      </c>
      <c r="M51" s="65">
        <f t="shared" si="32"/>
        <v>2868.9230769230762</v>
      </c>
      <c r="N51" s="65">
        <f t="shared" si="3"/>
        <v>286.89230769230761</v>
      </c>
      <c r="O51" s="66">
        <f t="shared" si="4"/>
        <v>0</v>
      </c>
      <c r="P51" s="67">
        <f t="shared" si="5"/>
        <v>-13.107692307692389</v>
      </c>
      <c r="Q51" s="189">
        <f t="shared" si="6"/>
        <v>0.95630769230769208</v>
      </c>
      <c r="R51" s="529"/>
      <c r="S51" s="68">
        <v>0.37916666666666665</v>
      </c>
      <c r="T51" s="68">
        <v>0.42430555555555555</v>
      </c>
      <c r="U51" s="188">
        <f t="shared" si="34"/>
        <v>6.9999999999999751</v>
      </c>
      <c r="V51" s="194">
        <f t="shared" si="33"/>
        <v>65.000000000000014</v>
      </c>
      <c r="W51" s="69"/>
      <c r="X51" s="69"/>
      <c r="Y51" s="517"/>
      <c r="Z51" s="518"/>
      <c r="AA51" s="66">
        <f t="shared" si="8"/>
        <v>-131.07692307692378</v>
      </c>
      <c r="AB51" s="189">
        <f t="shared" si="9"/>
        <v>0.95630769230769208</v>
      </c>
      <c r="AC51" s="529"/>
    </row>
    <row r="52" spans="1:29" ht="15.75" customHeight="1">
      <c r="A52" s="526" t="s">
        <v>492</v>
      </c>
      <c r="B52" s="62" t="s">
        <v>35</v>
      </c>
      <c r="C52" s="521" t="s">
        <v>84</v>
      </c>
      <c r="D52" s="522"/>
      <c r="E52" s="62">
        <v>31</v>
      </c>
      <c r="F52" s="196">
        <v>3800</v>
      </c>
      <c r="G52" s="188">
        <f t="shared" si="31"/>
        <v>117800</v>
      </c>
      <c r="H52" s="90">
        <v>2</v>
      </c>
      <c r="I52" s="193">
        <v>13</v>
      </c>
      <c r="J52" s="63">
        <v>2000</v>
      </c>
      <c r="K52" s="64">
        <f t="shared" si="1"/>
        <v>153.84615384615384</v>
      </c>
      <c r="L52" s="193">
        <v>13</v>
      </c>
      <c r="M52" s="65">
        <f t="shared" si="32"/>
        <v>1915.9663865546222</v>
      </c>
      <c r="N52" s="65">
        <f t="shared" si="3"/>
        <v>147.38202973497093</v>
      </c>
      <c r="O52" s="66">
        <f t="shared" si="4"/>
        <v>0</v>
      </c>
      <c r="P52" s="67">
        <f t="shared" si="5"/>
        <v>-6.4641241111829117</v>
      </c>
      <c r="Q52" s="189">
        <f t="shared" si="6"/>
        <v>0.95798319327731107</v>
      </c>
      <c r="R52" s="529"/>
      <c r="S52" s="68">
        <v>0.4284722222222222</v>
      </c>
      <c r="T52" s="68">
        <v>0.51111111111111107</v>
      </c>
      <c r="U52" s="188">
        <f t="shared" si="34"/>
        <v>5.9999999999999787</v>
      </c>
      <c r="V52" s="194">
        <f t="shared" si="33"/>
        <v>118.99999999999997</v>
      </c>
      <c r="W52" s="69">
        <f>T52</f>
        <v>0.51111111111111107</v>
      </c>
      <c r="X52" s="69">
        <f>S53</f>
        <v>0.55069444444444438</v>
      </c>
      <c r="Y52" s="517"/>
      <c r="Z52" s="518"/>
      <c r="AA52" s="66">
        <f t="shared" si="8"/>
        <v>-84.033613445377796</v>
      </c>
      <c r="AB52" s="189">
        <f t="shared" si="9"/>
        <v>0.95798319327731107</v>
      </c>
      <c r="AC52" s="529"/>
    </row>
    <row r="53" spans="1:29" ht="15.75" customHeight="1">
      <c r="A53" s="526" t="s">
        <v>492</v>
      </c>
      <c r="B53" s="62" t="s">
        <v>35</v>
      </c>
      <c r="C53" s="521" t="s">
        <v>84</v>
      </c>
      <c r="D53" s="522"/>
      <c r="E53" s="62">
        <v>31</v>
      </c>
      <c r="F53" s="196">
        <v>4038</v>
      </c>
      <c r="G53" s="188">
        <f t="shared" si="31"/>
        <v>125178</v>
      </c>
      <c r="H53" s="90" t="s">
        <v>5</v>
      </c>
      <c r="I53" s="193">
        <v>13</v>
      </c>
      <c r="J53" s="63">
        <v>2000</v>
      </c>
      <c r="K53" s="64">
        <f t="shared" si="1"/>
        <v>153.84615384615384</v>
      </c>
      <c r="L53" s="193">
        <v>13</v>
      </c>
      <c r="M53" s="65">
        <f t="shared" si="32"/>
        <v>1907.7165354330705</v>
      </c>
      <c r="N53" s="65">
        <f t="shared" si="3"/>
        <v>146.74742580254389</v>
      </c>
      <c r="O53" s="66">
        <f t="shared" si="4"/>
        <v>0</v>
      </c>
      <c r="P53" s="67">
        <f t="shared" si="5"/>
        <v>-7.0987280436099525</v>
      </c>
      <c r="Q53" s="189">
        <f t="shared" si="6"/>
        <v>0.95385826771653526</v>
      </c>
      <c r="R53" s="529"/>
      <c r="S53" s="68">
        <v>0.55069444444444438</v>
      </c>
      <c r="T53" s="68">
        <v>0.63888888888888884</v>
      </c>
      <c r="U53" s="188">
        <f t="shared" si="34"/>
        <v>56.999999999999957</v>
      </c>
      <c r="V53" s="194">
        <f t="shared" si="33"/>
        <v>127.00000000000003</v>
      </c>
      <c r="W53" s="69"/>
      <c r="X53" s="69"/>
      <c r="Y53" s="517"/>
      <c r="Z53" s="518"/>
      <c r="AA53" s="66">
        <f t="shared" si="8"/>
        <v>-92.283464566929524</v>
      </c>
      <c r="AB53" s="189">
        <f t="shared" si="9"/>
        <v>0.95385826771653526</v>
      </c>
      <c r="AC53" s="529"/>
    </row>
    <row r="54" spans="1:29" ht="15.75" customHeight="1">
      <c r="A54" s="526" t="s">
        <v>492</v>
      </c>
      <c r="B54" s="62" t="s">
        <v>35</v>
      </c>
      <c r="C54" s="521" t="s">
        <v>37</v>
      </c>
      <c r="D54" s="522"/>
      <c r="E54" s="62">
        <v>27.17</v>
      </c>
      <c r="F54" s="196">
        <v>2988</v>
      </c>
      <c r="G54" s="188">
        <f t="shared" si="31"/>
        <v>81183.960000000006</v>
      </c>
      <c r="H54" s="90" t="s">
        <v>5</v>
      </c>
      <c r="I54" s="193">
        <v>10</v>
      </c>
      <c r="J54" s="63">
        <v>3000</v>
      </c>
      <c r="K54" s="64">
        <f t="shared" si="1"/>
        <v>300</v>
      </c>
      <c r="L54" s="193">
        <v>10</v>
      </c>
      <c r="M54" s="65">
        <f t="shared" si="32"/>
        <v>2891.6129032258091</v>
      </c>
      <c r="N54" s="65">
        <f t="shared" si="3"/>
        <v>289.1612903225809</v>
      </c>
      <c r="O54" s="66">
        <f t="shared" si="4"/>
        <v>0</v>
      </c>
      <c r="P54" s="67">
        <f t="shared" si="5"/>
        <v>-10.838709677419104</v>
      </c>
      <c r="Q54" s="189">
        <f t="shared" si="6"/>
        <v>0.96387096774193637</v>
      </c>
      <c r="R54" s="529"/>
      <c r="S54" s="68">
        <v>0.64236111111111105</v>
      </c>
      <c r="T54" s="68">
        <v>0.68541666666666656</v>
      </c>
      <c r="U54" s="188">
        <f t="shared" si="34"/>
        <v>4.9999999999999822</v>
      </c>
      <c r="V54" s="194">
        <f t="shared" si="33"/>
        <v>61.999999999999943</v>
      </c>
      <c r="W54" s="69"/>
      <c r="X54" s="69"/>
      <c r="Y54" s="517"/>
      <c r="Z54" s="518"/>
      <c r="AA54" s="66">
        <f t="shared" si="8"/>
        <v>-108.38709677419092</v>
      </c>
      <c r="AB54" s="189">
        <f t="shared" si="9"/>
        <v>0.96387096774193637</v>
      </c>
      <c r="AC54" s="529"/>
    </row>
    <row r="55" spans="1:29" ht="15.75" customHeight="1">
      <c r="A55" s="526" t="s">
        <v>492</v>
      </c>
      <c r="B55" s="62" t="s">
        <v>35</v>
      </c>
      <c r="C55" s="521" t="s">
        <v>36</v>
      </c>
      <c r="D55" s="522"/>
      <c r="E55" s="62">
        <v>21.13</v>
      </c>
      <c r="F55" s="196">
        <v>2344</v>
      </c>
      <c r="G55" s="188">
        <f t="shared" si="31"/>
        <v>49528.72</v>
      </c>
      <c r="H55" s="90" t="s">
        <v>5</v>
      </c>
      <c r="I55" s="193">
        <v>10</v>
      </c>
      <c r="J55" s="63">
        <v>3000</v>
      </c>
      <c r="K55" s="64">
        <f t="shared" si="1"/>
        <v>300</v>
      </c>
      <c r="L55" s="193">
        <v>10</v>
      </c>
      <c r="M55" s="65">
        <f t="shared" si="32"/>
        <v>2870.2040816326539</v>
      </c>
      <c r="N55" s="65">
        <f t="shared" si="3"/>
        <v>287.02040816326542</v>
      </c>
      <c r="O55" s="66">
        <f t="shared" si="4"/>
        <v>0</v>
      </c>
      <c r="P55" s="67">
        <f t="shared" si="5"/>
        <v>-12.979591836734585</v>
      </c>
      <c r="Q55" s="189">
        <f t="shared" si="6"/>
        <v>0.95673469387755139</v>
      </c>
      <c r="R55" s="529"/>
      <c r="S55" s="68">
        <v>0.68958333333333321</v>
      </c>
      <c r="T55" s="68">
        <v>0.72361111111111098</v>
      </c>
      <c r="U55" s="188">
        <f t="shared" si="34"/>
        <v>5.9999999999999787</v>
      </c>
      <c r="V55" s="194">
        <f t="shared" si="33"/>
        <v>48.999999999999986</v>
      </c>
      <c r="W55" s="69"/>
      <c r="X55" s="69"/>
      <c r="Y55" s="517"/>
      <c r="Z55" s="518"/>
      <c r="AA55" s="66">
        <f t="shared" si="8"/>
        <v>-129.79591836734608</v>
      </c>
      <c r="AB55" s="189">
        <f t="shared" si="9"/>
        <v>0.95673469387755128</v>
      </c>
      <c r="AC55" s="529"/>
    </row>
    <row r="56" spans="1:29" ht="15.75" customHeight="1">
      <c r="A56" s="527" t="s">
        <v>903</v>
      </c>
      <c r="B56" s="62" t="s">
        <v>79</v>
      </c>
      <c r="C56" s="508"/>
      <c r="D56" s="509"/>
      <c r="E56" s="187"/>
      <c r="F56" s="196"/>
      <c r="G56" s="188"/>
      <c r="H56" s="196"/>
      <c r="I56" s="72">
        <v>10.4</v>
      </c>
      <c r="J56" s="63">
        <v>2800</v>
      </c>
      <c r="K56" s="64">
        <f t="shared" si="1"/>
        <v>269.23076923076923</v>
      </c>
      <c r="L56" s="72">
        <v>10.4</v>
      </c>
      <c r="M56" s="65">
        <f>AVERAGE(M46:M55)</f>
        <v>2678.9926162209554</v>
      </c>
      <c r="N56" s="64">
        <f t="shared" si="3"/>
        <v>257.59544386739952</v>
      </c>
      <c r="O56" s="66">
        <f t="shared" si="4"/>
        <v>0</v>
      </c>
      <c r="P56" s="67">
        <f t="shared" si="5"/>
        <v>-11.635325363369702</v>
      </c>
      <c r="Q56" s="189">
        <f t="shared" si="6"/>
        <v>0.9567830772217697</v>
      </c>
      <c r="R56" s="530"/>
      <c r="S56" s="68"/>
      <c r="T56" s="68"/>
      <c r="U56" s="188"/>
      <c r="V56" s="194"/>
      <c r="W56" s="69"/>
      <c r="X56" s="69"/>
      <c r="Y56" s="517"/>
      <c r="Z56" s="518"/>
      <c r="AA56" s="66">
        <f t="shared" si="8"/>
        <v>-121.00738377904463</v>
      </c>
      <c r="AB56" s="189">
        <f t="shared" si="9"/>
        <v>0.95678307722176981</v>
      </c>
      <c r="AC56" s="530"/>
    </row>
    <row r="57" spans="1:29" ht="15.75" customHeight="1">
      <c r="A57" s="523" t="s">
        <v>80</v>
      </c>
      <c r="B57" s="62" t="s">
        <v>10</v>
      </c>
      <c r="C57" s="512" t="s">
        <v>41</v>
      </c>
      <c r="D57" s="512"/>
      <c r="E57" s="62">
        <v>46</v>
      </c>
      <c r="F57" s="74">
        <v>2882</v>
      </c>
      <c r="G57" s="188">
        <f t="shared" ref="G57:G61" si="35">E57*F57</f>
        <v>132572</v>
      </c>
      <c r="H57" s="90" t="s">
        <v>5</v>
      </c>
      <c r="I57" s="193">
        <v>17</v>
      </c>
      <c r="J57" s="63">
        <v>2000</v>
      </c>
      <c r="K57" s="64">
        <f t="shared" si="1"/>
        <v>117.64705882352941</v>
      </c>
      <c r="L57" s="193">
        <v>17</v>
      </c>
      <c r="M57" s="65">
        <f t="shared" ref="M57:M61" si="36">F57/V57*60</f>
        <v>1921.3333333333323</v>
      </c>
      <c r="N57" s="65">
        <f t="shared" si="3"/>
        <v>113.01960784313719</v>
      </c>
      <c r="O57" s="66">
        <f t="shared" si="4"/>
        <v>0</v>
      </c>
      <c r="P57" s="67">
        <f t="shared" si="5"/>
        <v>-4.6274509803922115</v>
      </c>
      <c r="Q57" s="189">
        <f t="shared" si="6"/>
        <v>0.96066666666666622</v>
      </c>
      <c r="R57" s="511">
        <f>Q62</f>
        <v>0.96193196802490089</v>
      </c>
      <c r="S57" s="68">
        <v>0.20833333333333334</v>
      </c>
      <c r="T57" s="68">
        <v>0.27083333333333337</v>
      </c>
      <c r="U57" s="73"/>
      <c r="V57" s="194">
        <f t="shared" ref="V57:V61" si="37">(T57-S57)*24*60</f>
        <v>90.000000000000043</v>
      </c>
      <c r="W57" s="73"/>
      <c r="X57" s="73"/>
      <c r="Y57" s="510"/>
      <c r="Z57" s="510"/>
      <c r="AA57" s="66">
        <f t="shared" si="8"/>
        <v>-78.666666666667652</v>
      </c>
      <c r="AB57" s="189">
        <f t="shared" si="9"/>
        <v>0.96066666666666622</v>
      </c>
      <c r="AC57" s="511">
        <f>AB62</f>
        <v>0.96193196802490089</v>
      </c>
    </row>
    <row r="58" spans="1:29" ht="15.75" customHeight="1">
      <c r="A58" s="523" t="s">
        <v>904</v>
      </c>
      <c r="B58" s="62" t="s">
        <v>10</v>
      </c>
      <c r="C58" s="512" t="s">
        <v>42</v>
      </c>
      <c r="D58" s="512"/>
      <c r="E58" s="62">
        <v>46</v>
      </c>
      <c r="F58" s="74">
        <v>3061</v>
      </c>
      <c r="G58" s="188">
        <f t="shared" si="35"/>
        <v>140806</v>
      </c>
      <c r="H58" s="90" t="s">
        <v>5</v>
      </c>
      <c r="I58" s="193">
        <v>17</v>
      </c>
      <c r="J58" s="63">
        <v>2000</v>
      </c>
      <c r="K58" s="64">
        <f t="shared" si="1"/>
        <v>117.64705882352941</v>
      </c>
      <c r="L58" s="193">
        <v>17</v>
      </c>
      <c r="M58" s="65">
        <f t="shared" si="36"/>
        <v>1913.1250000000005</v>
      </c>
      <c r="N58" s="65">
        <f t="shared" si="3"/>
        <v>112.53676470588238</v>
      </c>
      <c r="O58" s="66">
        <f t="shared" si="4"/>
        <v>0</v>
      </c>
      <c r="P58" s="67">
        <f t="shared" si="5"/>
        <v>-5.1102941176470296</v>
      </c>
      <c r="Q58" s="189">
        <f t="shared" si="6"/>
        <v>0.9565625000000002</v>
      </c>
      <c r="R58" s="511"/>
      <c r="S58" s="68">
        <v>0.27500000000000002</v>
      </c>
      <c r="T58" s="68">
        <v>0.34166666666666667</v>
      </c>
      <c r="U58" s="188">
        <f t="shared" ref="U58:U61" si="38">IF(S58=TIME(17,0,0),"",(S58-T57)*24*60)</f>
        <v>5.9999999999999787</v>
      </c>
      <c r="V58" s="194">
        <f t="shared" si="37"/>
        <v>95.999999999999972</v>
      </c>
      <c r="W58" s="69"/>
      <c r="X58" s="69"/>
      <c r="Y58" s="510"/>
      <c r="Z58" s="510"/>
      <c r="AA58" s="66">
        <f t="shared" si="8"/>
        <v>-86.874999999999545</v>
      </c>
      <c r="AB58" s="189">
        <f t="shared" si="9"/>
        <v>0.9565625000000002</v>
      </c>
      <c r="AC58" s="511"/>
    </row>
    <row r="59" spans="1:29" ht="15.75" customHeight="1">
      <c r="A59" s="523" t="s">
        <v>904</v>
      </c>
      <c r="B59" s="62" t="s">
        <v>6</v>
      </c>
      <c r="C59" s="521" t="s">
        <v>43</v>
      </c>
      <c r="D59" s="522"/>
      <c r="E59" s="62">
        <v>55.56</v>
      </c>
      <c r="F59" s="74">
        <v>2583</v>
      </c>
      <c r="G59" s="188">
        <f t="shared" si="35"/>
        <v>143511.48000000001</v>
      </c>
      <c r="H59" s="90" t="s">
        <v>5</v>
      </c>
      <c r="I59" s="193">
        <v>17</v>
      </c>
      <c r="J59" s="63">
        <v>2000</v>
      </c>
      <c r="K59" s="64">
        <f t="shared" si="1"/>
        <v>117.64705882352941</v>
      </c>
      <c r="L59" s="193">
        <v>17</v>
      </c>
      <c r="M59" s="65">
        <f t="shared" si="36"/>
        <v>1913.3333333333328</v>
      </c>
      <c r="N59" s="65">
        <f t="shared" si="3"/>
        <v>112.54901960784311</v>
      </c>
      <c r="O59" s="66">
        <f t="shared" si="4"/>
        <v>0</v>
      </c>
      <c r="P59" s="67">
        <f t="shared" si="5"/>
        <v>-5.098039215686299</v>
      </c>
      <c r="Q59" s="189">
        <f t="shared" si="6"/>
        <v>0.95666666666666644</v>
      </c>
      <c r="R59" s="511"/>
      <c r="S59" s="68">
        <v>0.70833333333333337</v>
      </c>
      <c r="T59" s="68">
        <v>0.76458333333333339</v>
      </c>
      <c r="U59" s="188" t="str">
        <f t="shared" si="38"/>
        <v/>
      </c>
      <c r="V59" s="194">
        <f t="shared" si="37"/>
        <v>81.000000000000028</v>
      </c>
      <c r="W59" s="69"/>
      <c r="X59" s="69"/>
      <c r="Y59" s="185"/>
      <c r="Z59" s="186"/>
      <c r="AA59" s="66">
        <f t="shared" si="8"/>
        <v>-86.666666666667197</v>
      </c>
      <c r="AB59" s="189">
        <f t="shared" si="9"/>
        <v>0.95666666666666644</v>
      </c>
      <c r="AC59" s="511"/>
    </row>
    <row r="60" spans="1:29" ht="15.75" customHeight="1">
      <c r="A60" s="523" t="s">
        <v>80</v>
      </c>
      <c r="B60" s="62" t="s">
        <v>6</v>
      </c>
      <c r="C60" s="191" t="s">
        <v>44</v>
      </c>
      <c r="D60" s="192"/>
      <c r="E60" s="62">
        <v>55.32</v>
      </c>
      <c r="F60" s="74">
        <v>1997</v>
      </c>
      <c r="G60" s="188">
        <f t="shared" si="35"/>
        <v>110474.04</v>
      </c>
      <c r="H60" s="90" t="s">
        <v>5</v>
      </c>
      <c r="I60" s="193">
        <v>15</v>
      </c>
      <c r="J60" s="63">
        <v>2000</v>
      </c>
      <c r="K60" s="64">
        <f t="shared" si="1"/>
        <v>133.33333333333334</v>
      </c>
      <c r="L60" s="193">
        <v>15</v>
      </c>
      <c r="M60" s="65">
        <f t="shared" si="36"/>
        <v>1932.5806451612921</v>
      </c>
      <c r="N60" s="65">
        <f t="shared" si="3"/>
        <v>128.83870967741947</v>
      </c>
      <c r="O60" s="66">
        <f t="shared" si="4"/>
        <v>0</v>
      </c>
      <c r="P60" s="67">
        <f t="shared" si="5"/>
        <v>-4.4946236559138697</v>
      </c>
      <c r="Q60" s="189">
        <f t="shared" si="6"/>
        <v>0.96629032258064596</v>
      </c>
      <c r="R60" s="511"/>
      <c r="S60" s="68">
        <v>0.77013888888888893</v>
      </c>
      <c r="T60" s="68">
        <v>0.81319444444444444</v>
      </c>
      <c r="U60" s="188">
        <f t="shared" si="38"/>
        <v>7.9999999999999716</v>
      </c>
      <c r="V60" s="194">
        <f t="shared" si="37"/>
        <v>61.999999999999943</v>
      </c>
      <c r="W60" s="69"/>
      <c r="X60" s="69"/>
      <c r="Y60" s="185"/>
      <c r="Z60" s="186"/>
      <c r="AA60" s="66">
        <f t="shared" si="8"/>
        <v>-67.419354838707932</v>
      </c>
      <c r="AB60" s="189">
        <f t="shared" si="9"/>
        <v>0.96629032258064607</v>
      </c>
      <c r="AC60" s="511"/>
    </row>
    <row r="61" spans="1:29" ht="15.75" customHeight="1">
      <c r="A61" s="523" t="s">
        <v>905</v>
      </c>
      <c r="B61" s="62" t="s">
        <v>6</v>
      </c>
      <c r="C61" s="191" t="s">
        <v>7</v>
      </c>
      <c r="D61" s="192"/>
      <c r="E61" s="62">
        <v>46.93</v>
      </c>
      <c r="F61" s="74">
        <v>1228</v>
      </c>
      <c r="G61" s="188">
        <f t="shared" si="35"/>
        <v>57630.04</v>
      </c>
      <c r="H61" s="90" t="s">
        <v>5</v>
      </c>
      <c r="I61" s="193">
        <v>16</v>
      </c>
      <c r="J61" s="63">
        <v>2000</v>
      </c>
      <c r="K61" s="64">
        <f t="shared" si="1"/>
        <v>125</v>
      </c>
      <c r="L61" s="193">
        <v>16</v>
      </c>
      <c r="M61" s="65">
        <f t="shared" si="36"/>
        <v>1938.9473684210511</v>
      </c>
      <c r="N61" s="65">
        <f t="shared" si="3"/>
        <v>121.1842105263157</v>
      </c>
      <c r="O61" s="66">
        <f t="shared" si="4"/>
        <v>0</v>
      </c>
      <c r="P61" s="67">
        <f t="shared" si="5"/>
        <v>-3.8157894736843048</v>
      </c>
      <c r="Q61" s="189">
        <f t="shared" si="6"/>
        <v>0.9694736842105256</v>
      </c>
      <c r="R61" s="511"/>
      <c r="S61" s="68">
        <v>0.81736111111111109</v>
      </c>
      <c r="T61" s="68">
        <v>0.84375</v>
      </c>
      <c r="U61" s="188">
        <f t="shared" si="38"/>
        <v>5.9999999999999787</v>
      </c>
      <c r="V61" s="194">
        <f t="shared" si="37"/>
        <v>38.000000000000028</v>
      </c>
      <c r="W61" s="69"/>
      <c r="X61" s="69"/>
      <c r="Y61" s="185"/>
      <c r="Z61" s="186"/>
      <c r="AA61" s="66">
        <f t="shared" si="8"/>
        <v>-61.052631578948876</v>
      </c>
      <c r="AB61" s="189">
        <f t="shared" si="9"/>
        <v>0.9694736842105256</v>
      </c>
      <c r="AC61" s="511"/>
    </row>
    <row r="62" spans="1:29">
      <c r="A62" s="524" t="s">
        <v>904</v>
      </c>
      <c r="B62" s="62" t="s">
        <v>906</v>
      </c>
      <c r="C62" s="513"/>
      <c r="D62" s="513"/>
      <c r="E62" s="190"/>
      <c r="F62" s="71"/>
      <c r="G62" s="64"/>
      <c r="H62" s="196"/>
      <c r="I62" s="72">
        <v>16.399999999999999</v>
      </c>
      <c r="J62" s="63">
        <v>2000</v>
      </c>
      <c r="K62" s="64">
        <f t="shared" si="1"/>
        <v>121.95121951219514</v>
      </c>
      <c r="L62" s="72">
        <v>16.399999999999999</v>
      </c>
      <c r="M62" s="65">
        <f>AVERAGE(M57:M61)</f>
        <v>1923.8639360498019</v>
      </c>
      <c r="N62" s="64">
        <f t="shared" si="3"/>
        <v>117.30877658840257</v>
      </c>
      <c r="O62" s="66">
        <f t="shared" si="4"/>
        <v>0</v>
      </c>
      <c r="P62" s="67">
        <f t="shared" si="5"/>
        <v>-4.6424429237925722</v>
      </c>
      <c r="Q62" s="189">
        <f t="shared" si="6"/>
        <v>0.96193196802490089</v>
      </c>
      <c r="R62" s="511"/>
      <c r="S62" s="75"/>
      <c r="T62" s="68"/>
      <c r="U62" s="64"/>
      <c r="V62" s="194"/>
      <c r="W62" s="64"/>
      <c r="X62" s="64"/>
      <c r="Y62" s="510"/>
      <c r="Z62" s="510"/>
      <c r="AA62" s="66">
        <f t="shared" si="8"/>
        <v>-76.13606395019815</v>
      </c>
      <c r="AB62" s="189">
        <f t="shared" si="9"/>
        <v>0.96193196802490089</v>
      </c>
      <c r="AC62" s="511"/>
    </row>
    <row r="63" spans="1:29" ht="15.75" customHeight="1">
      <c r="A63" s="519" t="s">
        <v>907</v>
      </c>
      <c r="B63" s="196" t="s">
        <v>10</v>
      </c>
      <c r="C63" s="512" t="s">
        <v>46</v>
      </c>
      <c r="D63" s="512"/>
      <c r="E63" s="62">
        <v>26.97</v>
      </c>
      <c r="F63" s="74">
        <v>3493</v>
      </c>
      <c r="G63" s="188">
        <f t="shared" ref="G63:G66" si="39">E63*F63</f>
        <v>94206.209999999992</v>
      </c>
      <c r="H63" s="90" t="s">
        <v>5</v>
      </c>
      <c r="I63" s="193">
        <v>8</v>
      </c>
      <c r="J63" s="63">
        <v>1500</v>
      </c>
      <c r="K63" s="64">
        <f t="shared" si="1"/>
        <v>187.5</v>
      </c>
      <c r="L63" s="193">
        <v>8</v>
      </c>
      <c r="M63" s="65">
        <f t="shared" ref="M63:M66" si="40">F63/V63*60</f>
        <v>1435.4794520547944</v>
      </c>
      <c r="N63" s="64">
        <f t="shared" si="3"/>
        <v>179.4349315068493</v>
      </c>
      <c r="O63" s="66">
        <f t="shared" si="4"/>
        <v>0</v>
      </c>
      <c r="P63" s="67">
        <f t="shared" si="5"/>
        <v>-8.0650684931507044</v>
      </c>
      <c r="Q63" s="189">
        <f t="shared" si="6"/>
        <v>0.95698630136986296</v>
      </c>
      <c r="R63" s="511">
        <f>Q67</f>
        <v>0.95838037810067755</v>
      </c>
      <c r="S63" s="68">
        <v>0.20833333333333334</v>
      </c>
      <c r="T63" s="68">
        <v>0.30972222222222223</v>
      </c>
      <c r="U63" s="188"/>
      <c r="V63" s="194">
        <f t="shared" ref="V63:V66" si="41">(T63-S63)*24*60</f>
        <v>146</v>
      </c>
      <c r="W63" s="73"/>
      <c r="X63" s="73"/>
      <c r="Y63" s="510"/>
      <c r="Z63" s="510"/>
      <c r="AA63" s="66">
        <f t="shared" si="8"/>
        <v>-64.520547945205635</v>
      </c>
      <c r="AB63" s="189">
        <f t="shared" si="9"/>
        <v>0.95698630136986296</v>
      </c>
      <c r="AC63" s="511">
        <f>AB67</f>
        <v>0.95838037810067755</v>
      </c>
    </row>
    <row r="64" spans="1:29" ht="15.75" customHeight="1">
      <c r="A64" s="519" t="s">
        <v>497</v>
      </c>
      <c r="B64" s="196" t="s">
        <v>35</v>
      </c>
      <c r="C64" s="512" t="s">
        <v>45</v>
      </c>
      <c r="D64" s="512"/>
      <c r="E64" s="62">
        <v>26.78</v>
      </c>
      <c r="F64" s="74">
        <v>3038</v>
      </c>
      <c r="G64" s="188">
        <f t="shared" si="39"/>
        <v>81357.64</v>
      </c>
      <c r="H64" s="90" t="s">
        <v>5</v>
      </c>
      <c r="I64" s="193">
        <v>10</v>
      </c>
      <c r="J64" s="63">
        <v>3000</v>
      </c>
      <c r="K64" s="64">
        <f t="shared" si="1"/>
        <v>300</v>
      </c>
      <c r="L64" s="193">
        <v>10</v>
      </c>
      <c r="M64" s="65">
        <f t="shared" si="40"/>
        <v>2893.333333333333</v>
      </c>
      <c r="N64" s="64">
        <f t="shared" si="3"/>
        <v>289.33333333333331</v>
      </c>
      <c r="O64" s="66">
        <f t="shared" si="4"/>
        <v>0</v>
      </c>
      <c r="P64" s="67">
        <f t="shared" si="5"/>
        <v>-10.666666666666686</v>
      </c>
      <c r="Q64" s="189">
        <f t="shared" si="6"/>
        <v>0.96444444444444433</v>
      </c>
      <c r="R64" s="511"/>
      <c r="S64" s="68">
        <v>0.31527777777777777</v>
      </c>
      <c r="T64" s="68">
        <v>0.35902777777777778</v>
      </c>
      <c r="U64" s="188">
        <f t="shared" ref="U64:U66" si="42">(S64-T63)*24*60</f>
        <v>7.9999999999999716</v>
      </c>
      <c r="V64" s="194">
        <f t="shared" si="41"/>
        <v>63.000000000000014</v>
      </c>
      <c r="W64" s="188"/>
      <c r="X64" s="188"/>
      <c r="Y64" s="510"/>
      <c r="Z64" s="510"/>
      <c r="AA64" s="66">
        <f t="shared" si="8"/>
        <v>-106.66666666666697</v>
      </c>
      <c r="AB64" s="189">
        <f t="shared" si="9"/>
        <v>0.96444444444444433</v>
      </c>
      <c r="AC64" s="511"/>
    </row>
    <row r="65" spans="1:29" ht="15.75" customHeight="1">
      <c r="A65" s="519" t="s">
        <v>908</v>
      </c>
      <c r="B65" s="196" t="s">
        <v>35</v>
      </c>
      <c r="C65" s="512" t="s">
        <v>75</v>
      </c>
      <c r="D65" s="512"/>
      <c r="E65" s="62">
        <v>37.880000000000003</v>
      </c>
      <c r="F65" s="74">
        <v>4002</v>
      </c>
      <c r="G65" s="188">
        <f t="shared" si="39"/>
        <v>151595.76</v>
      </c>
      <c r="H65" s="90" t="s">
        <v>5</v>
      </c>
      <c r="I65" s="193">
        <v>10</v>
      </c>
      <c r="J65" s="63">
        <v>3000</v>
      </c>
      <c r="K65" s="64">
        <f t="shared" si="1"/>
        <v>300</v>
      </c>
      <c r="L65" s="193">
        <v>10</v>
      </c>
      <c r="M65" s="65">
        <f t="shared" si="40"/>
        <v>2858.5714285714275</v>
      </c>
      <c r="N65" s="64">
        <f t="shared" si="3"/>
        <v>285.85714285714278</v>
      </c>
      <c r="O65" s="66">
        <f t="shared" si="4"/>
        <v>0</v>
      </c>
      <c r="P65" s="67">
        <f t="shared" si="5"/>
        <v>-14.142857142857224</v>
      </c>
      <c r="Q65" s="189">
        <f t="shared" si="6"/>
        <v>0.95285714285714262</v>
      </c>
      <c r="R65" s="511"/>
      <c r="S65" s="68">
        <v>0.36249999999999999</v>
      </c>
      <c r="T65" s="68">
        <v>0.42083333333333334</v>
      </c>
      <c r="U65" s="188">
        <f t="shared" si="42"/>
        <v>4.9999999999999822</v>
      </c>
      <c r="V65" s="194">
        <f t="shared" si="41"/>
        <v>84.000000000000028</v>
      </c>
      <c r="W65" s="188"/>
      <c r="X65" s="188"/>
      <c r="Y65" s="510"/>
      <c r="Z65" s="510"/>
      <c r="AA65" s="66">
        <f t="shared" si="8"/>
        <v>-141.42857142857247</v>
      </c>
      <c r="AB65" s="189">
        <f t="shared" si="9"/>
        <v>0.95285714285714251</v>
      </c>
      <c r="AC65" s="511"/>
    </row>
    <row r="66" spans="1:29" ht="15.75" customHeight="1">
      <c r="A66" s="519" t="s">
        <v>907</v>
      </c>
      <c r="B66" s="196" t="s">
        <v>35</v>
      </c>
      <c r="C66" s="512" t="s">
        <v>85</v>
      </c>
      <c r="D66" s="512"/>
      <c r="E66" s="62">
        <v>40.51</v>
      </c>
      <c r="F66" s="74">
        <v>3930</v>
      </c>
      <c r="G66" s="188">
        <f t="shared" si="39"/>
        <v>159204.29999999999</v>
      </c>
      <c r="H66" s="90" t="s">
        <v>5</v>
      </c>
      <c r="I66" s="193">
        <v>8</v>
      </c>
      <c r="J66" s="63">
        <v>3000</v>
      </c>
      <c r="K66" s="64">
        <f t="shared" si="1"/>
        <v>375</v>
      </c>
      <c r="L66" s="193">
        <v>8</v>
      </c>
      <c r="M66" s="65">
        <f t="shared" si="40"/>
        <v>2875.60975609756</v>
      </c>
      <c r="N66" s="64">
        <f t="shared" si="3"/>
        <v>359.451219512195</v>
      </c>
      <c r="O66" s="66">
        <f t="shared" si="4"/>
        <v>0</v>
      </c>
      <c r="P66" s="67">
        <f t="shared" si="5"/>
        <v>-15.548780487805004</v>
      </c>
      <c r="Q66" s="189">
        <f t="shared" si="6"/>
        <v>0.95853658536585329</v>
      </c>
      <c r="R66" s="511"/>
      <c r="S66" s="68">
        <v>0.42430555555555555</v>
      </c>
      <c r="T66" s="68">
        <v>0.48125000000000001</v>
      </c>
      <c r="U66" s="188">
        <f t="shared" si="42"/>
        <v>4.9999999999999822</v>
      </c>
      <c r="V66" s="194">
        <f t="shared" si="41"/>
        <v>82.000000000000028</v>
      </c>
      <c r="W66" s="188"/>
      <c r="X66" s="188"/>
      <c r="Y66" s="510"/>
      <c r="Z66" s="510"/>
      <c r="AA66" s="66">
        <f t="shared" si="8"/>
        <v>-124.39024390244003</v>
      </c>
      <c r="AB66" s="189">
        <f t="shared" si="9"/>
        <v>0.95853658536585329</v>
      </c>
      <c r="AC66" s="511"/>
    </row>
    <row r="67" spans="1:29">
      <c r="A67" s="520" t="s">
        <v>907</v>
      </c>
      <c r="B67" s="62" t="s">
        <v>887</v>
      </c>
      <c r="C67" s="513"/>
      <c r="D67" s="513"/>
      <c r="E67" s="190"/>
      <c r="F67" s="71"/>
      <c r="G67" s="64"/>
      <c r="H67" s="196"/>
      <c r="I67" s="72">
        <v>9</v>
      </c>
      <c r="J67" s="63">
        <v>2625</v>
      </c>
      <c r="K67" s="64">
        <f t="shared" si="1"/>
        <v>291.66666666666669</v>
      </c>
      <c r="L67" s="72">
        <v>9</v>
      </c>
      <c r="M67" s="65">
        <f>AVERAGE(M63:M66)</f>
        <v>2515.7484925142785</v>
      </c>
      <c r="N67" s="64">
        <f t="shared" si="3"/>
        <v>279.5276102793643</v>
      </c>
      <c r="O67" s="66">
        <f t="shared" si="4"/>
        <v>0</v>
      </c>
      <c r="P67" s="67">
        <f t="shared" si="5"/>
        <v>-12.139056387302389</v>
      </c>
      <c r="Q67" s="189">
        <f t="shared" si="6"/>
        <v>0.95838037810067755</v>
      </c>
      <c r="R67" s="511"/>
      <c r="S67" s="68"/>
      <c r="T67" s="68"/>
      <c r="U67" s="64"/>
      <c r="V67" s="194"/>
      <c r="W67" s="64"/>
      <c r="X67" s="64"/>
      <c r="Y67" s="510"/>
      <c r="Z67" s="510"/>
      <c r="AA67" s="66">
        <f t="shared" si="8"/>
        <v>-109.2515074857215</v>
      </c>
      <c r="AB67" s="189">
        <f t="shared" si="9"/>
        <v>0.95838037810067755</v>
      </c>
      <c r="AC67" s="511"/>
    </row>
    <row r="68" spans="1:29" ht="15.75" customHeight="1">
      <c r="A68" s="514" t="s">
        <v>909</v>
      </c>
      <c r="B68" s="196" t="s">
        <v>16</v>
      </c>
      <c r="C68" s="512" t="s">
        <v>48</v>
      </c>
      <c r="D68" s="512"/>
      <c r="E68" s="62">
        <v>20.2</v>
      </c>
      <c r="F68" s="196">
        <v>2803</v>
      </c>
      <c r="G68" s="188">
        <f t="shared" ref="G68:G74" si="43">E68*F68</f>
        <v>56620.6</v>
      </c>
      <c r="H68" s="90" t="s">
        <v>5</v>
      </c>
      <c r="I68" s="193">
        <v>19</v>
      </c>
      <c r="J68" s="63">
        <v>2400</v>
      </c>
      <c r="K68" s="64">
        <f t="shared" si="1"/>
        <v>126.31578947368421</v>
      </c>
      <c r="L68" s="193">
        <v>19</v>
      </c>
      <c r="M68" s="65">
        <f t="shared" ref="M68:M74" si="44">F68/V68*60</f>
        <v>2303.8356164383563</v>
      </c>
      <c r="N68" s="64">
        <f t="shared" si="3"/>
        <v>121.25450612833454</v>
      </c>
      <c r="O68" s="66">
        <f t="shared" si="4"/>
        <v>0</v>
      </c>
      <c r="P68" s="67">
        <f t="shared" si="5"/>
        <v>-5.0612833453496648</v>
      </c>
      <c r="Q68" s="189">
        <f t="shared" si="6"/>
        <v>0.95993150684931516</v>
      </c>
      <c r="R68" s="511">
        <f>Q75</f>
        <v>0.95698820706786036</v>
      </c>
      <c r="S68" s="68">
        <v>8.3333333333333329E-2</v>
      </c>
      <c r="T68" s="68">
        <v>0.13402777777777777</v>
      </c>
      <c r="U68" s="73"/>
      <c r="V68" s="194">
        <f t="shared" ref="V68:V74" si="45">(T68-S68)*24*60</f>
        <v>73</v>
      </c>
      <c r="W68" s="69">
        <f>T68</f>
        <v>0.13402777777777777</v>
      </c>
      <c r="X68" s="69">
        <f>S69</f>
        <v>0.15277777777777779</v>
      </c>
      <c r="Y68" s="510"/>
      <c r="Z68" s="510"/>
      <c r="AA68" s="66">
        <f t="shared" si="8"/>
        <v>-96.164383561643717</v>
      </c>
      <c r="AB68" s="189">
        <f t="shared" si="9"/>
        <v>0.95993150684931516</v>
      </c>
      <c r="AC68" s="511">
        <f>AB75</f>
        <v>0.95698820706786047</v>
      </c>
    </row>
    <row r="69" spans="1:29" ht="15.75" customHeight="1">
      <c r="A69" s="515" t="s">
        <v>909</v>
      </c>
      <c r="B69" s="196" t="s">
        <v>16</v>
      </c>
      <c r="C69" s="512" t="s">
        <v>51</v>
      </c>
      <c r="D69" s="512"/>
      <c r="E69" s="62">
        <v>24.25</v>
      </c>
      <c r="F69" s="196">
        <v>2886</v>
      </c>
      <c r="G69" s="188">
        <f t="shared" si="43"/>
        <v>69985.5</v>
      </c>
      <c r="H69" s="90" t="s">
        <v>5</v>
      </c>
      <c r="I69" s="193">
        <v>17</v>
      </c>
      <c r="J69" s="63">
        <v>2400</v>
      </c>
      <c r="K69" s="64">
        <f t="shared" ref="K69:K75" si="46">J69/I69</f>
        <v>141.1764705882353</v>
      </c>
      <c r="L69" s="193">
        <v>17</v>
      </c>
      <c r="M69" s="65">
        <f t="shared" si="44"/>
        <v>2308.7999999999993</v>
      </c>
      <c r="N69" s="64">
        <f t="shared" ref="N69:N75" si="47">M69/L69</f>
        <v>135.8117647058823</v>
      </c>
      <c r="O69" s="66">
        <f t="shared" ref="O69:O75" si="48">L69-I69</f>
        <v>0</v>
      </c>
      <c r="P69" s="67">
        <f t="shared" ref="P69:P75" si="49">N69-K69</f>
        <v>-5.3647058823530074</v>
      </c>
      <c r="Q69" s="189">
        <f t="shared" ref="Q69:Q75" si="50">N69/K69</f>
        <v>0.96199999999999952</v>
      </c>
      <c r="R69" s="511"/>
      <c r="S69" s="68">
        <v>0.15277777777777779</v>
      </c>
      <c r="T69" s="68">
        <v>0.20486111111111113</v>
      </c>
      <c r="U69" s="188">
        <f t="shared" ref="U69:U74" si="51">(S69-T68)*24*60</f>
        <v>27.000000000000025</v>
      </c>
      <c r="V69" s="194">
        <f t="shared" si="45"/>
        <v>75.000000000000014</v>
      </c>
      <c r="W69" s="69"/>
      <c r="X69" s="69"/>
      <c r="Y69" s="510"/>
      <c r="Z69" s="510"/>
      <c r="AA69" s="66">
        <f t="shared" ref="AA69:AA75" si="52">M69-J69</f>
        <v>-91.200000000000728</v>
      </c>
      <c r="AB69" s="189">
        <f t="shared" ref="AB69:AB75" si="53">M69/J69</f>
        <v>0.96199999999999974</v>
      </c>
      <c r="AC69" s="511"/>
    </row>
    <row r="70" spans="1:29" ht="15.75" customHeight="1">
      <c r="A70" s="515" t="s">
        <v>909</v>
      </c>
      <c r="B70" s="196" t="s">
        <v>16</v>
      </c>
      <c r="C70" s="512" t="s">
        <v>17</v>
      </c>
      <c r="D70" s="512"/>
      <c r="E70" s="62">
        <v>24.45</v>
      </c>
      <c r="F70" s="196">
        <v>2754</v>
      </c>
      <c r="G70" s="188">
        <f t="shared" si="43"/>
        <v>67335.3</v>
      </c>
      <c r="H70" s="90" t="s">
        <v>5</v>
      </c>
      <c r="I70" s="193">
        <v>20</v>
      </c>
      <c r="J70" s="63">
        <v>2400</v>
      </c>
      <c r="K70" s="64">
        <f t="shared" si="46"/>
        <v>120</v>
      </c>
      <c r="L70" s="193">
        <v>20</v>
      </c>
      <c r="M70" s="65">
        <f t="shared" si="44"/>
        <v>2295.0000000000005</v>
      </c>
      <c r="N70" s="64">
        <f t="shared" si="47"/>
        <v>114.75000000000003</v>
      </c>
      <c r="O70" s="66">
        <f t="shared" si="48"/>
        <v>0</v>
      </c>
      <c r="P70" s="67">
        <f t="shared" si="49"/>
        <v>-5.2499999999999716</v>
      </c>
      <c r="Q70" s="189">
        <f t="shared" si="50"/>
        <v>0.95625000000000027</v>
      </c>
      <c r="R70" s="511"/>
      <c r="S70" s="68">
        <v>0.2104166666666667</v>
      </c>
      <c r="T70" s="68">
        <v>0.26041666666666669</v>
      </c>
      <c r="U70" s="188">
        <f t="shared" si="51"/>
        <v>8.0000000000000107</v>
      </c>
      <c r="V70" s="194">
        <f t="shared" si="45"/>
        <v>71.999999999999986</v>
      </c>
      <c r="W70" s="69"/>
      <c r="X70" s="69"/>
      <c r="Y70" s="510"/>
      <c r="Z70" s="510"/>
      <c r="AA70" s="66">
        <f t="shared" si="52"/>
        <v>-104.99999999999955</v>
      </c>
      <c r="AB70" s="189">
        <f t="shared" si="53"/>
        <v>0.95625000000000016</v>
      </c>
      <c r="AC70" s="511"/>
    </row>
    <row r="71" spans="1:29" ht="15.75" customHeight="1">
      <c r="A71" s="515" t="s">
        <v>910</v>
      </c>
      <c r="B71" s="196" t="s">
        <v>16</v>
      </c>
      <c r="C71" s="512" t="s">
        <v>34</v>
      </c>
      <c r="D71" s="512"/>
      <c r="E71" s="62">
        <v>24.25</v>
      </c>
      <c r="F71" s="196">
        <v>4174</v>
      </c>
      <c r="G71" s="188">
        <f t="shared" si="43"/>
        <v>101219.5</v>
      </c>
      <c r="H71" s="90" t="s">
        <v>5</v>
      </c>
      <c r="I71" s="193">
        <v>13</v>
      </c>
      <c r="J71" s="63">
        <v>2400</v>
      </c>
      <c r="K71" s="64">
        <f t="shared" si="46"/>
        <v>184.61538461538461</v>
      </c>
      <c r="L71" s="193">
        <v>13</v>
      </c>
      <c r="M71" s="65">
        <f t="shared" si="44"/>
        <v>2297.6146788990823</v>
      </c>
      <c r="N71" s="64">
        <f t="shared" si="47"/>
        <v>176.73959068454479</v>
      </c>
      <c r="O71" s="66">
        <f t="shared" si="48"/>
        <v>0</v>
      </c>
      <c r="P71" s="67">
        <f t="shared" si="49"/>
        <v>-7.8757939308398193</v>
      </c>
      <c r="Q71" s="189">
        <f t="shared" si="50"/>
        <v>0.95733944954128436</v>
      </c>
      <c r="R71" s="511"/>
      <c r="S71" s="68">
        <v>0.26527777777777778</v>
      </c>
      <c r="T71" s="68">
        <v>0.34097222222222223</v>
      </c>
      <c r="U71" s="188">
        <f t="shared" si="51"/>
        <v>6.9999999999999751</v>
      </c>
      <c r="V71" s="194">
        <f t="shared" si="45"/>
        <v>109.00000000000001</v>
      </c>
      <c r="W71" s="69"/>
      <c r="X71" s="69"/>
      <c r="Y71" s="510"/>
      <c r="Z71" s="510"/>
      <c r="AA71" s="66">
        <f t="shared" si="52"/>
        <v>-102.38532110091774</v>
      </c>
      <c r="AB71" s="189">
        <f t="shared" si="53"/>
        <v>0.95733944954128425</v>
      </c>
      <c r="AC71" s="511"/>
    </row>
    <row r="72" spans="1:29" ht="15.75" customHeight="1">
      <c r="A72" s="515" t="s">
        <v>909</v>
      </c>
      <c r="B72" s="196" t="s">
        <v>16</v>
      </c>
      <c r="C72" s="512" t="s">
        <v>26</v>
      </c>
      <c r="D72" s="512"/>
      <c r="E72" s="62">
        <v>20.52</v>
      </c>
      <c r="F72" s="196">
        <v>3859</v>
      </c>
      <c r="G72" s="188">
        <f t="shared" si="43"/>
        <v>79186.679999999993</v>
      </c>
      <c r="H72" s="90" t="s">
        <v>5</v>
      </c>
      <c r="I72" s="193">
        <v>18</v>
      </c>
      <c r="J72" s="63">
        <v>2400</v>
      </c>
      <c r="K72" s="64">
        <f t="shared" si="46"/>
        <v>133.33333333333334</v>
      </c>
      <c r="L72" s="193">
        <v>18</v>
      </c>
      <c r="M72" s="65">
        <f t="shared" si="44"/>
        <v>2292.4752475247533</v>
      </c>
      <c r="N72" s="64">
        <f t="shared" si="47"/>
        <v>127.35973597359741</v>
      </c>
      <c r="O72" s="66">
        <f t="shared" si="48"/>
        <v>0</v>
      </c>
      <c r="P72" s="67">
        <f t="shared" si="49"/>
        <v>-5.9735973597359333</v>
      </c>
      <c r="Q72" s="189">
        <f t="shared" si="50"/>
        <v>0.95519801980198049</v>
      </c>
      <c r="R72" s="511"/>
      <c r="S72" s="68">
        <v>0.34444444444444444</v>
      </c>
      <c r="T72" s="68">
        <v>0.4145833333333333</v>
      </c>
      <c r="U72" s="188">
        <f t="shared" si="51"/>
        <v>4.9999999999999822</v>
      </c>
      <c r="V72" s="194">
        <f t="shared" si="45"/>
        <v>100.99999999999996</v>
      </c>
      <c r="W72" s="69"/>
      <c r="X72" s="69"/>
      <c r="Y72" s="510"/>
      <c r="Z72" s="510"/>
      <c r="AA72" s="66">
        <f t="shared" si="52"/>
        <v>-107.52475247524671</v>
      </c>
      <c r="AB72" s="189">
        <f t="shared" si="53"/>
        <v>0.95519801980198049</v>
      </c>
      <c r="AC72" s="511"/>
    </row>
    <row r="73" spans="1:29" ht="15.75" customHeight="1">
      <c r="A73" s="515" t="s">
        <v>909</v>
      </c>
      <c r="B73" s="196" t="s">
        <v>16</v>
      </c>
      <c r="C73" s="512" t="s">
        <v>49</v>
      </c>
      <c r="D73" s="512"/>
      <c r="E73" s="62">
        <v>19.02</v>
      </c>
      <c r="F73" s="196">
        <v>5000</v>
      </c>
      <c r="G73" s="188">
        <f t="shared" si="43"/>
        <v>95100</v>
      </c>
      <c r="H73" s="90">
        <v>2</v>
      </c>
      <c r="I73" s="193">
        <v>15</v>
      </c>
      <c r="J73" s="63">
        <v>2400</v>
      </c>
      <c r="K73" s="64">
        <f t="shared" si="46"/>
        <v>160</v>
      </c>
      <c r="L73" s="193">
        <v>15</v>
      </c>
      <c r="M73" s="65">
        <f t="shared" si="44"/>
        <v>2290.0763358778627</v>
      </c>
      <c r="N73" s="64">
        <f t="shared" si="47"/>
        <v>152.67175572519085</v>
      </c>
      <c r="O73" s="66">
        <f t="shared" si="48"/>
        <v>0</v>
      </c>
      <c r="P73" s="67">
        <f t="shared" si="49"/>
        <v>-7.3282442748091512</v>
      </c>
      <c r="Q73" s="189">
        <f t="shared" si="50"/>
        <v>0.95419847328244278</v>
      </c>
      <c r="R73" s="511"/>
      <c r="S73" s="68">
        <v>0.4194444444444444</v>
      </c>
      <c r="T73" s="68">
        <v>0.51041666666666663</v>
      </c>
      <c r="U73" s="188">
        <f t="shared" si="51"/>
        <v>6.9999999999999751</v>
      </c>
      <c r="V73" s="194">
        <f t="shared" si="45"/>
        <v>131</v>
      </c>
      <c r="W73" s="69">
        <f>T73</f>
        <v>0.51041666666666663</v>
      </c>
      <c r="X73" s="69">
        <f>S74</f>
        <v>0.55138888888888882</v>
      </c>
      <c r="Y73" s="510"/>
      <c r="Z73" s="510"/>
      <c r="AA73" s="66">
        <f t="shared" si="52"/>
        <v>-109.92366412213732</v>
      </c>
      <c r="AB73" s="189">
        <f t="shared" si="53"/>
        <v>0.95419847328244278</v>
      </c>
      <c r="AC73" s="511"/>
    </row>
    <row r="74" spans="1:29" ht="15.75" customHeight="1">
      <c r="A74" s="515" t="s">
        <v>909</v>
      </c>
      <c r="B74" s="196" t="s">
        <v>16</v>
      </c>
      <c r="C74" s="512" t="s">
        <v>49</v>
      </c>
      <c r="D74" s="512"/>
      <c r="E74" s="62">
        <v>19.02</v>
      </c>
      <c r="F74" s="196">
        <v>6678</v>
      </c>
      <c r="G74" s="188">
        <f t="shared" si="43"/>
        <v>127015.56</v>
      </c>
      <c r="H74" s="90" t="s">
        <v>5</v>
      </c>
      <c r="I74" s="193">
        <v>15</v>
      </c>
      <c r="J74" s="63">
        <v>2400</v>
      </c>
      <c r="K74" s="64">
        <f t="shared" si="46"/>
        <v>160</v>
      </c>
      <c r="L74" s="193">
        <v>15</v>
      </c>
      <c r="M74" s="65">
        <f t="shared" si="44"/>
        <v>2289.6</v>
      </c>
      <c r="N74" s="64">
        <f t="shared" si="47"/>
        <v>152.63999999999999</v>
      </c>
      <c r="O74" s="66">
        <f t="shared" si="48"/>
        <v>0</v>
      </c>
      <c r="P74" s="67">
        <f t="shared" si="49"/>
        <v>-7.3600000000000136</v>
      </c>
      <c r="Q74" s="189">
        <f t="shared" si="50"/>
        <v>0.95399999999999996</v>
      </c>
      <c r="R74" s="511"/>
      <c r="S74" s="68">
        <v>0.55138888888888882</v>
      </c>
      <c r="T74" s="68">
        <v>0.67291666666666661</v>
      </c>
      <c r="U74" s="188">
        <f t="shared" si="51"/>
        <v>58.99999999999995</v>
      </c>
      <c r="V74" s="194">
        <f t="shared" si="45"/>
        <v>175.00000000000003</v>
      </c>
      <c r="W74" s="69"/>
      <c r="X74" s="69"/>
      <c r="Y74" s="517"/>
      <c r="Z74" s="518"/>
      <c r="AA74" s="66">
        <f t="shared" si="52"/>
        <v>-110.40000000000009</v>
      </c>
      <c r="AB74" s="189">
        <f t="shared" si="53"/>
        <v>0.95399999999999996</v>
      </c>
      <c r="AC74" s="511"/>
    </row>
    <row r="75" spans="1:29" ht="16.5" customHeight="1">
      <c r="A75" s="516" t="s">
        <v>909</v>
      </c>
      <c r="B75" s="62" t="s">
        <v>887</v>
      </c>
      <c r="C75" s="508"/>
      <c r="D75" s="509"/>
      <c r="E75" s="190"/>
      <c r="F75" s="71"/>
      <c r="G75" s="64"/>
      <c r="H75" s="196"/>
      <c r="I75" s="72">
        <v>16.714285714285715</v>
      </c>
      <c r="J75" s="63">
        <v>2400</v>
      </c>
      <c r="K75" s="64">
        <f t="shared" si="46"/>
        <v>143.58974358974359</v>
      </c>
      <c r="L75" s="72">
        <v>16.714285714285715</v>
      </c>
      <c r="M75" s="65">
        <f>AVERAGE(M68:M74)</f>
        <v>2296.771696962865</v>
      </c>
      <c r="N75" s="64">
        <f t="shared" si="47"/>
        <v>137.41369127128252</v>
      </c>
      <c r="O75" s="66">
        <f t="shared" si="48"/>
        <v>0</v>
      </c>
      <c r="P75" s="67">
        <f t="shared" si="49"/>
        <v>-6.1760523184610747</v>
      </c>
      <c r="Q75" s="189">
        <f t="shared" si="50"/>
        <v>0.95698820706786036</v>
      </c>
      <c r="R75" s="511"/>
      <c r="S75" s="68"/>
      <c r="T75" s="68"/>
      <c r="U75" s="64"/>
      <c r="V75" s="194"/>
      <c r="W75" s="64"/>
      <c r="X75" s="64"/>
      <c r="Y75" s="510"/>
      <c r="Z75" s="510"/>
      <c r="AA75" s="66">
        <f t="shared" si="52"/>
        <v>-103.22830303713499</v>
      </c>
      <c r="AB75" s="189">
        <f t="shared" si="53"/>
        <v>0.95698820706786047</v>
      </c>
      <c r="AC75" s="511"/>
    </row>
    <row r="76" spans="1:29">
      <c r="D76" s="76"/>
      <c r="E76" s="76"/>
    </row>
  </sheetData>
  <mergeCells count="198">
    <mergeCell ref="AC68:AC75"/>
    <mergeCell ref="C69:D69"/>
    <mergeCell ref="Y69:Z69"/>
    <mergeCell ref="C70:D70"/>
    <mergeCell ref="Y70:Z70"/>
    <mergeCell ref="C71:D71"/>
    <mergeCell ref="Y71:Z71"/>
    <mergeCell ref="C72:D72"/>
    <mergeCell ref="Y72:Z72"/>
    <mergeCell ref="C73:D73"/>
    <mergeCell ref="A68:A75"/>
    <mergeCell ref="C68:D68"/>
    <mergeCell ref="R68:R75"/>
    <mergeCell ref="Y68:Z68"/>
    <mergeCell ref="Y73:Z73"/>
    <mergeCell ref="C74:D74"/>
    <mergeCell ref="Y74:Z74"/>
    <mergeCell ref="A63:A67"/>
    <mergeCell ref="C63:D63"/>
    <mergeCell ref="R63:R67"/>
    <mergeCell ref="Y63:Z63"/>
    <mergeCell ref="C75:D75"/>
    <mergeCell ref="Y75:Z75"/>
    <mergeCell ref="AC63:AC67"/>
    <mergeCell ref="C64:D64"/>
    <mergeCell ref="Y64:Z64"/>
    <mergeCell ref="C65:D65"/>
    <mergeCell ref="Y65:Z65"/>
    <mergeCell ref="C66:D66"/>
    <mergeCell ref="AC57:AC62"/>
    <mergeCell ref="C58:D58"/>
    <mergeCell ref="Y58:Z58"/>
    <mergeCell ref="C59:D59"/>
    <mergeCell ref="C62:D62"/>
    <mergeCell ref="Y62:Z62"/>
    <mergeCell ref="Y66:Z66"/>
    <mergeCell ref="C67:D67"/>
    <mergeCell ref="Y67:Z67"/>
    <mergeCell ref="A57:A62"/>
    <mergeCell ref="C57:D57"/>
    <mergeCell ref="R57:R62"/>
    <mergeCell ref="Y57:Z57"/>
    <mergeCell ref="Y52:Z52"/>
    <mergeCell ref="C53:D53"/>
    <mergeCell ref="Y53:Z53"/>
    <mergeCell ref="C54:D54"/>
    <mergeCell ref="Y54:Z54"/>
    <mergeCell ref="C55:D55"/>
    <mergeCell ref="Y55:Z55"/>
    <mergeCell ref="A46:A56"/>
    <mergeCell ref="C46:D46"/>
    <mergeCell ref="R46:R56"/>
    <mergeCell ref="Y46:Z46"/>
    <mergeCell ref="Y51:Z51"/>
    <mergeCell ref="C52:D52"/>
    <mergeCell ref="AC46:AC56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C56:D56"/>
    <mergeCell ref="Y56:Z56"/>
    <mergeCell ref="A37:A45"/>
    <mergeCell ref="C37:D37"/>
    <mergeCell ref="R37:R45"/>
    <mergeCell ref="Y37:Z37"/>
    <mergeCell ref="Y42:Z42"/>
    <mergeCell ref="C43:D43"/>
    <mergeCell ref="Y43:Z43"/>
    <mergeCell ref="AC37:AC45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C44:D44"/>
    <mergeCell ref="Y44:Z44"/>
    <mergeCell ref="C45:D45"/>
    <mergeCell ref="Y45:Z45"/>
    <mergeCell ref="AC29:AC36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5:Z35"/>
    <mergeCell ref="C36:D36"/>
    <mergeCell ref="Y36:Z36"/>
    <mergeCell ref="A20:A28"/>
    <mergeCell ref="C20:D20"/>
    <mergeCell ref="R20:R28"/>
    <mergeCell ref="Y20:Z20"/>
    <mergeCell ref="C27:D27"/>
    <mergeCell ref="Y27:Z27"/>
    <mergeCell ref="C28:D28"/>
    <mergeCell ref="Y28:Z28"/>
    <mergeCell ref="A29:A36"/>
    <mergeCell ref="C29:D29"/>
    <mergeCell ref="R29:R36"/>
    <mergeCell ref="Y29:Z29"/>
    <mergeCell ref="Y34:Z34"/>
    <mergeCell ref="C35:D35"/>
    <mergeCell ref="C12:D12"/>
    <mergeCell ref="Y12:Z12"/>
    <mergeCell ref="AC20:AC28"/>
    <mergeCell ref="C21:D21"/>
    <mergeCell ref="Y21:Z21"/>
    <mergeCell ref="C22:D22"/>
    <mergeCell ref="Y22:Z22"/>
    <mergeCell ref="C23:D23"/>
    <mergeCell ref="C17:D17"/>
    <mergeCell ref="Y17:Z17"/>
    <mergeCell ref="C18:D18"/>
    <mergeCell ref="Y18:Z18"/>
    <mergeCell ref="C19:D19"/>
    <mergeCell ref="Y19:Z19"/>
    <mergeCell ref="Y23:Z23"/>
    <mergeCell ref="C24:D24"/>
    <mergeCell ref="Y24:Z24"/>
    <mergeCell ref="C25:D25"/>
    <mergeCell ref="Y25:Z25"/>
    <mergeCell ref="C26:D26"/>
    <mergeCell ref="Y26:Z26"/>
    <mergeCell ref="H3:H4"/>
    <mergeCell ref="I3:I4"/>
    <mergeCell ref="A13:A19"/>
    <mergeCell ref="C13:D13"/>
    <mergeCell ref="R13:R19"/>
    <mergeCell ref="Y13:Z13"/>
    <mergeCell ref="AC13:AC19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6:O73 O75 O5:O10 O12:O14 O56:O63 O19:O51">
    <cfRule type="cellIs" dxfId="919" priority="68" operator="greaterThan">
      <formula>0</formula>
    </cfRule>
  </conditionalFormatting>
  <conditionalFormatting sqref="P5:P8 P66 AA66 P68:P73 P29:P35 P63 P10 P12:P14 P20:P27 P57:P61 P37:P51 AA5:AA63 AA68:AA75">
    <cfRule type="cellIs" dxfId="918" priority="72" operator="lessThan">
      <formula>0</formula>
    </cfRule>
  </conditionalFormatting>
  <conditionalFormatting sqref="AB66 Q66:Q73 Q75 Q5:Q10 Q12:Q14 Q56:Q63 Q19:Q51 AB5:AB63 AB68:AB75">
    <cfRule type="cellIs" dxfId="917" priority="69" operator="greaterThan">
      <formula>1</formula>
    </cfRule>
    <cfRule type="cellIs" dxfId="916" priority="70" operator="lessThan">
      <formula>0.8</formula>
    </cfRule>
  </conditionalFormatting>
  <conditionalFormatting sqref="AC13:AC14 R13:R14 AC66 R66:R73 R19:R25 AC19:AC25 R75 AC5:AC10 R5:R10 R28:R51 AC28:AC51 AC56:AC63 R56:R63">
    <cfRule type="cellIs" dxfId="915" priority="74" operator="lessThan">
      <formula>0.8</formula>
    </cfRule>
  </conditionalFormatting>
  <conditionalFormatting sqref="AC46">
    <cfRule type="cellIs" dxfId="914" priority="76" operator="lessThan">
      <formula>0.8</formula>
    </cfRule>
  </conditionalFormatting>
  <conditionalFormatting sqref="AC20:AC25">
    <cfRule type="cellIs" dxfId="913" priority="73" operator="lessThan">
      <formula>0.8</formula>
    </cfRule>
  </conditionalFormatting>
  <conditionalFormatting sqref="AC29">
    <cfRule type="cellIs" dxfId="912" priority="75" operator="lessThan">
      <formula>0.8</formula>
    </cfRule>
  </conditionalFormatting>
  <conditionalFormatting sqref="AC37:AC44">
    <cfRule type="cellIs" dxfId="911" priority="71" operator="lessThan">
      <formula>0.8</formula>
    </cfRule>
  </conditionalFormatting>
  <conditionalFormatting sqref="AA67">
    <cfRule type="cellIs" dxfId="910" priority="67" operator="lessThan">
      <formula>0</formula>
    </cfRule>
  </conditionalFormatting>
  <conditionalFormatting sqref="AB67">
    <cfRule type="cellIs" dxfId="909" priority="65" operator="greaterThan">
      <formula>1</formula>
    </cfRule>
    <cfRule type="cellIs" dxfId="908" priority="66" operator="lessThan">
      <formula>0.8</formula>
    </cfRule>
  </conditionalFormatting>
  <conditionalFormatting sqref="O15:O16">
    <cfRule type="cellIs" dxfId="907" priority="60" operator="greaterThan">
      <formula>0</formula>
    </cfRule>
  </conditionalFormatting>
  <conditionalFormatting sqref="P15:P16">
    <cfRule type="cellIs" dxfId="906" priority="63" operator="lessThan">
      <formula>0</formula>
    </cfRule>
  </conditionalFormatting>
  <conditionalFormatting sqref="Q15:Q16">
    <cfRule type="cellIs" dxfId="905" priority="61" operator="greaterThan">
      <formula>1</formula>
    </cfRule>
    <cfRule type="cellIs" dxfId="904" priority="62" operator="lessThan">
      <formula>0.8</formula>
    </cfRule>
  </conditionalFormatting>
  <conditionalFormatting sqref="R15:R16 AC15:AC16">
    <cfRule type="cellIs" dxfId="903" priority="64" operator="lessThan">
      <formula>0.8</formula>
    </cfRule>
  </conditionalFormatting>
  <conditionalFormatting sqref="O11">
    <cfRule type="cellIs" dxfId="902" priority="56" operator="greaterThan">
      <formula>0</formula>
    </cfRule>
  </conditionalFormatting>
  <conditionalFormatting sqref="P11">
    <cfRule type="cellIs" dxfId="901" priority="59" operator="lessThan">
      <formula>0</formula>
    </cfRule>
  </conditionalFormatting>
  <conditionalFormatting sqref="Q11">
    <cfRule type="cellIs" dxfId="900" priority="57" operator="greaterThan">
      <formula>1</formula>
    </cfRule>
    <cfRule type="cellIs" dxfId="899" priority="58" operator="lessThan">
      <formula>0.8</formula>
    </cfRule>
  </conditionalFormatting>
  <conditionalFormatting sqref="AC27 R27">
    <cfRule type="cellIs" dxfId="898" priority="55" operator="lessThan">
      <formula>0.8</formula>
    </cfRule>
  </conditionalFormatting>
  <conditionalFormatting sqref="O65">
    <cfRule type="cellIs" dxfId="897" priority="50" operator="greaterThan">
      <formula>0</formula>
    </cfRule>
  </conditionalFormatting>
  <conditionalFormatting sqref="P65 AA65">
    <cfRule type="cellIs" dxfId="896" priority="53" operator="lessThan">
      <formula>0</formula>
    </cfRule>
  </conditionalFormatting>
  <conditionalFormatting sqref="Q65 AB65">
    <cfRule type="cellIs" dxfId="895" priority="51" operator="greaterThan">
      <formula>1</formula>
    </cfRule>
    <cfRule type="cellIs" dxfId="894" priority="52" operator="lessThan">
      <formula>0.8</formula>
    </cfRule>
  </conditionalFormatting>
  <conditionalFormatting sqref="R65 AC65">
    <cfRule type="cellIs" dxfId="893" priority="54" operator="lessThan">
      <formula>0.8</formula>
    </cfRule>
  </conditionalFormatting>
  <conditionalFormatting sqref="O74">
    <cfRule type="cellIs" dxfId="892" priority="45" operator="greaterThan">
      <formula>0</formula>
    </cfRule>
  </conditionalFormatting>
  <conditionalFormatting sqref="P74">
    <cfRule type="cellIs" dxfId="891" priority="48" operator="lessThan">
      <formula>0</formula>
    </cfRule>
  </conditionalFormatting>
  <conditionalFormatting sqref="Q74">
    <cfRule type="cellIs" dxfId="890" priority="46" operator="greaterThan">
      <formula>1</formula>
    </cfRule>
    <cfRule type="cellIs" dxfId="889" priority="47" operator="lessThan">
      <formula>0.8</formula>
    </cfRule>
  </conditionalFormatting>
  <conditionalFormatting sqref="R74">
    <cfRule type="cellIs" dxfId="888" priority="49" operator="lessThan">
      <formula>0.8</formula>
    </cfRule>
  </conditionalFormatting>
  <conditionalFormatting sqref="O17:O18">
    <cfRule type="cellIs" dxfId="887" priority="40" operator="greaterThan">
      <formula>0</formula>
    </cfRule>
  </conditionalFormatting>
  <conditionalFormatting sqref="P17:P18">
    <cfRule type="cellIs" dxfId="886" priority="43" operator="lessThan">
      <formula>0</formula>
    </cfRule>
  </conditionalFormatting>
  <conditionalFormatting sqref="Q17:Q18">
    <cfRule type="cellIs" dxfId="885" priority="41" operator="greaterThan">
      <formula>1</formula>
    </cfRule>
    <cfRule type="cellIs" dxfId="884" priority="42" operator="lessThan">
      <formula>0.8</formula>
    </cfRule>
  </conditionalFormatting>
  <conditionalFormatting sqref="R17:R18 AC17:AC18">
    <cfRule type="cellIs" dxfId="883" priority="44" operator="lessThan">
      <formula>0.8</formula>
    </cfRule>
  </conditionalFormatting>
  <conditionalFormatting sqref="O52">
    <cfRule type="cellIs" dxfId="882" priority="34" operator="greaterThan">
      <formula>0</formula>
    </cfRule>
  </conditionalFormatting>
  <conditionalFormatting sqref="P52">
    <cfRule type="cellIs" dxfId="881" priority="38" operator="lessThan">
      <formula>0</formula>
    </cfRule>
  </conditionalFormatting>
  <conditionalFormatting sqref="Q52">
    <cfRule type="cellIs" dxfId="880" priority="35" operator="greaterThan">
      <formula>1</formula>
    </cfRule>
    <cfRule type="cellIs" dxfId="879" priority="36" operator="lessThan">
      <formula>0.8</formula>
    </cfRule>
  </conditionalFormatting>
  <conditionalFormatting sqref="R52 AC52">
    <cfRule type="cellIs" dxfId="878" priority="39" operator="lessThan">
      <formula>0.8</formula>
    </cfRule>
  </conditionalFormatting>
  <conditionalFormatting sqref="AC52">
    <cfRule type="cellIs" dxfId="877" priority="37" operator="lessThan">
      <formula>0.8</formula>
    </cfRule>
  </conditionalFormatting>
  <conditionalFormatting sqref="O53">
    <cfRule type="cellIs" dxfId="876" priority="28" operator="greaterThan">
      <formula>0</formula>
    </cfRule>
  </conditionalFormatting>
  <conditionalFormatting sqref="P53">
    <cfRule type="cellIs" dxfId="875" priority="32" operator="lessThan">
      <formula>0</formula>
    </cfRule>
  </conditionalFormatting>
  <conditionalFormatting sqref="Q53">
    <cfRule type="cellIs" dxfId="874" priority="29" operator="greaterThan">
      <formula>1</formula>
    </cfRule>
    <cfRule type="cellIs" dxfId="873" priority="30" operator="lessThan">
      <formula>0.8</formula>
    </cfRule>
  </conditionalFormatting>
  <conditionalFormatting sqref="R53 AC53">
    <cfRule type="cellIs" dxfId="872" priority="33" operator="lessThan">
      <formula>0.8</formula>
    </cfRule>
  </conditionalFormatting>
  <conditionalFormatting sqref="AC53">
    <cfRule type="cellIs" dxfId="871" priority="31" operator="lessThan">
      <formula>0.8</formula>
    </cfRule>
  </conditionalFormatting>
  <conditionalFormatting sqref="R26 AC26">
    <cfRule type="cellIs" dxfId="870" priority="27" operator="lessThan">
      <formula>0.8</formula>
    </cfRule>
  </conditionalFormatting>
  <conditionalFormatting sqref="AC26">
    <cfRule type="cellIs" dxfId="869" priority="26" operator="lessThan">
      <formula>0.8</formula>
    </cfRule>
  </conditionalFormatting>
  <conditionalFormatting sqref="O54">
    <cfRule type="cellIs" dxfId="868" priority="20" operator="greaterThan">
      <formula>0</formula>
    </cfRule>
  </conditionalFormatting>
  <conditionalFormatting sqref="P54">
    <cfRule type="cellIs" dxfId="867" priority="24" operator="lessThan">
      <formula>0</formula>
    </cfRule>
  </conditionalFormatting>
  <conditionalFormatting sqref="Q54">
    <cfRule type="cellIs" dxfId="866" priority="21" operator="greaterThan">
      <formula>1</formula>
    </cfRule>
    <cfRule type="cellIs" dxfId="865" priority="22" operator="lessThan">
      <formula>0.8</formula>
    </cfRule>
  </conditionalFormatting>
  <conditionalFormatting sqref="R54 AC54">
    <cfRule type="cellIs" dxfId="864" priority="25" operator="lessThan">
      <formula>0.8</formula>
    </cfRule>
  </conditionalFormatting>
  <conditionalFormatting sqref="AC54">
    <cfRule type="cellIs" dxfId="863" priority="23" operator="lessThan">
      <formula>0.8</formula>
    </cfRule>
  </conditionalFormatting>
  <conditionalFormatting sqref="O55">
    <cfRule type="cellIs" dxfId="862" priority="14" operator="greaterThan">
      <formula>0</formula>
    </cfRule>
  </conditionalFormatting>
  <conditionalFormatting sqref="P55">
    <cfRule type="cellIs" dxfId="861" priority="18" operator="lessThan">
      <formula>0</formula>
    </cfRule>
  </conditionalFormatting>
  <conditionalFormatting sqref="Q55">
    <cfRule type="cellIs" dxfId="860" priority="15" operator="greaterThan">
      <formula>1</formula>
    </cfRule>
    <cfRule type="cellIs" dxfId="859" priority="16" operator="lessThan">
      <formula>0.8</formula>
    </cfRule>
  </conditionalFormatting>
  <conditionalFormatting sqref="R55 AC55">
    <cfRule type="cellIs" dxfId="858" priority="19" operator="lessThan">
      <formula>0.8</formula>
    </cfRule>
  </conditionalFormatting>
  <conditionalFormatting sqref="AC55">
    <cfRule type="cellIs" dxfId="857" priority="17" operator="lessThan">
      <formula>0.8</formula>
    </cfRule>
  </conditionalFormatting>
  <conditionalFormatting sqref="O64">
    <cfRule type="cellIs" dxfId="856" priority="9" operator="greaterThan">
      <formula>0</formula>
    </cfRule>
  </conditionalFormatting>
  <conditionalFormatting sqref="P64 AA64">
    <cfRule type="cellIs" dxfId="855" priority="12" operator="lessThan">
      <formula>0</formula>
    </cfRule>
  </conditionalFormatting>
  <conditionalFormatting sqref="Q64 AB64">
    <cfRule type="cellIs" dxfId="854" priority="10" operator="greaterThan">
      <formula>1</formula>
    </cfRule>
    <cfRule type="cellIs" dxfId="853" priority="11" operator="lessThan">
      <formula>0.8</formula>
    </cfRule>
  </conditionalFormatting>
  <conditionalFormatting sqref="R64 AC64">
    <cfRule type="cellIs" dxfId="852" priority="13" operator="lessThan">
      <formula>0.8</formula>
    </cfRule>
  </conditionalFormatting>
  <conditionalFormatting sqref="P9">
    <cfRule type="cellIs" dxfId="851" priority="8" operator="lessThan">
      <formula>0</formula>
    </cfRule>
  </conditionalFormatting>
  <conditionalFormatting sqref="P19">
    <cfRule type="cellIs" dxfId="850" priority="7" operator="lessThan">
      <formula>0</formula>
    </cfRule>
  </conditionalFormatting>
  <conditionalFormatting sqref="P28">
    <cfRule type="cellIs" dxfId="849" priority="6" operator="lessThan">
      <formula>0</formula>
    </cfRule>
  </conditionalFormatting>
  <conditionalFormatting sqref="P36">
    <cfRule type="cellIs" dxfId="848" priority="5" operator="lessThan">
      <formula>0</formula>
    </cfRule>
  </conditionalFormatting>
  <conditionalFormatting sqref="P56">
    <cfRule type="cellIs" dxfId="847" priority="4" operator="lessThan">
      <formula>0</formula>
    </cfRule>
  </conditionalFormatting>
  <conditionalFormatting sqref="P62">
    <cfRule type="cellIs" dxfId="846" priority="3" operator="lessThan">
      <formula>0</formula>
    </cfRule>
  </conditionalFormatting>
  <conditionalFormatting sqref="P67">
    <cfRule type="cellIs" dxfId="845" priority="2" operator="lessThan">
      <formula>0</formula>
    </cfRule>
  </conditionalFormatting>
  <conditionalFormatting sqref="P75">
    <cfRule type="cellIs" dxfId="844" priority="1" operator="lessThan">
      <formula>0</formula>
    </cfRule>
  </conditionalFormatting>
  <dataValidations count="1">
    <dataValidation type="list" allowBlank="1" showInputMessage="1" showErrorMessage="1" sqref="Z9 Y5:Z8 Y9:Y66 Z11:Z63 Y67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1" sqref="B1:J2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727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728</v>
      </c>
      <c r="C3" s="497" t="str">
        <f>TEXT('1109 4度C'!A2,"yyyy.mm.ddaaaa")</f>
        <v>2025.11.09星期日</v>
      </c>
      <c r="D3" s="498"/>
      <c r="E3" s="4" t="s">
        <v>729</v>
      </c>
      <c r="F3" s="499">
        <f>'1109 4度C'!D1</f>
        <v>187786</v>
      </c>
      <c r="G3" s="500"/>
      <c r="H3" s="4" t="s">
        <v>730</v>
      </c>
      <c r="I3" s="501">
        <f>'1109 4度C'!F1</f>
        <v>6004350.3699999982</v>
      </c>
      <c r="J3" s="502"/>
      <c r="K3" s="5"/>
      <c r="L3" s="6"/>
      <c r="M3" s="7"/>
      <c r="N3" s="7"/>
    </row>
    <row r="4" spans="2:17" ht="28.5" customHeight="1">
      <c r="B4" s="503" t="s">
        <v>731</v>
      </c>
      <c r="C4" s="485" t="s">
        <v>732</v>
      </c>
      <c r="D4" s="486"/>
      <c r="E4" s="506" t="s">
        <v>733</v>
      </c>
      <c r="F4" s="507"/>
      <c r="G4" s="506" t="s">
        <v>734</v>
      </c>
      <c r="H4" s="507"/>
      <c r="I4" s="506" t="s">
        <v>735</v>
      </c>
      <c r="J4" s="507"/>
      <c r="L4" s="7"/>
      <c r="M4" s="7"/>
      <c r="N4" s="7"/>
    </row>
    <row r="5" spans="2:17" ht="28.5" customHeight="1">
      <c r="B5" s="504"/>
      <c r="C5" s="485" t="s">
        <v>736</v>
      </c>
      <c r="D5" s="486"/>
      <c r="E5" s="485" t="s">
        <v>737</v>
      </c>
      <c r="F5" s="486"/>
      <c r="G5" s="487" t="s">
        <v>738</v>
      </c>
      <c r="H5" s="488"/>
      <c r="I5" s="489" t="s">
        <v>739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152.35128567368943</v>
      </c>
      <c r="F6" s="492">
        <f>AVERAGE(D27:O27,D13:J13)</f>
        <v>156.2068096698078</v>
      </c>
      <c r="G6" s="493">
        <f>AVERAGE(D13:J13)</f>
        <v>156.2068096698078</v>
      </c>
      <c r="H6" s="494"/>
      <c r="I6" s="493">
        <f>AVERAGE(K13:M13)</f>
        <v>143.35506301607998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145.8681742463429</v>
      </c>
      <c r="F7" s="478">
        <f>AVERAGE(D28:O28,D14:J14)</f>
        <v>149.63592154830866</v>
      </c>
      <c r="G7" s="479">
        <f>AVERAGE(D14:J14)</f>
        <v>149.63592154830866</v>
      </c>
      <c r="H7" s="480"/>
      <c r="I7" s="479">
        <f>AVERAGE(K14:M14)</f>
        <v>137.07676387508948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0.95716557824311133</v>
      </c>
      <c r="F8" s="482">
        <f>AVERAGE(D15:J15,D29:O29)</f>
        <v>0.95758078180504125</v>
      </c>
      <c r="G8" s="483">
        <f>AVERAGE(D15:J15)</f>
        <v>0.95758078180504125</v>
      </c>
      <c r="H8" s="484"/>
      <c r="I8" s="483">
        <f>AVERAGE(K15:M15)</f>
        <v>0.95619676993194158</v>
      </c>
      <c r="J8" s="484"/>
      <c r="K8" s="8" t="s">
        <v>740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741</v>
      </c>
      <c r="C10" s="459"/>
      <c r="D10" s="460" t="s">
        <v>101</v>
      </c>
      <c r="E10" s="461"/>
      <c r="F10" s="461"/>
      <c r="G10" s="461"/>
      <c r="H10" s="461"/>
      <c r="I10" s="461"/>
      <c r="J10" s="462"/>
      <c r="K10" s="463" t="s">
        <v>742</v>
      </c>
      <c r="L10" s="464"/>
      <c r="M10" s="465"/>
      <c r="P10" s="11"/>
      <c r="Q10" s="11"/>
    </row>
    <row r="11" spans="2:17" ht="17.25" customHeight="1">
      <c r="B11" s="466" t="s">
        <v>743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78</v>
      </c>
      <c r="C13" s="18" t="s">
        <v>744</v>
      </c>
      <c r="D13" s="19">
        <f>SUMIFS('1109 4度C'!$K:$K,'1109 4度C'!$A:$A,"新豐6線",'1109 4度C'!$B:$B,"平均")</f>
        <v>117.64705882352941</v>
      </c>
      <c r="E13" s="20">
        <f>SUMIFS('1109 4度C'!$K:$K,'1109 4度C'!$A:$A,"新豐2線",'1109 4度C'!$B:$B,"平均")</f>
        <v>81.081081081081081</v>
      </c>
      <c r="F13" s="21">
        <f>SUMIFS('1109 4度C'!$K:$K,'1109 4度C'!$A:$A,"新豐5線",'1109 4度C'!$B:$B,"平均")</f>
        <v>91.397849462365585</v>
      </c>
      <c r="G13" s="21">
        <f>SUMIFS('1109 4度C'!$K:$K,'1109 4度C'!$A:$A,"新豐7線",'1109 4度C'!$B:$B,"平均")</f>
        <v>121.21212121212122</v>
      </c>
      <c r="H13" s="21">
        <f>SUMIFS('1109 4度C'!$K:$K,'1109 4度C'!$A:$A,"新豐3線",'1109 4度C'!$B:$B,"平均")</f>
        <v>269.23076923076923</v>
      </c>
      <c r="I13" s="21">
        <f>SUMIFS('1109 4度C'!$K:$K,'1109 4度C'!$A:$A,"新豐1線",'1109 4度C'!$B:$B,"平均")</f>
        <v>121.21212121212122</v>
      </c>
      <c r="J13" s="22">
        <f>SUMIFS('1109 4度C'!$K:$K,'1109 4度C'!$A:$A,"新豐10線",'1109 4度C'!$B:$B,"平均")</f>
        <v>291.66666666666669</v>
      </c>
      <c r="K13" s="23">
        <f>SUMIFS('1109 4度C'!$K:$K,'1109 4度C'!$A:$A,"新豐8線",'1109 4度C'!$B:$B,"平均")</f>
        <v>140</v>
      </c>
      <c r="L13" s="24">
        <f>SUMIFS('1109 4度C'!$K:$K,'1109 4度C'!$A:$A,"新豐9線",'1109 4度C'!$B:$B,"平均")</f>
        <v>142.37288135593221</v>
      </c>
      <c r="M13" s="22">
        <f>SUMIFS('1109 4度C'!$K:$K,'1109 4度C'!$A:$A,"新豐4線",'1109 4度C'!$B:$B,"平均")</f>
        <v>147.69230769230768</v>
      </c>
    </row>
    <row r="14" spans="2:17" ht="39.6" customHeight="1">
      <c r="B14" s="471"/>
      <c r="C14" s="25" t="s">
        <v>745</v>
      </c>
      <c r="D14" s="26">
        <f>SUMIFS('1109 4度C'!$N:$N,'1109 4度C'!$A:$A,"新豐6線",'1109 4度C'!$B:$B,"平均")</f>
        <v>112.72058823529424</v>
      </c>
      <c r="E14" s="27">
        <f>SUMIFS('1109 4度C'!$N:$N,'1109 4度C'!$A:$A,"新豐2線",'1109 4度C'!$B:$B,"平均")</f>
        <v>77.691907445949639</v>
      </c>
      <c r="F14" s="27">
        <f>SUMIFS('1109 4度C'!$N:$N,'1109 4度C'!$A:$A,"新豐5線",'1109 4度C'!$B:$B,"平均")</f>
        <v>87.343827580781209</v>
      </c>
      <c r="G14" s="27">
        <f>SUMIFS('1109 4度C'!$N:$N,'1109 4度C'!$A:$A,"新豐7線",'1109 4度C'!$B:$B,"平均")</f>
        <v>116.09845128175772</v>
      </c>
      <c r="H14" s="27">
        <f>SUMIFS('1109 4度C'!$N:$N,'1109 4度C'!$A:$A,"新豐3線",'1109 4度C'!$B:$B,"平均")</f>
        <v>258.03154296033802</v>
      </c>
      <c r="I14" s="27">
        <f>SUMIFS('1109 4度C'!$N:$N,'1109 4度C'!$A:$A,"新豐1線",'1109 4度C'!$B:$B,"平均")</f>
        <v>115.86973241067837</v>
      </c>
      <c r="J14" s="28">
        <f>SUMIFS('1109 4度C'!$N:$N,'1109 4度C'!$A:$A,"新豐10線",'1109 4度C'!$B:$B,"平均")</f>
        <v>279.69540092336143</v>
      </c>
      <c r="K14" s="29">
        <f>SUMIFS('1109 4度C'!$N:$N,'1109 4度C'!$A:$A,"新豐8線",'1109 4度C'!$B:$B,"平均")</f>
        <v>133.98364139656255</v>
      </c>
      <c r="L14" s="30">
        <f>SUMIFS('1109 4度C'!$N:$N,'1109 4度C'!$A:$A,"新豐9線",'1109 4度C'!$B:$B,"平均")</f>
        <v>135.8761819922459</v>
      </c>
      <c r="M14" s="28">
        <f>SUMIFS('1109 4度C'!$N:$N,'1109 4度C'!$A:$A,"新豐4線",'1109 4度C'!$B:$B,"平均")</f>
        <v>141.37046823646006</v>
      </c>
    </row>
    <row r="15" spans="2:17" ht="40.15" customHeight="1">
      <c r="B15" s="472"/>
      <c r="C15" s="31" t="s">
        <v>106</v>
      </c>
      <c r="D15" s="32">
        <f t="shared" ref="D15:M15" si="0">D14/D13</f>
        <v>0.95812500000000111</v>
      </c>
      <c r="E15" s="33">
        <f t="shared" si="0"/>
        <v>0.9582001918333789</v>
      </c>
      <c r="F15" s="33">
        <f t="shared" si="0"/>
        <v>0.95564423117795916</v>
      </c>
      <c r="G15" s="33">
        <f t="shared" si="0"/>
        <v>0.95781222307450109</v>
      </c>
      <c r="H15" s="33">
        <f t="shared" si="0"/>
        <v>0.95840287385268408</v>
      </c>
      <c r="I15" s="33">
        <f t="shared" si="0"/>
        <v>0.95592529238809643</v>
      </c>
      <c r="J15" s="34">
        <f t="shared" si="0"/>
        <v>0.95895566030866775</v>
      </c>
      <c r="K15" s="32">
        <f t="shared" si="0"/>
        <v>0.95702600997544673</v>
      </c>
      <c r="L15" s="33">
        <f t="shared" si="0"/>
        <v>0.95436842113601283</v>
      </c>
      <c r="M15" s="34">
        <f t="shared" si="0"/>
        <v>0.95719587868436506</v>
      </c>
    </row>
    <row r="16" spans="2:17" ht="17.25" customHeight="1">
      <c r="B16" s="473" t="s">
        <v>746</v>
      </c>
      <c r="C16" s="35" t="s">
        <v>747</v>
      </c>
      <c r="D16" s="49">
        <f>VLOOKUP("新豐6線",'1109 4度C'!$A:$T,19,0)</f>
        <v>0.70833333333333337</v>
      </c>
      <c r="E16" s="50">
        <f>VLOOKUP("新豐2線",'1109 4度C'!$A:$T,19,0)</f>
        <v>0.20833333333333334</v>
      </c>
      <c r="F16" s="50">
        <f>VLOOKUP("新豐5線",'1109 4度C'!$A:$T,19,0)</f>
        <v>0.125</v>
      </c>
      <c r="G16" s="50">
        <f>VLOOKUP("新豐7線",'1109 4度C'!$A:$T,19,0)</f>
        <v>0.20833333333333334</v>
      </c>
      <c r="H16" s="50">
        <f>VLOOKUP("新豐3線",'1109 4度C'!$A:$T,19,0)</f>
        <v>0.125</v>
      </c>
      <c r="I16" s="50">
        <f>VLOOKUP("新豐1線",'1109 4度C'!$A:$T,19,0)</f>
        <v>0.20833333333333334</v>
      </c>
      <c r="J16" s="51">
        <f>VLOOKUP("新豐10線",'1109 4度C'!$A:$T,19,0)</f>
        <v>0.20833333333333334</v>
      </c>
      <c r="K16" s="36">
        <f>VLOOKUP("新豐8線",'1109 4度C'!$A:$T,19,0)</f>
        <v>0.125</v>
      </c>
      <c r="L16" s="37">
        <f>VLOOKUP("新豐9線",'1109 4度C'!$A:$T,19,0)</f>
        <v>0.125</v>
      </c>
      <c r="M16" s="38">
        <f>VLOOKUP("新豐4線",'1109 4度C'!$A:$T,19,0)</f>
        <v>0.125</v>
      </c>
    </row>
    <row r="17" spans="2:13" ht="17.25" customHeight="1">
      <c r="B17" s="474"/>
      <c r="C17" s="35" t="s">
        <v>748</v>
      </c>
      <c r="D17" s="36">
        <f>LOOKUP(2,1/(('1109 4度C'!$A:$A="新豐6線")*('1109 4度C'!$T:$T&lt;&gt;"")),'1109 4度C'!$T:$T)</f>
        <v>0.75277777777777777</v>
      </c>
      <c r="E17" s="50">
        <f>LOOKUP(2,1/(('1109 4度C'!$A:$A="新豐2線")*('1109 4度C'!$T:$T&lt;&gt;"")),'1109 4度C'!$T:$T)</f>
        <v>0.50138888888888888</v>
      </c>
      <c r="F17" s="50">
        <f>LOOKUP(2,1/(('1109 4度C'!$A:$A="新豐5線")*('1109 4度C'!$T:$T&lt;&gt;"")),'1109 4度C'!$T:$T)</f>
        <v>0.84444444444444444</v>
      </c>
      <c r="G17" s="50">
        <f>LOOKUP(2,1/(('1109 4度C'!$A:$A="新豐7線")*('1109 4度C'!$T:$T&lt;&gt;"")),'1109 4度C'!$T:$T)</f>
        <v>0.76250000000000007</v>
      </c>
      <c r="H17" s="50">
        <f>LOOKUP(2,1/(('1109 4度C'!$A:$A="新豐3線")*('1109 4度C'!$T:$T&lt;&gt;"")),'1109 4度C'!$T:$T)</f>
        <v>0.75902777777777775</v>
      </c>
      <c r="I17" s="50">
        <f>LOOKUP(2,1/(('1109 4度C'!$A:$A="新豐1線")*('1109 4度C'!$T:$T&lt;&gt;"")),'1109 4度C'!$T:$T)</f>
        <v>0.81180555555555556</v>
      </c>
      <c r="J17" s="51">
        <f>LOOKUP(2,1/(('1109 4度C'!$A:$A="新豐10線")*('1109 4度C'!$T:$T&lt;&gt;"")),'1109 4度C'!$T:$T)</f>
        <v>0.4826388888888889</v>
      </c>
      <c r="K17" s="49">
        <f>LOOKUP(2,1/(('1109 4度C'!$A:$A="新豐8線")*('1109 4度C'!$T:$T&lt;&gt;"")),'1109 4度C'!$T:$T)</f>
        <v>0.73611111111111116</v>
      </c>
      <c r="L17" s="50">
        <f>LOOKUP(2,1/(('1109 4度C'!$A:$A="新豐9線")*('1109 4度C'!$T:$T&lt;&gt;"")),'1109 4度C'!$T:$T)</f>
        <v>0.78263888888888888</v>
      </c>
      <c r="M17" s="51">
        <f>LOOKUP(2,1/(('1109 4度C'!$A:$A="新豐4線")*('1109 4度C'!$T:$T&lt;&gt;"")),'1109 4度C'!$T:$T)</f>
        <v>0.77152777777777759</v>
      </c>
    </row>
    <row r="18" spans="2:13" ht="17.25" customHeight="1">
      <c r="B18" s="452" t="s">
        <v>749</v>
      </c>
      <c r="C18" s="453"/>
      <c r="D18" s="39">
        <f>SUMIFS('1109 4度C'!$I:$I,'1109 4度C'!$A:$A,"新豐6線",'1109 4度C'!$B:$B,"平均")</f>
        <v>17</v>
      </c>
      <c r="E18" s="40">
        <f>SUMIFS('1109 4度C'!$I:$I,'1109 4度C'!$A:$A,"新豐2線",'1109 4度C'!$B:$B,"平均")</f>
        <v>18.5</v>
      </c>
      <c r="F18" s="40">
        <f>SUMIFS('1109 4度C'!$I:$I,'1109 4度C'!$A:$A,"新豐5線",'1109 4度C'!$B:$B,"平均")</f>
        <v>18.600000000000001</v>
      </c>
      <c r="G18" s="40">
        <f>SUMIFS('1109 4度C'!$I:$I,'1109 4度C'!$A:$A,"新豐7線",'1109 4度C'!$B:$B,"平均")</f>
        <v>16.5</v>
      </c>
      <c r="H18" s="40">
        <f>SUMIFS('1109 4度C'!$I:$I,'1109 4度C'!$A:$A,"新豐3線",'1109 4度C'!$B:$B,"平均")</f>
        <v>10.4</v>
      </c>
      <c r="I18" s="40">
        <f>SUMIFS('1109 4度C'!$I:$I,'1109 4度C'!$A:$A,"新豐1線",'1109 4度C'!$B:$B,"平均")</f>
        <v>16.5</v>
      </c>
      <c r="J18" s="41">
        <f>SUMIFS('1109 4度C'!$I:$I,'1109 4度C'!$A:$A,"新豐10線",'1109 4度C'!$B:$B,"平均")</f>
        <v>9</v>
      </c>
      <c r="K18" s="39">
        <f>SUMIFS('1109 4度C'!$I:$I,'1109 4度C'!$A:$A,"新豐8線",'1109 4度C'!$B:$B,"平均")</f>
        <v>17.142857142857142</v>
      </c>
      <c r="L18" s="40">
        <f>SUMIFS('1109 4度C'!$I:$I,'1109 4度C'!$A:$A,"新豐9線",'1109 4度C'!$B:$B,"平均")</f>
        <v>16.857142857142858</v>
      </c>
      <c r="M18" s="41">
        <f>SUMIFS('1109 4度C'!$I:$I,'1109 4度C'!$A:$A,"新豐4線",'1109 4度C'!$B:$B,"平均")</f>
        <v>16.25</v>
      </c>
    </row>
    <row r="19" spans="2:13" ht="17.25" customHeight="1">
      <c r="B19" s="452" t="s">
        <v>750</v>
      </c>
      <c r="C19" s="453"/>
      <c r="D19" s="42" t="s">
        <v>65</v>
      </c>
      <c r="E19" s="43" t="s">
        <v>66</v>
      </c>
      <c r="F19" s="43" t="s">
        <v>751</v>
      </c>
      <c r="G19" s="43" t="s">
        <v>752</v>
      </c>
      <c r="H19" s="43" t="s">
        <v>67</v>
      </c>
      <c r="I19" s="43" t="s">
        <v>65</v>
      </c>
      <c r="J19" s="44" t="s">
        <v>67</v>
      </c>
      <c r="K19" s="42" t="s">
        <v>753</v>
      </c>
      <c r="L19" s="43" t="s">
        <v>754</v>
      </c>
      <c r="M19" s="44" t="s">
        <v>754</v>
      </c>
    </row>
    <row r="20" spans="2:13" ht="17.25" customHeight="1">
      <c r="B20" s="452" t="s">
        <v>755</v>
      </c>
      <c r="C20" s="453"/>
      <c r="D20" s="42"/>
      <c r="E20" s="43"/>
      <c r="F20" s="43" t="s">
        <v>756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757</v>
      </c>
      <c r="C21" s="455"/>
      <c r="D21" s="45"/>
      <c r="E21" s="46" t="s">
        <v>758</v>
      </c>
      <c r="F21" s="456" t="s">
        <v>117</v>
      </c>
      <c r="G21" s="457"/>
      <c r="H21" s="46" t="s">
        <v>759</v>
      </c>
      <c r="I21" s="46" t="s">
        <v>760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4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7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K2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761</v>
      </c>
      <c r="B1" s="52"/>
      <c r="C1" s="53" t="s">
        <v>762</v>
      </c>
      <c r="D1" s="54">
        <f>SUM(F5:F66)</f>
        <v>187786</v>
      </c>
      <c r="E1" s="176" t="s">
        <v>763</v>
      </c>
      <c r="F1" s="52">
        <f>SUM(G5:G66)</f>
        <v>6004350.3699999982</v>
      </c>
      <c r="G1" s="52" t="s">
        <v>764</v>
      </c>
      <c r="H1" s="55">
        <f>L6+L9+L47+L52+L15+L57+L28+L36+L20+L66</f>
        <v>156.75</v>
      </c>
      <c r="I1" s="556" t="s">
        <v>765</v>
      </c>
      <c r="J1" s="556"/>
      <c r="K1" s="556"/>
      <c r="L1" s="556" t="s">
        <v>766</v>
      </c>
      <c r="M1" s="556"/>
      <c r="N1" s="556"/>
      <c r="O1" s="556" t="s">
        <v>767</v>
      </c>
      <c r="P1" s="556"/>
      <c r="Q1" s="556"/>
      <c r="R1" s="556"/>
      <c r="S1" s="556" t="s">
        <v>768</v>
      </c>
      <c r="T1" s="556"/>
      <c r="U1" s="556"/>
      <c r="V1" s="556"/>
      <c r="W1" s="556"/>
      <c r="X1" s="556"/>
      <c r="Y1" s="556" t="s">
        <v>769</v>
      </c>
      <c r="Z1" s="556"/>
      <c r="AA1" s="556" t="s">
        <v>770</v>
      </c>
      <c r="AB1" s="557"/>
      <c r="AC1" s="557"/>
    </row>
    <row r="2" spans="1:29" ht="26.25" customHeight="1">
      <c r="A2" s="57">
        <v>45970</v>
      </c>
      <c r="B2" s="58" t="s">
        <v>213</v>
      </c>
      <c r="C2" s="53" t="s">
        <v>771</v>
      </c>
      <c r="D2" s="59">
        <f>AVERAGE(N6,N9,N47,N52,N15,N57,N20,N28,N36,N66)</f>
        <v>145.8681742463429</v>
      </c>
      <c r="E2" s="60" t="s">
        <v>0</v>
      </c>
      <c r="F2" s="61">
        <f>F1/D1</f>
        <v>31.97443030896871</v>
      </c>
      <c r="G2" s="52" t="s">
        <v>772</v>
      </c>
      <c r="H2" s="184">
        <f>COUNT(H5:H66)</f>
        <v>9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773</v>
      </c>
      <c r="B3" s="510" t="s">
        <v>774</v>
      </c>
      <c r="C3" s="510" t="s">
        <v>775</v>
      </c>
      <c r="D3" s="510"/>
      <c r="E3" s="554" t="s">
        <v>776</v>
      </c>
      <c r="F3" s="510" t="s">
        <v>777</v>
      </c>
      <c r="G3" s="554" t="s">
        <v>778</v>
      </c>
      <c r="H3" s="547" t="s">
        <v>779</v>
      </c>
      <c r="I3" s="545" t="s">
        <v>780</v>
      </c>
      <c r="J3" s="550" t="s">
        <v>781</v>
      </c>
      <c r="K3" s="552" t="s">
        <v>771</v>
      </c>
      <c r="L3" s="545" t="s">
        <v>780</v>
      </c>
      <c r="M3" s="550" t="s">
        <v>782</v>
      </c>
      <c r="N3" s="552" t="s">
        <v>78</v>
      </c>
      <c r="O3" s="545" t="s">
        <v>780</v>
      </c>
      <c r="P3" s="552" t="s">
        <v>783</v>
      </c>
      <c r="Q3" s="551" t="s">
        <v>784</v>
      </c>
      <c r="R3" s="523" t="s">
        <v>785</v>
      </c>
      <c r="S3" s="553" t="s">
        <v>1</v>
      </c>
      <c r="T3" s="553"/>
      <c r="U3" s="547" t="s">
        <v>2</v>
      </c>
      <c r="V3" s="547" t="s">
        <v>786</v>
      </c>
      <c r="W3" s="510" t="s">
        <v>787</v>
      </c>
      <c r="X3" s="510"/>
      <c r="Y3" s="548" t="s">
        <v>788</v>
      </c>
      <c r="Z3" s="549"/>
      <c r="AA3" s="550" t="s">
        <v>781</v>
      </c>
      <c r="AB3" s="551" t="s">
        <v>789</v>
      </c>
      <c r="AC3" s="523" t="s">
        <v>785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83" t="s">
        <v>3</v>
      </c>
      <c r="T4" s="183" t="s">
        <v>4</v>
      </c>
      <c r="U4" s="547"/>
      <c r="V4" s="547"/>
      <c r="W4" s="176" t="s">
        <v>790</v>
      </c>
      <c r="X4" s="176" t="s">
        <v>791</v>
      </c>
      <c r="Y4" s="549"/>
      <c r="Z4" s="549"/>
      <c r="AA4" s="550"/>
      <c r="AB4" s="551"/>
      <c r="AC4" s="523"/>
    </row>
    <row r="5" spans="1:29">
      <c r="A5" s="544" t="s">
        <v>792</v>
      </c>
      <c r="B5" s="62" t="s">
        <v>6</v>
      </c>
      <c r="C5" s="546" t="s">
        <v>9</v>
      </c>
      <c r="D5" s="546"/>
      <c r="E5" s="62">
        <v>50.67</v>
      </c>
      <c r="F5" s="183">
        <v>2044</v>
      </c>
      <c r="G5" s="176">
        <f t="shared" ref="G5" si="0">E5*F5</f>
        <v>103569.48000000001</v>
      </c>
      <c r="H5" s="90" t="s">
        <v>5</v>
      </c>
      <c r="I5" s="181">
        <v>17</v>
      </c>
      <c r="J5" s="63">
        <v>2000</v>
      </c>
      <c r="K5" s="64">
        <f t="shared" ref="K5:K66" si="1">J5/I5</f>
        <v>117.64705882352941</v>
      </c>
      <c r="L5" s="181">
        <v>17</v>
      </c>
      <c r="M5" s="65">
        <f t="shared" ref="M5" si="2">F5/V5*60</f>
        <v>1916.250000000002</v>
      </c>
      <c r="N5" s="64">
        <f t="shared" ref="N5:N66" si="3">M5/L5</f>
        <v>112.72058823529424</v>
      </c>
      <c r="O5" s="66">
        <f t="shared" ref="O5:O66" si="4">L5-I5</f>
        <v>0</v>
      </c>
      <c r="P5" s="67">
        <f t="shared" ref="P5:P66" si="5">N5-K5</f>
        <v>-4.926470588235162</v>
      </c>
      <c r="Q5" s="177">
        <f t="shared" ref="Q5:Q66" si="6">N5/K5</f>
        <v>0.95812500000000111</v>
      </c>
      <c r="R5" s="511">
        <f>Q6</f>
        <v>0.95812500000000111</v>
      </c>
      <c r="S5" s="68">
        <v>0.70833333333333337</v>
      </c>
      <c r="T5" s="68">
        <v>0.75277777777777777</v>
      </c>
      <c r="U5" s="176"/>
      <c r="V5" s="182">
        <f t="shared" ref="V5" si="7">(T5-S5)*24*60</f>
        <v>63.999999999999929</v>
      </c>
      <c r="W5" s="69"/>
      <c r="X5" s="70"/>
      <c r="Y5" s="510"/>
      <c r="Z5" s="510"/>
      <c r="AA5" s="66">
        <f t="shared" ref="AA5:AA66" si="8">M5-J5</f>
        <v>-83.749999999997954</v>
      </c>
      <c r="AB5" s="177">
        <f t="shared" ref="AB5:AB66" si="9">M5/J5</f>
        <v>0.958125000000001</v>
      </c>
      <c r="AC5" s="511">
        <f>AB6</f>
        <v>0.958125000000001</v>
      </c>
    </row>
    <row r="6" spans="1:29">
      <c r="A6" s="545" t="s">
        <v>793</v>
      </c>
      <c r="B6" s="62" t="s">
        <v>794</v>
      </c>
      <c r="C6" s="513"/>
      <c r="D6" s="513"/>
      <c r="E6" s="178"/>
      <c r="F6" s="71"/>
      <c r="G6" s="64"/>
      <c r="H6" s="183"/>
      <c r="I6" s="72">
        <v>17</v>
      </c>
      <c r="J6" s="63">
        <v>2000</v>
      </c>
      <c r="K6" s="64">
        <f t="shared" si="1"/>
        <v>117.64705882352941</v>
      </c>
      <c r="L6" s="72">
        <v>17</v>
      </c>
      <c r="M6" s="65">
        <f>AVERAGE(M5:M5)</f>
        <v>1916.250000000002</v>
      </c>
      <c r="N6" s="64">
        <f t="shared" si="3"/>
        <v>112.72058823529424</v>
      </c>
      <c r="O6" s="66">
        <f t="shared" si="4"/>
        <v>0</v>
      </c>
      <c r="P6" s="67">
        <f t="shared" si="5"/>
        <v>-4.926470588235162</v>
      </c>
      <c r="Q6" s="177">
        <f t="shared" si="6"/>
        <v>0.95812500000000111</v>
      </c>
      <c r="R6" s="511"/>
      <c r="S6" s="68"/>
      <c r="T6" s="68"/>
      <c r="U6" s="176"/>
      <c r="V6" s="182"/>
      <c r="W6" s="64"/>
      <c r="X6" s="64"/>
      <c r="Y6" s="510"/>
      <c r="Z6" s="510"/>
      <c r="AA6" s="66">
        <f t="shared" si="8"/>
        <v>-83.749999999997954</v>
      </c>
      <c r="AB6" s="177">
        <f t="shared" si="9"/>
        <v>0.958125000000001</v>
      </c>
      <c r="AC6" s="511"/>
    </row>
    <row r="7" spans="1:29" ht="15.75" customHeight="1">
      <c r="A7" s="543" t="s">
        <v>795</v>
      </c>
      <c r="B7" s="62" t="s">
        <v>10</v>
      </c>
      <c r="C7" s="539" t="s">
        <v>12</v>
      </c>
      <c r="D7" s="540"/>
      <c r="E7" s="62">
        <v>39.36</v>
      </c>
      <c r="F7" s="183">
        <v>2144</v>
      </c>
      <c r="G7" s="176">
        <f t="shared" ref="G7:G8" si="10">E7*F7</f>
        <v>84387.839999999997</v>
      </c>
      <c r="H7" s="90" t="s">
        <v>5</v>
      </c>
      <c r="I7" s="181">
        <v>20</v>
      </c>
      <c r="J7" s="63">
        <v>1500</v>
      </c>
      <c r="K7" s="64">
        <f t="shared" si="1"/>
        <v>75</v>
      </c>
      <c r="L7" s="181">
        <v>20</v>
      </c>
      <c r="M7" s="65">
        <f t="shared" ref="M7:M8" si="11">F7/V7*60</f>
        <v>1445.3932584269655</v>
      </c>
      <c r="N7" s="64">
        <f t="shared" si="3"/>
        <v>72.269662921348271</v>
      </c>
      <c r="O7" s="66">
        <f t="shared" si="4"/>
        <v>0</v>
      </c>
      <c r="P7" s="67">
        <f t="shared" si="5"/>
        <v>-2.7303370786517291</v>
      </c>
      <c r="Q7" s="177">
        <f t="shared" si="6"/>
        <v>0.96359550561797691</v>
      </c>
      <c r="R7" s="511">
        <f>Q9</f>
        <v>0.9582001918333789</v>
      </c>
      <c r="S7" s="68">
        <v>0.20833333333333334</v>
      </c>
      <c r="T7" s="68">
        <v>0.27013888888888893</v>
      </c>
      <c r="U7" s="176"/>
      <c r="V7" s="182">
        <f t="shared" ref="V7:V8" si="12">(T7-S7)*24*60</f>
        <v>89.000000000000043</v>
      </c>
      <c r="W7" s="69"/>
      <c r="X7" s="69"/>
      <c r="Y7" s="510"/>
      <c r="Z7" s="510"/>
      <c r="AA7" s="66">
        <f t="shared" si="8"/>
        <v>-54.606741573034469</v>
      </c>
      <c r="AB7" s="177">
        <f t="shared" si="9"/>
        <v>0.96359550561797702</v>
      </c>
      <c r="AC7" s="511">
        <f>AB9</f>
        <v>0.95820019183337879</v>
      </c>
    </row>
    <row r="8" spans="1:29" ht="15.75" customHeight="1">
      <c r="A8" s="543" t="s">
        <v>795</v>
      </c>
      <c r="B8" s="62" t="s">
        <v>10</v>
      </c>
      <c r="C8" s="539" t="s">
        <v>11</v>
      </c>
      <c r="D8" s="540"/>
      <c r="E8" s="62">
        <v>39.799999999999997</v>
      </c>
      <c r="F8" s="183">
        <v>7813</v>
      </c>
      <c r="G8" s="176">
        <f t="shared" si="10"/>
        <v>310957.39999999997</v>
      </c>
      <c r="H8" s="90" t="s">
        <v>5</v>
      </c>
      <c r="I8" s="181">
        <v>17</v>
      </c>
      <c r="J8" s="63">
        <v>1500</v>
      </c>
      <c r="K8" s="64">
        <f t="shared" si="1"/>
        <v>88.235294117647058</v>
      </c>
      <c r="L8" s="181">
        <v>17</v>
      </c>
      <c r="M8" s="65">
        <f t="shared" si="11"/>
        <v>1429.207317073171</v>
      </c>
      <c r="N8" s="64">
        <f t="shared" si="3"/>
        <v>84.071018651363005</v>
      </c>
      <c r="O8" s="66">
        <f t="shared" si="4"/>
        <v>0</v>
      </c>
      <c r="P8" s="67">
        <f t="shared" si="5"/>
        <v>-4.1642754662840531</v>
      </c>
      <c r="Q8" s="177">
        <f t="shared" si="6"/>
        <v>0.95280487804878078</v>
      </c>
      <c r="R8" s="511"/>
      <c r="S8" s="68">
        <v>0.27361111111111114</v>
      </c>
      <c r="T8" s="68">
        <v>0.50138888888888888</v>
      </c>
      <c r="U8" s="176">
        <f t="shared" ref="U8" si="13">IF(S8=TIME(17,0,0),"",(S8-T7)*24*60)</f>
        <v>4.9999999999999822</v>
      </c>
      <c r="V8" s="182">
        <f t="shared" si="12"/>
        <v>327.99999999999994</v>
      </c>
      <c r="W8" s="69"/>
      <c r="X8" s="69"/>
      <c r="Y8" s="510"/>
      <c r="Z8" s="510"/>
      <c r="AA8" s="66">
        <f t="shared" si="8"/>
        <v>-70.792682926829002</v>
      </c>
      <c r="AB8" s="177">
        <f t="shared" si="9"/>
        <v>0.95280487804878067</v>
      </c>
      <c r="AC8" s="511"/>
    </row>
    <row r="9" spans="1:29" ht="16.5" customHeight="1">
      <c r="A9" s="543" t="s">
        <v>796</v>
      </c>
      <c r="B9" s="62" t="s">
        <v>797</v>
      </c>
      <c r="C9" s="513"/>
      <c r="D9" s="513"/>
      <c r="E9" s="178"/>
      <c r="F9" s="63"/>
      <c r="G9" s="65"/>
      <c r="H9" s="183"/>
      <c r="I9" s="72">
        <v>18.5</v>
      </c>
      <c r="J9" s="63">
        <v>1500</v>
      </c>
      <c r="K9" s="64">
        <f t="shared" si="1"/>
        <v>81.081081081081081</v>
      </c>
      <c r="L9" s="72">
        <v>18.5</v>
      </c>
      <c r="M9" s="65">
        <f>AVERAGE(M7:M8)</f>
        <v>1437.3002877500683</v>
      </c>
      <c r="N9" s="64">
        <f t="shared" si="3"/>
        <v>77.691907445949639</v>
      </c>
      <c r="O9" s="66">
        <f t="shared" si="4"/>
        <v>0</v>
      </c>
      <c r="P9" s="67">
        <f t="shared" si="5"/>
        <v>-3.3891736351314421</v>
      </c>
      <c r="Q9" s="177">
        <f t="shared" si="6"/>
        <v>0.9582001918333789</v>
      </c>
      <c r="R9" s="511"/>
      <c r="S9" s="68"/>
      <c r="T9" s="68"/>
      <c r="U9" s="64"/>
      <c r="V9" s="182"/>
      <c r="W9" s="64"/>
      <c r="X9" s="64"/>
      <c r="Y9" s="510"/>
      <c r="Z9" s="510"/>
      <c r="AA9" s="66">
        <f t="shared" si="8"/>
        <v>-62.699712249931736</v>
      </c>
      <c r="AB9" s="177">
        <f t="shared" si="9"/>
        <v>0.95820019183337879</v>
      </c>
      <c r="AC9" s="511"/>
    </row>
    <row r="10" spans="1:29" ht="16.5" customHeight="1">
      <c r="A10" s="541" t="s">
        <v>798</v>
      </c>
      <c r="B10" s="183" t="s">
        <v>13</v>
      </c>
      <c r="C10" s="533" t="s">
        <v>14</v>
      </c>
      <c r="D10" s="533"/>
      <c r="E10" s="62">
        <v>41</v>
      </c>
      <c r="F10" s="183">
        <v>2597</v>
      </c>
      <c r="G10" s="176">
        <f t="shared" ref="G10:G14" si="14">E10*F10</f>
        <v>106477</v>
      </c>
      <c r="H10" s="90" t="s">
        <v>5</v>
      </c>
      <c r="I10" s="181">
        <v>26</v>
      </c>
      <c r="J10" s="63">
        <v>1500</v>
      </c>
      <c r="K10" s="64">
        <f t="shared" si="1"/>
        <v>57.692307692307693</v>
      </c>
      <c r="L10" s="181">
        <v>26</v>
      </c>
      <c r="M10" s="65">
        <f t="shared" ref="M10:M14" si="15">F10/V10*60</f>
        <v>1429.5412844036696</v>
      </c>
      <c r="N10" s="64">
        <f t="shared" si="3"/>
        <v>54.982357092448829</v>
      </c>
      <c r="O10" s="66">
        <f t="shared" si="4"/>
        <v>0</v>
      </c>
      <c r="P10" s="67">
        <f t="shared" si="5"/>
        <v>-2.709950599858864</v>
      </c>
      <c r="Q10" s="177">
        <f t="shared" si="6"/>
        <v>0.95302752293577964</v>
      </c>
      <c r="R10" s="511">
        <f>Q15</f>
        <v>0.95564423117795916</v>
      </c>
      <c r="S10" s="68">
        <v>0.125</v>
      </c>
      <c r="T10" s="68">
        <v>0.20069444444444445</v>
      </c>
      <c r="U10" s="176"/>
      <c r="V10" s="182">
        <f t="shared" ref="V10:V14" si="16">(T10-S10)*24*60</f>
        <v>109.00000000000001</v>
      </c>
      <c r="W10" s="69">
        <f>T10</f>
        <v>0.20069444444444445</v>
      </c>
      <c r="X10" s="69">
        <f>S11</f>
        <v>0.21805555555555553</v>
      </c>
      <c r="Y10" s="510"/>
      <c r="Z10" s="510"/>
      <c r="AA10" s="66">
        <f t="shared" si="8"/>
        <v>-70.458715596330421</v>
      </c>
      <c r="AB10" s="177">
        <f t="shared" si="9"/>
        <v>0.95302752293577975</v>
      </c>
      <c r="AC10" s="511">
        <f>AB15</f>
        <v>0.95564423117795916</v>
      </c>
    </row>
    <row r="11" spans="1:29" ht="16.5" customHeight="1">
      <c r="A11" s="542" t="s">
        <v>798</v>
      </c>
      <c r="B11" s="183" t="s">
        <v>10</v>
      </c>
      <c r="C11" s="533" t="s">
        <v>15</v>
      </c>
      <c r="D11" s="533"/>
      <c r="E11" s="62">
        <v>39.619999999999997</v>
      </c>
      <c r="F11" s="183">
        <v>5179</v>
      </c>
      <c r="G11" s="176">
        <f t="shared" si="14"/>
        <v>205191.97999999998</v>
      </c>
      <c r="H11" s="90" t="s">
        <v>5</v>
      </c>
      <c r="I11" s="181">
        <v>19</v>
      </c>
      <c r="J11" s="63">
        <v>1500</v>
      </c>
      <c r="K11" s="64">
        <f t="shared" si="1"/>
        <v>78.94736842105263</v>
      </c>
      <c r="L11" s="181">
        <v>19</v>
      </c>
      <c r="M11" s="65">
        <f t="shared" si="15"/>
        <v>1431.9815668202768</v>
      </c>
      <c r="N11" s="64">
        <f t="shared" si="3"/>
        <v>75.367450885277734</v>
      </c>
      <c r="O11" s="66">
        <f t="shared" si="4"/>
        <v>0</v>
      </c>
      <c r="P11" s="67">
        <f t="shared" si="5"/>
        <v>-3.5799175357748965</v>
      </c>
      <c r="Q11" s="177">
        <f t="shared" si="6"/>
        <v>0.95465437788018459</v>
      </c>
      <c r="R11" s="511"/>
      <c r="S11" s="68">
        <v>0.21805555555555553</v>
      </c>
      <c r="T11" s="68">
        <v>0.36874999999999997</v>
      </c>
      <c r="U11" s="176">
        <f t="shared" ref="U11:U14" si="17">IF(S11=TIME(17,0,0),"",(S11-T10)*24*60)</f>
        <v>24.99999999999995</v>
      </c>
      <c r="V11" s="182">
        <f t="shared" si="16"/>
        <v>216.99999999999997</v>
      </c>
      <c r="W11" s="69"/>
      <c r="X11" s="69"/>
      <c r="Y11" s="510"/>
      <c r="Z11" s="510"/>
      <c r="AA11" s="66">
        <f t="shared" si="8"/>
        <v>-68.018433179723161</v>
      </c>
      <c r="AB11" s="177">
        <f t="shared" si="9"/>
        <v>0.95465437788018459</v>
      </c>
      <c r="AC11" s="511"/>
    </row>
    <row r="12" spans="1:29" ht="16.5" customHeight="1">
      <c r="A12" s="542" t="s">
        <v>798</v>
      </c>
      <c r="B12" s="183" t="s">
        <v>77</v>
      </c>
      <c r="C12" s="533" t="s">
        <v>76</v>
      </c>
      <c r="D12" s="533"/>
      <c r="E12" s="62">
        <v>57.3</v>
      </c>
      <c r="F12" s="183">
        <v>1404</v>
      </c>
      <c r="G12" s="176">
        <f t="shared" si="14"/>
        <v>80449.2</v>
      </c>
      <c r="H12" s="90" t="s">
        <v>5</v>
      </c>
      <c r="I12" s="181">
        <v>17</v>
      </c>
      <c r="J12" s="63">
        <v>1500</v>
      </c>
      <c r="K12" s="64">
        <f t="shared" si="1"/>
        <v>88.235294117647058</v>
      </c>
      <c r="L12" s="181">
        <v>17</v>
      </c>
      <c r="M12" s="65">
        <f t="shared" si="15"/>
        <v>1427.796610169491</v>
      </c>
      <c r="N12" s="64">
        <f t="shared" si="3"/>
        <v>83.988035892322998</v>
      </c>
      <c r="O12" s="66">
        <f t="shared" si="4"/>
        <v>0</v>
      </c>
      <c r="P12" s="67">
        <f t="shared" si="5"/>
        <v>-4.2472582253240603</v>
      </c>
      <c r="Q12" s="177">
        <f t="shared" si="6"/>
        <v>0.95186440677966067</v>
      </c>
      <c r="R12" s="511"/>
      <c r="S12" s="68">
        <v>0.37222222222222218</v>
      </c>
      <c r="T12" s="68">
        <v>0.41319444444444442</v>
      </c>
      <c r="U12" s="176">
        <f t="shared" si="17"/>
        <v>4.9999999999999822</v>
      </c>
      <c r="V12" s="182">
        <f t="shared" si="16"/>
        <v>59.000000000000028</v>
      </c>
      <c r="W12" s="69"/>
      <c r="X12" s="69"/>
      <c r="Y12" s="510"/>
      <c r="Z12" s="510"/>
      <c r="AA12" s="66">
        <f t="shared" si="8"/>
        <v>-72.203389830508968</v>
      </c>
      <c r="AB12" s="177">
        <f t="shared" si="9"/>
        <v>0.95186440677966067</v>
      </c>
      <c r="AC12" s="511"/>
    </row>
    <row r="13" spans="1:29" ht="16.5" customHeight="1">
      <c r="A13" s="542" t="s">
        <v>798</v>
      </c>
      <c r="B13" s="183" t="s">
        <v>6</v>
      </c>
      <c r="C13" s="533" t="s">
        <v>19</v>
      </c>
      <c r="D13" s="533"/>
      <c r="E13" s="62">
        <v>50.98</v>
      </c>
      <c r="F13" s="183">
        <v>3000</v>
      </c>
      <c r="G13" s="176">
        <f t="shared" si="14"/>
        <v>152940</v>
      </c>
      <c r="H13" s="90" t="s">
        <v>5</v>
      </c>
      <c r="I13" s="181">
        <v>16</v>
      </c>
      <c r="J13" s="63">
        <v>2000</v>
      </c>
      <c r="K13" s="64">
        <f t="shared" si="1"/>
        <v>125</v>
      </c>
      <c r="L13" s="181">
        <v>16</v>
      </c>
      <c r="M13" s="65">
        <f t="shared" si="15"/>
        <v>1914.8936170212769</v>
      </c>
      <c r="N13" s="64">
        <f t="shared" si="3"/>
        <v>119.68085106382981</v>
      </c>
      <c r="O13" s="66">
        <f t="shared" si="4"/>
        <v>0</v>
      </c>
      <c r="P13" s="67">
        <f t="shared" si="5"/>
        <v>-5.319148936170194</v>
      </c>
      <c r="Q13" s="177">
        <f t="shared" si="6"/>
        <v>0.95744680851063846</v>
      </c>
      <c r="R13" s="511"/>
      <c r="S13" s="68">
        <v>0.70833333333333337</v>
      </c>
      <c r="T13" s="68">
        <v>0.77361111111111114</v>
      </c>
      <c r="U13" s="176" t="str">
        <f t="shared" si="17"/>
        <v/>
      </c>
      <c r="V13" s="182">
        <f t="shared" si="16"/>
        <v>93.999999999999986</v>
      </c>
      <c r="W13" s="69"/>
      <c r="X13" s="69"/>
      <c r="Y13" s="510"/>
      <c r="Z13" s="510"/>
      <c r="AA13" s="66">
        <f t="shared" si="8"/>
        <v>-85.106382978723104</v>
      </c>
      <c r="AB13" s="177">
        <f t="shared" si="9"/>
        <v>0.95744680851063846</v>
      </c>
      <c r="AC13" s="511"/>
    </row>
    <row r="14" spans="1:29" ht="16.5" customHeight="1">
      <c r="A14" s="542" t="s">
        <v>799</v>
      </c>
      <c r="B14" s="183" t="s">
        <v>6</v>
      </c>
      <c r="C14" s="533" t="s">
        <v>20</v>
      </c>
      <c r="D14" s="533"/>
      <c r="E14" s="62">
        <v>50.92</v>
      </c>
      <c r="F14" s="183">
        <v>3102</v>
      </c>
      <c r="G14" s="176">
        <f t="shared" si="14"/>
        <v>157953.84</v>
      </c>
      <c r="H14" s="90" t="s">
        <v>5</v>
      </c>
      <c r="I14" s="181">
        <v>15</v>
      </c>
      <c r="J14" s="63">
        <v>2000</v>
      </c>
      <c r="K14" s="64">
        <f t="shared" si="1"/>
        <v>133.33333333333334</v>
      </c>
      <c r="L14" s="181">
        <v>15</v>
      </c>
      <c r="M14" s="65">
        <f t="shared" si="15"/>
        <v>1918.7628865979389</v>
      </c>
      <c r="N14" s="64">
        <f t="shared" si="3"/>
        <v>127.91752577319592</v>
      </c>
      <c r="O14" s="66">
        <f t="shared" si="4"/>
        <v>0</v>
      </c>
      <c r="P14" s="67">
        <f t="shared" si="5"/>
        <v>-5.4158075601374236</v>
      </c>
      <c r="Q14" s="177">
        <f t="shared" si="6"/>
        <v>0.95938144329896935</v>
      </c>
      <c r="R14" s="511"/>
      <c r="S14" s="68">
        <v>0.77708333333333335</v>
      </c>
      <c r="T14" s="68">
        <v>0.84444444444444444</v>
      </c>
      <c r="U14" s="176">
        <f t="shared" si="17"/>
        <v>4.9999999999999822</v>
      </c>
      <c r="V14" s="182">
        <f t="shared" si="16"/>
        <v>96.999999999999972</v>
      </c>
      <c r="W14" s="69"/>
      <c r="X14" s="69"/>
      <c r="Y14" s="510"/>
      <c r="Z14" s="510"/>
      <c r="AA14" s="66">
        <f t="shared" si="8"/>
        <v>-81.237113402061141</v>
      </c>
      <c r="AB14" s="177">
        <f t="shared" si="9"/>
        <v>0.95938144329896946</v>
      </c>
      <c r="AC14" s="511"/>
    </row>
    <row r="15" spans="1:29" ht="16.5" customHeight="1">
      <c r="A15" s="542" t="s">
        <v>798</v>
      </c>
      <c r="B15" s="62" t="s">
        <v>797</v>
      </c>
      <c r="C15" s="513"/>
      <c r="D15" s="513"/>
      <c r="E15" s="178"/>
      <c r="F15" s="71"/>
      <c r="G15" s="64"/>
      <c r="H15" s="183"/>
      <c r="I15" s="72">
        <v>18.600000000000001</v>
      </c>
      <c r="J15" s="63">
        <v>1700</v>
      </c>
      <c r="K15" s="64">
        <f t="shared" si="1"/>
        <v>91.397849462365585</v>
      </c>
      <c r="L15" s="72">
        <v>18.600000000000001</v>
      </c>
      <c r="M15" s="65">
        <f>AVERAGE(M10:M14)</f>
        <v>1624.5951930025306</v>
      </c>
      <c r="N15" s="64">
        <f t="shared" si="3"/>
        <v>87.343827580781209</v>
      </c>
      <c r="O15" s="66">
        <f t="shared" si="4"/>
        <v>0</v>
      </c>
      <c r="P15" s="67">
        <f t="shared" si="5"/>
        <v>-4.0540218815843758</v>
      </c>
      <c r="Q15" s="177">
        <f t="shared" si="6"/>
        <v>0.95564423117795916</v>
      </c>
      <c r="R15" s="511"/>
      <c r="S15" s="68"/>
      <c r="T15" s="68"/>
      <c r="U15" s="176"/>
      <c r="V15" s="182"/>
      <c r="W15" s="64"/>
      <c r="X15" s="64"/>
      <c r="Y15" s="510"/>
      <c r="Z15" s="510"/>
      <c r="AA15" s="66">
        <f t="shared" si="8"/>
        <v>-75.40480699746945</v>
      </c>
      <c r="AB15" s="177">
        <f t="shared" si="9"/>
        <v>0.95564423117795916</v>
      </c>
      <c r="AC15" s="511"/>
    </row>
    <row r="16" spans="1:29" ht="15.75" customHeight="1">
      <c r="A16" s="537" t="s">
        <v>800</v>
      </c>
      <c r="B16" s="62" t="s">
        <v>13</v>
      </c>
      <c r="C16" s="533" t="s">
        <v>21</v>
      </c>
      <c r="D16" s="533"/>
      <c r="E16" s="62">
        <v>43.14</v>
      </c>
      <c r="F16" s="183">
        <v>1483</v>
      </c>
      <c r="G16" s="176">
        <f t="shared" ref="G16:G19" si="18">E16*F16</f>
        <v>63976.62</v>
      </c>
      <c r="H16" s="90" t="s">
        <v>5</v>
      </c>
      <c r="I16" s="181">
        <v>17</v>
      </c>
      <c r="J16" s="63">
        <v>2000</v>
      </c>
      <c r="K16" s="64">
        <f t="shared" si="1"/>
        <v>117.64705882352941</v>
      </c>
      <c r="L16" s="181">
        <v>17</v>
      </c>
      <c r="M16" s="65">
        <f t="shared" ref="M16:M19" si="19">F16/V16*60</f>
        <v>1934.3478260869565</v>
      </c>
      <c r="N16" s="64">
        <f t="shared" si="3"/>
        <v>113.78516624040921</v>
      </c>
      <c r="O16" s="66">
        <f t="shared" si="4"/>
        <v>0</v>
      </c>
      <c r="P16" s="67">
        <f t="shared" si="5"/>
        <v>-3.8618925831201949</v>
      </c>
      <c r="Q16" s="177">
        <f t="shared" si="6"/>
        <v>0.96717391304347833</v>
      </c>
      <c r="R16" s="511">
        <f>Q20</f>
        <v>0.95781222307450109</v>
      </c>
      <c r="S16" s="68">
        <v>0.20833333333333334</v>
      </c>
      <c r="T16" s="68">
        <v>0.24027777777777778</v>
      </c>
      <c r="U16" s="176"/>
      <c r="V16" s="182">
        <f t="shared" ref="V16:V19" si="20">(T16-S16)*24*60</f>
        <v>46</v>
      </c>
      <c r="W16" s="73"/>
      <c r="X16" s="73"/>
      <c r="Y16" s="510"/>
      <c r="Z16" s="510"/>
      <c r="AA16" s="66">
        <f t="shared" si="8"/>
        <v>-65.652173913043498</v>
      </c>
      <c r="AB16" s="177">
        <f t="shared" si="9"/>
        <v>0.96717391304347822</v>
      </c>
      <c r="AC16" s="511">
        <f>AB20</f>
        <v>0.9578122230745012</v>
      </c>
    </row>
    <row r="17" spans="1:29" ht="15.75" customHeight="1">
      <c r="A17" s="538" t="s">
        <v>801</v>
      </c>
      <c r="B17" s="62" t="s">
        <v>6</v>
      </c>
      <c r="C17" s="533" t="s">
        <v>23</v>
      </c>
      <c r="D17" s="533"/>
      <c r="E17" s="62">
        <v>53.68</v>
      </c>
      <c r="F17" s="183">
        <v>2139</v>
      </c>
      <c r="G17" s="176">
        <f t="shared" si="18"/>
        <v>114821.52</v>
      </c>
      <c r="H17" s="90" t="s">
        <v>5</v>
      </c>
      <c r="I17" s="181">
        <v>16</v>
      </c>
      <c r="J17" s="63">
        <v>2000</v>
      </c>
      <c r="K17" s="64">
        <f t="shared" si="1"/>
        <v>125</v>
      </c>
      <c r="L17" s="181">
        <v>16</v>
      </c>
      <c r="M17" s="65">
        <f t="shared" si="19"/>
        <v>1915.5223880597014</v>
      </c>
      <c r="N17" s="64">
        <f t="shared" si="3"/>
        <v>119.72014925373134</v>
      </c>
      <c r="O17" s="66">
        <f t="shared" si="4"/>
        <v>0</v>
      </c>
      <c r="P17" s="67">
        <f t="shared" si="5"/>
        <v>-5.2798507462686644</v>
      </c>
      <c r="Q17" s="177">
        <f t="shared" si="6"/>
        <v>0.95776119402985072</v>
      </c>
      <c r="R17" s="511"/>
      <c r="S17" s="68">
        <v>0.24583333333333335</v>
      </c>
      <c r="T17" s="68">
        <v>0.29236111111111113</v>
      </c>
      <c r="U17" s="176">
        <f t="shared" ref="U17:U19" si="21">IF(S17=TIME(17,0,0),"",(S17-T16)*24*60)</f>
        <v>8.0000000000000107</v>
      </c>
      <c r="V17" s="182">
        <f t="shared" si="20"/>
        <v>67</v>
      </c>
      <c r="W17" s="69"/>
      <c r="X17" s="176"/>
      <c r="Y17" s="510"/>
      <c r="Z17" s="510"/>
      <c r="AA17" s="66">
        <f t="shared" si="8"/>
        <v>-84.47761194029863</v>
      </c>
      <c r="AB17" s="177">
        <f t="shared" si="9"/>
        <v>0.95776119402985072</v>
      </c>
      <c r="AC17" s="511"/>
    </row>
    <row r="18" spans="1:29" ht="15.75" customHeight="1">
      <c r="A18" s="538" t="s">
        <v>801</v>
      </c>
      <c r="B18" s="62" t="s">
        <v>6</v>
      </c>
      <c r="C18" s="533" t="s">
        <v>22</v>
      </c>
      <c r="D18" s="533"/>
      <c r="E18" s="62">
        <v>57.73</v>
      </c>
      <c r="F18" s="183">
        <v>3217</v>
      </c>
      <c r="G18" s="176">
        <f t="shared" si="18"/>
        <v>185717.41</v>
      </c>
      <c r="H18" s="90" t="s">
        <v>5</v>
      </c>
      <c r="I18" s="181">
        <v>14</v>
      </c>
      <c r="J18" s="63">
        <v>2000</v>
      </c>
      <c r="K18" s="64">
        <f t="shared" si="1"/>
        <v>142.85714285714286</v>
      </c>
      <c r="L18" s="181">
        <v>14</v>
      </c>
      <c r="M18" s="65">
        <f t="shared" si="19"/>
        <v>1911.0891089108904</v>
      </c>
      <c r="N18" s="64">
        <f t="shared" si="3"/>
        <v>136.50636492220647</v>
      </c>
      <c r="O18" s="66">
        <f t="shared" si="4"/>
        <v>0</v>
      </c>
      <c r="P18" s="67">
        <f t="shared" si="5"/>
        <v>-6.3507779349363886</v>
      </c>
      <c r="Q18" s="177">
        <f t="shared" si="6"/>
        <v>0.95554455445544528</v>
      </c>
      <c r="R18" s="511"/>
      <c r="S18" s="68">
        <v>0.29791666666666666</v>
      </c>
      <c r="T18" s="68">
        <v>0.36805555555555558</v>
      </c>
      <c r="U18" s="176">
        <f t="shared" si="21"/>
        <v>7.9999999999999716</v>
      </c>
      <c r="V18" s="182">
        <f t="shared" si="20"/>
        <v>101.00000000000004</v>
      </c>
      <c r="W18" s="69"/>
      <c r="X18" s="176"/>
      <c r="Y18" s="510"/>
      <c r="Z18" s="510"/>
      <c r="AA18" s="66">
        <f t="shared" si="8"/>
        <v>-88.910891089109555</v>
      </c>
      <c r="AB18" s="177">
        <f t="shared" si="9"/>
        <v>0.95554455445544517</v>
      </c>
      <c r="AC18" s="511"/>
    </row>
    <row r="19" spans="1:29" ht="15.75" customHeight="1">
      <c r="A19" s="538" t="s">
        <v>802</v>
      </c>
      <c r="B19" s="62" t="s">
        <v>6</v>
      </c>
      <c r="C19" s="533" t="s">
        <v>24</v>
      </c>
      <c r="D19" s="533"/>
      <c r="E19" s="62">
        <v>54.09</v>
      </c>
      <c r="F19" s="183">
        <v>2472</v>
      </c>
      <c r="G19" s="176">
        <f t="shared" si="18"/>
        <v>133710.48000000001</v>
      </c>
      <c r="H19" s="90" t="s">
        <v>5</v>
      </c>
      <c r="I19" s="181">
        <v>19</v>
      </c>
      <c r="J19" s="63">
        <v>2000</v>
      </c>
      <c r="K19" s="64">
        <f t="shared" si="1"/>
        <v>105.26315789473684</v>
      </c>
      <c r="L19" s="181">
        <v>19</v>
      </c>
      <c r="M19" s="65">
        <f t="shared" si="19"/>
        <v>1901.5384615384605</v>
      </c>
      <c r="N19" s="64">
        <f t="shared" si="3"/>
        <v>100.08097165991897</v>
      </c>
      <c r="O19" s="66">
        <f t="shared" si="4"/>
        <v>0</v>
      </c>
      <c r="P19" s="67">
        <f t="shared" si="5"/>
        <v>-5.1821862348178627</v>
      </c>
      <c r="Q19" s="177">
        <f t="shared" si="6"/>
        <v>0.95076923076923026</v>
      </c>
      <c r="R19" s="511"/>
      <c r="S19" s="68">
        <v>0.70833333333333337</v>
      </c>
      <c r="T19" s="68">
        <v>0.76250000000000007</v>
      </c>
      <c r="U19" s="176" t="str">
        <f t="shared" si="21"/>
        <v/>
      </c>
      <c r="V19" s="182">
        <f t="shared" si="20"/>
        <v>78.000000000000043</v>
      </c>
      <c r="W19" s="69"/>
      <c r="X19" s="176"/>
      <c r="Y19" s="510"/>
      <c r="Z19" s="510"/>
      <c r="AA19" s="66">
        <f t="shared" si="8"/>
        <v>-98.461538461539476</v>
      </c>
      <c r="AB19" s="177">
        <f t="shared" si="9"/>
        <v>0.95076923076923026</v>
      </c>
      <c r="AC19" s="511"/>
    </row>
    <row r="20" spans="1:29" ht="15.75" customHeight="1">
      <c r="A20" s="538" t="s">
        <v>803</v>
      </c>
      <c r="B20" s="62" t="s">
        <v>804</v>
      </c>
      <c r="C20" s="513"/>
      <c r="D20" s="513"/>
      <c r="E20" s="178"/>
      <c r="F20" s="183"/>
      <c r="G20" s="176"/>
      <c r="H20" s="183"/>
      <c r="I20" s="72">
        <v>16.5</v>
      </c>
      <c r="J20" s="63">
        <v>2000</v>
      </c>
      <c r="K20" s="64">
        <f t="shared" si="1"/>
        <v>121.21212121212122</v>
      </c>
      <c r="L20" s="72">
        <v>16.5</v>
      </c>
      <c r="M20" s="65">
        <f>AVERAGE(M16:M19)</f>
        <v>1915.6244461490023</v>
      </c>
      <c r="N20" s="64">
        <f t="shared" si="3"/>
        <v>116.09845128175772</v>
      </c>
      <c r="O20" s="66">
        <f t="shared" si="4"/>
        <v>0</v>
      </c>
      <c r="P20" s="67">
        <f t="shared" si="5"/>
        <v>-5.1136699303634998</v>
      </c>
      <c r="Q20" s="177">
        <f t="shared" si="6"/>
        <v>0.95781222307450109</v>
      </c>
      <c r="R20" s="511"/>
      <c r="S20" s="68"/>
      <c r="T20" s="68"/>
      <c r="U20" s="64"/>
      <c r="V20" s="182"/>
      <c r="W20" s="64"/>
      <c r="X20" s="64"/>
      <c r="Y20" s="510"/>
      <c r="Z20" s="510"/>
      <c r="AA20" s="66">
        <f t="shared" si="8"/>
        <v>-84.375553850997676</v>
      </c>
      <c r="AB20" s="177">
        <f t="shared" si="9"/>
        <v>0.9578122230745012</v>
      </c>
      <c r="AC20" s="511"/>
    </row>
    <row r="21" spans="1:29" ht="15.75" customHeight="1">
      <c r="A21" s="536" t="s">
        <v>805</v>
      </c>
      <c r="B21" s="62" t="s">
        <v>16</v>
      </c>
      <c r="C21" s="533" t="s">
        <v>30</v>
      </c>
      <c r="D21" s="533"/>
      <c r="E21" s="62">
        <v>31.29</v>
      </c>
      <c r="F21" s="183">
        <v>4500</v>
      </c>
      <c r="G21" s="176">
        <f t="shared" ref="G21:G27" si="22">E21*F21</f>
        <v>140805</v>
      </c>
      <c r="H21" s="90">
        <v>2</v>
      </c>
      <c r="I21" s="181">
        <v>18</v>
      </c>
      <c r="J21" s="63">
        <v>2400</v>
      </c>
      <c r="K21" s="64">
        <f t="shared" si="1"/>
        <v>133.33333333333334</v>
      </c>
      <c r="L21" s="181">
        <v>18</v>
      </c>
      <c r="M21" s="65">
        <f t="shared" ref="M21:M27" si="23">F21/V21*60</f>
        <v>2288.1355932203396</v>
      </c>
      <c r="N21" s="64">
        <f t="shared" si="3"/>
        <v>127.11864406779665</v>
      </c>
      <c r="O21" s="66">
        <f t="shared" si="4"/>
        <v>0</v>
      </c>
      <c r="P21" s="67">
        <f t="shared" si="5"/>
        <v>-6.2146892655366912</v>
      </c>
      <c r="Q21" s="177">
        <f t="shared" si="6"/>
        <v>0.95338983050847481</v>
      </c>
      <c r="R21" s="511">
        <f>Q28</f>
        <v>0.95702600997544673</v>
      </c>
      <c r="S21" s="68">
        <v>0.125</v>
      </c>
      <c r="T21" s="68">
        <v>0.20694444444444443</v>
      </c>
      <c r="U21" s="176"/>
      <c r="V21" s="182">
        <f t="shared" ref="V21:V27" si="24">(T21-S21)*24*60</f>
        <v>117.99999999999999</v>
      </c>
      <c r="W21" s="69">
        <f>T21</f>
        <v>0.20694444444444443</v>
      </c>
      <c r="X21" s="69">
        <f>S22</f>
        <v>0.22569444444444442</v>
      </c>
      <c r="Y21" s="510"/>
      <c r="Z21" s="510"/>
      <c r="AA21" s="66">
        <f t="shared" si="8"/>
        <v>-111.86440677966038</v>
      </c>
      <c r="AB21" s="177">
        <f t="shared" si="9"/>
        <v>0.95338983050847481</v>
      </c>
      <c r="AC21" s="511">
        <f>AB28</f>
        <v>0.95702600997544662</v>
      </c>
    </row>
    <row r="22" spans="1:29" ht="15.75" customHeight="1">
      <c r="A22" s="536" t="s">
        <v>806</v>
      </c>
      <c r="B22" s="62" t="s">
        <v>16</v>
      </c>
      <c r="C22" s="533" t="s">
        <v>28</v>
      </c>
      <c r="D22" s="533"/>
      <c r="E22" s="62">
        <v>26.18</v>
      </c>
      <c r="F22" s="183">
        <v>3992</v>
      </c>
      <c r="G22" s="176">
        <f t="shared" si="22"/>
        <v>104510.56</v>
      </c>
      <c r="H22" s="90" t="s">
        <v>5</v>
      </c>
      <c r="I22" s="181">
        <v>19</v>
      </c>
      <c r="J22" s="63">
        <v>2400</v>
      </c>
      <c r="K22" s="64">
        <f t="shared" si="1"/>
        <v>126.31578947368421</v>
      </c>
      <c r="L22" s="181">
        <v>19</v>
      </c>
      <c r="M22" s="65">
        <f t="shared" si="23"/>
        <v>2303.0769230769224</v>
      </c>
      <c r="N22" s="64">
        <f t="shared" si="3"/>
        <v>121.21457489878539</v>
      </c>
      <c r="O22" s="66">
        <f t="shared" si="4"/>
        <v>0</v>
      </c>
      <c r="P22" s="67">
        <f t="shared" si="5"/>
        <v>-5.1012145748988189</v>
      </c>
      <c r="Q22" s="177">
        <f t="shared" si="6"/>
        <v>0.95961538461538431</v>
      </c>
      <c r="R22" s="511"/>
      <c r="S22" s="68">
        <v>0.22569444444444442</v>
      </c>
      <c r="T22" s="68">
        <v>0.29791666666666666</v>
      </c>
      <c r="U22" s="176">
        <f t="shared" ref="U22:U27" si="25">(S22-T21)*24*60</f>
        <v>26.999999999999986</v>
      </c>
      <c r="V22" s="182">
        <f t="shared" si="24"/>
        <v>104.00000000000003</v>
      </c>
      <c r="W22" s="69"/>
      <c r="X22" s="69"/>
      <c r="Y22" s="510"/>
      <c r="Z22" s="510"/>
      <c r="AA22" s="66">
        <f t="shared" si="8"/>
        <v>-96.923076923077588</v>
      </c>
      <c r="AB22" s="177">
        <f t="shared" si="9"/>
        <v>0.95961538461538431</v>
      </c>
      <c r="AC22" s="511"/>
    </row>
    <row r="23" spans="1:29" ht="15.75" customHeight="1">
      <c r="A23" s="536" t="s">
        <v>806</v>
      </c>
      <c r="B23" s="62" t="s">
        <v>16</v>
      </c>
      <c r="C23" s="533" t="s">
        <v>25</v>
      </c>
      <c r="D23" s="533"/>
      <c r="E23" s="62">
        <v>26.2</v>
      </c>
      <c r="F23" s="183">
        <v>5904</v>
      </c>
      <c r="G23" s="176">
        <f t="shared" si="22"/>
        <v>154684.79999999999</v>
      </c>
      <c r="H23" s="90" t="s">
        <v>5</v>
      </c>
      <c r="I23" s="181">
        <v>20</v>
      </c>
      <c r="J23" s="63">
        <v>2400</v>
      </c>
      <c r="K23" s="64">
        <f t="shared" si="1"/>
        <v>120</v>
      </c>
      <c r="L23" s="181">
        <v>20</v>
      </c>
      <c r="M23" s="65">
        <f t="shared" si="23"/>
        <v>2285.4193548387098</v>
      </c>
      <c r="N23" s="64">
        <f t="shared" si="3"/>
        <v>114.27096774193549</v>
      </c>
      <c r="O23" s="66">
        <f t="shared" si="4"/>
        <v>0</v>
      </c>
      <c r="P23" s="67">
        <f t="shared" si="5"/>
        <v>-5.7290322580645068</v>
      </c>
      <c r="Q23" s="177">
        <f t="shared" si="6"/>
        <v>0.95225806451612915</v>
      </c>
      <c r="R23" s="511"/>
      <c r="S23" s="68">
        <v>0.30277777777777776</v>
      </c>
      <c r="T23" s="68">
        <v>0.41041666666666665</v>
      </c>
      <c r="U23" s="176">
        <f t="shared" si="25"/>
        <v>6.9999999999999751</v>
      </c>
      <c r="V23" s="182">
        <f t="shared" si="24"/>
        <v>155</v>
      </c>
      <c r="W23" s="69"/>
      <c r="X23" s="69"/>
      <c r="Y23" s="510"/>
      <c r="Z23" s="510"/>
      <c r="AA23" s="66">
        <f t="shared" si="8"/>
        <v>-114.58064516129025</v>
      </c>
      <c r="AB23" s="177">
        <f t="shared" si="9"/>
        <v>0.95225806451612904</v>
      </c>
      <c r="AC23" s="511"/>
    </row>
    <row r="24" spans="1:29" ht="15.75" customHeight="1">
      <c r="A24" s="536" t="s">
        <v>805</v>
      </c>
      <c r="B24" s="62" t="s">
        <v>16</v>
      </c>
      <c r="C24" s="533" t="s">
        <v>83</v>
      </c>
      <c r="D24" s="533"/>
      <c r="E24" s="62">
        <v>25.99</v>
      </c>
      <c r="F24" s="183">
        <v>2500</v>
      </c>
      <c r="G24" s="176">
        <f t="shared" si="22"/>
        <v>64974.999999999993</v>
      </c>
      <c r="H24" s="90">
        <v>2</v>
      </c>
      <c r="I24" s="181">
        <v>14</v>
      </c>
      <c r="J24" s="63">
        <v>2400</v>
      </c>
      <c r="K24" s="64">
        <f t="shared" si="1"/>
        <v>171.42857142857142</v>
      </c>
      <c r="L24" s="181">
        <v>14</v>
      </c>
      <c r="M24" s="65">
        <f t="shared" si="23"/>
        <v>2307.6923076923072</v>
      </c>
      <c r="N24" s="64">
        <f t="shared" si="3"/>
        <v>164.83516483516479</v>
      </c>
      <c r="O24" s="66">
        <f t="shared" si="4"/>
        <v>0</v>
      </c>
      <c r="P24" s="67">
        <f t="shared" si="5"/>
        <v>-6.5934065934066268</v>
      </c>
      <c r="Q24" s="177">
        <f t="shared" si="6"/>
        <v>0.96153846153846134</v>
      </c>
      <c r="R24" s="511"/>
      <c r="S24" s="68">
        <v>0.4145833333333333</v>
      </c>
      <c r="T24" s="68">
        <v>0.4597222222222222</v>
      </c>
      <c r="U24" s="176">
        <f t="shared" si="25"/>
        <v>5.9999999999999787</v>
      </c>
      <c r="V24" s="182">
        <f t="shared" si="24"/>
        <v>65.000000000000014</v>
      </c>
      <c r="W24" s="69"/>
      <c r="X24" s="69"/>
      <c r="Y24" s="510"/>
      <c r="Z24" s="510"/>
      <c r="AA24" s="66">
        <f t="shared" si="8"/>
        <v>-92.307692307692832</v>
      </c>
      <c r="AB24" s="177">
        <f t="shared" si="9"/>
        <v>0.96153846153846134</v>
      </c>
      <c r="AC24" s="511"/>
    </row>
    <row r="25" spans="1:29" ht="15.75" customHeight="1">
      <c r="A25" s="536" t="s">
        <v>805</v>
      </c>
      <c r="B25" s="62" t="s">
        <v>16</v>
      </c>
      <c r="C25" s="533" t="s">
        <v>27</v>
      </c>
      <c r="D25" s="533"/>
      <c r="E25" s="62">
        <v>25.98</v>
      </c>
      <c r="F25" s="183">
        <v>1505</v>
      </c>
      <c r="G25" s="176">
        <f t="shared" si="22"/>
        <v>39099.9</v>
      </c>
      <c r="H25" s="90" t="s">
        <v>5</v>
      </c>
      <c r="I25" s="181">
        <v>17</v>
      </c>
      <c r="J25" s="63">
        <v>2400</v>
      </c>
      <c r="K25" s="64">
        <f t="shared" si="1"/>
        <v>141.1764705882353</v>
      </c>
      <c r="L25" s="181">
        <v>17</v>
      </c>
      <c r="M25" s="65">
        <f t="shared" si="23"/>
        <v>2315.3846153846143</v>
      </c>
      <c r="N25" s="64">
        <f t="shared" si="3"/>
        <v>136.19909502262436</v>
      </c>
      <c r="O25" s="66">
        <f t="shared" si="4"/>
        <v>0</v>
      </c>
      <c r="P25" s="67">
        <f t="shared" si="5"/>
        <v>-4.9773755656109415</v>
      </c>
      <c r="Q25" s="177">
        <f t="shared" si="6"/>
        <v>0.9647435897435892</v>
      </c>
      <c r="R25" s="511"/>
      <c r="S25" s="68">
        <v>0.46319444444444441</v>
      </c>
      <c r="T25" s="68">
        <v>0.49027777777777776</v>
      </c>
      <c r="U25" s="176">
        <f t="shared" si="25"/>
        <v>4.9999999999999822</v>
      </c>
      <c r="V25" s="182">
        <f t="shared" si="24"/>
        <v>39.000000000000021</v>
      </c>
      <c r="W25" s="69">
        <f>T25</f>
        <v>0.49027777777777776</v>
      </c>
      <c r="X25" s="69">
        <f>S26</f>
        <v>0.53055555555555556</v>
      </c>
      <c r="Y25" s="510"/>
      <c r="Z25" s="510"/>
      <c r="AA25" s="66">
        <f t="shared" si="8"/>
        <v>-84.615384615385665</v>
      </c>
      <c r="AB25" s="177">
        <f t="shared" si="9"/>
        <v>0.96474358974358931</v>
      </c>
      <c r="AC25" s="511"/>
    </row>
    <row r="26" spans="1:29" ht="15.75" customHeight="1">
      <c r="A26" s="536" t="s">
        <v>807</v>
      </c>
      <c r="B26" s="62" t="s">
        <v>16</v>
      </c>
      <c r="C26" s="533" t="s">
        <v>83</v>
      </c>
      <c r="D26" s="533"/>
      <c r="E26" s="62">
        <v>25.99</v>
      </c>
      <c r="F26" s="183">
        <v>4550</v>
      </c>
      <c r="G26" s="176">
        <f t="shared" si="22"/>
        <v>118254.5</v>
      </c>
      <c r="H26" s="90" t="s">
        <v>5</v>
      </c>
      <c r="I26" s="181">
        <v>14</v>
      </c>
      <c r="J26" s="63">
        <v>2400</v>
      </c>
      <c r="K26" s="64">
        <f t="shared" si="1"/>
        <v>171.42857142857142</v>
      </c>
      <c r="L26" s="181">
        <v>14</v>
      </c>
      <c r="M26" s="65">
        <f t="shared" si="23"/>
        <v>2294.1176470588225</v>
      </c>
      <c r="N26" s="64">
        <f t="shared" si="3"/>
        <v>163.86554621848731</v>
      </c>
      <c r="O26" s="66">
        <f t="shared" si="4"/>
        <v>0</v>
      </c>
      <c r="P26" s="67">
        <f t="shared" si="5"/>
        <v>-7.5630252100841062</v>
      </c>
      <c r="Q26" s="177">
        <f t="shared" si="6"/>
        <v>0.95588235294117607</v>
      </c>
      <c r="R26" s="511"/>
      <c r="S26" s="68">
        <v>0.53055555555555556</v>
      </c>
      <c r="T26" s="68">
        <v>0.61319444444444449</v>
      </c>
      <c r="U26" s="176">
        <f t="shared" si="25"/>
        <v>58.000000000000036</v>
      </c>
      <c r="V26" s="182">
        <f t="shared" si="24"/>
        <v>119.00000000000006</v>
      </c>
      <c r="W26" s="69"/>
      <c r="X26" s="69"/>
      <c r="Y26" s="510"/>
      <c r="Z26" s="510"/>
      <c r="AA26" s="66">
        <f t="shared" si="8"/>
        <v>-105.88235294117749</v>
      </c>
      <c r="AB26" s="177">
        <f t="shared" si="9"/>
        <v>0.95588235294117607</v>
      </c>
      <c r="AC26" s="511"/>
    </row>
    <row r="27" spans="1:29" ht="15.75" customHeight="1">
      <c r="A27" s="536" t="s">
        <v>807</v>
      </c>
      <c r="B27" s="62" t="s">
        <v>16</v>
      </c>
      <c r="C27" s="533" t="s">
        <v>30</v>
      </c>
      <c r="D27" s="533"/>
      <c r="E27" s="62">
        <v>31.29</v>
      </c>
      <c r="F27" s="183">
        <v>6510</v>
      </c>
      <c r="G27" s="176">
        <f t="shared" si="22"/>
        <v>203697.9</v>
      </c>
      <c r="H27" s="90" t="s">
        <v>5</v>
      </c>
      <c r="I27" s="181">
        <v>18</v>
      </c>
      <c r="J27" s="63">
        <v>2400</v>
      </c>
      <c r="K27" s="64">
        <f t="shared" si="1"/>
        <v>133.33333333333334</v>
      </c>
      <c r="L27" s="181">
        <v>18</v>
      </c>
      <c r="M27" s="65">
        <f t="shared" si="23"/>
        <v>2284.2105263157891</v>
      </c>
      <c r="N27" s="64">
        <f t="shared" si="3"/>
        <v>126.90058479532162</v>
      </c>
      <c r="O27" s="66">
        <f t="shared" si="4"/>
        <v>0</v>
      </c>
      <c r="P27" s="67">
        <f t="shared" si="5"/>
        <v>-6.4327485380117224</v>
      </c>
      <c r="Q27" s="177">
        <f t="shared" si="6"/>
        <v>0.95175438596491213</v>
      </c>
      <c r="R27" s="511"/>
      <c r="S27" s="68">
        <v>0.61736111111111114</v>
      </c>
      <c r="T27" s="68">
        <v>0.73611111111111116</v>
      </c>
      <c r="U27" s="176">
        <f t="shared" si="25"/>
        <v>5.9999999999999787</v>
      </c>
      <c r="V27" s="182">
        <f t="shared" si="24"/>
        <v>171.00000000000003</v>
      </c>
      <c r="W27" s="69"/>
      <c r="X27" s="69"/>
      <c r="Y27" s="510"/>
      <c r="Z27" s="510"/>
      <c r="AA27" s="66">
        <f t="shared" si="8"/>
        <v>-115.78947368421086</v>
      </c>
      <c r="AB27" s="177">
        <f t="shared" si="9"/>
        <v>0.95175438596491213</v>
      </c>
      <c r="AC27" s="511"/>
    </row>
    <row r="28" spans="1:29" ht="15.75" customHeight="1">
      <c r="A28" s="536" t="s">
        <v>807</v>
      </c>
      <c r="B28" s="62" t="s">
        <v>712</v>
      </c>
      <c r="C28" s="513"/>
      <c r="D28" s="513"/>
      <c r="E28" s="178"/>
      <c r="F28" s="183"/>
      <c r="G28" s="176"/>
      <c r="H28" s="183"/>
      <c r="I28" s="72">
        <v>17.142857142857142</v>
      </c>
      <c r="J28" s="63">
        <v>2400</v>
      </c>
      <c r="K28" s="64">
        <f t="shared" si="1"/>
        <v>140</v>
      </c>
      <c r="L28" s="72">
        <v>17.142857142857142</v>
      </c>
      <c r="M28" s="65">
        <f>AVERAGE(M21:M27)</f>
        <v>2296.8624239410719</v>
      </c>
      <c r="N28" s="64">
        <f t="shared" si="3"/>
        <v>133.98364139656255</v>
      </c>
      <c r="O28" s="66">
        <f t="shared" si="4"/>
        <v>0</v>
      </c>
      <c r="P28" s="67">
        <f t="shared" si="5"/>
        <v>-6.0163586034374532</v>
      </c>
      <c r="Q28" s="177">
        <f t="shared" si="6"/>
        <v>0.95702600997544673</v>
      </c>
      <c r="R28" s="511"/>
      <c r="S28" s="68"/>
      <c r="T28" s="68"/>
      <c r="U28" s="176"/>
      <c r="V28" s="182"/>
      <c r="W28" s="176"/>
      <c r="X28" s="176"/>
      <c r="Y28" s="510"/>
      <c r="Z28" s="510"/>
      <c r="AA28" s="66">
        <f t="shared" si="8"/>
        <v>-103.13757605892806</v>
      </c>
      <c r="AB28" s="177">
        <f t="shared" si="9"/>
        <v>0.95702600997544662</v>
      </c>
      <c r="AC28" s="511"/>
    </row>
    <row r="29" spans="1:29" ht="15.75" customHeight="1">
      <c r="A29" s="531" t="s">
        <v>808</v>
      </c>
      <c r="B29" s="62" t="s">
        <v>16</v>
      </c>
      <c r="C29" s="512" t="s">
        <v>31</v>
      </c>
      <c r="D29" s="512"/>
      <c r="E29" s="62">
        <v>26.2</v>
      </c>
      <c r="F29" s="183">
        <v>8106</v>
      </c>
      <c r="G29" s="176">
        <f t="shared" ref="G29:G35" si="26">E29*F29</f>
        <v>212377.19999999998</v>
      </c>
      <c r="H29" s="90" t="s">
        <v>5</v>
      </c>
      <c r="I29" s="181">
        <v>18</v>
      </c>
      <c r="J29" s="63">
        <v>2400</v>
      </c>
      <c r="K29" s="64">
        <f t="shared" si="1"/>
        <v>133.33333333333334</v>
      </c>
      <c r="L29" s="181">
        <v>18</v>
      </c>
      <c r="M29" s="65">
        <f t="shared" ref="M29:M35" si="27">F29/V29*60</f>
        <v>2283.3802816901402</v>
      </c>
      <c r="N29" s="64">
        <f t="shared" si="3"/>
        <v>126.85446009389668</v>
      </c>
      <c r="O29" s="66">
        <f t="shared" si="4"/>
        <v>0</v>
      </c>
      <c r="P29" s="67">
        <f t="shared" si="5"/>
        <v>-6.4788732394366662</v>
      </c>
      <c r="Q29" s="177">
        <f t="shared" si="6"/>
        <v>0.95140845070422497</v>
      </c>
      <c r="R29" s="511">
        <f>Q36</f>
        <v>0.95436842113601283</v>
      </c>
      <c r="S29" s="68">
        <v>0.125</v>
      </c>
      <c r="T29" s="68">
        <v>0.2729166666666667</v>
      </c>
      <c r="U29" s="176"/>
      <c r="V29" s="182">
        <f t="shared" ref="V29:V35" si="28">(T29-S29)*24*60</f>
        <v>213.00000000000006</v>
      </c>
      <c r="W29" s="73">
        <f>T29</f>
        <v>0.2729166666666667</v>
      </c>
      <c r="X29" s="73">
        <f>S30</f>
        <v>0.29375000000000001</v>
      </c>
      <c r="Y29" s="510"/>
      <c r="Z29" s="510"/>
      <c r="AA29" s="66">
        <f t="shared" si="8"/>
        <v>-116.61971830985976</v>
      </c>
      <c r="AB29" s="177">
        <f t="shared" si="9"/>
        <v>0.95140845070422508</v>
      </c>
      <c r="AC29" s="511">
        <f>AB36</f>
        <v>0.95436842113601306</v>
      </c>
    </row>
    <row r="30" spans="1:29" ht="15.75" customHeight="1">
      <c r="A30" s="531" t="s">
        <v>808</v>
      </c>
      <c r="B30" s="62" t="s">
        <v>16</v>
      </c>
      <c r="C30" s="512" t="s">
        <v>32</v>
      </c>
      <c r="D30" s="512"/>
      <c r="E30" s="62">
        <v>26.39</v>
      </c>
      <c r="F30" s="183">
        <v>3500</v>
      </c>
      <c r="G30" s="176">
        <f t="shared" si="26"/>
        <v>92365</v>
      </c>
      <c r="H30" s="90">
        <v>2</v>
      </c>
      <c r="I30" s="181">
        <v>19</v>
      </c>
      <c r="J30" s="63">
        <v>2400</v>
      </c>
      <c r="K30" s="64">
        <f t="shared" si="1"/>
        <v>126.31578947368421</v>
      </c>
      <c r="L30" s="181">
        <v>19</v>
      </c>
      <c r="M30" s="65">
        <f t="shared" si="27"/>
        <v>2307.6923076923076</v>
      </c>
      <c r="N30" s="64">
        <f t="shared" si="3"/>
        <v>121.4574898785425</v>
      </c>
      <c r="O30" s="66">
        <f t="shared" si="4"/>
        <v>0</v>
      </c>
      <c r="P30" s="67">
        <f t="shared" si="5"/>
        <v>-4.8582995951417018</v>
      </c>
      <c r="Q30" s="177">
        <f t="shared" si="6"/>
        <v>0.96153846153846156</v>
      </c>
      <c r="R30" s="511"/>
      <c r="S30" s="68">
        <v>0.29375000000000001</v>
      </c>
      <c r="T30" s="68">
        <v>0.35694444444444445</v>
      </c>
      <c r="U30" s="176">
        <f t="shared" ref="U30:U35" si="29">(S30-T29)*24*60</f>
        <v>29.999999999999972</v>
      </c>
      <c r="V30" s="182">
        <f t="shared" si="28"/>
        <v>91</v>
      </c>
      <c r="W30" s="176"/>
      <c r="X30" s="176"/>
      <c r="Y30" s="510"/>
      <c r="Z30" s="510"/>
      <c r="AA30" s="66">
        <f t="shared" si="8"/>
        <v>-92.307692307692378</v>
      </c>
      <c r="AB30" s="177">
        <f t="shared" si="9"/>
        <v>0.96153846153846156</v>
      </c>
      <c r="AC30" s="511"/>
    </row>
    <row r="31" spans="1:29">
      <c r="A31" s="532" t="s">
        <v>808</v>
      </c>
      <c r="B31" s="62" t="s">
        <v>16</v>
      </c>
      <c r="C31" s="512" t="s">
        <v>50</v>
      </c>
      <c r="D31" s="512"/>
      <c r="E31" s="62">
        <v>20.52</v>
      </c>
      <c r="F31" s="183">
        <v>5766</v>
      </c>
      <c r="G31" s="176">
        <f t="shared" si="26"/>
        <v>118318.31999999999</v>
      </c>
      <c r="H31" s="90" t="s">
        <v>5</v>
      </c>
      <c r="I31" s="181">
        <v>18</v>
      </c>
      <c r="J31" s="63">
        <v>2400</v>
      </c>
      <c r="K31" s="64">
        <f t="shared" si="1"/>
        <v>133.33333333333334</v>
      </c>
      <c r="L31" s="181">
        <v>18</v>
      </c>
      <c r="M31" s="65">
        <f t="shared" si="27"/>
        <v>2291.1258278145692</v>
      </c>
      <c r="N31" s="64">
        <f t="shared" si="3"/>
        <v>127.28476821192051</v>
      </c>
      <c r="O31" s="66">
        <f t="shared" si="4"/>
        <v>0</v>
      </c>
      <c r="P31" s="67">
        <f t="shared" si="5"/>
        <v>-6.0485651214128353</v>
      </c>
      <c r="Q31" s="177">
        <f t="shared" si="6"/>
        <v>0.95463576158940378</v>
      </c>
      <c r="R31" s="511"/>
      <c r="S31" s="68">
        <v>0.36249999999999999</v>
      </c>
      <c r="T31" s="68">
        <v>0.46736111111111112</v>
      </c>
      <c r="U31" s="176">
        <f t="shared" si="29"/>
        <v>7.9999999999999716</v>
      </c>
      <c r="V31" s="182">
        <f t="shared" si="28"/>
        <v>151.00000000000003</v>
      </c>
      <c r="W31" s="176"/>
      <c r="X31" s="176"/>
      <c r="Y31" s="510"/>
      <c r="Z31" s="510"/>
      <c r="AA31" s="66">
        <f t="shared" si="8"/>
        <v>-108.87417218543078</v>
      </c>
      <c r="AB31" s="177">
        <f t="shared" si="9"/>
        <v>0.95463576158940389</v>
      </c>
      <c r="AC31" s="511"/>
    </row>
    <row r="32" spans="1:29">
      <c r="A32" s="532" t="s">
        <v>808</v>
      </c>
      <c r="B32" s="62" t="s">
        <v>16</v>
      </c>
      <c r="C32" s="512" t="s">
        <v>18</v>
      </c>
      <c r="D32" s="512"/>
      <c r="E32" s="62">
        <v>22.35</v>
      </c>
      <c r="F32" s="183">
        <v>2324</v>
      </c>
      <c r="G32" s="176">
        <f t="shared" si="26"/>
        <v>51941.4</v>
      </c>
      <c r="H32" s="90" t="s">
        <v>5</v>
      </c>
      <c r="I32" s="181">
        <v>16</v>
      </c>
      <c r="J32" s="63">
        <v>2400</v>
      </c>
      <c r="K32" s="64">
        <f t="shared" si="1"/>
        <v>150</v>
      </c>
      <c r="L32" s="181">
        <v>16</v>
      </c>
      <c r="M32" s="65">
        <f t="shared" si="27"/>
        <v>2285.9016393442644</v>
      </c>
      <c r="N32" s="64">
        <f t="shared" si="3"/>
        <v>142.86885245901652</v>
      </c>
      <c r="O32" s="66">
        <f t="shared" si="4"/>
        <v>0</v>
      </c>
      <c r="P32" s="67">
        <f t="shared" si="5"/>
        <v>-7.131147540983477</v>
      </c>
      <c r="Q32" s="177">
        <f t="shared" si="6"/>
        <v>0.95245901639344344</v>
      </c>
      <c r="R32" s="511"/>
      <c r="S32" s="68">
        <v>0.47083333333333333</v>
      </c>
      <c r="T32" s="68">
        <v>0.5131944444444444</v>
      </c>
      <c r="U32" s="176">
        <f t="shared" si="29"/>
        <v>4.9999999999999822</v>
      </c>
      <c r="V32" s="182">
        <f t="shared" si="28"/>
        <v>60.999999999999943</v>
      </c>
      <c r="W32" s="69"/>
      <c r="X32" s="69"/>
      <c r="Y32" s="510"/>
      <c r="Z32" s="510"/>
      <c r="AA32" s="66">
        <f t="shared" si="8"/>
        <v>-114.09836065573563</v>
      </c>
      <c r="AB32" s="177">
        <f t="shared" si="9"/>
        <v>0.95245901639344344</v>
      </c>
      <c r="AC32" s="511"/>
    </row>
    <row r="33" spans="1:29">
      <c r="A33" s="532" t="s">
        <v>809</v>
      </c>
      <c r="B33" s="62" t="s">
        <v>16</v>
      </c>
      <c r="C33" s="512" t="s">
        <v>33</v>
      </c>
      <c r="D33" s="512"/>
      <c r="E33" s="62">
        <v>24.43</v>
      </c>
      <c r="F33" s="183">
        <v>3500</v>
      </c>
      <c r="G33" s="176">
        <f t="shared" si="26"/>
        <v>85505</v>
      </c>
      <c r="H33" s="90">
        <v>2</v>
      </c>
      <c r="I33" s="181">
        <v>14</v>
      </c>
      <c r="J33" s="63">
        <v>2400</v>
      </c>
      <c r="K33" s="64">
        <f t="shared" si="1"/>
        <v>171.42857142857142</v>
      </c>
      <c r="L33" s="181">
        <v>14</v>
      </c>
      <c r="M33" s="65">
        <f t="shared" si="27"/>
        <v>2282.608695652174</v>
      </c>
      <c r="N33" s="64">
        <f t="shared" si="3"/>
        <v>163.04347826086956</v>
      </c>
      <c r="O33" s="66">
        <f t="shared" si="4"/>
        <v>0</v>
      </c>
      <c r="P33" s="67">
        <f t="shared" si="5"/>
        <v>-8.3850931677018536</v>
      </c>
      <c r="Q33" s="177">
        <f t="shared" si="6"/>
        <v>0.95108695652173914</v>
      </c>
      <c r="R33" s="511"/>
      <c r="S33" s="68">
        <v>0.51666666666666661</v>
      </c>
      <c r="T33" s="68">
        <v>0.58055555555555549</v>
      </c>
      <c r="U33" s="176">
        <f t="shared" si="29"/>
        <v>4.9999999999999822</v>
      </c>
      <c r="V33" s="182">
        <f t="shared" si="28"/>
        <v>92</v>
      </c>
      <c r="W33" s="69"/>
      <c r="X33" s="69"/>
      <c r="Y33" s="510"/>
      <c r="Z33" s="510"/>
      <c r="AA33" s="66">
        <f t="shared" si="8"/>
        <v>-117.39130434782601</v>
      </c>
      <c r="AB33" s="177">
        <f t="shared" si="9"/>
        <v>0.95108695652173914</v>
      </c>
      <c r="AC33" s="511"/>
    </row>
    <row r="34" spans="1:29">
      <c r="A34" s="532" t="s">
        <v>808</v>
      </c>
      <c r="B34" s="62" t="s">
        <v>16</v>
      </c>
      <c r="C34" s="512" t="s">
        <v>33</v>
      </c>
      <c r="D34" s="512"/>
      <c r="E34" s="62">
        <v>24.43</v>
      </c>
      <c r="F34" s="183">
        <v>6350</v>
      </c>
      <c r="G34" s="176">
        <f t="shared" si="26"/>
        <v>155130.5</v>
      </c>
      <c r="H34" s="90" t="s">
        <v>5</v>
      </c>
      <c r="I34" s="181">
        <v>14</v>
      </c>
      <c r="J34" s="63">
        <v>2400</v>
      </c>
      <c r="K34" s="64">
        <f t="shared" si="1"/>
        <v>171.42857142857142</v>
      </c>
      <c r="L34" s="181">
        <v>14</v>
      </c>
      <c r="M34" s="65">
        <f t="shared" si="27"/>
        <v>2295.1807228915654</v>
      </c>
      <c r="N34" s="64">
        <f t="shared" si="3"/>
        <v>163.94148020654038</v>
      </c>
      <c r="O34" s="66">
        <f t="shared" si="4"/>
        <v>0</v>
      </c>
      <c r="P34" s="67">
        <f t="shared" si="5"/>
        <v>-7.4870912220310402</v>
      </c>
      <c r="Q34" s="177">
        <f t="shared" si="6"/>
        <v>0.95632530120481896</v>
      </c>
      <c r="R34" s="511"/>
      <c r="S34" s="68">
        <v>0.5840277777777777</v>
      </c>
      <c r="T34" s="68">
        <v>0.69930555555555551</v>
      </c>
      <c r="U34" s="176">
        <f t="shared" si="29"/>
        <v>4.9999999999999822</v>
      </c>
      <c r="V34" s="182">
        <f t="shared" si="28"/>
        <v>166.00000000000006</v>
      </c>
      <c r="W34" s="69"/>
      <c r="X34" s="69"/>
      <c r="Y34" s="510"/>
      <c r="Z34" s="510"/>
      <c r="AA34" s="66">
        <f t="shared" si="8"/>
        <v>-104.81927710843456</v>
      </c>
      <c r="AB34" s="177">
        <f t="shared" si="9"/>
        <v>0.95632530120481896</v>
      </c>
      <c r="AC34" s="511"/>
    </row>
    <row r="35" spans="1:29">
      <c r="A35" s="532" t="s">
        <v>808</v>
      </c>
      <c r="B35" s="62" t="s">
        <v>16</v>
      </c>
      <c r="C35" s="512" t="s">
        <v>32</v>
      </c>
      <c r="D35" s="512"/>
      <c r="E35" s="62">
        <v>26.39</v>
      </c>
      <c r="F35" s="183">
        <v>4270</v>
      </c>
      <c r="G35" s="176">
        <f t="shared" si="26"/>
        <v>112685.3</v>
      </c>
      <c r="H35" s="90" t="s">
        <v>5</v>
      </c>
      <c r="I35" s="181">
        <v>19</v>
      </c>
      <c r="J35" s="63">
        <v>2400</v>
      </c>
      <c r="K35" s="64">
        <f t="shared" si="1"/>
        <v>126.31578947368421</v>
      </c>
      <c r="L35" s="181">
        <v>19</v>
      </c>
      <c r="M35" s="65">
        <f t="shared" si="27"/>
        <v>2287.4999999999982</v>
      </c>
      <c r="N35" s="64">
        <f t="shared" si="3"/>
        <v>120.39473684210516</v>
      </c>
      <c r="O35" s="66">
        <f t="shared" si="4"/>
        <v>0</v>
      </c>
      <c r="P35" s="67">
        <f t="shared" si="5"/>
        <v>-5.9210526315790446</v>
      </c>
      <c r="Q35" s="177">
        <f t="shared" si="6"/>
        <v>0.95312499999999922</v>
      </c>
      <c r="R35" s="511"/>
      <c r="S35" s="68">
        <v>0.70486111111111105</v>
      </c>
      <c r="T35" s="68">
        <v>0.78263888888888888</v>
      </c>
      <c r="U35" s="176">
        <f t="shared" si="29"/>
        <v>7.9999999999999716</v>
      </c>
      <c r="V35" s="182">
        <f t="shared" si="28"/>
        <v>112.00000000000009</v>
      </c>
      <c r="W35" s="69"/>
      <c r="X35" s="69"/>
      <c r="Y35" s="517"/>
      <c r="Z35" s="518"/>
      <c r="AA35" s="66">
        <f t="shared" si="8"/>
        <v>-112.50000000000182</v>
      </c>
      <c r="AB35" s="177">
        <f t="shared" si="9"/>
        <v>0.95312499999999922</v>
      </c>
      <c r="AC35" s="511"/>
    </row>
    <row r="36" spans="1:29">
      <c r="A36" s="532" t="s">
        <v>808</v>
      </c>
      <c r="B36" s="71" t="s">
        <v>712</v>
      </c>
      <c r="C36" s="513"/>
      <c r="D36" s="513"/>
      <c r="E36" s="178"/>
      <c r="F36" s="71"/>
      <c r="G36" s="64"/>
      <c r="H36" s="183"/>
      <c r="I36" s="72">
        <v>16.857142857142858</v>
      </c>
      <c r="J36" s="63">
        <v>2400</v>
      </c>
      <c r="K36" s="64">
        <f t="shared" si="1"/>
        <v>142.37288135593221</v>
      </c>
      <c r="L36" s="72">
        <v>16.857142857142858</v>
      </c>
      <c r="M36" s="65">
        <f>AVERAGE(M29:M35)</f>
        <v>2290.4842107264312</v>
      </c>
      <c r="N36" s="64">
        <f t="shared" si="3"/>
        <v>135.8761819922459</v>
      </c>
      <c r="O36" s="66">
        <f t="shared" si="4"/>
        <v>0</v>
      </c>
      <c r="P36" s="67">
        <f t="shared" si="5"/>
        <v>-6.4966993636863037</v>
      </c>
      <c r="Q36" s="177">
        <f t="shared" si="6"/>
        <v>0.95436842113601283</v>
      </c>
      <c r="R36" s="511"/>
      <c r="S36" s="68"/>
      <c r="T36" s="68"/>
      <c r="U36" s="64"/>
      <c r="V36" s="182"/>
      <c r="W36" s="64"/>
      <c r="X36" s="64"/>
      <c r="Y36" s="510"/>
      <c r="Z36" s="510"/>
      <c r="AA36" s="66">
        <f t="shared" si="8"/>
        <v>-109.51578927356877</v>
      </c>
      <c r="AB36" s="177">
        <f t="shared" si="9"/>
        <v>0.95436842113601306</v>
      </c>
      <c r="AC36" s="511"/>
    </row>
    <row r="37" spans="1:29" ht="15.75" customHeight="1">
      <c r="A37" s="525" t="s">
        <v>810</v>
      </c>
      <c r="B37" s="62" t="s">
        <v>35</v>
      </c>
      <c r="C37" s="521" t="s">
        <v>36</v>
      </c>
      <c r="D37" s="522"/>
      <c r="E37" s="62">
        <v>21.13</v>
      </c>
      <c r="F37" s="183">
        <v>2800</v>
      </c>
      <c r="G37" s="176">
        <f t="shared" ref="G37:G46" si="30">E37*F37</f>
        <v>59164</v>
      </c>
      <c r="H37" s="90">
        <v>2</v>
      </c>
      <c r="I37" s="181">
        <v>10</v>
      </c>
      <c r="J37" s="63">
        <v>3000</v>
      </c>
      <c r="K37" s="64">
        <f t="shared" si="1"/>
        <v>300</v>
      </c>
      <c r="L37" s="181">
        <v>10</v>
      </c>
      <c r="M37" s="65">
        <f t="shared" ref="M37:M46" si="31">F37/V37*60</f>
        <v>2896.5517241379312</v>
      </c>
      <c r="N37" s="65">
        <f t="shared" si="3"/>
        <v>289.65517241379314</v>
      </c>
      <c r="O37" s="66">
        <f t="shared" si="4"/>
        <v>0</v>
      </c>
      <c r="P37" s="67">
        <f t="shared" si="5"/>
        <v>-10.344827586206861</v>
      </c>
      <c r="Q37" s="177">
        <f t="shared" si="6"/>
        <v>0.9655172413793105</v>
      </c>
      <c r="R37" s="528">
        <f>Q47</f>
        <v>0.95840287385268408</v>
      </c>
      <c r="S37" s="68">
        <v>0.125</v>
      </c>
      <c r="T37" s="68">
        <v>0.16527777777777777</v>
      </c>
      <c r="U37" s="73"/>
      <c r="V37" s="182">
        <f t="shared" ref="V37:V46" si="32">(T37-S37)*24*60</f>
        <v>57.999999999999993</v>
      </c>
      <c r="W37" s="69">
        <f>T37</f>
        <v>0.16527777777777777</v>
      </c>
      <c r="X37" s="69">
        <f>S38</f>
        <v>0.18402777777777776</v>
      </c>
      <c r="Y37" s="517"/>
      <c r="Z37" s="518"/>
      <c r="AA37" s="66">
        <f t="shared" si="8"/>
        <v>-103.44827586206884</v>
      </c>
      <c r="AB37" s="177">
        <f t="shared" si="9"/>
        <v>0.96551724137931039</v>
      </c>
      <c r="AC37" s="528">
        <f>AB47</f>
        <v>0.95840287385268408</v>
      </c>
    </row>
    <row r="38" spans="1:29" ht="15.75" customHeight="1">
      <c r="A38" s="526" t="s">
        <v>810</v>
      </c>
      <c r="B38" s="62" t="s">
        <v>35</v>
      </c>
      <c r="C38" s="521" t="s">
        <v>37</v>
      </c>
      <c r="D38" s="522"/>
      <c r="E38" s="62">
        <v>27.17</v>
      </c>
      <c r="F38" s="183">
        <v>3300</v>
      </c>
      <c r="G38" s="176">
        <f t="shared" si="30"/>
        <v>89661</v>
      </c>
      <c r="H38" s="90">
        <v>2</v>
      </c>
      <c r="I38" s="181">
        <v>10</v>
      </c>
      <c r="J38" s="63">
        <v>3000</v>
      </c>
      <c r="K38" s="64">
        <f t="shared" si="1"/>
        <v>300</v>
      </c>
      <c r="L38" s="181">
        <v>10</v>
      </c>
      <c r="M38" s="65">
        <f t="shared" si="31"/>
        <v>2869.5652173913045</v>
      </c>
      <c r="N38" s="65">
        <f t="shared" si="3"/>
        <v>286.95652173913044</v>
      </c>
      <c r="O38" s="66">
        <f t="shared" si="4"/>
        <v>0</v>
      </c>
      <c r="P38" s="67">
        <f t="shared" si="5"/>
        <v>-13.043478260869563</v>
      </c>
      <c r="Q38" s="177">
        <f t="shared" si="6"/>
        <v>0.95652173913043481</v>
      </c>
      <c r="R38" s="529"/>
      <c r="S38" s="68">
        <v>0.18402777777777776</v>
      </c>
      <c r="T38" s="68">
        <v>0.23194444444444443</v>
      </c>
      <c r="U38" s="176">
        <f t="shared" ref="U38:U46" si="33">(S38-T37)*24*60</f>
        <v>26.999999999999986</v>
      </c>
      <c r="V38" s="182">
        <f t="shared" si="32"/>
        <v>69</v>
      </c>
      <c r="W38" s="69"/>
      <c r="X38" s="69"/>
      <c r="Y38" s="517"/>
      <c r="Z38" s="518"/>
      <c r="AA38" s="66">
        <f t="shared" si="8"/>
        <v>-130.43478260869551</v>
      </c>
      <c r="AB38" s="177">
        <f t="shared" si="9"/>
        <v>0.95652173913043481</v>
      </c>
      <c r="AC38" s="529"/>
    </row>
    <row r="39" spans="1:29" ht="15.75" customHeight="1">
      <c r="A39" s="526" t="s">
        <v>810</v>
      </c>
      <c r="B39" s="62" t="s">
        <v>35</v>
      </c>
      <c r="C39" s="521" t="s">
        <v>38</v>
      </c>
      <c r="D39" s="522"/>
      <c r="E39" s="62">
        <v>35.119999999999997</v>
      </c>
      <c r="F39" s="183">
        <v>4958</v>
      </c>
      <c r="G39" s="176">
        <f t="shared" si="30"/>
        <v>174124.96</v>
      </c>
      <c r="H39" s="90" t="s">
        <v>5</v>
      </c>
      <c r="I39" s="181">
        <v>10</v>
      </c>
      <c r="J39" s="63">
        <v>3000</v>
      </c>
      <c r="K39" s="64">
        <f t="shared" si="1"/>
        <v>300</v>
      </c>
      <c r="L39" s="181">
        <v>10</v>
      </c>
      <c r="M39" s="65">
        <f t="shared" si="31"/>
        <v>2860.3846153846148</v>
      </c>
      <c r="N39" s="65">
        <f t="shared" si="3"/>
        <v>286.03846153846149</v>
      </c>
      <c r="O39" s="66">
        <f t="shared" si="4"/>
        <v>0</v>
      </c>
      <c r="P39" s="67">
        <f t="shared" si="5"/>
        <v>-13.96153846153851</v>
      </c>
      <c r="Q39" s="177">
        <f t="shared" si="6"/>
        <v>0.95346153846153825</v>
      </c>
      <c r="R39" s="529"/>
      <c r="S39" s="68">
        <v>0.23749999999999999</v>
      </c>
      <c r="T39" s="68">
        <v>0.30972222222222223</v>
      </c>
      <c r="U39" s="176">
        <f t="shared" si="33"/>
        <v>8.0000000000000107</v>
      </c>
      <c r="V39" s="182">
        <f t="shared" si="32"/>
        <v>104.00000000000003</v>
      </c>
      <c r="W39" s="69"/>
      <c r="X39" s="69"/>
      <c r="Y39" s="517"/>
      <c r="Z39" s="518"/>
      <c r="AA39" s="66">
        <f t="shared" si="8"/>
        <v>-139.61538461538521</v>
      </c>
      <c r="AB39" s="177">
        <f t="shared" si="9"/>
        <v>0.95346153846153825</v>
      </c>
      <c r="AC39" s="529"/>
    </row>
    <row r="40" spans="1:29" ht="15.75" customHeight="1">
      <c r="A40" s="526" t="s">
        <v>810</v>
      </c>
      <c r="B40" s="62" t="s">
        <v>35</v>
      </c>
      <c r="C40" s="521" t="s">
        <v>39</v>
      </c>
      <c r="D40" s="522"/>
      <c r="E40" s="62">
        <v>35.869999999999997</v>
      </c>
      <c r="F40" s="183">
        <v>3089</v>
      </c>
      <c r="G40" s="176">
        <f t="shared" si="30"/>
        <v>110802.43</v>
      </c>
      <c r="H40" s="90" t="s">
        <v>5</v>
      </c>
      <c r="I40" s="181">
        <v>9</v>
      </c>
      <c r="J40" s="63">
        <v>3000</v>
      </c>
      <c r="K40" s="64">
        <f t="shared" si="1"/>
        <v>333.33333333333331</v>
      </c>
      <c r="L40" s="181">
        <v>9</v>
      </c>
      <c r="M40" s="65">
        <f t="shared" si="31"/>
        <v>2895.9374999999991</v>
      </c>
      <c r="N40" s="65">
        <f t="shared" si="3"/>
        <v>321.77083333333326</v>
      </c>
      <c r="O40" s="66">
        <f t="shared" si="4"/>
        <v>0</v>
      </c>
      <c r="P40" s="67">
        <f t="shared" si="5"/>
        <v>-11.562500000000057</v>
      </c>
      <c r="Q40" s="177">
        <f t="shared" si="6"/>
        <v>0.9653124999999998</v>
      </c>
      <c r="R40" s="529"/>
      <c r="S40" s="68">
        <v>0.31319444444444444</v>
      </c>
      <c r="T40" s="68">
        <v>0.3576388888888889</v>
      </c>
      <c r="U40" s="176">
        <f t="shared" si="33"/>
        <v>4.9999999999999822</v>
      </c>
      <c r="V40" s="182">
        <f t="shared" si="32"/>
        <v>64.000000000000014</v>
      </c>
      <c r="W40" s="69"/>
      <c r="X40" s="69"/>
      <c r="Y40" s="517"/>
      <c r="Z40" s="518"/>
      <c r="AA40" s="66">
        <f t="shared" si="8"/>
        <v>-104.06250000000091</v>
      </c>
      <c r="AB40" s="177">
        <f t="shared" si="9"/>
        <v>0.96531249999999968</v>
      </c>
      <c r="AC40" s="529"/>
    </row>
    <row r="41" spans="1:29" ht="15.75" customHeight="1">
      <c r="A41" s="526" t="s">
        <v>810</v>
      </c>
      <c r="B41" s="62" t="s">
        <v>35</v>
      </c>
      <c r="C41" s="521" t="s">
        <v>40</v>
      </c>
      <c r="D41" s="522"/>
      <c r="E41" s="62">
        <v>36.14</v>
      </c>
      <c r="F41" s="183">
        <v>1500</v>
      </c>
      <c r="G41" s="176">
        <f t="shared" si="30"/>
        <v>54210</v>
      </c>
      <c r="H41" s="90" t="s">
        <v>5</v>
      </c>
      <c r="I41" s="181">
        <v>9</v>
      </c>
      <c r="J41" s="63">
        <v>3000</v>
      </c>
      <c r="K41" s="64">
        <f t="shared" si="1"/>
        <v>333.33333333333331</v>
      </c>
      <c r="L41" s="181">
        <v>9</v>
      </c>
      <c r="M41" s="65">
        <f t="shared" si="31"/>
        <v>2903.2258064516154</v>
      </c>
      <c r="N41" s="65">
        <f t="shared" si="3"/>
        <v>322.58064516129059</v>
      </c>
      <c r="O41" s="66">
        <f t="shared" si="4"/>
        <v>0</v>
      </c>
      <c r="P41" s="67">
        <f t="shared" si="5"/>
        <v>-10.752688172042724</v>
      </c>
      <c r="Q41" s="177">
        <f t="shared" si="6"/>
        <v>0.96774193548387177</v>
      </c>
      <c r="R41" s="529"/>
      <c r="S41" s="68">
        <v>0.3611111111111111</v>
      </c>
      <c r="T41" s="68">
        <v>0.38263888888888886</v>
      </c>
      <c r="U41" s="176">
        <f t="shared" si="33"/>
        <v>4.9999999999999822</v>
      </c>
      <c r="V41" s="182">
        <f t="shared" si="32"/>
        <v>30.999999999999972</v>
      </c>
      <c r="W41" s="69"/>
      <c r="X41" s="69"/>
      <c r="Y41" s="517"/>
      <c r="Z41" s="518"/>
      <c r="AA41" s="66">
        <f t="shared" si="8"/>
        <v>-96.774193548384574</v>
      </c>
      <c r="AB41" s="177">
        <f t="shared" si="9"/>
        <v>0.96774193548387177</v>
      </c>
      <c r="AC41" s="529"/>
    </row>
    <row r="42" spans="1:29" ht="15.75" customHeight="1">
      <c r="A42" s="526" t="s">
        <v>810</v>
      </c>
      <c r="B42" s="62" t="s">
        <v>35</v>
      </c>
      <c r="C42" s="521" t="s">
        <v>74</v>
      </c>
      <c r="D42" s="522"/>
      <c r="E42" s="62">
        <v>34.36</v>
      </c>
      <c r="F42" s="183">
        <v>3146</v>
      </c>
      <c r="G42" s="176">
        <f t="shared" si="30"/>
        <v>108096.56</v>
      </c>
      <c r="H42" s="90" t="s">
        <v>5</v>
      </c>
      <c r="I42" s="181">
        <v>10</v>
      </c>
      <c r="J42" s="63">
        <v>3000</v>
      </c>
      <c r="K42" s="64">
        <f t="shared" si="1"/>
        <v>300</v>
      </c>
      <c r="L42" s="181">
        <v>10</v>
      </c>
      <c r="M42" s="65">
        <f t="shared" si="31"/>
        <v>2860</v>
      </c>
      <c r="N42" s="65">
        <f t="shared" si="3"/>
        <v>286</v>
      </c>
      <c r="O42" s="66">
        <f t="shared" si="4"/>
        <v>0</v>
      </c>
      <c r="P42" s="67">
        <f t="shared" si="5"/>
        <v>-14</v>
      </c>
      <c r="Q42" s="177">
        <f t="shared" si="6"/>
        <v>0.95333333333333337</v>
      </c>
      <c r="R42" s="529"/>
      <c r="S42" s="68">
        <v>0.38680555555555551</v>
      </c>
      <c r="T42" s="68">
        <v>0.43263888888888885</v>
      </c>
      <c r="U42" s="176">
        <f t="shared" si="33"/>
        <v>5.9999999999999787</v>
      </c>
      <c r="V42" s="182">
        <f t="shared" si="32"/>
        <v>66</v>
      </c>
      <c r="W42" s="69"/>
      <c r="X42" s="69"/>
      <c r="Y42" s="517"/>
      <c r="Z42" s="518"/>
      <c r="AA42" s="66">
        <f t="shared" si="8"/>
        <v>-140</v>
      </c>
      <c r="AB42" s="177">
        <f t="shared" si="9"/>
        <v>0.95333333333333337</v>
      </c>
      <c r="AC42" s="529"/>
    </row>
    <row r="43" spans="1:29" ht="15.75" customHeight="1">
      <c r="A43" s="526" t="s">
        <v>810</v>
      </c>
      <c r="B43" s="62" t="s">
        <v>35</v>
      </c>
      <c r="C43" s="521" t="s">
        <v>84</v>
      </c>
      <c r="D43" s="522"/>
      <c r="E43" s="62">
        <v>31</v>
      </c>
      <c r="F43" s="183">
        <v>3500</v>
      </c>
      <c r="G43" s="176">
        <f t="shared" si="30"/>
        <v>108500</v>
      </c>
      <c r="H43" s="90">
        <v>2</v>
      </c>
      <c r="I43" s="181">
        <v>13</v>
      </c>
      <c r="J43" s="63">
        <v>2000</v>
      </c>
      <c r="K43" s="64">
        <f t="shared" si="1"/>
        <v>153.84615384615384</v>
      </c>
      <c r="L43" s="181">
        <v>13</v>
      </c>
      <c r="M43" s="65">
        <f t="shared" si="31"/>
        <v>1909.0909090909088</v>
      </c>
      <c r="N43" s="65">
        <f t="shared" si="3"/>
        <v>146.85314685314682</v>
      </c>
      <c r="O43" s="66">
        <f t="shared" si="4"/>
        <v>0</v>
      </c>
      <c r="P43" s="67">
        <f t="shared" si="5"/>
        <v>-6.9930069930070147</v>
      </c>
      <c r="Q43" s="177">
        <f t="shared" si="6"/>
        <v>0.95454545454545436</v>
      </c>
      <c r="R43" s="529"/>
      <c r="S43" s="68">
        <v>0.4368055555555555</v>
      </c>
      <c r="T43" s="68">
        <v>0.5131944444444444</v>
      </c>
      <c r="U43" s="176">
        <f t="shared" si="33"/>
        <v>5.9999999999999787</v>
      </c>
      <c r="V43" s="182">
        <f t="shared" si="32"/>
        <v>110.00000000000001</v>
      </c>
      <c r="W43" s="69">
        <f>T43</f>
        <v>0.5131944444444444</v>
      </c>
      <c r="X43" s="69">
        <f>S44</f>
        <v>0.55347222222222214</v>
      </c>
      <c r="Y43" s="517"/>
      <c r="Z43" s="518"/>
      <c r="AA43" s="66">
        <f t="shared" si="8"/>
        <v>-90.909090909091219</v>
      </c>
      <c r="AB43" s="177">
        <f t="shared" si="9"/>
        <v>0.95454545454545436</v>
      </c>
      <c r="AC43" s="529"/>
    </row>
    <row r="44" spans="1:29" ht="15.75" customHeight="1">
      <c r="A44" s="526" t="s">
        <v>810</v>
      </c>
      <c r="B44" s="62" t="s">
        <v>35</v>
      </c>
      <c r="C44" s="521" t="s">
        <v>84</v>
      </c>
      <c r="D44" s="522"/>
      <c r="E44" s="62">
        <v>31</v>
      </c>
      <c r="F44" s="183">
        <v>3891</v>
      </c>
      <c r="G44" s="176">
        <f t="shared" si="30"/>
        <v>120621</v>
      </c>
      <c r="H44" s="90" t="s">
        <v>5</v>
      </c>
      <c r="I44" s="181">
        <v>13</v>
      </c>
      <c r="J44" s="63">
        <v>2000</v>
      </c>
      <c r="K44" s="64">
        <f t="shared" si="1"/>
        <v>153.84615384615384</v>
      </c>
      <c r="L44" s="181">
        <v>13</v>
      </c>
      <c r="M44" s="65">
        <f t="shared" si="31"/>
        <v>1913.6065573770484</v>
      </c>
      <c r="N44" s="65">
        <f t="shared" si="3"/>
        <v>147.20050441361911</v>
      </c>
      <c r="O44" s="66">
        <f t="shared" si="4"/>
        <v>0</v>
      </c>
      <c r="P44" s="67">
        <f t="shared" si="5"/>
        <v>-6.6456494325347251</v>
      </c>
      <c r="Q44" s="177">
        <f t="shared" si="6"/>
        <v>0.95680327868852433</v>
      </c>
      <c r="R44" s="529"/>
      <c r="S44" s="68">
        <v>0.55347222222222214</v>
      </c>
      <c r="T44" s="68">
        <v>0.6381944444444444</v>
      </c>
      <c r="U44" s="176">
        <f t="shared" si="33"/>
        <v>57.999999999999957</v>
      </c>
      <c r="V44" s="182">
        <f t="shared" si="32"/>
        <v>122.00000000000004</v>
      </c>
      <c r="W44" s="69"/>
      <c r="X44" s="69"/>
      <c r="Y44" s="517"/>
      <c r="Z44" s="518"/>
      <c r="AA44" s="66">
        <f t="shared" si="8"/>
        <v>-86.393442622951625</v>
      </c>
      <c r="AB44" s="177">
        <f t="shared" si="9"/>
        <v>0.95680327868852422</v>
      </c>
      <c r="AC44" s="529"/>
    </row>
    <row r="45" spans="1:29" ht="15.75" customHeight="1">
      <c r="A45" s="526" t="s">
        <v>810</v>
      </c>
      <c r="B45" s="62" t="s">
        <v>35</v>
      </c>
      <c r="C45" s="521" t="s">
        <v>37</v>
      </c>
      <c r="D45" s="522"/>
      <c r="E45" s="62">
        <v>27.17</v>
      </c>
      <c r="F45" s="183">
        <v>4242</v>
      </c>
      <c r="G45" s="176">
        <f t="shared" si="30"/>
        <v>115255.14000000001</v>
      </c>
      <c r="H45" s="90" t="s">
        <v>5</v>
      </c>
      <c r="I45" s="181">
        <v>10</v>
      </c>
      <c r="J45" s="63">
        <v>3000</v>
      </c>
      <c r="K45" s="64">
        <f t="shared" si="1"/>
        <v>300</v>
      </c>
      <c r="L45" s="181">
        <v>10</v>
      </c>
      <c r="M45" s="65">
        <f t="shared" si="31"/>
        <v>2859.7752808988762</v>
      </c>
      <c r="N45" s="65">
        <f t="shared" si="3"/>
        <v>285.97752808988764</v>
      </c>
      <c r="O45" s="66">
        <f t="shared" si="4"/>
        <v>0</v>
      </c>
      <c r="P45" s="67">
        <f t="shared" si="5"/>
        <v>-14.022471910112358</v>
      </c>
      <c r="Q45" s="177">
        <f t="shared" si="6"/>
        <v>0.95325842696629215</v>
      </c>
      <c r="R45" s="529"/>
      <c r="S45" s="68">
        <v>0.64305555555555549</v>
      </c>
      <c r="T45" s="68">
        <v>0.70486111111111105</v>
      </c>
      <c r="U45" s="176">
        <f t="shared" si="33"/>
        <v>6.9999999999999751</v>
      </c>
      <c r="V45" s="182">
        <f t="shared" si="32"/>
        <v>89</v>
      </c>
      <c r="W45" s="69"/>
      <c r="X45" s="69"/>
      <c r="Y45" s="517"/>
      <c r="Z45" s="518"/>
      <c r="AA45" s="66">
        <f t="shared" si="8"/>
        <v>-140.22471910112381</v>
      </c>
      <c r="AB45" s="177">
        <f t="shared" si="9"/>
        <v>0.95325842696629204</v>
      </c>
      <c r="AC45" s="529"/>
    </row>
    <row r="46" spans="1:29" ht="15.75" customHeight="1">
      <c r="A46" s="526" t="s">
        <v>810</v>
      </c>
      <c r="B46" s="62" t="s">
        <v>35</v>
      </c>
      <c r="C46" s="521" t="s">
        <v>36</v>
      </c>
      <c r="D46" s="522"/>
      <c r="E46" s="62">
        <v>21.13</v>
      </c>
      <c r="F46" s="183">
        <v>3345</v>
      </c>
      <c r="G46" s="176">
        <f t="shared" si="30"/>
        <v>70679.849999999991</v>
      </c>
      <c r="H46" s="90" t="s">
        <v>5</v>
      </c>
      <c r="I46" s="181">
        <v>10</v>
      </c>
      <c r="J46" s="63">
        <v>3000</v>
      </c>
      <c r="K46" s="64">
        <f t="shared" si="1"/>
        <v>300</v>
      </c>
      <c r="L46" s="181">
        <v>10</v>
      </c>
      <c r="M46" s="65">
        <f t="shared" si="31"/>
        <v>2867.1428571428542</v>
      </c>
      <c r="N46" s="65">
        <f t="shared" si="3"/>
        <v>286.71428571428544</v>
      </c>
      <c r="O46" s="66">
        <f t="shared" si="4"/>
        <v>0</v>
      </c>
      <c r="P46" s="67">
        <f t="shared" si="5"/>
        <v>-13.285714285714562</v>
      </c>
      <c r="Q46" s="177">
        <f t="shared" si="6"/>
        <v>0.95571428571428474</v>
      </c>
      <c r="R46" s="529"/>
      <c r="S46" s="68">
        <v>0.71041666666666659</v>
      </c>
      <c r="T46" s="68">
        <v>0.75902777777777775</v>
      </c>
      <c r="U46" s="176">
        <f t="shared" si="33"/>
        <v>7.9999999999999716</v>
      </c>
      <c r="V46" s="182">
        <f t="shared" si="32"/>
        <v>70.000000000000071</v>
      </c>
      <c r="W46" s="69"/>
      <c r="X46" s="69"/>
      <c r="Y46" s="517"/>
      <c r="Z46" s="518"/>
      <c r="AA46" s="66">
        <f t="shared" si="8"/>
        <v>-132.85714285714585</v>
      </c>
      <c r="AB46" s="177">
        <f t="shared" si="9"/>
        <v>0.95571428571428474</v>
      </c>
      <c r="AC46" s="529"/>
    </row>
    <row r="47" spans="1:29" ht="15.75" customHeight="1">
      <c r="A47" s="527" t="s">
        <v>810</v>
      </c>
      <c r="B47" s="62" t="s">
        <v>712</v>
      </c>
      <c r="C47" s="508"/>
      <c r="D47" s="509"/>
      <c r="E47" s="175"/>
      <c r="F47" s="183"/>
      <c r="G47" s="176"/>
      <c r="H47" s="183"/>
      <c r="I47" s="72">
        <v>10.4</v>
      </c>
      <c r="J47" s="63">
        <v>2800</v>
      </c>
      <c r="K47" s="64">
        <f t="shared" si="1"/>
        <v>269.23076923076923</v>
      </c>
      <c r="L47" s="72">
        <v>10.4</v>
      </c>
      <c r="M47" s="65">
        <f>AVERAGE(M37:M46)</f>
        <v>2683.5280467875154</v>
      </c>
      <c r="N47" s="64">
        <f t="shared" si="3"/>
        <v>258.03154296033802</v>
      </c>
      <c r="O47" s="66">
        <f t="shared" si="4"/>
        <v>0</v>
      </c>
      <c r="P47" s="67">
        <f t="shared" si="5"/>
        <v>-11.199226270431211</v>
      </c>
      <c r="Q47" s="177">
        <f t="shared" si="6"/>
        <v>0.95840287385268408</v>
      </c>
      <c r="R47" s="530"/>
      <c r="S47" s="68"/>
      <c r="T47" s="68"/>
      <c r="U47" s="176"/>
      <c r="V47" s="182"/>
      <c r="W47" s="69"/>
      <c r="X47" s="69"/>
      <c r="Y47" s="517"/>
      <c r="Z47" s="518"/>
      <c r="AA47" s="66">
        <f t="shared" si="8"/>
        <v>-116.47195321248455</v>
      </c>
      <c r="AB47" s="177">
        <f t="shared" si="9"/>
        <v>0.95840287385268408</v>
      </c>
      <c r="AC47" s="530"/>
    </row>
    <row r="48" spans="1:29" ht="15.75" customHeight="1">
      <c r="A48" s="523" t="s">
        <v>811</v>
      </c>
      <c r="B48" s="62" t="s">
        <v>10</v>
      </c>
      <c r="C48" s="512" t="s">
        <v>41</v>
      </c>
      <c r="D48" s="512"/>
      <c r="E48" s="62">
        <v>46</v>
      </c>
      <c r="F48" s="74">
        <v>3113</v>
      </c>
      <c r="G48" s="176">
        <f t="shared" ref="G48:G51" si="34">E48*F48</f>
        <v>143198</v>
      </c>
      <c r="H48" s="90" t="s">
        <v>5</v>
      </c>
      <c r="I48" s="181">
        <v>17</v>
      </c>
      <c r="J48" s="63">
        <v>2000</v>
      </c>
      <c r="K48" s="64">
        <f t="shared" si="1"/>
        <v>117.64705882352941</v>
      </c>
      <c r="L48" s="181">
        <v>17</v>
      </c>
      <c r="M48" s="65">
        <f t="shared" ref="M48:M51" si="35">F48/V48*60</f>
        <v>1905.9183673469386</v>
      </c>
      <c r="N48" s="65">
        <f t="shared" si="3"/>
        <v>112.11284513805521</v>
      </c>
      <c r="O48" s="66">
        <f t="shared" si="4"/>
        <v>0</v>
      </c>
      <c r="P48" s="67">
        <f t="shared" si="5"/>
        <v>-5.5342136854741995</v>
      </c>
      <c r="Q48" s="177">
        <f t="shared" si="6"/>
        <v>0.95295918367346932</v>
      </c>
      <c r="R48" s="511">
        <f>Q52</f>
        <v>0.95592529238809643</v>
      </c>
      <c r="S48" s="68">
        <v>0.20833333333333334</v>
      </c>
      <c r="T48" s="68">
        <v>0.27638888888888891</v>
      </c>
      <c r="U48" s="73"/>
      <c r="V48" s="182">
        <f t="shared" ref="V48:V51" si="36">(T48-S48)*24*60</f>
        <v>98.000000000000014</v>
      </c>
      <c r="W48" s="73"/>
      <c r="X48" s="73"/>
      <c r="Y48" s="510"/>
      <c r="Z48" s="510"/>
      <c r="AA48" s="66">
        <f t="shared" si="8"/>
        <v>-94.081632653061433</v>
      </c>
      <c r="AB48" s="177">
        <f t="shared" si="9"/>
        <v>0.95295918367346932</v>
      </c>
      <c r="AC48" s="511">
        <f>AB52</f>
        <v>0.95592529238809654</v>
      </c>
    </row>
    <row r="49" spans="1:29" ht="15.75" customHeight="1">
      <c r="A49" s="523" t="s">
        <v>811</v>
      </c>
      <c r="B49" s="62" t="s">
        <v>10</v>
      </c>
      <c r="C49" s="512" t="s">
        <v>42</v>
      </c>
      <c r="D49" s="512"/>
      <c r="E49" s="62">
        <v>46</v>
      </c>
      <c r="F49" s="74">
        <v>3210</v>
      </c>
      <c r="G49" s="176">
        <f t="shared" si="34"/>
        <v>147660</v>
      </c>
      <c r="H49" s="90" t="s">
        <v>5</v>
      </c>
      <c r="I49" s="181">
        <v>17</v>
      </c>
      <c r="J49" s="63">
        <v>2000</v>
      </c>
      <c r="K49" s="64">
        <f t="shared" si="1"/>
        <v>117.64705882352941</v>
      </c>
      <c r="L49" s="181">
        <v>17</v>
      </c>
      <c r="M49" s="65">
        <f t="shared" si="35"/>
        <v>1906.9306930693076</v>
      </c>
      <c r="N49" s="65">
        <f t="shared" si="3"/>
        <v>112.17239370995927</v>
      </c>
      <c r="O49" s="66">
        <f t="shared" si="4"/>
        <v>0</v>
      </c>
      <c r="P49" s="67">
        <f t="shared" si="5"/>
        <v>-5.4746651135701399</v>
      </c>
      <c r="Q49" s="177">
        <f t="shared" si="6"/>
        <v>0.95346534653465376</v>
      </c>
      <c r="R49" s="511"/>
      <c r="S49" s="68">
        <v>0.28055555555555556</v>
      </c>
      <c r="T49" s="68">
        <v>0.35069444444444442</v>
      </c>
      <c r="U49" s="176">
        <f t="shared" ref="U49:U51" si="37">IF(S49=TIME(17,0,0),"",(S49-T48)*24*60)</f>
        <v>5.9999999999999787</v>
      </c>
      <c r="V49" s="182">
        <f t="shared" si="36"/>
        <v>100.99999999999996</v>
      </c>
      <c r="W49" s="69"/>
      <c r="X49" s="69"/>
      <c r="Y49" s="510"/>
      <c r="Z49" s="510"/>
      <c r="AA49" s="66">
        <f t="shared" si="8"/>
        <v>-93.069306930692392</v>
      </c>
      <c r="AB49" s="177">
        <f t="shared" si="9"/>
        <v>0.95346534653465376</v>
      </c>
      <c r="AC49" s="511"/>
    </row>
    <row r="50" spans="1:29" ht="15.75" customHeight="1">
      <c r="A50" s="523" t="s">
        <v>811</v>
      </c>
      <c r="B50" s="62" t="s">
        <v>6</v>
      </c>
      <c r="C50" s="521" t="s">
        <v>43</v>
      </c>
      <c r="D50" s="522"/>
      <c r="E50" s="62">
        <v>55.56</v>
      </c>
      <c r="F50" s="74">
        <v>2537</v>
      </c>
      <c r="G50" s="176">
        <f t="shared" si="34"/>
        <v>140955.72</v>
      </c>
      <c r="H50" s="90" t="s">
        <v>5</v>
      </c>
      <c r="I50" s="181">
        <v>17</v>
      </c>
      <c r="J50" s="63">
        <v>2000</v>
      </c>
      <c r="K50" s="64">
        <f t="shared" si="1"/>
        <v>117.64705882352941</v>
      </c>
      <c r="L50" s="181">
        <v>17</v>
      </c>
      <c r="M50" s="65">
        <f t="shared" si="35"/>
        <v>1902.7499999999993</v>
      </c>
      <c r="N50" s="65">
        <f t="shared" si="3"/>
        <v>111.92647058823525</v>
      </c>
      <c r="O50" s="66">
        <f t="shared" si="4"/>
        <v>0</v>
      </c>
      <c r="P50" s="67">
        <f t="shared" si="5"/>
        <v>-5.7205882352941586</v>
      </c>
      <c r="Q50" s="177">
        <f t="shared" si="6"/>
        <v>0.95137499999999964</v>
      </c>
      <c r="R50" s="511"/>
      <c r="S50" s="68">
        <v>0.70833333333333337</v>
      </c>
      <c r="T50" s="68">
        <v>0.76388888888888895</v>
      </c>
      <c r="U50" s="176" t="str">
        <f t="shared" si="37"/>
        <v/>
      </c>
      <c r="V50" s="182">
        <f t="shared" si="36"/>
        <v>80.000000000000028</v>
      </c>
      <c r="W50" s="69"/>
      <c r="X50" s="69"/>
      <c r="Y50" s="173"/>
      <c r="Z50" s="174"/>
      <c r="AA50" s="66">
        <f t="shared" si="8"/>
        <v>-97.250000000000682</v>
      </c>
      <c r="AB50" s="177">
        <f t="shared" si="9"/>
        <v>0.95137499999999964</v>
      </c>
      <c r="AC50" s="511"/>
    </row>
    <row r="51" spans="1:29" ht="15.75" customHeight="1">
      <c r="A51" s="523" t="s">
        <v>812</v>
      </c>
      <c r="B51" s="62" t="s">
        <v>6</v>
      </c>
      <c r="C51" s="179" t="s">
        <v>44</v>
      </c>
      <c r="D51" s="180"/>
      <c r="E51" s="62">
        <v>55.32</v>
      </c>
      <c r="F51" s="74">
        <v>1964</v>
      </c>
      <c r="G51" s="176">
        <f t="shared" si="34"/>
        <v>108648.48</v>
      </c>
      <c r="H51" s="90" t="s">
        <v>5</v>
      </c>
      <c r="I51" s="181">
        <v>15</v>
      </c>
      <c r="J51" s="63">
        <v>2000</v>
      </c>
      <c r="K51" s="64">
        <f t="shared" si="1"/>
        <v>133.33333333333334</v>
      </c>
      <c r="L51" s="181">
        <v>15</v>
      </c>
      <c r="M51" s="65">
        <f t="shared" si="35"/>
        <v>1931.8032786885265</v>
      </c>
      <c r="N51" s="65">
        <f t="shared" si="3"/>
        <v>128.78688524590177</v>
      </c>
      <c r="O51" s="66">
        <f t="shared" si="4"/>
        <v>0</v>
      </c>
      <c r="P51" s="67">
        <f t="shared" si="5"/>
        <v>-4.5464480874315711</v>
      </c>
      <c r="Q51" s="177">
        <f t="shared" si="6"/>
        <v>0.96590163934426321</v>
      </c>
      <c r="R51" s="511"/>
      <c r="S51" s="68">
        <v>0.76944444444444449</v>
      </c>
      <c r="T51" s="68">
        <v>0.81180555555555556</v>
      </c>
      <c r="U51" s="176">
        <f t="shared" si="37"/>
        <v>7.9999999999999716</v>
      </c>
      <c r="V51" s="182">
        <f t="shared" si="36"/>
        <v>60.999999999999943</v>
      </c>
      <c r="W51" s="69"/>
      <c r="X51" s="69"/>
      <c r="Y51" s="173"/>
      <c r="Z51" s="174"/>
      <c r="AA51" s="66">
        <f t="shared" si="8"/>
        <v>-68.196721311473539</v>
      </c>
      <c r="AB51" s="177">
        <f t="shared" si="9"/>
        <v>0.96590163934426321</v>
      </c>
      <c r="AC51" s="511"/>
    </row>
    <row r="52" spans="1:29">
      <c r="A52" s="524" t="s">
        <v>812</v>
      </c>
      <c r="B52" s="62" t="s">
        <v>712</v>
      </c>
      <c r="C52" s="513"/>
      <c r="D52" s="513"/>
      <c r="E52" s="178"/>
      <c r="F52" s="71"/>
      <c r="G52" s="64"/>
      <c r="H52" s="183"/>
      <c r="I52" s="72">
        <v>16.5</v>
      </c>
      <c r="J52" s="63">
        <v>2000</v>
      </c>
      <c r="K52" s="64">
        <f t="shared" si="1"/>
        <v>121.21212121212122</v>
      </c>
      <c r="L52" s="72">
        <v>16.5</v>
      </c>
      <c r="M52" s="65">
        <f>AVERAGE(M48:M51)</f>
        <v>1911.850584776193</v>
      </c>
      <c r="N52" s="64">
        <f t="shared" si="3"/>
        <v>115.86973241067837</v>
      </c>
      <c r="O52" s="66">
        <f t="shared" si="4"/>
        <v>0</v>
      </c>
      <c r="P52" s="67">
        <f t="shared" si="5"/>
        <v>-5.3423888014428513</v>
      </c>
      <c r="Q52" s="177">
        <f t="shared" si="6"/>
        <v>0.95592529238809643</v>
      </c>
      <c r="R52" s="511"/>
      <c r="S52" s="75"/>
      <c r="T52" s="68"/>
      <c r="U52" s="64"/>
      <c r="V52" s="182"/>
      <c r="W52" s="64"/>
      <c r="X52" s="64"/>
      <c r="Y52" s="510"/>
      <c r="Z52" s="510"/>
      <c r="AA52" s="66">
        <f t="shared" si="8"/>
        <v>-88.149415223806955</v>
      </c>
      <c r="AB52" s="177">
        <f t="shared" si="9"/>
        <v>0.95592529238809654</v>
      </c>
      <c r="AC52" s="511"/>
    </row>
    <row r="53" spans="1:29" ht="15.75" customHeight="1">
      <c r="A53" s="519" t="s">
        <v>813</v>
      </c>
      <c r="B53" s="183" t="s">
        <v>10</v>
      </c>
      <c r="C53" s="512" t="s">
        <v>46</v>
      </c>
      <c r="D53" s="512"/>
      <c r="E53" s="62">
        <v>26.97</v>
      </c>
      <c r="F53" s="74">
        <v>3537</v>
      </c>
      <c r="G53" s="176">
        <f t="shared" ref="G53:G56" si="38">E53*F53</f>
        <v>95392.89</v>
      </c>
      <c r="H53" s="90" t="s">
        <v>5</v>
      </c>
      <c r="I53" s="181">
        <v>8</v>
      </c>
      <c r="J53" s="63">
        <v>1500</v>
      </c>
      <c r="K53" s="64">
        <f t="shared" si="1"/>
        <v>187.5</v>
      </c>
      <c r="L53" s="181">
        <v>8</v>
      </c>
      <c r="M53" s="65">
        <f t="shared" ref="M53:M56" si="39">F53/V53*60</f>
        <v>1433.918918918919</v>
      </c>
      <c r="N53" s="64">
        <f t="shared" si="3"/>
        <v>179.23986486486487</v>
      </c>
      <c r="O53" s="66">
        <f t="shared" si="4"/>
        <v>0</v>
      </c>
      <c r="P53" s="67">
        <f t="shared" si="5"/>
        <v>-8.2601351351351298</v>
      </c>
      <c r="Q53" s="177">
        <f t="shared" si="6"/>
        <v>0.95594594594594595</v>
      </c>
      <c r="R53" s="511">
        <f>Q57</f>
        <v>0.95895566030866775</v>
      </c>
      <c r="S53" s="68">
        <v>0.20833333333333334</v>
      </c>
      <c r="T53" s="68">
        <v>0.31111111111111112</v>
      </c>
      <c r="U53" s="176"/>
      <c r="V53" s="182">
        <f t="shared" ref="V53:V56" si="40">(T53-S53)*24*60</f>
        <v>148</v>
      </c>
      <c r="W53" s="73"/>
      <c r="X53" s="73"/>
      <c r="Y53" s="510"/>
      <c r="Z53" s="510"/>
      <c r="AA53" s="66">
        <f t="shared" si="8"/>
        <v>-66.081081081081038</v>
      </c>
      <c r="AB53" s="177">
        <f t="shared" si="9"/>
        <v>0.95594594594594595</v>
      </c>
      <c r="AC53" s="511">
        <f>AB57</f>
        <v>0.95895566030866775</v>
      </c>
    </row>
    <row r="54" spans="1:29" ht="15.75" customHeight="1">
      <c r="A54" s="519" t="s">
        <v>813</v>
      </c>
      <c r="B54" s="183" t="s">
        <v>35</v>
      </c>
      <c r="C54" s="512" t="s">
        <v>45</v>
      </c>
      <c r="D54" s="512"/>
      <c r="E54" s="62">
        <v>26.78</v>
      </c>
      <c r="F54" s="74">
        <v>3022</v>
      </c>
      <c r="G54" s="176">
        <f t="shared" si="38"/>
        <v>80929.16</v>
      </c>
      <c r="H54" s="90" t="s">
        <v>5</v>
      </c>
      <c r="I54" s="181">
        <v>10</v>
      </c>
      <c r="J54" s="63">
        <v>3000</v>
      </c>
      <c r="K54" s="64">
        <f t="shared" si="1"/>
        <v>300</v>
      </c>
      <c r="L54" s="181">
        <v>10</v>
      </c>
      <c r="M54" s="65">
        <f t="shared" si="39"/>
        <v>2878.0952380952372</v>
      </c>
      <c r="N54" s="64">
        <f t="shared" si="3"/>
        <v>287.80952380952374</v>
      </c>
      <c r="O54" s="66">
        <f t="shared" si="4"/>
        <v>0</v>
      </c>
      <c r="P54" s="67">
        <f t="shared" si="5"/>
        <v>-12.190476190476261</v>
      </c>
      <c r="Q54" s="177">
        <f t="shared" si="6"/>
        <v>0.95936507936507909</v>
      </c>
      <c r="R54" s="511"/>
      <c r="S54" s="68">
        <v>0.31597222222222221</v>
      </c>
      <c r="T54" s="68">
        <v>0.35972222222222222</v>
      </c>
      <c r="U54" s="176">
        <f t="shared" ref="U54:U56" si="41">(S54-T53)*24*60</f>
        <v>6.9999999999999751</v>
      </c>
      <c r="V54" s="182">
        <f t="shared" si="40"/>
        <v>63.000000000000014</v>
      </c>
      <c r="W54" s="176"/>
      <c r="X54" s="176"/>
      <c r="Y54" s="510"/>
      <c r="Z54" s="510"/>
      <c r="AA54" s="66">
        <f t="shared" si="8"/>
        <v>-121.90476190476284</v>
      </c>
      <c r="AB54" s="177">
        <f t="shared" si="9"/>
        <v>0.95936507936507909</v>
      </c>
      <c r="AC54" s="511"/>
    </row>
    <row r="55" spans="1:29" ht="15.75" customHeight="1">
      <c r="A55" s="519" t="s">
        <v>814</v>
      </c>
      <c r="B55" s="183" t="s">
        <v>35</v>
      </c>
      <c r="C55" s="512" t="s">
        <v>75</v>
      </c>
      <c r="D55" s="512"/>
      <c r="E55" s="62">
        <v>37.880000000000003</v>
      </c>
      <c r="F55" s="74">
        <v>3926</v>
      </c>
      <c r="G55" s="176">
        <f t="shared" si="38"/>
        <v>148716.88</v>
      </c>
      <c r="H55" s="90" t="s">
        <v>5</v>
      </c>
      <c r="I55" s="181">
        <v>10</v>
      </c>
      <c r="J55" s="63">
        <v>3000</v>
      </c>
      <c r="K55" s="64">
        <f t="shared" si="1"/>
        <v>300</v>
      </c>
      <c r="L55" s="181">
        <v>10</v>
      </c>
      <c r="M55" s="65">
        <f t="shared" si="39"/>
        <v>2872.6829268292672</v>
      </c>
      <c r="N55" s="64">
        <f t="shared" si="3"/>
        <v>287.2682926829267</v>
      </c>
      <c r="O55" s="66">
        <f t="shared" si="4"/>
        <v>0</v>
      </c>
      <c r="P55" s="67">
        <f t="shared" si="5"/>
        <v>-12.731707317073301</v>
      </c>
      <c r="Q55" s="177">
        <f t="shared" si="6"/>
        <v>0.95756097560975562</v>
      </c>
      <c r="R55" s="511"/>
      <c r="S55" s="68">
        <v>0.36458333333333331</v>
      </c>
      <c r="T55" s="68">
        <v>0.42152777777777778</v>
      </c>
      <c r="U55" s="176">
        <f t="shared" si="41"/>
        <v>6.9999999999999751</v>
      </c>
      <c r="V55" s="182">
        <f t="shared" si="40"/>
        <v>82.000000000000028</v>
      </c>
      <c r="W55" s="176"/>
      <c r="X55" s="176"/>
      <c r="Y55" s="510"/>
      <c r="Z55" s="510"/>
      <c r="AA55" s="66">
        <f t="shared" si="8"/>
        <v>-127.31707317073278</v>
      </c>
      <c r="AB55" s="177">
        <f t="shared" si="9"/>
        <v>0.95756097560975573</v>
      </c>
      <c r="AC55" s="511"/>
    </row>
    <row r="56" spans="1:29" ht="15.75" customHeight="1">
      <c r="A56" s="519" t="s">
        <v>813</v>
      </c>
      <c r="B56" s="183" t="s">
        <v>35</v>
      </c>
      <c r="C56" s="512" t="s">
        <v>85</v>
      </c>
      <c r="D56" s="512"/>
      <c r="E56" s="62">
        <v>40.51</v>
      </c>
      <c r="F56" s="74">
        <v>3990</v>
      </c>
      <c r="G56" s="176">
        <f t="shared" si="38"/>
        <v>161634.9</v>
      </c>
      <c r="H56" s="90" t="s">
        <v>5</v>
      </c>
      <c r="I56" s="181">
        <v>8</v>
      </c>
      <c r="J56" s="63">
        <v>3000</v>
      </c>
      <c r="K56" s="64">
        <f t="shared" si="1"/>
        <v>375</v>
      </c>
      <c r="L56" s="181">
        <v>8</v>
      </c>
      <c r="M56" s="65">
        <f t="shared" si="39"/>
        <v>2884.3373493975892</v>
      </c>
      <c r="N56" s="64">
        <f t="shared" si="3"/>
        <v>360.54216867469864</v>
      </c>
      <c r="O56" s="66">
        <f t="shared" si="4"/>
        <v>0</v>
      </c>
      <c r="P56" s="67">
        <f t="shared" si="5"/>
        <v>-14.457831325301356</v>
      </c>
      <c r="Q56" s="177">
        <f t="shared" si="6"/>
        <v>0.96144578313252971</v>
      </c>
      <c r="R56" s="511"/>
      <c r="S56" s="68">
        <v>0.42499999999999999</v>
      </c>
      <c r="T56" s="68">
        <v>0.4826388888888889</v>
      </c>
      <c r="U56" s="176">
        <f t="shared" si="41"/>
        <v>4.9999999999999822</v>
      </c>
      <c r="V56" s="182">
        <f t="shared" si="40"/>
        <v>83.000000000000028</v>
      </c>
      <c r="W56" s="176"/>
      <c r="X56" s="176"/>
      <c r="Y56" s="510"/>
      <c r="Z56" s="510"/>
      <c r="AA56" s="66">
        <f t="shared" si="8"/>
        <v>-115.66265060241085</v>
      </c>
      <c r="AB56" s="177">
        <f t="shared" si="9"/>
        <v>0.96144578313252971</v>
      </c>
      <c r="AC56" s="511"/>
    </row>
    <row r="57" spans="1:29">
      <c r="A57" s="520" t="s">
        <v>814</v>
      </c>
      <c r="B57" s="62" t="s">
        <v>712</v>
      </c>
      <c r="C57" s="513"/>
      <c r="D57" s="513"/>
      <c r="E57" s="178"/>
      <c r="F57" s="71"/>
      <c r="G57" s="64"/>
      <c r="H57" s="183"/>
      <c r="I57" s="72">
        <v>9</v>
      </c>
      <c r="J57" s="63">
        <v>2625</v>
      </c>
      <c r="K57" s="64">
        <f t="shared" si="1"/>
        <v>291.66666666666669</v>
      </c>
      <c r="L57" s="72">
        <v>9</v>
      </c>
      <c r="M57" s="65">
        <f>AVERAGE(M53:M56)</f>
        <v>2517.2586083102528</v>
      </c>
      <c r="N57" s="64">
        <f t="shared" si="3"/>
        <v>279.69540092336143</v>
      </c>
      <c r="O57" s="66">
        <f t="shared" si="4"/>
        <v>0</v>
      </c>
      <c r="P57" s="67">
        <f t="shared" si="5"/>
        <v>-11.971265743305253</v>
      </c>
      <c r="Q57" s="177">
        <f t="shared" si="6"/>
        <v>0.95895566030866775</v>
      </c>
      <c r="R57" s="511"/>
      <c r="S57" s="68"/>
      <c r="T57" s="68"/>
      <c r="U57" s="64"/>
      <c r="V57" s="182"/>
      <c r="W57" s="64"/>
      <c r="X57" s="64"/>
      <c r="Y57" s="510"/>
      <c r="Z57" s="510"/>
      <c r="AA57" s="66">
        <f t="shared" si="8"/>
        <v>-107.74139168974716</v>
      </c>
      <c r="AB57" s="177">
        <f t="shared" si="9"/>
        <v>0.95895566030866775</v>
      </c>
      <c r="AC57" s="511"/>
    </row>
    <row r="58" spans="1:29" ht="15.75" customHeight="1">
      <c r="A58" s="514" t="s">
        <v>815</v>
      </c>
      <c r="B58" s="183" t="s">
        <v>16</v>
      </c>
      <c r="C58" s="512" t="s">
        <v>48</v>
      </c>
      <c r="D58" s="512"/>
      <c r="E58" s="62">
        <v>20.2</v>
      </c>
      <c r="F58" s="183">
        <v>2944</v>
      </c>
      <c r="G58" s="176">
        <f t="shared" ref="G58:G65" si="42">E58*F58</f>
        <v>59468.799999999996</v>
      </c>
      <c r="H58" s="90" t="s">
        <v>5</v>
      </c>
      <c r="I58" s="181">
        <v>19</v>
      </c>
      <c r="J58" s="63">
        <v>2400</v>
      </c>
      <c r="K58" s="64">
        <f t="shared" si="1"/>
        <v>126.31578947368421</v>
      </c>
      <c r="L58" s="181">
        <v>19</v>
      </c>
      <c r="M58" s="65">
        <f t="shared" ref="M58:M65" si="43">F58/V58*60</f>
        <v>2294.0259740259739</v>
      </c>
      <c r="N58" s="64">
        <f t="shared" si="3"/>
        <v>120.73820915926179</v>
      </c>
      <c r="O58" s="66">
        <f t="shared" si="4"/>
        <v>0</v>
      </c>
      <c r="P58" s="67">
        <f t="shared" si="5"/>
        <v>-5.5775803144224199</v>
      </c>
      <c r="Q58" s="177">
        <f t="shared" si="6"/>
        <v>0.95584415584415583</v>
      </c>
      <c r="R58" s="511">
        <f>Q66</f>
        <v>0.95719587868436506</v>
      </c>
      <c r="S58" s="68">
        <v>0.125</v>
      </c>
      <c r="T58" s="68">
        <v>0.17847222222222223</v>
      </c>
      <c r="U58" s="73"/>
      <c r="V58" s="182">
        <f t="shared" ref="V58:V65" si="44">(T58-S58)*24*60</f>
        <v>77</v>
      </c>
      <c r="W58" s="69">
        <f>T58</f>
        <v>0.17847222222222223</v>
      </c>
      <c r="X58" s="69">
        <f>S59</f>
        <v>0.19652777777777777</v>
      </c>
      <c r="Y58" s="510"/>
      <c r="Z58" s="510"/>
      <c r="AA58" s="66">
        <f t="shared" si="8"/>
        <v>-105.97402597402606</v>
      </c>
      <c r="AB58" s="177">
        <f t="shared" si="9"/>
        <v>0.95584415584415583</v>
      </c>
      <c r="AC58" s="511">
        <f>AB66</f>
        <v>0.95719587868436495</v>
      </c>
    </row>
    <row r="59" spans="1:29" ht="15.75" customHeight="1">
      <c r="A59" s="515" t="s">
        <v>815</v>
      </c>
      <c r="B59" s="183" t="s">
        <v>16</v>
      </c>
      <c r="C59" s="512" t="s">
        <v>51</v>
      </c>
      <c r="D59" s="512"/>
      <c r="E59" s="62">
        <v>24.25</v>
      </c>
      <c r="F59" s="183">
        <v>2913</v>
      </c>
      <c r="G59" s="176">
        <f t="shared" si="42"/>
        <v>70640.25</v>
      </c>
      <c r="H59" s="90" t="s">
        <v>5</v>
      </c>
      <c r="I59" s="181">
        <v>17</v>
      </c>
      <c r="J59" s="63">
        <v>2400</v>
      </c>
      <c r="K59" s="64">
        <f t="shared" si="1"/>
        <v>141.1764705882353</v>
      </c>
      <c r="L59" s="181">
        <v>17</v>
      </c>
      <c r="M59" s="65">
        <f t="shared" si="43"/>
        <v>2299.7368421052629</v>
      </c>
      <c r="N59" s="64">
        <f t="shared" si="3"/>
        <v>135.27863777089783</v>
      </c>
      <c r="O59" s="66">
        <f t="shared" si="4"/>
        <v>0</v>
      </c>
      <c r="P59" s="67">
        <f t="shared" si="5"/>
        <v>-5.8978328173374734</v>
      </c>
      <c r="Q59" s="177">
        <f t="shared" si="6"/>
        <v>0.95822368421052628</v>
      </c>
      <c r="R59" s="511"/>
      <c r="S59" s="68">
        <v>0.19652777777777777</v>
      </c>
      <c r="T59" s="68">
        <v>0.24930555555555556</v>
      </c>
      <c r="U59" s="176">
        <f t="shared" ref="U59:U65" si="45">(S59-T58)*24*60</f>
        <v>25.999999999999986</v>
      </c>
      <c r="V59" s="182">
        <f t="shared" si="44"/>
        <v>76.000000000000014</v>
      </c>
      <c r="W59" s="69"/>
      <c r="X59" s="69"/>
      <c r="Y59" s="510"/>
      <c r="Z59" s="510"/>
      <c r="AA59" s="66">
        <f t="shared" si="8"/>
        <v>-100.26315789473711</v>
      </c>
      <c r="AB59" s="177">
        <f t="shared" si="9"/>
        <v>0.95822368421052617</v>
      </c>
      <c r="AC59" s="511"/>
    </row>
    <row r="60" spans="1:29" ht="15.75" customHeight="1">
      <c r="A60" s="515" t="s">
        <v>815</v>
      </c>
      <c r="B60" s="183" t="s">
        <v>16</v>
      </c>
      <c r="C60" s="512" t="s">
        <v>17</v>
      </c>
      <c r="D60" s="512"/>
      <c r="E60" s="62">
        <v>24.45</v>
      </c>
      <c r="F60" s="183">
        <v>2878</v>
      </c>
      <c r="G60" s="176">
        <f t="shared" si="42"/>
        <v>70367.099999999991</v>
      </c>
      <c r="H60" s="90" t="s">
        <v>5</v>
      </c>
      <c r="I60" s="181">
        <v>20</v>
      </c>
      <c r="J60" s="63">
        <v>2400</v>
      </c>
      <c r="K60" s="64">
        <f t="shared" si="1"/>
        <v>120</v>
      </c>
      <c r="L60" s="181">
        <v>20</v>
      </c>
      <c r="M60" s="65">
        <f t="shared" si="43"/>
        <v>2302.400000000001</v>
      </c>
      <c r="N60" s="64">
        <f t="shared" si="3"/>
        <v>115.12000000000005</v>
      </c>
      <c r="O60" s="66">
        <f t="shared" si="4"/>
        <v>0</v>
      </c>
      <c r="P60" s="67">
        <f t="shared" si="5"/>
        <v>-4.8799999999999528</v>
      </c>
      <c r="Q60" s="177">
        <f t="shared" si="6"/>
        <v>0.9593333333333337</v>
      </c>
      <c r="R60" s="511"/>
      <c r="S60" s="68">
        <v>0.25416666666666665</v>
      </c>
      <c r="T60" s="68">
        <v>0.30624999999999997</v>
      </c>
      <c r="U60" s="176">
        <f t="shared" si="45"/>
        <v>6.9999999999999751</v>
      </c>
      <c r="V60" s="182">
        <f t="shared" si="44"/>
        <v>74.999999999999972</v>
      </c>
      <c r="W60" s="69"/>
      <c r="X60" s="69"/>
      <c r="Y60" s="510"/>
      <c r="Z60" s="510"/>
      <c r="AA60" s="66">
        <f t="shared" si="8"/>
        <v>-97.599999999999</v>
      </c>
      <c r="AB60" s="177">
        <f t="shared" si="9"/>
        <v>0.9593333333333337</v>
      </c>
      <c r="AC60" s="511"/>
    </row>
    <row r="61" spans="1:29" ht="15.75" customHeight="1">
      <c r="A61" s="515" t="s">
        <v>815</v>
      </c>
      <c r="B61" s="183" t="s">
        <v>16</v>
      </c>
      <c r="C61" s="512" t="s">
        <v>34</v>
      </c>
      <c r="D61" s="512"/>
      <c r="E61" s="62">
        <v>24.25</v>
      </c>
      <c r="F61" s="183">
        <v>2400</v>
      </c>
      <c r="G61" s="176">
        <f t="shared" si="42"/>
        <v>58200</v>
      </c>
      <c r="H61" s="90">
        <v>2</v>
      </c>
      <c r="I61" s="181">
        <v>13</v>
      </c>
      <c r="J61" s="63">
        <v>2400</v>
      </c>
      <c r="K61" s="64">
        <f t="shared" si="1"/>
        <v>184.61538461538461</v>
      </c>
      <c r="L61" s="181">
        <v>13</v>
      </c>
      <c r="M61" s="65">
        <f t="shared" si="43"/>
        <v>2285.7142857142853</v>
      </c>
      <c r="N61" s="64">
        <f t="shared" si="3"/>
        <v>175.8241758241758</v>
      </c>
      <c r="O61" s="66">
        <f t="shared" si="4"/>
        <v>0</v>
      </c>
      <c r="P61" s="67">
        <f t="shared" si="5"/>
        <v>-8.7912087912088168</v>
      </c>
      <c r="Q61" s="177">
        <f t="shared" si="6"/>
        <v>0.95238095238095222</v>
      </c>
      <c r="R61" s="511"/>
      <c r="S61" s="68">
        <v>0.30972222222222218</v>
      </c>
      <c r="T61" s="68">
        <v>0.35347222222222219</v>
      </c>
      <c r="U61" s="176">
        <f t="shared" si="45"/>
        <v>4.9999999999999822</v>
      </c>
      <c r="V61" s="182">
        <f t="shared" si="44"/>
        <v>63.000000000000014</v>
      </c>
      <c r="W61" s="69"/>
      <c r="X61" s="69"/>
      <c r="Y61" s="510"/>
      <c r="Z61" s="510"/>
      <c r="AA61" s="66">
        <f t="shared" si="8"/>
        <v>-114.28571428571468</v>
      </c>
      <c r="AB61" s="177">
        <f t="shared" si="9"/>
        <v>0.95238095238095222</v>
      </c>
      <c r="AC61" s="511"/>
    </row>
    <row r="62" spans="1:29" ht="15.75" customHeight="1">
      <c r="A62" s="515" t="s">
        <v>815</v>
      </c>
      <c r="B62" s="183" t="s">
        <v>16</v>
      </c>
      <c r="C62" s="512" t="s">
        <v>26</v>
      </c>
      <c r="D62" s="512"/>
      <c r="E62" s="62">
        <v>20.52</v>
      </c>
      <c r="F62" s="183">
        <v>3988</v>
      </c>
      <c r="G62" s="176">
        <f t="shared" si="42"/>
        <v>81833.759999999995</v>
      </c>
      <c r="H62" s="90" t="s">
        <v>5</v>
      </c>
      <c r="I62" s="181">
        <v>18</v>
      </c>
      <c r="J62" s="63">
        <v>2400</v>
      </c>
      <c r="K62" s="64">
        <f t="shared" si="1"/>
        <v>133.33333333333334</v>
      </c>
      <c r="L62" s="181">
        <v>18</v>
      </c>
      <c r="M62" s="65">
        <f t="shared" si="43"/>
        <v>2300.76923076923</v>
      </c>
      <c r="N62" s="64">
        <f t="shared" si="3"/>
        <v>127.82051282051277</v>
      </c>
      <c r="O62" s="66">
        <f t="shared" si="4"/>
        <v>0</v>
      </c>
      <c r="P62" s="67">
        <f t="shared" si="5"/>
        <v>-5.5128205128205678</v>
      </c>
      <c r="Q62" s="177">
        <f t="shared" si="6"/>
        <v>0.95865384615384575</v>
      </c>
      <c r="R62" s="511"/>
      <c r="S62" s="68">
        <v>0.3569444444444444</v>
      </c>
      <c r="T62" s="68">
        <v>0.42916666666666664</v>
      </c>
      <c r="U62" s="176">
        <f t="shared" si="45"/>
        <v>4.9999999999999822</v>
      </c>
      <c r="V62" s="182">
        <f t="shared" si="44"/>
        <v>104.00000000000003</v>
      </c>
      <c r="W62" s="69"/>
      <c r="X62" s="69"/>
      <c r="Y62" s="510"/>
      <c r="Z62" s="510"/>
      <c r="AA62" s="66">
        <f t="shared" si="8"/>
        <v>-99.230769230769965</v>
      </c>
      <c r="AB62" s="177">
        <f t="shared" si="9"/>
        <v>0.95865384615384586</v>
      </c>
      <c r="AC62" s="511"/>
    </row>
    <row r="63" spans="1:29" ht="15.75" customHeight="1">
      <c r="A63" s="515" t="s">
        <v>815</v>
      </c>
      <c r="B63" s="183" t="s">
        <v>16</v>
      </c>
      <c r="C63" s="512" t="s">
        <v>49</v>
      </c>
      <c r="D63" s="512"/>
      <c r="E63" s="62">
        <v>19.02</v>
      </c>
      <c r="F63" s="183">
        <v>5000</v>
      </c>
      <c r="G63" s="176">
        <f t="shared" si="42"/>
        <v>95100</v>
      </c>
      <c r="H63" s="90">
        <v>2</v>
      </c>
      <c r="I63" s="181">
        <v>15</v>
      </c>
      <c r="J63" s="63">
        <v>2400</v>
      </c>
      <c r="K63" s="64">
        <f t="shared" si="1"/>
        <v>160</v>
      </c>
      <c r="L63" s="181">
        <v>15</v>
      </c>
      <c r="M63" s="65">
        <f t="shared" si="43"/>
        <v>2290.0763358778636</v>
      </c>
      <c r="N63" s="64">
        <f t="shared" si="3"/>
        <v>152.67175572519091</v>
      </c>
      <c r="O63" s="66">
        <f t="shared" si="4"/>
        <v>0</v>
      </c>
      <c r="P63" s="67">
        <f t="shared" si="5"/>
        <v>-7.3282442748090943</v>
      </c>
      <c r="Q63" s="177">
        <f t="shared" si="6"/>
        <v>0.95419847328244312</v>
      </c>
      <c r="R63" s="511"/>
      <c r="S63" s="68">
        <v>0.43472222222222218</v>
      </c>
      <c r="T63" s="68">
        <v>0.52569444444444435</v>
      </c>
      <c r="U63" s="176">
        <f t="shared" si="45"/>
        <v>7.9999999999999716</v>
      </c>
      <c r="V63" s="182">
        <f t="shared" si="44"/>
        <v>130.99999999999994</v>
      </c>
      <c r="W63" s="69">
        <f>T63</f>
        <v>0.52569444444444435</v>
      </c>
      <c r="X63" s="69">
        <f>S64</f>
        <v>0.60972222222222205</v>
      </c>
      <c r="Y63" s="510"/>
      <c r="Z63" s="510"/>
      <c r="AA63" s="66">
        <f t="shared" si="8"/>
        <v>-109.92366412213642</v>
      </c>
      <c r="AB63" s="177">
        <f t="shared" si="9"/>
        <v>0.95419847328244312</v>
      </c>
      <c r="AC63" s="511"/>
    </row>
    <row r="64" spans="1:29" ht="15.75" customHeight="1">
      <c r="A64" s="515" t="s">
        <v>815</v>
      </c>
      <c r="B64" s="183" t="s">
        <v>16</v>
      </c>
      <c r="C64" s="512" t="s">
        <v>49</v>
      </c>
      <c r="D64" s="512"/>
      <c r="E64" s="62">
        <v>19.02</v>
      </c>
      <c r="F64" s="183">
        <v>6792</v>
      </c>
      <c r="G64" s="176">
        <f t="shared" si="42"/>
        <v>129183.84</v>
      </c>
      <c r="H64" s="90" t="s">
        <v>5</v>
      </c>
      <c r="I64" s="181">
        <v>15</v>
      </c>
      <c r="J64" s="63">
        <v>2400</v>
      </c>
      <c r="K64" s="64">
        <f t="shared" si="1"/>
        <v>160</v>
      </c>
      <c r="L64" s="181">
        <v>15</v>
      </c>
      <c r="M64" s="65">
        <f t="shared" si="43"/>
        <v>2289.4382022471909</v>
      </c>
      <c r="N64" s="64">
        <f t="shared" si="3"/>
        <v>152.62921348314606</v>
      </c>
      <c r="O64" s="66">
        <f t="shared" si="4"/>
        <v>0</v>
      </c>
      <c r="P64" s="67">
        <f t="shared" si="5"/>
        <v>-7.3707865168539399</v>
      </c>
      <c r="Q64" s="177">
        <f t="shared" si="6"/>
        <v>0.95393258426966288</v>
      </c>
      <c r="R64" s="511"/>
      <c r="S64" s="68">
        <v>0.60972222222222205</v>
      </c>
      <c r="T64" s="68">
        <v>0.73333333333333317</v>
      </c>
      <c r="U64" s="176">
        <f t="shared" si="45"/>
        <v>120.99999999999989</v>
      </c>
      <c r="V64" s="182">
        <f t="shared" si="44"/>
        <v>178</v>
      </c>
      <c r="W64" s="69"/>
      <c r="X64" s="69"/>
      <c r="Y64" s="517"/>
      <c r="Z64" s="518"/>
      <c r="AA64" s="66">
        <f t="shared" si="8"/>
        <v>-110.56179775280907</v>
      </c>
      <c r="AB64" s="177">
        <f t="shared" si="9"/>
        <v>0.95393258426966288</v>
      </c>
      <c r="AC64" s="511"/>
    </row>
    <row r="65" spans="1:29" ht="15.75" customHeight="1">
      <c r="A65" s="515" t="s">
        <v>815</v>
      </c>
      <c r="B65" s="183" t="s">
        <v>16</v>
      </c>
      <c r="C65" s="512" t="s">
        <v>34</v>
      </c>
      <c r="D65" s="512"/>
      <c r="E65" s="62">
        <v>24.25</v>
      </c>
      <c r="F65" s="183">
        <v>1930</v>
      </c>
      <c r="G65" s="176">
        <f t="shared" si="42"/>
        <v>46802.5</v>
      </c>
      <c r="H65" s="90" t="s">
        <v>5</v>
      </c>
      <c r="I65" s="181">
        <v>13</v>
      </c>
      <c r="J65" s="63">
        <v>2400</v>
      </c>
      <c r="K65" s="64">
        <f t="shared" si="1"/>
        <v>184.61538461538461</v>
      </c>
      <c r="L65" s="181">
        <v>13</v>
      </c>
      <c r="M65" s="65">
        <f t="shared" si="43"/>
        <v>2316.0000000000005</v>
      </c>
      <c r="N65" s="64">
        <f t="shared" si="3"/>
        <v>178.15384615384619</v>
      </c>
      <c r="O65" s="66">
        <f t="shared" si="4"/>
        <v>0</v>
      </c>
      <c r="P65" s="67">
        <f t="shared" si="5"/>
        <v>-6.4615384615384244</v>
      </c>
      <c r="Q65" s="177">
        <f t="shared" si="6"/>
        <v>0.96500000000000019</v>
      </c>
      <c r="R65" s="511"/>
      <c r="S65" s="68">
        <v>0.73680555555555538</v>
      </c>
      <c r="T65" s="68">
        <v>0.77152777777777759</v>
      </c>
      <c r="U65" s="176">
        <f t="shared" si="45"/>
        <v>4.9999999999999822</v>
      </c>
      <c r="V65" s="182">
        <f t="shared" si="44"/>
        <v>49.999999999999986</v>
      </c>
      <c r="W65" s="69"/>
      <c r="X65" s="69"/>
      <c r="Y65" s="517"/>
      <c r="Z65" s="518"/>
      <c r="AA65" s="66">
        <f t="shared" si="8"/>
        <v>-83.999999999999545</v>
      </c>
      <c r="AB65" s="177">
        <f t="shared" si="9"/>
        <v>0.96500000000000019</v>
      </c>
      <c r="AC65" s="511"/>
    </row>
    <row r="66" spans="1:29" ht="16.5" customHeight="1">
      <c r="A66" s="516" t="s">
        <v>815</v>
      </c>
      <c r="B66" s="62" t="s">
        <v>816</v>
      </c>
      <c r="C66" s="508"/>
      <c r="D66" s="509"/>
      <c r="E66" s="178"/>
      <c r="F66" s="71"/>
      <c r="G66" s="64"/>
      <c r="H66" s="183"/>
      <c r="I66" s="72">
        <v>16.25</v>
      </c>
      <c r="J66" s="63">
        <v>2400</v>
      </c>
      <c r="K66" s="64">
        <f t="shared" si="1"/>
        <v>147.69230769230768</v>
      </c>
      <c r="L66" s="72">
        <v>16.25</v>
      </c>
      <c r="M66" s="65">
        <f>AVERAGE(M58:M65)</f>
        <v>2297.270108842476</v>
      </c>
      <c r="N66" s="64">
        <f t="shared" si="3"/>
        <v>141.37046823646006</v>
      </c>
      <c r="O66" s="66">
        <f t="shared" si="4"/>
        <v>0</v>
      </c>
      <c r="P66" s="67">
        <f t="shared" si="5"/>
        <v>-6.3218394558476234</v>
      </c>
      <c r="Q66" s="177">
        <f t="shared" si="6"/>
        <v>0.95719587868436506</v>
      </c>
      <c r="R66" s="511"/>
      <c r="S66" s="68"/>
      <c r="T66" s="68"/>
      <c r="U66" s="64"/>
      <c r="V66" s="182"/>
      <c r="W66" s="64"/>
      <c r="X66" s="64"/>
      <c r="Y66" s="510"/>
      <c r="Z66" s="510"/>
      <c r="AA66" s="66">
        <f t="shared" si="8"/>
        <v>-102.72989115752398</v>
      </c>
      <c r="AB66" s="177">
        <f t="shared" si="9"/>
        <v>0.95719587868436495</v>
      </c>
      <c r="AC66" s="511"/>
    </row>
    <row r="67" spans="1:29">
      <c r="D67" s="76"/>
      <c r="E67" s="76"/>
    </row>
  </sheetData>
  <mergeCells count="182">
    <mergeCell ref="A3:A4"/>
    <mergeCell ref="B3:B4"/>
    <mergeCell ref="C3:D4"/>
    <mergeCell ref="E3:E4"/>
    <mergeCell ref="F3:F4"/>
    <mergeCell ref="G3:G4"/>
    <mergeCell ref="I1:K2"/>
    <mergeCell ref="L1:N2"/>
    <mergeCell ref="AC3:AC4"/>
    <mergeCell ref="H3:H4"/>
    <mergeCell ref="I3:I4"/>
    <mergeCell ref="J3:J4"/>
    <mergeCell ref="K3:K4"/>
    <mergeCell ref="O1:R2"/>
    <mergeCell ref="S1:X2"/>
    <mergeCell ref="Y1:Z2"/>
    <mergeCell ref="AA1:AC2"/>
    <mergeCell ref="L3:L4"/>
    <mergeCell ref="M3:M4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C14:D14"/>
    <mergeCell ref="Y14:Z14"/>
    <mergeCell ref="Y10:Z10"/>
    <mergeCell ref="C15:D15"/>
    <mergeCell ref="Y15:Z15"/>
    <mergeCell ref="A5:A6"/>
    <mergeCell ref="C5:D5"/>
    <mergeCell ref="R5:R6"/>
    <mergeCell ref="Y5:Z5"/>
    <mergeCell ref="AC5:AC6"/>
    <mergeCell ref="C6:D6"/>
    <mergeCell ref="Y6:Z6"/>
    <mergeCell ref="Y12:Z12"/>
    <mergeCell ref="C13:D13"/>
    <mergeCell ref="A7:A9"/>
    <mergeCell ref="C7:D7"/>
    <mergeCell ref="R7:R9"/>
    <mergeCell ref="Y7:Z7"/>
    <mergeCell ref="AC7:AC9"/>
    <mergeCell ref="C8:D8"/>
    <mergeCell ref="Y8:Z8"/>
    <mergeCell ref="C9:D9"/>
    <mergeCell ref="Y9:Z9"/>
    <mergeCell ref="Y13:Z13"/>
    <mergeCell ref="A10:A15"/>
    <mergeCell ref="C10:D10"/>
    <mergeCell ref="R10:R15"/>
    <mergeCell ref="AC21:AC28"/>
    <mergeCell ref="C22:D22"/>
    <mergeCell ref="Y22:Z22"/>
    <mergeCell ref="C23:D23"/>
    <mergeCell ref="Y23:Z23"/>
    <mergeCell ref="C24:D24"/>
    <mergeCell ref="AC16:AC20"/>
    <mergeCell ref="C17:D17"/>
    <mergeCell ref="Y17:Z17"/>
    <mergeCell ref="C18:D18"/>
    <mergeCell ref="Y18:Z18"/>
    <mergeCell ref="C19:D19"/>
    <mergeCell ref="Y19:Z19"/>
    <mergeCell ref="C20:D20"/>
    <mergeCell ref="Y20:Z20"/>
    <mergeCell ref="Y24:Z24"/>
    <mergeCell ref="R21:R28"/>
    <mergeCell ref="Y21:Z21"/>
    <mergeCell ref="C28:D28"/>
    <mergeCell ref="Y28:Z28"/>
    <mergeCell ref="AC10:AC15"/>
    <mergeCell ref="C11:D11"/>
    <mergeCell ref="Y11:Z11"/>
    <mergeCell ref="C12:D12"/>
    <mergeCell ref="A29:A36"/>
    <mergeCell ref="C29:D29"/>
    <mergeCell ref="R29:R36"/>
    <mergeCell ref="Y29:Z29"/>
    <mergeCell ref="Y34:Z34"/>
    <mergeCell ref="C35:D35"/>
    <mergeCell ref="Y35:Z35"/>
    <mergeCell ref="C36:D36"/>
    <mergeCell ref="A16:A20"/>
    <mergeCell ref="C16:D16"/>
    <mergeCell ref="R16:R20"/>
    <mergeCell ref="Y16:Z16"/>
    <mergeCell ref="C25:D25"/>
    <mergeCell ref="Y25:Z25"/>
    <mergeCell ref="C26:D26"/>
    <mergeCell ref="Y26:Z26"/>
    <mergeCell ref="C27:D27"/>
    <mergeCell ref="Y27:Z27"/>
    <mergeCell ref="A21:A28"/>
    <mergeCell ref="C21:D21"/>
    <mergeCell ref="AC37:AC47"/>
    <mergeCell ref="C38:D38"/>
    <mergeCell ref="Y38:Z38"/>
    <mergeCell ref="C39:D39"/>
    <mergeCell ref="Y39:Z39"/>
    <mergeCell ref="AC29:AC36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C40:D40"/>
    <mergeCell ref="Y36:Z36"/>
    <mergeCell ref="A48:A52"/>
    <mergeCell ref="C48:D48"/>
    <mergeCell ref="R48:R52"/>
    <mergeCell ref="Y48:Z48"/>
    <mergeCell ref="C43:D43"/>
    <mergeCell ref="Y43:Z43"/>
    <mergeCell ref="C44:D44"/>
    <mergeCell ref="Y44:Z44"/>
    <mergeCell ref="C45:D45"/>
    <mergeCell ref="Y45:Z45"/>
    <mergeCell ref="A37:A47"/>
    <mergeCell ref="C37:D37"/>
    <mergeCell ref="R37:R47"/>
    <mergeCell ref="Y37:Z37"/>
    <mergeCell ref="C46:D46"/>
    <mergeCell ref="Y46:Z46"/>
    <mergeCell ref="C47:D47"/>
    <mergeCell ref="Y47:Z47"/>
    <mergeCell ref="Y40:Z40"/>
    <mergeCell ref="C41:D41"/>
    <mergeCell ref="Y41:Z41"/>
    <mergeCell ref="C42:D42"/>
    <mergeCell ref="Y42:Z42"/>
    <mergeCell ref="AC53:AC57"/>
    <mergeCell ref="C54:D54"/>
    <mergeCell ref="Y54:Z54"/>
    <mergeCell ref="C55:D55"/>
    <mergeCell ref="Y55:Z55"/>
    <mergeCell ref="C56:D56"/>
    <mergeCell ref="AC48:AC52"/>
    <mergeCell ref="C49:D49"/>
    <mergeCell ref="Y49:Z49"/>
    <mergeCell ref="C50:D50"/>
    <mergeCell ref="C52:D52"/>
    <mergeCell ref="Y52:Z52"/>
    <mergeCell ref="Y56:Z56"/>
    <mergeCell ref="C57:D57"/>
    <mergeCell ref="Y57:Z57"/>
    <mergeCell ref="A58:A66"/>
    <mergeCell ref="C58:D58"/>
    <mergeCell ref="R58:R66"/>
    <mergeCell ref="Y58:Z58"/>
    <mergeCell ref="Y63:Z63"/>
    <mergeCell ref="C64:D64"/>
    <mergeCell ref="Y64:Z64"/>
    <mergeCell ref="A53:A57"/>
    <mergeCell ref="C53:D53"/>
    <mergeCell ref="R53:R57"/>
    <mergeCell ref="Y53:Z53"/>
    <mergeCell ref="C65:D65"/>
    <mergeCell ref="Y65:Z65"/>
    <mergeCell ref="C66:D66"/>
    <mergeCell ref="Y66:Z66"/>
    <mergeCell ref="AC58:AC66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6:O63 O66 O5:O7 O9:O11 O47:O53 O15:O42">
    <cfRule type="cellIs" dxfId="842" priority="70" operator="greaterThan">
      <formula>0</formula>
    </cfRule>
  </conditionalFormatting>
  <conditionalFormatting sqref="P5 P56 AA56 P58:P63 P21:P27 P53 P7 P9:P11 P16:P19 P48:P51 P29:P42 AA5:AA53 AA58:AA66">
    <cfRule type="cellIs" dxfId="841" priority="74" operator="lessThan">
      <formula>0</formula>
    </cfRule>
  </conditionalFormatting>
  <conditionalFormatting sqref="AB56 Q56:Q63 Q66 Q5:Q7 Q9:Q11 Q47:Q53 Q15:Q42 AB5:AB53 AB58:AB66">
    <cfRule type="cellIs" dxfId="840" priority="71" operator="greaterThan">
      <formula>1</formula>
    </cfRule>
    <cfRule type="cellIs" dxfId="839" priority="72" operator="lessThan">
      <formula>0.8</formula>
    </cfRule>
  </conditionalFormatting>
  <conditionalFormatting sqref="AC10:AC11 R10:R11 AC56 R56:R63 R66 AC5:AC7 R5:R7 R15:R42 AC15:AC42 AC47:AC53 R47:R53">
    <cfRule type="cellIs" dxfId="838" priority="76" operator="lessThan">
      <formula>0.8</formula>
    </cfRule>
  </conditionalFormatting>
  <conditionalFormatting sqref="AC37">
    <cfRule type="cellIs" dxfId="837" priority="78" operator="lessThan">
      <formula>0.8</formula>
    </cfRule>
  </conditionalFormatting>
  <conditionalFormatting sqref="AC16:AC19">
    <cfRule type="cellIs" dxfId="836" priority="75" operator="lessThan">
      <formula>0.8</formula>
    </cfRule>
  </conditionalFormatting>
  <conditionalFormatting sqref="AC21">
    <cfRule type="cellIs" dxfId="835" priority="77" operator="lessThan">
      <formula>0.8</formula>
    </cfRule>
  </conditionalFormatting>
  <conditionalFormatting sqref="AC29:AC35">
    <cfRule type="cellIs" dxfId="834" priority="73" operator="lessThan">
      <formula>0.8</formula>
    </cfRule>
  </conditionalFormatting>
  <conditionalFormatting sqref="AA57">
    <cfRule type="cellIs" dxfId="833" priority="69" operator="lessThan">
      <formula>0</formula>
    </cfRule>
  </conditionalFormatting>
  <conditionalFormatting sqref="AB57">
    <cfRule type="cellIs" dxfId="832" priority="67" operator="greaterThan">
      <formula>1</formula>
    </cfRule>
    <cfRule type="cellIs" dxfId="831" priority="68" operator="lessThan">
      <formula>0.8</formula>
    </cfRule>
  </conditionalFormatting>
  <conditionalFormatting sqref="O12:O13">
    <cfRule type="cellIs" dxfId="830" priority="62" operator="greaterThan">
      <formula>0</formula>
    </cfRule>
  </conditionalFormatting>
  <conditionalFormatting sqref="P12:P13">
    <cfRule type="cellIs" dxfId="829" priority="65" operator="lessThan">
      <formula>0</formula>
    </cfRule>
  </conditionalFormatting>
  <conditionalFormatting sqref="Q12:Q13">
    <cfRule type="cellIs" dxfId="828" priority="63" operator="greaterThan">
      <formula>1</formula>
    </cfRule>
    <cfRule type="cellIs" dxfId="827" priority="64" operator="lessThan">
      <formula>0.8</formula>
    </cfRule>
  </conditionalFormatting>
  <conditionalFormatting sqref="R12:R13 AC12:AC13">
    <cfRule type="cellIs" dxfId="826" priority="66" operator="lessThan">
      <formula>0.8</formula>
    </cfRule>
  </conditionalFormatting>
  <conditionalFormatting sqref="O8">
    <cfRule type="cellIs" dxfId="825" priority="58" operator="greaterThan">
      <formula>0</formula>
    </cfRule>
  </conditionalFormatting>
  <conditionalFormatting sqref="P8">
    <cfRule type="cellIs" dxfId="824" priority="61" operator="lessThan">
      <formula>0</formula>
    </cfRule>
  </conditionalFormatting>
  <conditionalFormatting sqref="Q8">
    <cfRule type="cellIs" dxfId="823" priority="59" operator="greaterThan">
      <formula>1</formula>
    </cfRule>
    <cfRule type="cellIs" dxfId="822" priority="60" operator="lessThan">
      <formula>0.8</formula>
    </cfRule>
  </conditionalFormatting>
  <conditionalFormatting sqref="O55">
    <cfRule type="cellIs" dxfId="821" priority="53" operator="greaterThan">
      <formula>0</formula>
    </cfRule>
  </conditionalFormatting>
  <conditionalFormatting sqref="P55 AA55">
    <cfRule type="cellIs" dxfId="820" priority="56" operator="lessThan">
      <formula>0</formula>
    </cfRule>
  </conditionalFormatting>
  <conditionalFormatting sqref="Q55 AB55">
    <cfRule type="cellIs" dxfId="819" priority="54" operator="greaterThan">
      <formula>1</formula>
    </cfRule>
    <cfRule type="cellIs" dxfId="818" priority="55" operator="lessThan">
      <formula>0.8</formula>
    </cfRule>
  </conditionalFormatting>
  <conditionalFormatting sqref="R55 AC55">
    <cfRule type="cellIs" dxfId="817" priority="57" operator="lessThan">
      <formula>0.8</formula>
    </cfRule>
  </conditionalFormatting>
  <conditionalFormatting sqref="O64">
    <cfRule type="cellIs" dxfId="816" priority="48" operator="greaterThan">
      <formula>0</formula>
    </cfRule>
  </conditionalFormatting>
  <conditionalFormatting sqref="P64">
    <cfRule type="cellIs" dxfId="815" priority="51" operator="lessThan">
      <formula>0</formula>
    </cfRule>
  </conditionalFormatting>
  <conditionalFormatting sqref="Q64">
    <cfRule type="cellIs" dxfId="814" priority="49" operator="greaterThan">
      <formula>1</formula>
    </cfRule>
    <cfRule type="cellIs" dxfId="813" priority="50" operator="lessThan">
      <formula>0.8</formula>
    </cfRule>
  </conditionalFormatting>
  <conditionalFormatting sqref="R64">
    <cfRule type="cellIs" dxfId="812" priority="52" operator="lessThan">
      <formula>0.8</formula>
    </cfRule>
  </conditionalFormatting>
  <conditionalFormatting sqref="O14">
    <cfRule type="cellIs" dxfId="811" priority="43" operator="greaterThan">
      <formula>0</formula>
    </cfRule>
  </conditionalFormatting>
  <conditionalFormatting sqref="P14">
    <cfRule type="cellIs" dxfId="810" priority="46" operator="lessThan">
      <formula>0</formula>
    </cfRule>
  </conditionalFormatting>
  <conditionalFormatting sqref="Q14">
    <cfRule type="cellIs" dxfId="809" priority="44" operator="greaterThan">
      <formula>1</formula>
    </cfRule>
    <cfRule type="cellIs" dxfId="808" priority="45" operator="lessThan">
      <formula>0.8</formula>
    </cfRule>
  </conditionalFormatting>
  <conditionalFormatting sqref="R14 AC14">
    <cfRule type="cellIs" dxfId="807" priority="47" operator="lessThan">
      <formula>0.8</formula>
    </cfRule>
  </conditionalFormatting>
  <conditionalFormatting sqref="O43">
    <cfRule type="cellIs" dxfId="806" priority="37" operator="greaterThan">
      <formula>0</formula>
    </cfRule>
  </conditionalFormatting>
  <conditionalFormatting sqref="P43">
    <cfRule type="cellIs" dxfId="805" priority="41" operator="lessThan">
      <formula>0</formula>
    </cfRule>
  </conditionalFormatting>
  <conditionalFormatting sqref="Q43">
    <cfRule type="cellIs" dxfId="804" priority="38" operator="greaterThan">
      <formula>1</formula>
    </cfRule>
    <cfRule type="cellIs" dxfId="803" priority="39" operator="lessThan">
      <formula>0.8</formula>
    </cfRule>
  </conditionalFormatting>
  <conditionalFormatting sqref="R43 AC43">
    <cfRule type="cellIs" dxfId="802" priority="42" operator="lessThan">
      <formula>0.8</formula>
    </cfRule>
  </conditionalFormatting>
  <conditionalFormatting sqref="AC43">
    <cfRule type="cellIs" dxfId="801" priority="40" operator="lessThan">
      <formula>0.8</formula>
    </cfRule>
  </conditionalFormatting>
  <conditionalFormatting sqref="O44">
    <cfRule type="cellIs" dxfId="800" priority="31" operator="greaterThan">
      <formula>0</formula>
    </cfRule>
  </conditionalFormatting>
  <conditionalFormatting sqref="P44">
    <cfRule type="cellIs" dxfId="799" priority="35" operator="lessThan">
      <formula>0</formula>
    </cfRule>
  </conditionalFormatting>
  <conditionalFormatting sqref="Q44">
    <cfRule type="cellIs" dxfId="798" priority="32" operator="greaterThan">
      <formula>1</formula>
    </cfRule>
    <cfRule type="cellIs" dxfId="797" priority="33" operator="lessThan">
      <formula>0.8</formula>
    </cfRule>
  </conditionalFormatting>
  <conditionalFormatting sqref="R44 AC44">
    <cfRule type="cellIs" dxfId="796" priority="36" operator="lessThan">
      <formula>0.8</formula>
    </cfRule>
  </conditionalFormatting>
  <conditionalFormatting sqref="AC44">
    <cfRule type="cellIs" dxfId="795" priority="34" operator="lessThan">
      <formula>0.8</formula>
    </cfRule>
  </conditionalFormatting>
  <conditionalFormatting sqref="O45">
    <cfRule type="cellIs" dxfId="794" priority="25" operator="greaterThan">
      <formula>0</formula>
    </cfRule>
  </conditionalFormatting>
  <conditionalFormatting sqref="P45">
    <cfRule type="cellIs" dxfId="793" priority="29" operator="lessThan">
      <formula>0</formula>
    </cfRule>
  </conditionalFormatting>
  <conditionalFormatting sqref="Q45">
    <cfRule type="cellIs" dxfId="792" priority="26" operator="greaterThan">
      <formula>1</formula>
    </cfRule>
    <cfRule type="cellIs" dxfId="791" priority="27" operator="lessThan">
      <formula>0.8</formula>
    </cfRule>
  </conditionalFormatting>
  <conditionalFormatting sqref="R45 AC45">
    <cfRule type="cellIs" dxfId="790" priority="30" operator="lessThan">
      <formula>0.8</formula>
    </cfRule>
  </conditionalFormatting>
  <conditionalFormatting sqref="AC45">
    <cfRule type="cellIs" dxfId="789" priority="28" operator="lessThan">
      <formula>0.8</formula>
    </cfRule>
  </conditionalFormatting>
  <conditionalFormatting sqref="O46">
    <cfRule type="cellIs" dxfId="788" priority="19" operator="greaterThan">
      <formula>0</formula>
    </cfRule>
  </conditionalFormatting>
  <conditionalFormatting sqref="P46">
    <cfRule type="cellIs" dxfId="787" priority="23" operator="lessThan">
      <formula>0</formula>
    </cfRule>
  </conditionalFormatting>
  <conditionalFormatting sqref="Q46">
    <cfRule type="cellIs" dxfId="786" priority="20" operator="greaterThan">
      <formula>1</formula>
    </cfRule>
    <cfRule type="cellIs" dxfId="785" priority="21" operator="lessThan">
      <formula>0.8</formula>
    </cfRule>
  </conditionalFormatting>
  <conditionalFormatting sqref="R46 AC46">
    <cfRule type="cellIs" dxfId="784" priority="24" operator="lessThan">
      <formula>0.8</formula>
    </cfRule>
  </conditionalFormatting>
  <conditionalFormatting sqref="AC46">
    <cfRule type="cellIs" dxfId="783" priority="22" operator="lessThan">
      <formula>0.8</formula>
    </cfRule>
  </conditionalFormatting>
  <conditionalFormatting sqref="O54">
    <cfRule type="cellIs" dxfId="782" priority="14" operator="greaterThan">
      <formula>0</formula>
    </cfRule>
  </conditionalFormatting>
  <conditionalFormatting sqref="P54 AA54">
    <cfRule type="cellIs" dxfId="781" priority="17" operator="lessThan">
      <formula>0</formula>
    </cfRule>
  </conditionalFormatting>
  <conditionalFormatting sqref="Q54 AB54">
    <cfRule type="cellIs" dxfId="780" priority="15" operator="greaterThan">
      <formula>1</formula>
    </cfRule>
    <cfRule type="cellIs" dxfId="779" priority="16" operator="lessThan">
      <formula>0.8</formula>
    </cfRule>
  </conditionalFormatting>
  <conditionalFormatting sqref="R54 AC54">
    <cfRule type="cellIs" dxfId="778" priority="18" operator="lessThan">
      <formula>0.8</formula>
    </cfRule>
  </conditionalFormatting>
  <conditionalFormatting sqref="P6">
    <cfRule type="cellIs" dxfId="777" priority="13" operator="lessThan">
      <formula>0</formula>
    </cfRule>
  </conditionalFormatting>
  <conditionalFormatting sqref="P15">
    <cfRule type="cellIs" dxfId="776" priority="12" operator="lessThan">
      <formula>0</formula>
    </cfRule>
  </conditionalFormatting>
  <conditionalFormatting sqref="P20">
    <cfRule type="cellIs" dxfId="775" priority="11" operator="lessThan">
      <formula>0</formula>
    </cfRule>
  </conditionalFormatting>
  <conditionalFormatting sqref="P28">
    <cfRule type="cellIs" dxfId="774" priority="10" operator="lessThan">
      <formula>0</formula>
    </cfRule>
  </conditionalFormatting>
  <conditionalFormatting sqref="P47">
    <cfRule type="cellIs" dxfId="773" priority="9" operator="lessThan">
      <formula>0</formula>
    </cfRule>
  </conditionalFormatting>
  <conditionalFormatting sqref="P52">
    <cfRule type="cellIs" dxfId="772" priority="8" operator="lessThan">
      <formula>0</formula>
    </cfRule>
  </conditionalFormatting>
  <conditionalFormatting sqref="P57">
    <cfRule type="cellIs" dxfId="771" priority="7" operator="lessThan">
      <formula>0</formula>
    </cfRule>
  </conditionalFormatting>
  <conditionalFormatting sqref="P66">
    <cfRule type="cellIs" dxfId="770" priority="6" operator="lessThan">
      <formula>0</formula>
    </cfRule>
  </conditionalFormatting>
  <conditionalFormatting sqref="O65">
    <cfRule type="cellIs" dxfId="769" priority="1" operator="greaterThan">
      <formula>0</formula>
    </cfRule>
  </conditionalFormatting>
  <conditionalFormatting sqref="P65">
    <cfRule type="cellIs" dxfId="768" priority="4" operator="lessThan">
      <formula>0</formula>
    </cfRule>
  </conditionalFormatting>
  <conditionalFormatting sqref="Q65">
    <cfRule type="cellIs" dxfId="767" priority="2" operator="greaterThan">
      <formula>1</formula>
    </cfRule>
    <cfRule type="cellIs" dxfId="766" priority="3" operator="lessThan">
      <formula>0.8</formula>
    </cfRule>
  </conditionalFormatting>
  <conditionalFormatting sqref="R65">
    <cfRule type="cellIs" dxfId="765" priority="5" operator="lessThan">
      <formula>0.8</formula>
    </cfRule>
  </conditionalFormatting>
  <dataValidations count="1">
    <dataValidation type="list" allowBlank="1" showInputMessage="1" showErrorMessage="1" sqref="Z6 Y5:Z5 Y6:Y56 Z8:Z53 Y57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P14" sqref="P14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87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653</v>
      </c>
      <c r="C3" s="497" t="str">
        <f>TEXT('1108 4度C'!A2,"yyyy.mm.ddaaaa")</f>
        <v>2025.11.08星期六</v>
      </c>
      <c r="D3" s="498"/>
      <c r="E3" s="4" t="s">
        <v>654</v>
      </c>
      <c r="F3" s="499">
        <f>'1108 4度C'!D1</f>
        <v>147366</v>
      </c>
      <c r="G3" s="500"/>
      <c r="H3" s="4" t="s">
        <v>655</v>
      </c>
      <c r="I3" s="501">
        <f>'1108 4度C'!F1</f>
        <v>4856966.0999999996</v>
      </c>
      <c r="J3" s="502"/>
      <c r="K3" s="5"/>
      <c r="L3" s="6"/>
      <c r="M3" s="7"/>
      <c r="N3" s="7"/>
    </row>
    <row r="4" spans="2:17" ht="28.5" customHeight="1">
      <c r="B4" s="503" t="s">
        <v>656</v>
      </c>
      <c r="C4" s="485" t="s">
        <v>657</v>
      </c>
      <c r="D4" s="486"/>
      <c r="E4" s="506" t="s">
        <v>658</v>
      </c>
      <c r="F4" s="507"/>
      <c r="G4" s="506" t="s">
        <v>659</v>
      </c>
      <c r="H4" s="507"/>
      <c r="I4" s="506" t="s">
        <v>660</v>
      </c>
      <c r="J4" s="507"/>
      <c r="L4" s="7"/>
      <c r="M4" s="7"/>
      <c r="N4" s="7"/>
    </row>
    <row r="5" spans="2:17" ht="28.5" customHeight="1">
      <c r="B5" s="504"/>
      <c r="C5" s="485" t="s">
        <v>661</v>
      </c>
      <c r="D5" s="486"/>
      <c r="E5" s="485" t="s">
        <v>662</v>
      </c>
      <c r="F5" s="486"/>
      <c r="G5" s="487" t="s">
        <v>663</v>
      </c>
      <c r="H5" s="488"/>
      <c r="I5" s="489" t="s">
        <v>664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151.68090491669258</v>
      </c>
      <c r="F6" s="492">
        <f>AVERAGE(D27:O27,D13:J13)</f>
        <v>156.2068096698078</v>
      </c>
      <c r="G6" s="493">
        <f>AVERAGE(D13:J13)</f>
        <v>156.2068096698078</v>
      </c>
      <c r="H6" s="494"/>
      <c r="I6" s="493">
        <f>AVERAGE(K13:M13)</f>
        <v>141.1204604927571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145.11345805252239</v>
      </c>
      <c r="F7" s="478">
        <f>AVERAGE(D28:O28,D14:J14)</f>
        <v>149.40073335009771</v>
      </c>
      <c r="G7" s="479">
        <f>AVERAGE(D14:J14)</f>
        <v>149.40073335009771</v>
      </c>
      <c r="H7" s="480"/>
      <c r="I7" s="479">
        <f>AVERAGE(K14:M14)</f>
        <v>135.10981569151326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0.95637932560266248</v>
      </c>
      <c r="F8" s="482">
        <f>AVERAGE(D15:J15,D29:O29)</f>
        <v>0.95594466106995024</v>
      </c>
      <c r="G8" s="483">
        <f>AVERAGE(D15:J15)</f>
        <v>0.95594466106995024</v>
      </c>
      <c r="H8" s="484"/>
      <c r="I8" s="483">
        <f>AVERAGE(K15:M15)</f>
        <v>0.95739354284565781</v>
      </c>
      <c r="J8" s="484"/>
      <c r="K8" s="8" t="s">
        <v>665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100</v>
      </c>
      <c r="C10" s="459"/>
      <c r="D10" s="460" t="s">
        <v>666</v>
      </c>
      <c r="E10" s="461"/>
      <c r="F10" s="461"/>
      <c r="G10" s="461"/>
      <c r="H10" s="461"/>
      <c r="I10" s="461"/>
      <c r="J10" s="462"/>
      <c r="K10" s="463" t="s">
        <v>667</v>
      </c>
      <c r="L10" s="464"/>
      <c r="M10" s="465"/>
      <c r="P10" s="11"/>
      <c r="Q10" s="11"/>
    </row>
    <row r="11" spans="2:17" ht="17.25" customHeight="1">
      <c r="B11" s="466" t="s">
        <v>668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669</v>
      </c>
      <c r="C13" s="18" t="s">
        <v>670</v>
      </c>
      <c r="D13" s="19">
        <f>SUMIFS('1108 4度C'!$K:$K,'1108 4度C'!$A:$A,"新豐6線",'1108 4度C'!$B:$B,"平均")</f>
        <v>117.64705882352941</v>
      </c>
      <c r="E13" s="20">
        <f>SUMIFS('1108 4度C'!$K:$K,'1108 4度C'!$A:$A,"新豐2線",'1108 4度C'!$B:$B,"平均")</f>
        <v>81.081081081081081</v>
      </c>
      <c r="F13" s="21">
        <f>SUMIFS('1108 4度C'!$K:$K,'1108 4度C'!$A:$A,"新豐5線",'1108 4度C'!$B:$B,"平均")</f>
        <v>91.397849462365585</v>
      </c>
      <c r="G13" s="21">
        <f>SUMIFS('1108 4度C'!$K:$K,'1108 4度C'!$A:$A,"新豐7線",'1108 4度C'!$B:$B,"平均")</f>
        <v>121.21212121212122</v>
      </c>
      <c r="H13" s="21">
        <f>SUMIFS('1108 4度C'!$K:$K,'1108 4度C'!$A:$A,"新豐3線",'1108 4度C'!$B:$B,"平均")</f>
        <v>269.23076923076923</v>
      </c>
      <c r="I13" s="21">
        <f>SUMIFS('1108 4度C'!$K:$K,'1108 4度C'!$A:$A,"新豐1線",'1108 4度C'!$B:$B,"平均")</f>
        <v>121.21212121212122</v>
      </c>
      <c r="J13" s="22">
        <f>SUMIFS('1108 4度C'!$K:$K,'1108 4度C'!$A:$A,"新豐10線",'1108 4度C'!$B:$B,"平均")</f>
        <v>291.66666666666669</v>
      </c>
      <c r="K13" s="23">
        <f>SUMIFS('1108 4度C'!$K:$K,'1108 4度C'!$A:$A,"新豐8線",'1108 4度C'!$B:$B,"平均")</f>
        <v>137.70491803278691</v>
      </c>
      <c r="L13" s="24">
        <f>SUMIFS('1108 4度C'!$K:$K,'1108 4度C'!$A:$A,"新豐9線",'1108 4度C'!$B:$B,"平均")</f>
        <v>142.37288135593221</v>
      </c>
      <c r="M13" s="22">
        <f>SUMIFS('1108 4度C'!$K:$K,'1108 4度C'!$A:$A,"新豐4線",'1108 4度C'!$B:$B,"平均")</f>
        <v>143.28358208955223</v>
      </c>
    </row>
    <row r="14" spans="2:17" ht="39.6" customHeight="1">
      <c r="B14" s="471"/>
      <c r="C14" s="25" t="s">
        <v>671</v>
      </c>
      <c r="D14" s="26">
        <f>SUMIFS('1108 4度C'!$N:$N,'1108 4度C'!$A:$A,"新豐6線",'1108 4度C'!$B:$B,"平均")</f>
        <v>112.18487394957971</v>
      </c>
      <c r="E14" s="27">
        <f>SUMIFS('1108 4度C'!$N:$N,'1108 4度C'!$A:$A,"新豐2線",'1108 4度C'!$B:$B,"平均")</f>
        <v>77.447017303779447</v>
      </c>
      <c r="F14" s="27">
        <f>SUMIFS('1108 4度C'!$N:$N,'1108 4度C'!$A:$A,"新豐5線",'1108 4度C'!$B:$B,"平均")</f>
        <v>87.370331142947023</v>
      </c>
      <c r="G14" s="27">
        <f>SUMIFS('1108 4度C'!$N:$N,'1108 4度C'!$A:$A,"新豐7線",'1108 4度C'!$B:$B,"平均")</f>
        <v>115.84988126447459</v>
      </c>
      <c r="H14" s="27">
        <f>SUMIFS('1108 4度C'!$N:$N,'1108 4度C'!$A:$A,"新豐3線",'1108 4度C'!$B:$B,"平均")</f>
        <v>258.07096568584365</v>
      </c>
      <c r="I14" s="27">
        <f>SUMIFS('1108 4度C'!$N:$N,'1108 4度C'!$A:$A,"新豐1線",'1108 4度C'!$B:$B,"平均")</f>
        <v>115.88576187301246</v>
      </c>
      <c r="J14" s="28">
        <f>SUMIFS('1108 4度C'!$N:$N,'1108 4度C'!$A:$A,"新豐10線",'1108 4度C'!$B:$B,"平均")</f>
        <v>278.99630223104703</v>
      </c>
      <c r="K14" s="29">
        <f>SUMIFS('1108 4度C'!$N:$N,'1108 4度C'!$A:$A,"新豐8線",'1108 4度C'!$B:$B,"平均")</f>
        <v>131.70421736200817</v>
      </c>
      <c r="L14" s="30">
        <f>SUMIFS('1108 4度C'!$N:$N,'1108 4度C'!$A:$A,"新豐9線",'1108 4度C'!$B:$B,"平均")</f>
        <v>136.21580994910249</v>
      </c>
      <c r="M14" s="28">
        <f>SUMIFS('1108 4度C'!$N:$N,'1108 4度C'!$A:$A,"新豐4線",'1108 4度C'!$B:$B,"平均")</f>
        <v>137.4094197634291</v>
      </c>
    </row>
    <row r="15" spans="2:17" ht="40.15" customHeight="1">
      <c r="B15" s="472"/>
      <c r="C15" s="31" t="s">
        <v>672</v>
      </c>
      <c r="D15" s="32">
        <f t="shared" ref="D15:M15" si="0">D14/D13</f>
        <v>0.95357142857142763</v>
      </c>
      <c r="E15" s="33">
        <f t="shared" si="0"/>
        <v>0.95517988007994648</v>
      </c>
      <c r="F15" s="33">
        <f t="shared" si="0"/>
        <v>0.95593421132871459</v>
      </c>
      <c r="G15" s="33">
        <f t="shared" si="0"/>
        <v>0.95576152043191531</v>
      </c>
      <c r="H15" s="33">
        <f t="shared" si="0"/>
        <v>0.95854930111884784</v>
      </c>
      <c r="I15" s="33">
        <f t="shared" si="0"/>
        <v>0.95605753545235272</v>
      </c>
      <c r="J15" s="34">
        <f t="shared" si="0"/>
        <v>0.9565587505064469</v>
      </c>
      <c r="K15" s="32">
        <f t="shared" si="0"/>
        <v>0.95642348322410675</v>
      </c>
      <c r="L15" s="33">
        <f t="shared" si="0"/>
        <v>0.95675390321393416</v>
      </c>
      <c r="M15" s="34">
        <f t="shared" si="0"/>
        <v>0.9590032420989324</v>
      </c>
    </row>
    <row r="16" spans="2:17" ht="17.25" customHeight="1">
      <c r="B16" s="473" t="s">
        <v>107</v>
      </c>
      <c r="C16" s="35" t="s">
        <v>673</v>
      </c>
      <c r="D16" s="49">
        <f>VLOOKUP("新豐6線",'1108 4度C'!$A:$T,19,0)</f>
        <v>0.70833333333333337</v>
      </c>
      <c r="E16" s="50">
        <f>VLOOKUP("新豐2線",'1108 4度C'!$A:$T,19,0)</f>
        <v>0.20833333333333334</v>
      </c>
      <c r="F16" s="50">
        <f>VLOOKUP("新豐5線",'1108 4度C'!$A:$T,19,0)</f>
        <v>0.125</v>
      </c>
      <c r="G16" s="50">
        <f>VLOOKUP("新豐7線",'1108 4度C'!$A:$T,19,0)</f>
        <v>0.20833333333333334</v>
      </c>
      <c r="H16" s="50">
        <f>VLOOKUP("新豐3線",'1108 4度C'!$A:$T,19,0)</f>
        <v>0.125</v>
      </c>
      <c r="I16" s="50">
        <f>VLOOKUP("新豐1線",'1108 4度C'!$A:$T,19,0)</f>
        <v>0.20833333333333334</v>
      </c>
      <c r="J16" s="51">
        <f>VLOOKUP("新豐10線",'1108 4度C'!$A:$T,19,0)</f>
        <v>0.20833333333333334</v>
      </c>
      <c r="K16" s="36">
        <f>VLOOKUP("新豐8線",'1108 4度C'!$A:$T,19,0)</f>
        <v>0.125</v>
      </c>
      <c r="L16" s="37">
        <f>VLOOKUP("新豐9線",'1108 4度C'!$A:$T,19,0)</f>
        <v>0.125</v>
      </c>
      <c r="M16" s="38">
        <f>VLOOKUP("新豐4線",'1108 4度C'!$A:$T,19,0)</f>
        <v>0.125</v>
      </c>
    </row>
    <row r="17" spans="2:13" ht="17.25" customHeight="1">
      <c r="B17" s="474"/>
      <c r="C17" s="35" t="s">
        <v>108</v>
      </c>
      <c r="D17" s="36">
        <f>LOOKUP(2,1/(('1108 4度C'!$A:$A="新豐6線")*('1108 4度C'!$T:$T&lt;&gt;"")),'1108 4度C'!$T:$T)</f>
        <v>0.75694444444444453</v>
      </c>
      <c r="E17" s="50">
        <f>LOOKUP(2,1/(('1108 4度C'!$A:$A="新豐2線")*('1108 4度C'!$T:$T&lt;&gt;"")),'1108 4度C'!$T:$T)</f>
        <v>0.42986111111111114</v>
      </c>
      <c r="F17" s="50">
        <f>LOOKUP(2,1/(('1108 4度C'!$A:$A="新豐5線")*('1108 4度C'!$T:$T&lt;&gt;"")),'1108 4度C'!$T:$T)</f>
        <v>0.8666666666666667</v>
      </c>
      <c r="G17" s="50">
        <f>LOOKUP(2,1/(('1108 4度C'!$A:$A="新豐7線")*('1108 4度C'!$T:$T&lt;&gt;"")),'1108 4度C'!$T:$T)</f>
        <v>0.76944444444444449</v>
      </c>
      <c r="H17" s="50">
        <f>LOOKUP(2,1/(('1108 4度C'!$A:$A="新豐3線")*('1108 4度C'!$T:$T&lt;&gt;"")),'1108 4度C'!$T:$T)</f>
        <v>0.65902777777777755</v>
      </c>
      <c r="I17" s="50">
        <f>LOOKUP(2,1/(('1108 4度C'!$A:$A="新豐1線")*('1108 4度C'!$T:$T&lt;&gt;"")),'1108 4度C'!$T:$T)</f>
        <v>0.81597222222222221</v>
      </c>
      <c r="J17" s="51">
        <f>LOOKUP(2,1/(('1108 4度C'!$A:$A="新豐10線")*('1108 4度C'!$T:$T&lt;&gt;"")),'1108 4度C'!$T:$T)</f>
        <v>0.43749999999999994</v>
      </c>
      <c r="K17" s="49">
        <f>LOOKUP(2,1/(('1108 4度C'!$A:$A="新豐8線")*('1108 4度C'!$T:$T&lt;&gt;"")),'1108 4度C'!$T:$T)</f>
        <v>0.61388888888888882</v>
      </c>
      <c r="L17" s="50">
        <f>LOOKUP(2,1/(('1108 4度C'!$A:$A="新豐9線")*('1108 4度C'!$T:$T&lt;&gt;"")),'1108 4度C'!$T:$T)</f>
        <v>0.61736111111111103</v>
      </c>
      <c r="M17" s="51">
        <f>LOOKUP(2,1/(('1108 4度C'!$A:$A="新豐4線")*('1108 4度C'!$T:$T&lt;&gt;"")),'1108 4度C'!$T:$T)</f>
        <v>0.59097222222222212</v>
      </c>
    </row>
    <row r="18" spans="2:13" ht="17.25" customHeight="1">
      <c r="B18" s="452" t="s">
        <v>674</v>
      </c>
      <c r="C18" s="453"/>
      <c r="D18" s="39">
        <f>SUMIFS('1108 4度C'!$I:$I,'1108 4度C'!$A:$A,"新豐6線",'1108 4度C'!$B:$B,"平均")</f>
        <v>17</v>
      </c>
      <c r="E18" s="40">
        <f>SUMIFS('1108 4度C'!$I:$I,'1108 4度C'!$A:$A,"新豐2線",'1108 4度C'!$B:$B,"平均")</f>
        <v>18.5</v>
      </c>
      <c r="F18" s="40">
        <f>SUMIFS('1108 4度C'!$I:$I,'1108 4度C'!$A:$A,"新豐5線",'1108 4度C'!$B:$B,"平均")</f>
        <v>18.600000000000001</v>
      </c>
      <c r="G18" s="40">
        <f>SUMIFS('1108 4度C'!$I:$I,'1108 4度C'!$A:$A,"新豐7線",'1108 4度C'!$B:$B,"平均")</f>
        <v>16.5</v>
      </c>
      <c r="H18" s="40">
        <f>SUMIFS('1108 4度C'!$I:$I,'1108 4度C'!$A:$A,"新豐3線",'1108 4度C'!$B:$B,"平均")</f>
        <v>10.4</v>
      </c>
      <c r="I18" s="40">
        <f>SUMIFS('1108 4度C'!$I:$I,'1108 4度C'!$A:$A,"新豐1線",'1108 4度C'!$B:$B,"平均")</f>
        <v>16.5</v>
      </c>
      <c r="J18" s="41">
        <f>SUMIFS('1108 4度C'!$I:$I,'1108 4度C'!$A:$A,"新豐10線",'1108 4度C'!$B:$B,"平均")</f>
        <v>9</v>
      </c>
      <c r="K18" s="39">
        <f>SUMIFS('1108 4度C'!$I:$I,'1108 4度C'!$A:$A,"新豐8線",'1108 4度C'!$B:$B,"平均")</f>
        <v>17.428571428571427</v>
      </c>
      <c r="L18" s="40">
        <f>SUMIFS('1108 4度C'!$I:$I,'1108 4度C'!$A:$A,"新豐9線",'1108 4度C'!$B:$B,"平均")</f>
        <v>16.857142857142858</v>
      </c>
      <c r="M18" s="41">
        <f>SUMIFS('1108 4度C'!$I:$I,'1108 4度C'!$A:$A,"新豐4線",'1108 4度C'!$B:$B,"平均")</f>
        <v>16.75</v>
      </c>
    </row>
    <row r="19" spans="2:13" ht="17.25" customHeight="1">
      <c r="B19" s="452" t="s">
        <v>675</v>
      </c>
      <c r="C19" s="453"/>
      <c r="D19" s="42" t="s">
        <v>65</v>
      </c>
      <c r="E19" s="43" t="s">
        <v>66</v>
      </c>
      <c r="F19" s="43" t="s">
        <v>676</v>
      </c>
      <c r="G19" s="43" t="s">
        <v>677</v>
      </c>
      <c r="H19" s="43" t="s">
        <v>67</v>
      </c>
      <c r="I19" s="43" t="s">
        <v>65</v>
      </c>
      <c r="J19" s="44" t="s">
        <v>67</v>
      </c>
      <c r="K19" s="42" t="s">
        <v>678</v>
      </c>
      <c r="L19" s="43" t="s">
        <v>678</v>
      </c>
      <c r="M19" s="44" t="s">
        <v>71</v>
      </c>
    </row>
    <row r="20" spans="2:13" ht="17.25" customHeight="1">
      <c r="B20" s="452" t="s">
        <v>113</v>
      </c>
      <c r="C20" s="453"/>
      <c r="D20" s="42"/>
      <c r="E20" s="43"/>
      <c r="F20" s="43" t="s">
        <v>286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679</v>
      </c>
      <c r="C21" s="455"/>
      <c r="D21" s="45"/>
      <c r="E21" s="46" t="s">
        <v>116</v>
      </c>
      <c r="F21" s="456" t="s">
        <v>117</v>
      </c>
      <c r="G21" s="457"/>
      <c r="H21" s="46" t="s">
        <v>680</v>
      </c>
      <c r="I21" s="46" t="s">
        <v>681</v>
      </c>
      <c r="J21" s="47" t="s">
        <v>680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7"/>
  <sheetViews>
    <sheetView zoomScale="80" zoomScaleNormal="80" workbookViewId="0">
      <pane ySplit="4" topLeftCell="A29" activePane="bottomLeft" state="frozen"/>
      <selection activeCell="P14" sqref="P14"/>
      <selection pane="bottomLeft" activeCell="P14" sqref="P1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682</v>
      </c>
      <c r="B1" s="52"/>
      <c r="C1" s="53" t="s">
        <v>683</v>
      </c>
      <c r="D1" s="54">
        <f>SUM(F5:F66)</f>
        <v>147366</v>
      </c>
      <c r="E1" s="162" t="s">
        <v>684</v>
      </c>
      <c r="F1" s="52">
        <f>SUM(G5:G66)</f>
        <v>4856966.0999999996</v>
      </c>
      <c r="G1" s="52" t="s">
        <v>685</v>
      </c>
      <c r="H1" s="55">
        <f>L6+L9+L47+L52+L15+L57+L28+L36+L20+L66</f>
        <v>157.53571428571428</v>
      </c>
      <c r="I1" s="556" t="s">
        <v>686</v>
      </c>
      <c r="J1" s="556"/>
      <c r="K1" s="556"/>
      <c r="L1" s="556" t="s">
        <v>687</v>
      </c>
      <c r="M1" s="556"/>
      <c r="N1" s="556"/>
      <c r="O1" s="556" t="s">
        <v>688</v>
      </c>
      <c r="P1" s="556"/>
      <c r="Q1" s="556"/>
      <c r="R1" s="556"/>
      <c r="S1" s="556" t="s">
        <v>689</v>
      </c>
      <c r="T1" s="556"/>
      <c r="U1" s="556"/>
      <c r="V1" s="556"/>
      <c r="W1" s="556"/>
      <c r="X1" s="556"/>
      <c r="Y1" s="556" t="s">
        <v>690</v>
      </c>
      <c r="Z1" s="556"/>
      <c r="AA1" s="556" t="s">
        <v>691</v>
      </c>
      <c r="AB1" s="557"/>
      <c r="AC1" s="557"/>
    </row>
    <row r="2" spans="1:29" ht="26.25" customHeight="1">
      <c r="A2" s="57">
        <v>45969</v>
      </c>
      <c r="B2" s="58" t="s">
        <v>72</v>
      </c>
      <c r="C2" s="53" t="s">
        <v>669</v>
      </c>
      <c r="D2" s="59">
        <f>AVERAGE(N6,N9,N47,N52,N15,N57,N20,N28,N36,N66)</f>
        <v>145.11345805252239</v>
      </c>
      <c r="E2" s="60" t="s">
        <v>0</v>
      </c>
      <c r="F2" s="61">
        <f>F1/D1</f>
        <v>32.958525711493827</v>
      </c>
      <c r="G2" s="52" t="s">
        <v>692</v>
      </c>
      <c r="H2" s="172">
        <f>COUNT(H5:H66)</f>
        <v>8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693</v>
      </c>
      <c r="B3" s="510" t="s">
        <v>694</v>
      </c>
      <c r="C3" s="510" t="s">
        <v>695</v>
      </c>
      <c r="D3" s="510"/>
      <c r="E3" s="554" t="s">
        <v>696</v>
      </c>
      <c r="F3" s="510" t="s">
        <v>697</v>
      </c>
      <c r="G3" s="554" t="s">
        <v>698</v>
      </c>
      <c r="H3" s="547" t="s">
        <v>699</v>
      </c>
      <c r="I3" s="545" t="s">
        <v>700</v>
      </c>
      <c r="J3" s="550" t="s">
        <v>701</v>
      </c>
      <c r="K3" s="552" t="s">
        <v>702</v>
      </c>
      <c r="L3" s="545" t="s">
        <v>703</v>
      </c>
      <c r="M3" s="550" t="s">
        <v>701</v>
      </c>
      <c r="N3" s="552" t="s">
        <v>702</v>
      </c>
      <c r="O3" s="545" t="s">
        <v>703</v>
      </c>
      <c r="P3" s="552" t="s">
        <v>702</v>
      </c>
      <c r="Q3" s="551" t="s">
        <v>704</v>
      </c>
      <c r="R3" s="523" t="s">
        <v>705</v>
      </c>
      <c r="S3" s="510" t="s">
        <v>1</v>
      </c>
      <c r="T3" s="510"/>
      <c r="U3" s="547" t="s">
        <v>2</v>
      </c>
      <c r="V3" s="547" t="s">
        <v>706</v>
      </c>
      <c r="W3" s="510" t="s">
        <v>707</v>
      </c>
      <c r="X3" s="510"/>
      <c r="Y3" s="548" t="s">
        <v>708</v>
      </c>
      <c r="Z3" s="549"/>
      <c r="AA3" s="550" t="s">
        <v>701</v>
      </c>
      <c r="AB3" s="551" t="s">
        <v>704</v>
      </c>
      <c r="AC3" s="523" t="s">
        <v>705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62" t="s">
        <v>3</v>
      </c>
      <c r="T4" s="162" t="s">
        <v>4</v>
      </c>
      <c r="U4" s="547"/>
      <c r="V4" s="547"/>
      <c r="W4" s="162" t="s">
        <v>709</v>
      </c>
      <c r="X4" s="162" t="s">
        <v>710</v>
      </c>
      <c r="Y4" s="549"/>
      <c r="Z4" s="549"/>
      <c r="AA4" s="550"/>
      <c r="AB4" s="551"/>
      <c r="AC4" s="523"/>
    </row>
    <row r="5" spans="1:29">
      <c r="A5" s="544" t="s">
        <v>711</v>
      </c>
      <c r="B5" s="62" t="s">
        <v>6</v>
      </c>
      <c r="C5" s="546" t="s">
        <v>9</v>
      </c>
      <c r="D5" s="546"/>
      <c r="E5" s="62">
        <v>50.67</v>
      </c>
      <c r="F5" s="171">
        <v>2225</v>
      </c>
      <c r="G5" s="162">
        <f t="shared" ref="G5" si="0">E5*F5</f>
        <v>112740.75</v>
      </c>
      <c r="H5" s="90" t="s">
        <v>5</v>
      </c>
      <c r="I5" s="169">
        <v>17</v>
      </c>
      <c r="J5" s="63">
        <v>2000</v>
      </c>
      <c r="K5" s="64">
        <f t="shared" ref="K5:K66" si="1">J5/I5</f>
        <v>117.64705882352941</v>
      </c>
      <c r="L5" s="169">
        <v>17</v>
      </c>
      <c r="M5" s="65">
        <f t="shared" ref="M5" si="2">F5/V5*60</f>
        <v>1907.1428571428551</v>
      </c>
      <c r="N5" s="64">
        <f t="shared" ref="N5:N66" si="3">M5/L5</f>
        <v>112.18487394957971</v>
      </c>
      <c r="O5" s="66">
        <f t="shared" ref="O5:O66" si="4">L5-I5</f>
        <v>0</v>
      </c>
      <c r="P5" s="67">
        <f t="shared" ref="P5:P66" si="5">N5-K5</f>
        <v>-5.4621848739496954</v>
      </c>
      <c r="Q5" s="165">
        <f t="shared" ref="Q5:Q66" si="6">N5/K5</f>
        <v>0.95357142857142763</v>
      </c>
      <c r="R5" s="511">
        <f>Q6</f>
        <v>0.95357142857142763</v>
      </c>
      <c r="S5" s="68">
        <v>0.70833333333333337</v>
      </c>
      <c r="T5" s="68">
        <v>0.75694444444444453</v>
      </c>
      <c r="U5" s="162"/>
      <c r="V5" s="170">
        <f t="shared" ref="V5" si="7">(T5-S5)*24*60</f>
        <v>70.000000000000071</v>
      </c>
      <c r="W5" s="69"/>
      <c r="X5" s="70"/>
      <c r="Y5" s="510"/>
      <c r="Z5" s="510"/>
      <c r="AA5" s="66">
        <f t="shared" ref="AA5:AA66" si="8">M5-J5</f>
        <v>-92.857142857144936</v>
      </c>
      <c r="AB5" s="165">
        <f t="shared" ref="AB5:AB66" si="9">M5/J5</f>
        <v>0.95357142857142752</v>
      </c>
      <c r="AC5" s="511">
        <f>AB6</f>
        <v>0.95357142857142752</v>
      </c>
    </row>
    <row r="6" spans="1:29">
      <c r="A6" s="545" t="s">
        <v>711</v>
      </c>
      <c r="B6" s="62" t="s">
        <v>712</v>
      </c>
      <c r="C6" s="513"/>
      <c r="D6" s="513"/>
      <c r="E6" s="166"/>
      <c r="F6" s="71"/>
      <c r="G6" s="64"/>
      <c r="H6" s="171"/>
      <c r="I6" s="72">
        <v>17</v>
      </c>
      <c r="J6" s="63">
        <v>2000</v>
      </c>
      <c r="K6" s="64">
        <f t="shared" si="1"/>
        <v>117.64705882352941</v>
      </c>
      <c r="L6" s="72">
        <v>17</v>
      </c>
      <c r="M6" s="65">
        <f>AVERAGE(M5:M5)</f>
        <v>1907.1428571428551</v>
      </c>
      <c r="N6" s="64">
        <f t="shared" si="3"/>
        <v>112.18487394957971</v>
      </c>
      <c r="O6" s="66">
        <f t="shared" si="4"/>
        <v>0</v>
      </c>
      <c r="P6" s="67">
        <f t="shared" si="5"/>
        <v>-5.4621848739496954</v>
      </c>
      <c r="Q6" s="165">
        <f t="shared" si="6"/>
        <v>0.95357142857142763</v>
      </c>
      <c r="R6" s="511"/>
      <c r="S6" s="68"/>
      <c r="T6" s="68"/>
      <c r="U6" s="162"/>
      <c r="V6" s="170"/>
      <c r="W6" s="64"/>
      <c r="X6" s="64"/>
      <c r="Y6" s="510"/>
      <c r="Z6" s="510"/>
      <c r="AA6" s="66">
        <f t="shared" si="8"/>
        <v>-92.857142857144936</v>
      </c>
      <c r="AB6" s="165">
        <f t="shared" si="9"/>
        <v>0.95357142857142752</v>
      </c>
      <c r="AC6" s="511"/>
    </row>
    <row r="7" spans="1:29" ht="15.75" customHeight="1">
      <c r="A7" s="543" t="s">
        <v>713</v>
      </c>
      <c r="B7" s="62" t="s">
        <v>10</v>
      </c>
      <c r="C7" s="539" t="s">
        <v>12</v>
      </c>
      <c r="D7" s="540"/>
      <c r="E7" s="62">
        <v>39.36</v>
      </c>
      <c r="F7" s="171">
        <v>1823</v>
      </c>
      <c r="G7" s="162">
        <f t="shared" ref="G7:G8" si="10">E7*F7</f>
        <v>71753.279999999999</v>
      </c>
      <c r="H7" s="90" t="s">
        <v>5</v>
      </c>
      <c r="I7" s="169">
        <v>20</v>
      </c>
      <c r="J7" s="63">
        <v>1500</v>
      </c>
      <c r="K7" s="64">
        <f t="shared" si="1"/>
        <v>75</v>
      </c>
      <c r="L7" s="169">
        <v>20</v>
      </c>
      <c r="M7" s="65">
        <f t="shared" ref="M7:M8" si="11">F7/V7*60</f>
        <v>1439.2105263157891</v>
      </c>
      <c r="N7" s="64">
        <f t="shared" si="3"/>
        <v>71.960526315789451</v>
      </c>
      <c r="O7" s="66">
        <f t="shared" si="4"/>
        <v>0</v>
      </c>
      <c r="P7" s="67">
        <f t="shared" si="5"/>
        <v>-3.0394736842105488</v>
      </c>
      <c r="Q7" s="165">
        <f t="shared" si="6"/>
        <v>0.95947368421052603</v>
      </c>
      <c r="R7" s="511">
        <f>Q9</f>
        <v>0.95517988007994648</v>
      </c>
      <c r="S7" s="68">
        <v>0.20833333333333334</v>
      </c>
      <c r="T7" s="68">
        <v>0.26111111111111113</v>
      </c>
      <c r="U7" s="162"/>
      <c r="V7" s="170">
        <f t="shared" ref="V7:V8" si="12">(T7-S7)*24*60</f>
        <v>76.000000000000014</v>
      </c>
      <c r="W7" s="69"/>
      <c r="X7" s="69"/>
      <c r="Y7" s="510"/>
      <c r="Z7" s="510"/>
      <c r="AA7" s="66">
        <f t="shared" si="8"/>
        <v>-60.789473684210861</v>
      </c>
      <c r="AB7" s="165">
        <f t="shared" si="9"/>
        <v>0.95947368421052615</v>
      </c>
      <c r="AC7" s="511">
        <f>AB9</f>
        <v>0.95517988007994659</v>
      </c>
    </row>
    <row r="8" spans="1:29" ht="15.75" customHeight="1">
      <c r="A8" s="543" t="s">
        <v>713</v>
      </c>
      <c r="B8" s="62" t="s">
        <v>10</v>
      </c>
      <c r="C8" s="539" t="s">
        <v>11</v>
      </c>
      <c r="D8" s="540"/>
      <c r="E8" s="62">
        <v>39.799999999999997</v>
      </c>
      <c r="F8" s="171">
        <v>5634</v>
      </c>
      <c r="G8" s="162">
        <f t="shared" si="10"/>
        <v>224233.19999999998</v>
      </c>
      <c r="H8" s="90" t="s">
        <v>5</v>
      </c>
      <c r="I8" s="169">
        <v>17</v>
      </c>
      <c r="J8" s="63">
        <v>1500</v>
      </c>
      <c r="K8" s="64">
        <f t="shared" si="1"/>
        <v>88.235294117647058</v>
      </c>
      <c r="L8" s="169">
        <v>17</v>
      </c>
      <c r="M8" s="65">
        <f t="shared" si="11"/>
        <v>1426.3291139240505</v>
      </c>
      <c r="N8" s="64">
        <f t="shared" si="3"/>
        <v>83.901712583767676</v>
      </c>
      <c r="O8" s="66">
        <f t="shared" si="4"/>
        <v>0</v>
      </c>
      <c r="P8" s="67">
        <f t="shared" si="5"/>
        <v>-4.3335815338793822</v>
      </c>
      <c r="Q8" s="165">
        <f t="shared" si="6"/>
        <v>0.95088607594936703</v>
      </c>
      <c r="R8" s="511"/>
      <c r="S8" s="68">
        <v>0.26527777777777778</v>
      </c>
      <c r="T8" s="68">
        <v>0.42986111111111114</v>
      </c>
      <c r="U8" s="162">
        <f t="shared" ref="U8" si="13">IF(S8=TIME(17,0,0),"",(S8-T7)*24*60)</f>
        <v>5.9999999999999787</v>
      </c>
      <c r="V8" s="170">
        <f t="shared" si="12"/>
        <v>237.00000000000003</v>
      </c>
      <c r="W8" s="69"/>
      <c r="X8" s="69"/>
      <c r="Y8" s="510"/>
      <c r="Z8" s="510"/>
      <c r="AA8" s="66">
        <f t="shared" si="8"/>
        <v>-73.670886075949511</v>
      </c>
      <c r="AB8" s="165">
        <f t="shared" si="9"/>
        <v>0.95088607594936703</v>
      </c>
      <c r="AC8" s="511"/>
    </row>
    <row r="9" spans="1:29" ht="16.5" customHeight="1">
      <c r="A9" s="543" t="s">
        <v>713</v>
      </c>
      <c r="B9" s="62" t="s">
        <v>712</v>
      </c>
      <c r="C9" s="513"/>
      <c r="D9" s="513"/>
      <c r="E9" s="166"/>
      <c r="F9" s="63"/>
      <c r="G9" s="65"/>
      <c r="H9" s="171"/>
      <c r="I9" s="72">
        <v>18.5</v>
      </c>
      <c r="J9" s="63">
        <v>1500</v>
      </c>
      <c r="K9" s="64">
        <f t="shared" si="1"/>
        <v>81.081081081081081</v>
      </c>
      <c r="L9" s="72">
        <v>18.5</v>
      </c>
      <c r="M9" s="65">
        <f>AVERAGE(M7:M8)</f>
        <v>1432.7698201199198</v>
      </c>
      <c r="N9" s="64">
        <f t="shared" si="3"/>
        <v>77.447017303779447</v>
      </c>
      <c r="O9" s="66">
        <f t="shared" si="4"/>
        <v>0</v>
      </c>
      <c r="P9" s="67">
        <f t="shared" si="5"/>
        <v>-3.634063777301634</v>
      </c>
      <c r="Q9" s="165">
        <f t="shared" si="6"/>
        <v>0.95517988007994648</v>
      </c>
      <c r="R9" s="511"/>
      <c r="S9" s="68"/>
      <c r="T9" s="68"/>
      <c r="U9" s="64"/>
      <c r="V9" s="170"/>
      <c r="W9" s="64"/>
      <c r="X9" s="64"/>
      <c r="Y9" s="510"/>
      <c r="Z9" s="510"/>
      <c r="AA9" s="66">
        <f t="shared" si="8"/>
        <v>-67.230179880080186</v>
      </c>
      <c r="AB9" s="165">
        <f t="shared" si="9"/>
        <v>0.95517988007994659</v>
      </c>
      <c r="AC9" s="511"/>
    </row>
    <row r="10" spans="1:29" ht="16.5" customHeight="1">
      <c r="A10" s="541" t="s">
        <v>714</v>
      </c>
      <c r="B10" s="171" t="s">
        <v>13</v>
      </c>
      <c r="C10" s="533" t="s">
        <v>14</v>
      </c>
      <c r="D10" s="533"/>
      <c r="E10" s="62">
        <v>41</v>
      </c>
      <c r="F10" s="171">
        <v>2181</v>
      </c>
      <c r="G10" s="162">
        <f t="shared" ref="G10:G14" si="14">E10*F10</f>
        <v>89421</v>
      </c>
      <c r="H10" s="90" t="s">
        <v>5</v>
      </c>
      <c r="I10" s="169">
        <v>26</v>
      </c>
      <c r="J10" s="63">
        <v>1500</v>
      </c>
      <c r="K10" s="64">
        <f t="shared" si="1"/>
        <v>57.692307692307693</v>
      </c>
      <c r="L10" s="169">
        <v>26</v>
      </c>
      <c r="M10" s="65">
        <f t="shared" ref="M10:M14" si="15">F10/V10*60</f>
        <v>1438.0219780219779</v>
      </c>
      <c r="N10" s="64">
        <f t="shared" si="3"/>
        <v>55.30853761622992</v>
      </c>
      <c r="O10" s="66">
        <f t="shared" si="4"/>
        <v>0</v>
      </c>
      <c r="P10" s="67">
        <f t="shared" si="5"/>
        <v>-2.3837700760777736</v>
      </c>
      <c r="Q10" s="165">
        <f t="shared" si="6"/>
        <v>0.95868131868131856</v>
      </c>
      <c r="R10" s="511">
        <f>Q15</f>
        <v>0.95593421132871459</v>
      </c>
      <c r="S10" s="68">
        <v>0.125</v>
      </c>
      <c r="T10" s="68">
        <v>0.18819444444444444</v>
      </c>
      <c r="U10" s="162"/>
      <c r="V10" s="170">
        <f t="shared" ref="V10:V14" si="16">(T10-S10)*24*60</f>
        <v>91</v>
      </c>
      <c r="W10" s="69">
        <f>T10</f>
        <v>0.18819444444444444</v>
      </c>
      <c r="X10" s="69">
        <f>S11</f>
        <v>0.20555555555555552</v>
      </c>
      <c r="Y10" s="510"/>
      <c r="Z10" s="510"/>
      <c r="AA10" s="66">
        <f t="shared" si="8"/>
        <v>-61.97802197802207</v>
      </c>
      <c r="AB10" s="165">
        <f t="shared" si="9"/>
        <v>0.95868131868131867</v>
      </c>
      <c r="AC10" s="511">
        <f>AB15</f>
        <v>0.95593421132871459</v>
      </c>
    </row>
    <row r="11" spans="1:29" ht="16.5" customHeight="1">
      <c r="A11" s="542" t="s">
        <v>714</v>
      </c>
      <c r="B11" s="171" t="s">
        <v>10</v>
      </c>
      <c r="C11" s="533" t="s">
        <v>15</v>
      </c>
      <c r="D11" s="533"/>
      <c r="E11" s="62">
        <v>39.619999999999997</v>
      </c>
      <c r="F11" s="171">
        <v>3806</v>
      </c>
      <c r="G11" s="162">
        <f t="shared" si="14"/>
        <v>150793.72</v>
      </c>
      <c r="H11" s="90" t="s">
        <v>5</v>
      </c>
      <c r="I11" s="169">
        <v>19</v>
      </c>
      <c r="J11" s="63">
        <v>1500</v>
      </c>
      <c r="K11" s="64">
        <f t="shared" si="1"/>
        <v>78.94736842105263</v>
      </c>
      <c r="L11" s="169">
        <v>19</v>
      </c>
      <c r="M11" s="65">
        <f t="shared" si="15"/>
        <v>1427.2499999999995</v>
      </c>
      <c r="N11" s="64">
        <f t="shared" si="3"/>
        <v>75.118421052631561</v>
      </c>
      <c r="O11" s="66">
        <f t="shared" si="4"/>
        <v>0</v>
      </c>
      <c r="P11" s="67">
        <f t="shared" si="5"/>
        <v>-3.8289473684210691</v>
      </c>
      <c r="Q11" s="165">
        <f t="shared" si="6"/>
        <v>0.95149999999999979</v>
      </c>
      <c r="R11" s="511"/>
      <c r="S11" s="68">
        <v>0.20555555555555552</v>
      </c>
      <c r="T11" s="68">
        <v>0.31666666666666665</v>
      </c>
      <c r="U11" s="162">
        <f t="shared" ref="U11:U14" si="17">IF(S11=TIME(17,0,0),"",(S11-T10)*24*60)</f>
        <v>24.99999999999995</v>
      </c>
      <c r="V11" s="170">
        <f t="shared" si="16"/>
        <v>160.00000000000003</v>
      </c>
      <c r="W11" s="69"/>
      <c r="X11" s="69"/>
      <c r="Y11" s="510"/>
      <c r="Z11" s="510"/>
      <c r="AA11" s="66">
        <f t="shared" si="8"/>
        <v>-72.750000000000455</v>
      </c>
      <c r="AB11" s="165">
        <f t="shared" si="9"/>
        <v>0.95149999999999968</v>
      </c>
      <c r="AC11" s="511"/>
    </row>
    <row r="12" spans="1:29" ht="16.5" customHeight="1">
      <c r="A12" s="542" t="s">
        <v>715</v>
      </c>
      <c r="B12" s="171" t="s">
        <v>77</v>
      </c>
      <c r="C12" s="533" t="s">
        <v>76</v>
      </c>
      <c r="D12" s="533"/>
      <c r="E12" s="62">
        <v>57.3</v>
      </c>
      <c r="F12" s="171">
        <v>1280</v>
      </c>
      <c r="G12" s="162">
        <f t="shared" si="14"/>
        <v>73344</v>
      </c>
      <c r="H12" s="90" t="s">
        <v>5</v>
      </c>
      <c r="I12" s="169">
        <v>17</v>
      </c>
      <c r="J12" s="63">
        <v>1500</v>
      </c>
      <c r="K12" s="64">
        <f t="shared" si="1"/>
        <v>88.235294117647058</v>
      </c>
      <c r="L12" s="169">
        <v>17</v>
      </c>
      <c r="M12" s="65">
        <f t="shared" si="15"/>
        <v>1449.0566037735857</v>
      </c>
      <c r="N12" s="64">
        <f t="shared" si="3"/>
        <v>85.238623751387394</v>
      </c>
      <c r="O12" s="66">
        <f t="shared" si="4"/>
        <v>0</v>
      </c>
      <c r="P12" s="67">
        <f t="shared" si="5"/>
        <v>-2.9966703662596643</v>
      </c>
      <c r="Q12" s="165">
        <f t="shared" si="6"/>
        <v>0.96603773584905717</v>
      </c>
      <c r="R12" s="511"/>
      <c r="S12" s="68">
        <v>0.32152777777777775</v>
      </c>
      <c r="T12" s="68">
        <v>0.35833333333333328</v>
      </c>
      <c r="U12" s="162">
        <f t="shared" si="17"/>
        <v>6.9999999999999751</v>
      </c>
      <c r="V12" s="170">
        <f t="shared" si="16"/>
        <v>52.999999999999972</v>
      </c>
      <c r="W12" s="69"/>
      <c r="X12" s="69"/>
      <c r="Y12" s="510"/>
      <c r="Z12" s="510"/>
      <c r="AA12" s="66">
        <f t="shared" si="8"/>
        <v>-50.943396226414279</v>
      </c>
      <c r="AB12" s="165">
        <f t="shared" si="9"/>
        <v>0.96603773584905717</v>
      </c>
      <c r="AC12" s="511"/>
    </row>
    <row r="13" spans="1:29" ht="16.5" customHeight="1">
      <c r="A13" s="542" t="s">
        <v>241</v>
      </c>
      <c r="B13" s="171" t="s">
        <v>6</v>
      </c>
      <c r="C13" s="533" t="s">
        <v>19</v>
      </c>
      <c r="D13" s="533"/>
      <c r="E13" s="62">
        <v>50.98</v>
      </c>
      <c r="F13" s="171">
        <v>3367</v>
      </c>
      <c r="G13" s="162">
        <f t="shared" si="14"/>
        <v>171649.66</v>
      </c>
      <c r="H13" s="90" t="s">
        <v>5</v>
      </c>
      <c r="I13" s="169">
        <v>16</v>
      </c>
      <c r="J13" s="63">
        <v>2000</v>
      </c>
      <c r="K13" s="64">
        <f t="shared" si="1"/>
        <v>125</v>
      </c>
      <c r="L13" s="169">
        <v>16</v>
      </c>
      <c r="M13" s="65">
        <f t="shared" si="15"/>
        <v>1905.8490566037744</v>
      </c>
      <c r="N13" s="64">
        <f t="shared" si="3"/>
        <v>119.1155660377359</v>
      </c>
      <c r="O13" s="66">
        <f t="shared" si="4"/>
        <v>0</v>
      </c>
      <c r="P13" s="67">
        <f t="shared" si="5"/>
        <v>-5.8844339622640973</v>
      </c>
      <c r="Q13" s="165">
        <f t="shared" si="6"/>
        <v>0.95292452830188723</v>
      </c>
      <c r="R13" s="511"/>
      <c r="S13" s="68">
        <v>0.70833333333333337</v>
      </c>
      <c r="T13" s="68">
        <v>0.78194444444444444</v>
      </c>
      <c r="U13" s="162" t="str">
        <f t="shared" si="17"/>
        <v/>
      </c>
      <c r="V13" s="170">
        <f t="shared" si="16"/>
        <v>105.99999999999994</v>
      </c>
      <c r="W13" s="69"/>
      <c r="X13" s="69"/>
      <c r="Y13" s="510"/>
      <c r="Z13" s="510"/>
      <c r="AA13" s="66">
        <f t="shared" si="8"/>
        <v>-94.150943396225557</v>
      </c>
      <c r="AB13" s="165">
        <f t="shared" si="9"/>
        <v>0.95292452830188723</v>
      </c>
      <c r="AC13" s="511"/>
    </row>
    <row r="14" spans="1:29" ht="16.5" customHeight="1">
      <c r="A14" s="542" t="s">
        <v>241</v>
      </c>
      <c r="B14" s="171" t="s">
        <v>6</v>
      </c>
      <c r="C14" s="533" t="s">
        <v>20</v>
      </c>
      <c r="D14" s="533"/>
      <c r="E14" s="62">
        <v>50.92</v>
      </c>
      <c r="F14" s="171">
        <v>3620</v>
      </c>
      <c r="G14" s="162">
        <f t="shared" si="14"/>
        <v>184330.4</v>
      </c>
      <c r="H14" s="90" t="s">
        <v>5</v>
      </c>
      <c r="I14" s="169">
        <v>15</v>
      </c>
      <c r="J14" s="63">
        <v>2000</v>
      </c>
      <c r="K14" s="64">
        <f t="shared" si="1"/>
        <v>133.33333333333334</v>
      </c>
      <c r="L14" s="169">
        <v>15</v>
      </c>
      <c r="M14" s="65">
        <f t="shared" si="15"/>
        <v>1905.2631578947355</v>
      </c>
      <c r="N14" s="64">
        <f t="shared" si="3"/>
        <v>127.01754385964904</v>
      </c>
      <c r="O14" s="66">
        <f t="shared" si="4"/>
        <v>0</v>
      </c>
      <c r="P14" s="67">
        <f t="shared" si="5"/>
        <v>-6.3157894736843048</v>
      </c>
      <c r="Q14" s="165">
        <f t="shared" si="6"/>
        <v>0.95263157894736772</v>
      </c>
      <c r="R14" s="511"/>
      <c r="S14" s="68">
        <v>0.78749999999999998</v>
      </c>
      <c r="T14" s="68">
        <v>0.8666666666666667</v>
      </c>
      <c r="U14" s="162">
        <f t="shared" si="17"/>
        <v>7.9999999999999716</v>
      </c>
      <c r="V14" s="170">
        <f t="shared" si="16"/>
        <v>114.00000000000007</v>
      </c>
      <c r="W14" s="69"/>
      <c r="X14" s="69"/>
      <c r="Y14" s="510"/>
      <c r="Z14" s="510"/>
      <c r="AA14" s="66">
        <f t="shared" si="8"/>
        <v>-94.736842105264486</v>
      </c>
      <c r="AB14" s="165">
        <f t="shared" si="9"/>
        <v>0.95263157894736772</v>
      </c>
      <c r="AC14" s="511"/>
    </row>
    <row r="15" spans="1:29" ht="16.5" customHeight="1">
      <c r="A15" s="542" t="s">
        <v>714</v>
      </c>
      <c r="B15" s="62" t="s">
        <v>712</v>
      </c>
      <c r="C15" s="513"/>
      <c r="D15" s="513"/>
      <c r="E15" s="166"/>
      <c r="F15" s="71"/>
      <c r="G15" s="64"/>
      <c r="H15" s="171"/>
      <c r="I15" s="72">
        <v>18.600000000000001</v>
      </c>
      <c r="J15" s="63">
        <v>1700</v>
      </c>
      <c r="K15" s="64">
        <f t="shared" si="1"/>
        <v>91.397849462365585</v>
      </c>
      <c r="L15" s="72">
        <v>18.600000000000001</v>
      </c>
      <c r="M15" s="65">
        <f>AVERAGE(M10:M14)</f>
        <v>1625.0881592588148</v>
      </c>
      <c r="N15" s="64">
        <f t="shared" si="3"/>
        <v>87.370331142947023</v>
      </c>
      <c r="O15" s="66">
        <f t="shared" si="4"/>
        <v>0</v>
      </c>
      <c r="P15" s="67">
        <f t="shared" si="5"/>
        <v>-4.0275183194185615</v>
      </c>
      <c r="Q15" s="165">
        <f t="shared" si="6"/>
        <v>0.95593421132871459</v>
      </c>
      <c r="R15" s="511"/>
      <c r="S15" s="68"/>
      <c r="T15" s="68"/>
      <c r="U15" s="162"/>
      <c r="V15" s="170"/>
      <c r="W15" s="64"/>
      <c r="X15" s="64"/>
      <c r="Y15" s="510"/>
      <c r="Z15" s="510"/>
      <c r="AA15" s="66">
        <f t="shared" si="8"/>
        <v>-74.911840741185188</v>
      </c>
      <c r="AB15" s="165">
        <f t="shared" si="9"/>
        <v>0.95593421132871459</v>
      </c>
      <c r="AC15" s="511"/>
    </row>
    <row r="16" spans="1:29" ht="15.75" customHeight="1">
      <c r="A16" s="537" t="s">
        <v>716</v>
      </c>
      <c r="B16" s="62" t="s">
        <v>13</v>
      </c>
      <c r="C16" s="533" t="s">
        <v>21</v>
      </c>
      <c r="D16" s="533"/>
      <c r="E16" s="62">
        <v>43.14</v>
      </c>
      <c r="F16" s="171">
        <v>1210</v>
      </c>
      <c r="G16" s="162">
        <f t="shared" ref="G16:G19" si="18">E16*F16</f>
        <v>52199.4</v>
      </c>
      <c r="H16" s="90" t="s">
        <v>5</v>
      </c>
      <c r="I16" s="169">
        <v>17</v>
      </c>
      <c r="J16" s="63">
        <v>2000</v>
      </c>
      <c r="K16" s="64">
        <f t="shared" si="1"/>
        <v>117.64705882352941</v>
      </c>
      <c r="L16" s="169">
        <v>17</v>
      </c>
      <c r="M16" s="65">
        <f t="shared" ref="M16:M19" si="19">F16/V16*60</f>
        <v>1910.5263157894744</v>
      </c>
      <c r="N16" s="64">
        <f t="shared" si="3"/>
        <v>112.38390092879261</v>
      </c>
      <c r="O16" s="66">
        <f t="shared" si="4"/>
        <v>0</v>
      </c>
      <c r="P16" s="67">
        <f t="shared" si="5"/>
        <v>-5.2631578947367927</v>
      </c>
      <c r="Q16" s="165">
        <f t="shared" si="6"/>
        <v>0.95526315789473726</v>
      </c>
      <c r="R16" s="511">
        <f>Q20</f>
        <v>0.95576152043191531</v>
      </c>
      <c r="S16" s="68">
        <v>0.20833333333333334</v>
      </c>
      <c r="T16" s="68">
        <v>0.23472222222222222</v>
      </c>
      <c r="U16" s="162"/>
      <c r="V16" s="170">
        <f t="shared" ref="V16:V19" si="20">(T16-S16)*24*60</f>
        <v>37.999999999999986</v>
      </c>
      <c r="W16" s="73"/>
      <c r="X16" s="73"/>
      <c r="Y16" s="510"/>
      <c r="Z16" s="510"/>
      <c r="AA16" s="66">
        <f t="shared" si="8"/>
        <v>-89.473684210525562</v>
      </c>
      <c r="AB16" s="165">
        <f t="shared" si="9"/>
        <v>0.95526315789473726</v>
      </c>
      <c r="AC16" s="511">
        <f>AB20</f>
        <v>0.95576152043191542</v>
      </c>
    </row>
    <row r="17" spans="1:29" ht="15.75" customHeight="1">
      <c r="A17" s="538" t="s">
        <v>716</v>
      </c>
      <c r="B17" s="62" t="s">
        <v>6</v>
      </c>
      <c r="C17" s="533" t="s">
        <v>23</v>
      </c>
      <c r="D17" s="533"/>
      <c r="E17" s="62">
        <v>53.68</v>
      </c>
      <c r="F17" s="171">
        <v>1592</v>
      </c>
      <c r="G17" s="162">
        <f t="shared" si="18"/>
        <v>85458.559999999998</v>
      </c>
      <c r="H17" s="90" t="s">
        <v>5</v>
      </c>
      <c r="I17" s="169">
        <v>16</v>
      </c>
      <c r="J17" s="63">
        <v>2000</v>
      </c>
      <c r="K17" s="64">
        <f t="shared" si="1"/>
        <v>125</v>
      </c>
      <c r="L17" s="169">
        <v>16</v>
      </c>
      <c r="M17" s="65">
        <f t="shared" si="19"/>
        <v>1910.4000000000005</v>
      </c>
      <c r="N17" s="64">
        <f t="shared" si="3"/>
        <v>119.40000000000003</v>
      </c>
      <c r="O17" s="66">
        <f t="shared" si="4"/>
        <v>0</v>
      </c>
      <c r="P17" s="67">
        <f t="shared" si="5"/>
        <v>-5.5999999999999659</v>
      </c>
      <c r="Q17" s="165">
        <f t="shared" si="6"/>
        <v>0.95520000000000027</v>
      </c>
      <c r="R17" s="511"/>
      <c r="S17" s="68">
        <v>0.23819444444444443</v>
      </c>
      <c r="T17" s="68">
        <v>0.27291666666666664</v>
      </c>
      <c r="U17" s="162">
        <f t="shared" ref="U17:U19" si="21">IF(S17=TIME(17,0,0),"",(S17-T16)*24*60)</f>
        <v>4.9999999999999822</v>
      </c>
      <c r="V17" s="170">
        <f t="shared" si="20"/>
        <v>49.999999999999986</v>
      </c>
      <c r="W17" s="69"/>
      <c r="X17" s="162"/>
      <c r="Y17" s="510"/>
      <c r="Z17" s="510"/>
      <c r="AA17" s="66">
        <f t="shared" si="8"/>
        <v>-89.599999999999454</v>
      </c>
      <c r="AB17" s="165">
        <f t="shared" si="9"/>
        <v>0.95520000000000027</v>
      </c>
      <c r="AC17" s="511"/>
    </row>
    <row r="18" spans="1:29" ht="15.75" customHeight="1">
      <c r="A18" s="538" t="s">
        <v>716</v>
      </c>
      <c r="B18" s="62" t="s">
        <v>6</v>
      </c>
      <c r="C18" s="533" t="s">
        <v>22</v>
      </c>
      <c r="D18" s="533"/>
      <c r="E18" s="62">
        <v>57.73</v>
      </c>
      <c r="F18" s="171">
        <v>2364</v>
      </c>
      <c r="G18" s="162">
        <f t="shared" si="18"/>
        <v>136473.72</v>
      </c>
      <c r="H18" s="90" t="s">
        <v>5</v>
      </c>
      <c r="I18" s="169">
        <v>14</v>
      </c>
      <c r="J18" s="63">
        <v>2000</v>
      </c>
      <c r="K18" s="64">
        <f t="shared" si="1"/>
        <v>142.85714285714286</v>
      </c>
      <c r="L18" s="169">
        <v>14</v>
      </c>
      <c r="M18" s="65">
        <f t="shared" si="19"/>
        <v>1916.7567567567576</v>
      </c>
      <c r="N18" s="64">
        <f t="shared" si="3"/>
        <v>136.91119691119698</v>
      </c>
      <c r="O18" s="66">
        <f t="shared" si="4"/>
        <v>0</v>
      </c>
      <c r="P18" s="67">
        <f t="shared" si="5"/>
        <v>-5.9459459459458799</v>
      </c>
      <c r="Q18" s="165">
        <f t="shared" si="6"/>
        <v>0.9583783783783788</v>
      </c>
      <c r="R18" s="511"/>
      <c r="S18" s="68">
        <v>0.27777777777777773</v>
      </c>
      <c r="T18" s="68">
        <v>0.32916666666666661</v>
      </c>
      <c r="U18" s="162">
        <f t="shared" si="21"/>
        <v>6.9999999999999751</v>
      </c>
      <c r="V18" s="170">
        <f t="shared" si="20"/>
        <v>73.999999999999972</v>
      </c>
      <c r="W18" s="69"/>
      <c r="X18" s="162"/>
      <c r="Y18" s="510"/>
      <c r="Z18" s="510"/>
      <c r="AA18" s="66">
        <f t="shared" si="8"/>
        <v>-83.243243243242432</v>
      </c>
      <c r="AB18" s="165">
        <f t="shared" si="9"/>
        <v>0.9583783783783788</v>
      </c>
      <c r="AC18" s="511"/>
    </row>
    <row r="19" spans="1:29" ht="15.75" customHeight="1">
      <c r="A19" s="538" t="s">
        <v>716</v>
      </c>
      <c r="B19" s="62" t="s">
        <v>6</v>
      </c>
      <c r="C19" s="533" t="s">
        <v>24</v>
      </c>
      <c r="D19" s="533"/>
      <c r="E19" s="62">
        <v>54.09</v>
      </c>
      <c r="F19" s="171">
        <v>2799</v>
      </c>
      <c r="G19" s="162">
        <f t="shared" si="18"/>
        <v>151397.91</v>
      </c>
      <c r="H19" s="90" t="s">
        <v>5</v>
      </c>
      <c r="I19" s="169">
        <v>19</v>
      </c>
      <c r="J19" s="63">
        <v>2000</v>
      </c>
      <c r="K19" s="64">
        <f t="shared" si="1"/>
        <v>105.26315789473684</v>
      </c>
      <c r="L19" s="169">
        <v>19</v>
      </c>
      <c r="M19" s="65">
        <f t="shared" si="19"/>
        <v>1908.409090909091</v>
      </c>
      <c r="N19" s="64">
        <f t="shared" si="3"/>
        <v>100.44258373205741</v>
      </c>
      <c r="O19" s="66">
        <f t="shared" si="4"/>
        <v>0</v>
      </c>
      <c r="P19" s="67">
        <f t="shared" si="5"/>
        <v>-4.8205741626794207</v>
      </c>
      <c r="Q19" s="165">
        <f t="shared" si="6"/>
        <v>0.95420454545454547</v>
      </c>
      <c r="R19" s="511"/>
      <c r="S19" s="68">
        <v>0.70833333333333337</v>
      </c>
      <c r="T19" s="68">
        <v>0.76944444444444449</v>
      </c>
      <c r="U19" s="162" t="str">
        <f t="shared" si="21"/>
        <v/>
      </c>
      <c r="V19" s="170">
        <f t="shared" si="20"/>
        <v>88</v>
      </c>
      <c r="W19" s="69"/>
      <c r="X19" s="162"/>
      <c r="Y19" s="510"/>
      <c r="Z19" s="510"/>
      <c r="AA19" s="66">
        <f t="shared" si="8"/>
        <v>-91.590909090909008</v>
      </c>
      <c r="AB19" s="165">
        <f t="shared" si="9"/>
        <v>0.95420454545454547</v>
      </c>
      <c r="AC19" s="511"/>
    </row>
    <row r="20" spans="1:29" ht="15.75" customHeight="1">
      <c r="A20" s="538" t="s">
        <v>717</v>
      </c>
      <c r="B20" s="62" t="s">
        <v>712</v>
      </c>
      <c r="C20" s="513"/>
      <c r="D20" s="513"/>
      <c r="E20" s="166"/>
      <c r="F20" s="171"/>
      <c r="G20" s="162"/>
      <c r="H20" s="171"/>
      <c r="I20" s="72">
        <v>16.5</v>
      </c>
      <c r="J20" s="63">
        <v>2000</v>
      </c>
      <c r="K20" s="64">
        <f t="shared" si="1"/>
        <v>121.21212121212122</v>
      </c>
      <c r="L20" s="72">
        <v>16.5</v>
      </c>
      <c r="M20" s="65">
        <f>AVERAGE(M16:M19)</f>
        <v>1911.5230408638308</v>
      </c>
      <c r="N20" s="64">
        <f t="shared" si="3"/>
        <v>115.84988126447459</v>
      </c>
      <c r="O20" s="66">
        <f t="shared" si="4"/>
        <v>0</v>
      </c>
      <c r="P20" s="67">
        <f t="shared" si="5"/>
        <v>-5.3622399476466285</v>
      </c>
      <c r="Q20" s="165">
        <f t="shared" si="6"/>
        <v>0.95576152043191531</v>
      </c>
      <c r="R20" s="511"/>
      <c r="S20" s="68"/>
      <c r="T20" s="68"/>
      <c r="U20" s="64"/>
      <c r="V20" s="170"/>
      <c r="W20" s="64"/>
      <c r="X20" s="64"/>
      <c r="Y20" s="510"/>
      <c r="Z20" s="510"/>
      <c r="AA20" s="66">
        <f t="shared" si="8"/>
        <v>-88.476959136169171</v>
      </c>
      <c r="AB20" s="165">
        <f t="shared" si="9"/>
        <v>0.95576152043191542</v>
      </c>
      <c r="AC20" s="511"/>
    </row>
    <row r="21" spans="1:29" ht="15.75" customHeight="1">
      <c r="A21" s="536" t="s">
        <v>718</v>
      </c>
      <c r="B21" s="62" t="s">
        <v>16</v>
      </c>
      <c r="C21" s="533" t="s">
        <v>30</v>
      </c>
      <c r="D21" s="533"/>
      <c r="E21" s="62">
        <v>31.29</v>
      </c>
      <c r="F21" s="171">
        <v>4500</v>
      </c>
      <c r="G21" s="162">
        <f t="shared" ref="G21:G27" si="22">E21*F21</f>
        <v>140805</v>
      </c>
      <c r="H21" s="90">
        <v>2</v>
      </c>
      <c r="I21" s="169">
        <v>18</v>
      </c>
      <c r="J21" s="63">
        <v>2400</v>
      </c>
      <c r="K21" s="64">
        <f t="shared" si="1"/>
        <v>133.33333333333334</v>
      </c>
      <c r="L21" s="169">
        <v>18</v>
      </c>
      <c r="M21" s="65">
        <f t="shared" ref="M21:M27" si="23">F21/V21*60</f>
        <v>2288.1355932203396</v>
      </c>
      <c r="N21" s="64">
        <f t="shared" si="3"/>
        <v>127.11864406779665</v>
      </c>
      <c r="O21" s="66">
        <f t="shared" si="4"/>
        <v>0</v>
      </c>
      <c r="P21" s="67">
        <f t="shared" si="5"/>
        <v>-6.2146892655366912</v>
      </c>
      <c r="Q21" s="165">
        <f t="shared" si="6"/>
        <v>0.95338983050847481</v>
      </c>
      <c r="R21" s="511">
        <f>Q28</f>
        <v>0.95642348322410675</v>
      </c>
      <c r="S21" s="68">
        <v>0.125</v>
      </c>
      <c r="T21" s="68">
        <v>0.20694444444444443</v>
      </c>
      <c r="U21" s="162"/>
      <c r="V21" s="170">
        <f t="shared" ref="V21:V27" si="24">(T21-S21)*24*60</f>
        <v>117.99999999999999</v>
      </c>
      <c r="W21" s="69">
        <f>T21</f>
        <v>0.20694444444444443</v>
      </c>
      <c r="X21" s="69">
        <f>S22</f>
        <v>0.22569444444444445</v>
      </c>
      <c r="Y21" s="510"/>
      <c r="Z21" s="510"/>
      <c r="AA21" s="66">
        <f t="shared" si="8"/>
        <v>-111.86440677966038</v>
      </c>
      <c r="AB21" s="165">
        <f t="shared" si="9"/>
        <v>0.95338983050847481</v>
      </c>
      <c r="AC21" s="511">
        <f>AB28</f>
        <v>0.95642348322410686</v>
      </c>
    </row>
    <row r="22" spans="1:29" ht="15.75" customHeight="1">
      <c r="A22" s="536" t="s">
        <v>719</v>
      </c>
      <c r="B22" s="62" t="s">
        <v>16</v>
      </c>
      <c r="C22" s="533" t="s">
        <v>28</v>
      </c>
      <c r="D22" s="533"/>
      <c r="E22" s="62">
        <v>26.18</v>
      </c>
      <c r="F22" s="171">
        <v>2903</v>
      </c>
      <c r="G22" s="162">
        <f t="shared" si="22"/>
        <v>76000.539999999994</v>
      </c>
      <c r="H22" s="90" t="s">
        <v>5</v>
      </c>
      <c r="I22" s="169">
        <v>19</v>
      </c>
      <c r="J22" s="63">
        <v>2400</v>
      </c>
      <c r="K22" s="64">
        <f t="shared" si="1"/>
        <v>126.31578947368421</v>
      </c>
      <c r="L22" s="169">
        <v>19</v>
      </c>
      <c r="M22" s="65">
        <f t="shared" si="23"/>
        <v>2291.8421052631575</v>
      </c>
      <c r="N22" s="64">
        <f t="shared" si="3"/>
        <v>120.62326869806093</v>
      </c>
      <c r="O22" s="66">
        <f t="shared" si="4"/>
        <v>0</v>
      </c>
      <c r="P22" s="67">
        <f t="shared" si="5"/>
        <v>-5.6925207756232794</v>
      </c>
      <c r="Q22" s="165">
        <f t="shared" si="6"/>
        <v>0.95493421052631566</v>
      </c>
      <c r="R22" s="511"/>
      <c r="S22" s="68">
        <v>0.22569444444444445</v>
      </c>
      <c r="T22" s="68">
        <v>0.27847222222222223</v>
      </c>
      <c r="U22" s="162">
        <f t="shared" ref="U22:U27" si="25">(S22-T21)*24*60</f>
        <v>27.000000000000025</v>
      </c>
      <c r="V22" s="170">
        <f t="shared" si="24"/>
        <v>76.000000000000014</v>
      </c>
      <c r="W22" s="69"/>
      <c r="X22" s="69"/>
      <c r="Y22" s="510"/>
      <c r="Z22" s="510"/>
      <c r="AA22" s="66">
        <f t="shared" si="8"/>
        <v>-108.15789473684254</v>
      </c>
      <c r="AB22" s="165">
        <f t="shared" si="9"/>
        <v>0.95493421052631566</v>
      </c>
      <c r="AC22" s="511"/>
    </row>
    <row r="23" spans="1:29" ht="15.75" customHeight="1">
      <c r="A23" s="536" t="s">
        <v>720</v>
      </c>
      <c r="B23" s="62" t="s">
        <v>16</v>
      </c>
      <c r="C23" s="533" t="s">
        <v>29</v>
      </c>
      <c r="D23" s="533"/>
      <c r="E23" s="62">
        <v>26.2</v>
      </c>
      <c r="F23" s="171">
        <v>3588</v>
      </c>
      <c r="G23" s="162">
        <f t="shared" si="22"/>
        <v>94005.599999999991</v>
      </c>
      <c r="H23" s="90" t="s">
        <v>5</v>
      </c>
      <c r="I23" s="169">
        <v>19</v>
      </c>
      <c r="J23" s="63">
        <v>2400</v>
      </c>
      <c r="K23" s="64">
        <f t="shared" si="1"/>
        <v>126.31578947368421</v>
      </c>
      <c r="L23" s="169">
        <v>19</v>
      </c>
      <c r="M23" s="65">
        <f t="shared" si="23"/>
        <v>2290.2127659574471</v>
      </c>
      <c r="N23" s="64">
        <f t="shared" si="3"/>
        <v>120.53751399776037</v>
      </c>
      <c r="O23" s="66">
        <f t="shared" si="4"/>
        <v>0</v>
      </c>
      <c r="P23" s="67">
        <f t="shared" si="5"/>
        <v>-5.7782754759238344</v>
      </c>
      <c r="Q23" s="165">
        <f t="shared" si="6"/>
        <v>0.95425531914893635</v>
      </c>
      <c r="R23" s="511"/>
      <c r="S23" s="68">
        <v>0.28194444444444444</v>
      </c>
      <c r="T23" s="68">
        <v>0.34722222222222221</v>
      </c>
      <c r="U23" s="162">
        <f t="shared" si="25"/>
        <v>4.9999999999999822</v>
      </c>
      <c r="V23" s="170">
        <f t="shared" si="24"/>
        <v>93.999999999999986</v>
      </c>
      <c r="W23" s="69"/>
      <c r="X23" s="69"/>
      <c r="Y23" s="510"/>
      <c r="Z23" s="510"/>
      <c r="AA23" s="66">
        <f t="shared" si="8"/>
        <v>-109.78723404255288</v>
      </c>
      <c r="AB23" s="165">
        <f t="shared" si="9"/>
        <v>0.95425531914893635</v>
      </c>
      <c r="AC23" s="511"/>
    </row>
    <row r="24" spans="1:29" ht="15.75" customHeight="1">
      <c r="A24" s="536" t="s">
        <v>718</v>
      </c>
      <c r="B24" s="62" t="s">
        <v>16</v>
      </c>
      <c r="C24" s="533" t="s">
        <v>25</v>
      </c>
      <c r="D24" s="533"/>
      <c r="E24" s="62">
        <v>26.2</v>
      </c>
      <c r="F24" s="171">
        <v>4114</v>
      </c>
      <c r="G24" s="162">
        <f t="shared" si="22"/>
        <v>107786.8</v>
      </c>
      <c r="H24" s="90" t="s">
        <v>5</v>
      </c>
      <c r="I24" s="169">
        <v>20</v>
      </c>
      <c r="J24" s="63">
        <v>2400</v>
      </c>
      <c r="K24" s="64">
        <f t="shared" si="1"/>
        <v>120</v>
      </c>
      <c r="L24" s="169">
        <v>20</v>
      </c>
      <c r="M24" s="65">
        <f t="shared" si="23"/>
        <v>2285.5555555555552</v>
      </c>
      <c r="N24" s="64">
        <f t="shared" si="3"/>
        <v>114.27777777777776</v>
      </c>
      <c r="O24" s="66">
        <f t="shared" si="4"/>
        <v>0</v>
      </c>
      <c r="P24" s="67">
        <f t="shared" si="5"/>
        <v>-5.7222222222222427</v>
      </c>
      <c r="Q24" s="165">
        <f t="shared" si="6"/>
        <v>0.95231481481481461</v>
      </c>
      <c r="R24" s="511"/>
      <c r="S24" s="68">
        <v>0.35138888888888886</v>
      </c>
      <c r="T24" s="68">
        <v>0.42638888888888887</v>
      </c>
      <c r="U24" s="162">
        <f t="shared" si="25"/>
        <v>5.9999999999999787</v>
      </c>
      <c r="V24" s="170">
        <f t="shared" si="24"/>
        <v>108.00000000000001</v>
      </c>
      <c r="W24" s="69"/>
      <c r="X24" s="69"/>
      <c r="Y24" s="510"/>
      <c r="Z24" s="510"/>
      <c r="AA24" s="66">
        <f t="shared" si="8"/>
        <v>-114.4444444444448</v>
      </c>
      <c r="AB24" s="165">
        <f t="shared" si="9"/>
        <v>0.95231481481481461</v>
      </c>
      <c r="AC24" s="511"/>
    </row>
    <row r="25" spans="1:29" ht="15.75" customHeight="1">
      <c r="A25" s="536" t="s">
        <v>718</v>
      </c>
      <c r="B25" s="62" t="s">
        <v>16</v>
      </c>
      <c r="C25" s="533" t="s">
        <v>83</v>
      </c>
      <c r="D25" s="533"/>
      <c r="E25" s="62">
        <v>25.99</v>
      </c>
      <c r="F25" s="171">
        <v>2500</v>
      </c>
      <c r="G25" s="162">
        <f t="shared" si="22"/>
        <v>64974.999999999993</v>
      </c>
      <c r="H25" s="90">
        <v>2</v>
      </c>
      <c r="I25" s="169">
        <v>14</v>
      </c>
      <c r="J25" s="63">
        <v>2400</v>
      </c>
      <c r="K25" s="64">
        <f t="shared" si="1"/>
        <v>171.42857142857142</v>
      </c>
      <c r="L25" s="169">
        <v>14</v>
      </c>
      <c r="M25" s="65">
        <f t="shared" si="23"/>
        <v>2307.6923076923072</v>
      </c>
      <c r="N25" s="64">
        <f t="shared" si="3"/>
        <v>164.83516483516479</v>
      </c>
      <c r="O25" s="66">
        <f t="shared" si="4"/>
        <v>0</v>
      </c>
      <c r="P25" s="67">
        <f t="shared" si="5"/>
        <v>-6.5934065934066268</v>
      </c>
      <c r="Q25" s="165">
        <f t="shared" si="6"/>
        <v>0.96153846153846134</v>
      </c>
      <c r="R25" s="511"/>
      <c r="S25" s="68">
        <v>0.43055555555555552</v>
      </c>
      <c r="T25" s="68">
        <v>0.47569444444444442</v>
      </c>
      <c r="U25" s="162">
        <f t="shared" si="25"/>
        <v>5.9999999999999787</v>
      </c>
      <c r="V25" s="170">
        <f t="shared" si="24"/>
        <v>65.000000000000014</v>
      </c>
      <c r="W25" s="69">
        <f>T25</f>
        <v>0.47569444444444442</v>
      </c>
      <c r="X25" s="69">
        <f>S26</f>
        <v>0.51597222222222217</v>
      </c>
      <c r="Y25" s="510"/>
      <c r="Z25" s="510"/>
      <c r="AA25" s="66">
        <f t="shared" si="8"/>
        <v>-92.307692307692832</v>
      </c>
      <c r="AB25" s="165">
        <f t="shared" si="9"/>
        <v>0.96153846153846134</v>
      </c>
      <c r="AC25" s="511"/>
    </row>
    <row r="26" spans="1:29" ht="15.75" customHeight="1">
      <c r="A26" s="536" t="s">
        <v>718</v>
      </c>
      <c r="B26" s="62" t="s">
        <v>16</v>
      </c>
      <c r="C26" s="533" t="s">
        <v>83</v>
      </c>
      <c r="D26" s="533"/>
      <c r="E26" s="62">
        <v>25.99</v>
      </c>
      <c r="F26" s="171">
        <v>2420</v>
      </c>
      <c r="G26" s="162">
        <f t="shared" si="22"/>
        <v>62895.799999999996</v>
      </c>
      <c r="H26" s="90" t="s">
        <v>5</v>
      </c>
      <c r="I26" s="169">
        <v>14</v>
      </c>
      <c r="J26" s="63">
        <v>2400</v>
      </c>
      <c r="K26" s="64">
        <f t="shared" si="1"/>
        <v>171.42857142857142</v>
      </c>
      <c r="L26" s="169">
        <v>14</v>
      </c>
      <c r="M26" s="65">
        <f t="shared" si="23"/>
        <v>2304.7619047619073</v>
      </c>
      <c r="N26" s="64">
        <f t="shared" si="3"/>
        <v>164.62585034013622</v>
      </c>
      <c r="O26" s="66">
        <f t="shared" si="4"/>
        <v>0</v>
      </c>
      <c r="P26" s="67">
        <f t="shared" si="5"/>
        <v>-6.8027210884351916</v>
      </c>
      <c r="Q26" s="165">
        <f t="shared" si="6"/>
        <v>0.96031746031746135</v>
      </c>
      <c r="R26" s="511"/>
      <c r="S26" s="68">
        <v>0.51597222222222217</v>
      </c>
      <c r="T26" s="68">
        <v>0.55972222222222212</v>
      </c>
      <c r="U26" s="162">
        <f t="shared" si="25"/>
        <v>57.999999999999957</v>
      </c>
      <c r="V26" s="170">
        <f t="shared" si="24"/>
        <v>62.999999999999936</v>
      </c>
      <c r="W26" s="69"/>
      <c r="X26" s="69"/>
      <c r="Y26" s="510"/>
      <c r="Z26" s="510"/>
      <c r="AA26" s="66">
        <f t="shared" si="8"/>
        <v>-95.238095238092683</v>
      </c>
      <c r="AB26" s="165">
        <f t="shared" si="9"/>
        <v>0.96031746031746135</v>
      </c>
      <c r="AC26" s="511"/>
    </row>
    <row r="27" spans="1:29" ht="15.75" customHeight="1">
      <c r="A27" s="536" t="s">
        <v>718</v>
      </c>
      <c r="B27" s="62" t="s">
        <v>16</v>
      </c>
      <c r="C27" s="533" t="s">
        <v>30</v>
      </c>
      <c r="D27" s="533"/>
      <c r="E27" s="62">
        <v>31.29</v>
      </c>
      <c r="F27" s="171">
        <v>2683</v>
      </c>
      <c r="G27" s="162">
        <f t="shared" si="22"/>
        <v>83951.069999999992</v>
      </c>
      <c r="H27" s="90" t="s">
        <v>5</v>
      </c>
      <c r="I27" s="169">
        <v>18</v>
      </c>
      <c r="J27" s="63">
        <v>2400</v>
      </c>
      <c r="K27" s="64">
        <f t="shared" si="1"/>
        <v>133.33333333333334</v>
      </c>
      <c r="L27" s="169">
        <v>18</v>
      </c>
      <c r="M27" s="65">
        <f t="shared" si="23"/>
        <v>2299.7142857142831</v>
      </c>
      <c r="N27" s="64">
        <f t="shared" si="3"/>
        <v>127.76190476190462</v>
      </c>
      <c r="O27" s="66">
        <f t="shared" si="4"/>
        <v>0</v>
      </c>
      <c r="P27" s="67">
        <f t="shared" si="5"/>
        <v>-5.5714285714287257</v>
      </c>
      <c r="Q27" s="165">
        <f t="shared" si="6"/>
        <v>0.95821428571428457</v>
      </c>
      <c r="R27" s="511"/>
      <c r="S27" s="68">
        <v>0.56527777777777766</v>
      </c>
      <c r="T27" s="68">
        <v>0.61388888888888882</v>
      </c>
      <c r="U27" s="162">
        <f t="shared" si="25"/>
        <v>7.9999999999999716</v>
      </c>
      <c r="V27" s="170">
        <f t="shared" si="24"/>
        <v>70.000000000000071</v>
      </c>
      <c r="W27" s="69"/>
      <c r="X27" s="69"/>
      <c r="Y27" s="510"/>
      <c r="Z27" s="510"/>
      <c r="AA27" s="66">
        <f t="shared" si="8"/>
        <v>-100.28571428571695</v>
      </c>
      <c r="AB27" s="165">
        <f t="shared" si="9"/>
        <v>0.95821428571428457</v>
      </c>
      <c r="AC27" s="511"/>
    </row>
    <row r="28" spans="1:29" ht="15.75" customHeight="1">
      <c r="A28" s="536" t="s">
        <v>718</v>
      </c>
      <c r="B28" s="62" t="s">
        <v>712</v>
      </c>
      <c r="C28" s="513"/>
      <c r="D28" s="513"/>
      <c r="E28" s="166"/>
      <c r="F28" s="171"/>
      <c r="G28" s="162"/>
      <c r="H28" s="171"/>
      <c r="I28" s="72">
        <v>17.428571428571427</v>
      </c>
      <c r="J28" s="63">
        <v>2400</v>
      </c>
      <c r="K28" s="64">
        <f t="shared" si="1"/>
        <v>137.70491803278691</v>
      </c>
      <c r="L28" s="72">
        <v>17.428571428571427</v>
      </c>
      <c r="M28" s="65">
        <f>AVERAGE(M21:M27)</f>
        <v>2295.4163597378565</v>
      </c>
      <c r="N28" s="64">
        <f t="shared" si="3"/>
        <v>131.70421736200817</v>
      </c>
      <c r="O28" s="66">
        <f t="shared" si="4"/>
        <v>0</v>
      </c>
      <c r="P28" s="67">
        <f t="shared" si="5"/>
        <v>-6.0007006707787411</v>
      </c>
      <c r="Q28" s="165">
        <f t="shared" si="6"/>
        <v>0.95642348322410675</v>
      </c>
      <c r="R28" s="511"/>
      <c r="S28" s="68"/>
      <c r="T28" s="68"/>
      <c r="U28" s="162"/>
      <c r="V28" s="170"/>
      <c r="W28" s="162"/>
      <c r="X28" s="162"/>
      <c r="Y28" s="510"/>
      <c r="Z28" s="510"/>
      <c r="AA28" s="66">
        <f t="shared" si="8"/>
        <v>-104.58364026214349</v>
      </c>
      <c r="AB28" s="165">
        <f t="shared" si="9"/>
        <v>0.95642348322410686</v>
      </c>
      <c r="AC28" s="511"/>
    </row>
    <row r="29" spans="1:29" ht="15.75" customHeight="1">
      <c r="A29" s="531" t="s">
        <v>721</v>
      </c>
      <c r="B29" s="62" t="s">
        <v>16</v>
      </c>
      <c r="C29" s="512" t="s">
        <v>31</v>
      </c>
      <c r="D29" s="512"/>
      <c r="E29" s="62">
        <v>26.2</v>
      </c>
      <c r="F29" s="171">
        <v>5477</v>
      </c>
      <c r="G29" s="162">
        <f t="shared" ref="G29:G35" si="26">E29*F29</f>
        <v>143497.4</v>
      </c>
      <c r="H29" s="90" t="s">
        <v>5</v>
      </c>
      <c r="I29" s="169">
        <v>18</v>
      </c>
      <c r="J29" s="63">
        <v>2400</v>
      </c>
      <c r="K29" s="64">
        <f t="shared" si="1"/>
        <v>133.33333333333334</v>
      </c>
      <c r="L29" s="169">
        <v>18</v>
      </c>
      <c r="M29" s="65">
        <f t="shared" ref="M29:M35" si="27">F29/V29*60</f>
        <v>2282.0833333333339</v>
      </c>
      <c r="N29" s="64">
        <f t="shared" si="3"/>
        <v>126.78240740740745</v>
      </c>
      <c r="O29" s="66">
        <f t="shared" si="4"/>
        <v>0</v>
      </c>
      <c r="P29" s="67">
        <f t="shared" si="5"/>
        <v>-6.5509259259258954</v>
      </c>
      <c r="Q29" s="165">
        <f t="shared" si="6"/>
        <v>0.95086805555555576</v>
      </c>
      <c r="R29" s="511">
        <f>Q36</f>
        <v>0.95675390321393416</v>
      </c>
      <c r="S29" s="68">
        <v>0.125</v>
      </c>
      <c r="T29" s="68">
        <v>0.22499999999999998</v>
      </c>
      <c r="U29" s="162"/>
      <c r="V29" s="170">
        <f t="shared" ref="V29:V35" si="28">(T29-S29)*24*60</f>
        <v>143.99999999999997</v>
      </c>
      <c r="W29" s="73">
        <f>T29</f>
        <v>0.22499999999999998</v>
      </c>
      <c r="X29" s="73">
        <f>S30</f>
        <v>0.24513888888888888</v>
      </c>
      <c r="Y29" s="510"/>
      <c r="Z29" s="510"/>
      <c r="AA29" s="66">
        <f t="shared" si="8"/>
        <v>-117.91666666666606</v>
      </c>
      <c r="AB29" s="165">
        <f t="shared" si="9"/>
        <v>0.95086805555555576</v>
      </c>
      <c r="AC29" s="511">
        <f>AB36</f>
        <v>0.95675390321393428</v>
      </c>
    </row>
    <row r="30" spans="1:29" ht="15.75" customHeight="1">
      <c r="A30" s="531" t="s">
        <v>721</v>
      </c>
      <c r="B30" s="62" t="s">
        <v>16</v>
      </c>
      <c r="C30" s="512" t="s">
        <v>32</v>
      </c>
      <c r="D30" s="512"/>
      <c r="E30" s="62">
        <v>26.39</v>
      </c>
      <c r="F30" s="171">
        <v>3500</v>
      </c>
      <c r="G30" s="162">
        <f t="shared" si="26"/>
        <v>92365</v>
      </c>
      <c r="H30" s="90">
        <v>2</v>
      </c>
      <c r="I30" s="169">
        <v>19</v>
      </c>
      <c r="J30" s="63">
        <v>2400</v>
      </c>
      <c r="K30" s="64">
        <f t="shared" si="1"/>
        <v>126.31578947368421</v>
      </c>
      <c r="L30" s="169">
        <v>19</v>
      </c>
      <c r="M30" s="65">
        <f t="shared" si="27"/>
        <v>2307.6923076923067</v>
      </c>
      <c r="N30" s="64">
        <f t="shared" si="3"/>
        <v>121.45748987854246</v>
      </c>
      <c r="O30" s="66">
        <f t="shared" si="4"/>
        <v>0</v>
      </c>
      <c r="P30" s="67">
        <f t="shared" si="5"/>
        <v>-4.8582995951417445</v>
      </c>
      <c r="Q30" s="165">
        <f t="shared" si="6"/>
        <v>0.96153846153846123</v>
      </c>
      <c r="R30" s="511"/>
      <c r="S30" s="68">
        <v>0.24513888888888888</v>
      </c>
      <c r="T30" s="68">
        <v>0.30833333333333335</v>
      </c>
      <c r="U30" s="162">
        <f t="shared" ref="U30:U35" si="29">(S30-T29)*24*60</f>
        <v>29.000000000000018</v>
      </c>
      <c r="V30" s="170">
        <f t="shared" si="28"/>
        <v>91.000000000000043</v>
      </c>
      <c r="W30" s="162"/>
      <c r="X30" s="162"/>
      <c r="Y30" s="510"/>
      <c r="Z30" s="510"/>
      <c r="AA30" s="66">
        <f t="shared" si="8"/>
        <v>-92.307692307693287</v>
      </c>
      <c r="AB30" s="165">
        <f t="shared" si="9"/>
        <v>0.96153846153846112</v>
      </c>
      <c r="AC30" s="511"/>
    </row>
    <row r="31" spans="1:29">
      <c r="A31" s="532" t="s">
        <v>721</v>
      </c>
      <c r="B31" s="62" t="s">
        <v>16</v>
      </c>
      <c r="C31" s="512" t="s">
        <v>50</v>
      </c>
      <c r="D31" s="512"/>
      <c r="E31" s="62">
        <v>20.52</v>
      </c>
      <c r="F31" s="171">
        <v>3849</v>
      </c>
      <c r="G31" s="162">
        <f t="shared" si="26"/>
        <v>78981.48</v>
      </c>
      <c r="H31" s="90" t="s">
        <v>5</v>
      </c>
      <c r="I31" s="169">
        <v>18</v>
      </c>
      <c r="J31" s="63">
        <v>2400</v>
      </c>
      <c r="K31" s="64">
        <f t="shared" si="1"/>
        <v>133.33333333333334</v>
      </c>
      <c r="L31" s="169">
        <v>18</v>
      </c>
      <c r="M31" s="65">
        <f t="shared" si="27"/>
        <v>2286.5346534653472</v>
      </c>
      <c r="N31" s="64">
        <f t="shared" si="3"/>
        <v>127.02970297029707</v>
      </c>
      <c r="O31" s="66">
        <f t="shared" si="4"/>
        <v>0</v>
      </c>
      <c r="P31" s="67">
        <f t="shared" si="5"/>
        <v>-6.3036303630362767</v>
      </c>
      <c r="Q31" s="165">
        <f t="shared" si="6"/>
        <v>0.9527227722772279</v>
      </c>
      <c r="R31" s="511"/>
      <c r="S31" s="68">
        <v>0.31180555555555556</v>
      </c>
      <c r="T31" s="68">
        <v>0.38194444444444442</v>
      </c>
      <c r="U31" s="162">
        <f t="shared" si="29"/>
        <v>4.9999999999999822</v>
      </c>
      <c r="V31" s="170">
        <f t="shared" si="28"/>
        <v>100.99999999999996</v>
      </c>
      <c r="W31" s="162"/>
      <c r="X31" s="162"/>
      <c r="Y31" s="510"/>
      <c r="Z31" s="510"/>
      <c r="AA31" s="66">
        <f t="shared" si="8"/>
        <v>-113.46534653465278</v>
      </c>
      <c r="AB31" s="165">
        <f t="shared" si="9"/>
        <v>0.95272277227722801</v>
      </c>
      <c r="AC31" s="511"/>
    </row>
    <row r="32" spans="1:29">
      <c r="A32" s="532" t="s">
        <v>721</v>
      </c>
      <c r="B32" s="62" t="s">
        <v>16</v>
      </c>
      <c r="C32" s="512" t="s">
        <v>18</v>
      </c>
      <c r="D32" s="512"/>
      <c r="E32" s="62">
        <v>22.35</v>
      </c>
      <c r="F32" s="171">
        <v>1528</v>
      </c>
      <c r="G32" s="162">
        <f t="shared" si="26"/>
        <v>34150.800000000003</v>
      </c>
      <c r="H32" s="90" t="s">
        <v>5</v>
      </c>
      <c r="I32" s="169">
        <v>16</v>
      </c>
      <c r="J32" s="63">
        <v>2400</v>
      </c>
      <c r="K32" s="64">
        <f t="shared" si="1"/>
        <v>150</v>
      </c>
      <c r="L32" s="169">
        <v>16</v>
      </c>
      <c r="M32" s="65">
        <f t="shared" si="27"/>
        <v>2291.9999999999991</v>
      </c>
      <c r="N32" s="64">
        <f t="shared" si="3"/>
        <v>143.24999999999994</v>
      </c>
      <c r="O32" s="66">
        <f t="shared" si="4"/>
        <v>0</v>
      </c>
      <c r="P32" s="67">
        <f t="shared" si="5"/>
        <v>-6.7500000000000568</v>
      </c>
      <c r="Q32" s="165">
        <f t="shared" si="6"/>
        <v>0.95499999999999963</v>
      </c>
      <c r="R32" s="511"/>
      <c r="S32" s="68">
        <v>0.38611111111111107</v>
      </c>
      <c r="T32" s="68">
        <v>0.41388888888888886</v>
      </c>
      <c r="U32" s="162">
        <f t="shared" si="29"/>
        <v>5.9999999999999787</v>
      </c>
      <c r="V32" s="170">
        <f t="shared" si="28"/>
        <v>40.000000000000014</v>
      </c>
      <c r="W32" s="69"/>
      <c r="X32" s="69"/>
      <c r="Y32" s="510"/>
      <c r="Z32" s="510"/>
      <c r="AA32" s="66">
        <f t="shared" si="8"/>
        <v>-108.00000000000091</v>
      </c>
      <c r="AB32" s="165">
        <f t="shared" si="9"/>
        <v>0.95499999999999963</v>
      </c>
      <c r="AC32" s="511"/>
    </row>
    <row r="33" spans="1:29">
      <c r="A33" s="532" t="s">
        <v>721</v>
      </c>
      <c r="B33" s="62" t="s">
        <v>16</v>
      </c>
      <c r="C33" s="512" t="s">
        <v>33</v>
      </c>
      <c r="D33" s="512"/>
      <c r="E33" s="62">
        <v>24.43</v>
      </c>
      <c r="F33" s="171">
        <v>3500</v>
      </c>
      <c r="G33" s="162">
        <f t="shared" si="26"/>
        <v>85505</v>
      </c>
      <c r="H33" s="90">
        <v>2</v>
      </c>
      <c r="I33" s="169">
        <v>14</v>
      </c>
      <c r="J33" s="63">
        <v>2400</v>
      </c>
      <c r="K33" s="64">
        <f t="shared" si="1"/>
        <v>171.42857142857142</v>
      </c>
      <c r="L33" s="169">
        <v>14</v>
      </c>
      <c r="M33" s="65">
        <f t="shared" si="27"/>
        <v>2282.608695652174</v>
      </c>
      <c r="N33" s="64">
        <f t="shared" si="3"/>
        <v>163.04347826086956</v>
      </c>
      <c r="O33" s="66">
        <f t="shared" si="4"/>
        <v>0</v>
      </c>
      <c r="P33" s="67">
        <f t="shared" si="5"/>
        <v>-8.3850931677018536</v>
      </c>
      <c r="Q33" s="165">
        <f t="shared" si="6"/>
        <v>0.95108695652173914</v>
      </c>
      <c r="R33" s="511"/>
      <c r="S33" s="68">
        <v>0.41736111111111107</v>
      </c>
      <c r="T33" s="68">
        <v>0.48124999999999996</v>
      </c>
      <c r="U33" s="162">
        <f t="shared" si="29"/>
        <v>4.9999999999999822</v>
      </c>
      <c r="V33" s="170">
        <f t="shared" si="28"/>
        <v>92</v>
      </c>
      <c r="W33" s="73">
        <f>T33</f>
        <v>0.48124999999999996</v>
      </c>
      <c r="X33" s="73">
        <f>S34</f>
        <v>0.52013888888888882</v>
      </c>
      <c r="Y33" s="510"/>
      <c r="Z33" s="510"/>
      <c r="AA33" s="66">
        <f t="shared" si="8"/>
        <v>-117.39130434782601</v>
      </c>
      <c r="AB33" s="165">
        <f t="shared" si="9"/>
        <v>0.95108695652173914</v>
      </c>
      <c r="AC33" s="511"/>
    </row>
    <row r="34" spans="1:29">
      <c r="A34" s="532" t="s">
        <v>721</v>
      </c>
      <c r="B34" s="62" t="s">
        <v>16</v>
      </c>
      <c r="C34" s="512" t="s">
        <v>33</v>
      </c>
      <c r="D34" s="512"/>
      <c r="E34" s="62">
        <v>24.43</v>
      </c>
      <c r="F34" s="171">
        <v>3524</v>
      </c>
      <c r="G34" s="162">
        <f t="shared" si="26"/>
        <v>86091.319999999992</v>
      </c>
      <c r="H34" s="90" t="s">
        <v>5</v>
      </c>
      <c r="I34" s="169">
        <v>14</v>
      </c>
      <c r="J34" s="63">
        <v>2400</v>
      </c>
      <c r="K34" s="64">
        <f t="shared" si="1"/>
        <v>171.42857142857142</v>
      </c>
      <c r="L34" s="169">
        <v>14</v>
      </c>
      <c r="M34" s="65">
        <f t="shared" si="27"/>
        <v>2298.260869565217</v>
      </c>
      <c r="N34" s="64">
        <f t="shared" si="3"/>
        <v>164.1614906832298</v>
      </c>
      <c r="O34" s="66">
        <f t="shared" si="4"/>
        <v>0</v>
      </c>
      <c r="P34" s="67">
        <f t="shared" si="5"/>
        <v>-7.267080745341616</v>
      </c>
      <c r="Q34" s="165">
        <f t="shared" si="6"/>
        <v>0.95760869565217388</v>
      </c>
      <c r="R34" s="511"/>
      <c r="S34" s="68">
        <v>0.52013888888888882</v>
      </c>
      <c r="T34" s="68">
        <v>0.5840277777777777</v>
      </c>
      <c r="U34" s="162">
        <f t="shared" si="29"/>
        <v>55.999999999999957</v>
      </c>
      <c r="V34" s="170">
        <f t="shared" si="28"/>
        <v>92</v>
      </c>
      <c r="W34" s="69"/>
      <c r="X34" s="69"/>
      <c r="Y34" s="510"/>
      <c r="Z34" s="510"/>
      <c r="AA34" s="66">
        <f t="shared" si="8"/>
        <v>-101.73913043478296</v>
      </c>
      <c r="AB34" s="165">
        <f t="shared" si="9"/>
        <v>0.95760869565217377</v>
      </c>
      <c r="AC34" s="511"/>
    </row>
    <row r="35" spans="1:29">
      <c r="A35" s="532" t="s">
        <v>721</v>
      </c>
      <c r="B35" s="62" t="s">
        <v>16</v>
      </c>
      <c r="C35" s="512" t="s">
        <v>32</v>
      </c>
      <c r="D35" s="512"/>
      <c r="E35" s="62">
        <v>26.39</v>
      </c>
      <c r="F35" s="171">
        <v>1627</v>
      </c>
      <c r="G35" s="162">
        <f t="shared" si="26"/>
        <v>42936.53</v>
      </c>
      <c r="H35" s="90" t="s">
        <v>5</v>
      </c>
      <c r="I35" s="169">
        <v>19</v>
      </c>
      <c r="J35" s="63">
        <v>2400</v>
      </c>
      <c r="K35" s="64">
        <f t="shared" si="1"/>
        <v>126.31578947368421</v>
      </c>
      <c r="L35" s="169">
        <v>19</v>
      </c>
      <c r="M35" s="65">
        <f t="shared" si="27"/>
        <v>2324.2857142857138</v>
      </c>
      <c r="N35" s="64">
        <f t="shared" si="3"/>
        <v>122.33082706766915</v>
      </c>
      <c r="O35" s="66">
        <f t="shared" si="4"/>
        <v>0</v>
      </c>
      <c r="P35" s="67">
        <f t="shared" si="5"/>
        <v>-3.9849624060150575</v>
      </c>
      <c r="Q35" s="165">
        <f t="shared" si="6"/>
        <v>0.96845238095238084</v>
      </c>
      <c r="R35" s="511"/>
      <c r="S35" s="68">
        <v>0.58819444444444435</v>
      </c>
      <c r="T35" s="68">
        <v>0.61736111111111103</v>
      </c>
      <c r="U35" s="162">
        <f t="shared" si="29"/>
        <v>5.9999999999999787</v>
      </c>
      <c r="V35" s="170">
        <f t="shared" si="28"/>
        <v>42.000000000000014</v>
      </c>
      <c r="W35" s="69"/>
      <c r="X35" s="69"/>
      <c r="Y35" s="517"/>
      <c r="Z35" s="518"/>
      <c r="AA35" s="66">
        <f t="shared" si="8"/>
        <v>-75.714285714286234</v>
      </c>
      <c r="AB35" s="165">
        <f t="shared" si="9"/>
        <v>0.96845238095238073</v>
      </c>
      <c r="AC35" s="511"/>
    </row>
    <row r="36" spans="1:29">
      <c r="A36" s="532" t="s">
        <v>721</v>
      </c>
      <c r="B36" s="71" t="s">
        <v>79</v>
      </c>
      <c r="C36" s="513"/>
      <c r="D36" s="513"/>
      <c r="E36" s="166"/>
      <c r="F36" s="71"/>
      <c r="G36" s="64"/>
      <c r="H36" s="171"/>
      <c r="I36" s="72">
        <v>16.857142857142858</v>
      </c>
      <c r="J36" s="63">
        <v>2400</v>
      </c>
      <c r="K36" s="64">
        <f t="shared" si="1"/>
        <v>142.37288135593221</v>
      </c>
      <c r="L36" s="72">
        <v>16.857142857142858</v>
      </c>
      <c r="M36" s="65">
        <f>AVERAGE(M29:M35)</f>
        <v>2296.2093677134421</v>
      </c>
      <c r="N36" s="64">
        <f t="shared" si="3"/>
        <v>136.21580994910249</v>
      </c>
      <c r="O36" s="66">
        <f t="shared" si="4"/>
        <v>0</v>
      </c>
      <c r="P36" s="67">
        <f t="shared" si="5"/>
        <v>-6.157071406829715</v>
      </c>
      <c r="Q36" s="165">
        <f t="shared" si="6"/>
        <v>0.95675390321393416</v>
      </c>
      <c r="R36" s="511"/>
      <c r="S36" s="68"/>
      <c r="T36" s="68"/>
      <c r="U36" s="64"/>
      <c r="V36" s="170"/>
      <c r="W36" s="64"/>
      <c r="X36" s="64"/>
      <c r="Y36" s="510"/>
      <c r="Z36" s="510"/>
      <c r="AA36" s="66">
        <f t="shared" si="8"/>
        <v>-103.79063228655787</v>
      </c>
      <c r="AB36" s="165">
        <f t="shared" si="9"/>
        <v>0.95675390321393428</v>
      </c>
      <c r="AC36" s="511"/>
    </row>
    <row r="37" spans="1:29" ht="15.75" customHeight="1">
      <c r="A37" s="525" t="s">
        <v>722</v>
      </c>
      <c r="B37" s="62" t="s">
        <v>35</v>
      </c>
      <c r="C37" s="521" t="s">
        <v>36</v>
      </c>
      <c r="D37" s="522"/>
      <c r="E37" s="62">
        <v>21.13</v>
      </c>
      <c r="F37" s="171">
        <v>2800</v>
      </c>
      <c r="G37" s="162">
        <f t="shared" ref="G37:G46" si="30">E37*F37</f>
        <v>59164</v>
      </c>
      <c r="H37" s="90">
        <v>2</v>
      </c>
      <c r="I37" s="169">
        <v>10</v>
      </c>
      <c r="J37" s="63">
        <v>3000</v>
      </c>
      <c r="K37" s="64">
        <f t="shared" si="1"/>
        <v>300</v>
      </c>
      <c r="L37" s="169">
        <v>10</v>
      </c>
      <c r="M37" s="65">
        <f t="shared" ref="M37:M46" si="31">F37/V37*60</f>
        <v>2896.5517241379312</v>
      </c>
      <c r="N37" s="65">
        <f t="shared" si="3"/>
        <v>289.65517241379314</v>
      </c>
      <c r="O37" s="66">
        <f t="shared" si="4"/>
        <v>0</v>
      </c>
      <c r="P37" s="67">
        <f t="shared" si="5"/>
        <v>-10.344827586206861</v>
      </c>
      <c r="Q37" s="165">
        <f t="shared" si="6"/>
        <v>0.9655172413793105</v>
      </c>
      <c r="R37" s="528">
        <f>Q47</f>
        <v>0.95854930111884784</v>
      </c>
      <c r="S37" s="68">
        <v>0.125</v>
      </c>
      <c r="T37" s="68">
        <v>0.16527777777777777</v>
      </c>
      <c r="U37" s="73"/>
      <c r="V37" s="170">
        <f t="shared" ref="V37:V46" si="32">(T37-S37)*24*60</f>
        <v>57.999999999999993</v>
      </c>
      <c r="W37" s="69">
        <f>T37</f>
        <v>0.16527777777777777</v>
      </c>
      <c r="X37" s="69">
        <f>S38</f>
        <v>0.18611111111111112</v>
      </c>
      <c r="Y37" s="517"/>
      <c r="Z37" s="518"/>
      <c r="AA37" s="66">
        <f t="shared" si="8"/>
        <v>-103.44827586206884</v>
      </c>
      <c r="AB37" s="165">
        <f t="shared" si="9"/>
        <v>0.96551724137931039</v>
      </c>
      <c r="AC37" s="528">
        <f>AB47</f>
        <v>0.95854930111884784</v>
      </c>
    </row>
    <row r="38" spans="1:29" ht="15.75" customHeight="1">
      <c r="A38" s="526" t="s">
        <v>251</v>
      </c>
      <c r="B38" s="62" t="s">
        <v>35</v>
      </c>
      <c r="C38" s="521" t="s">
        <v>37</v>
      </c>
      <c r="D38" s="522"/>
      <c r="E38" s="62">
        <v>27.17</v>
      </c>
      <c r="F38" s="171">
        <v>3300</v>
      </c>
      <c r="G38" s="162">
        <f t="shared" si="30"/>
        <v>89661</v>
      </c>
      <c r="H38" s="90">
        <v>2</v>
      </c>
      <c r="I38" s="169">
        <v>10</v>
      </c>
      <c r="J38" s="63">
        <v>3000</v>
      </c>
      <c r="K38" s="64">
        <f t="shared" si="1"/>
        <v>300</v>
      </c>
      <c r="L38" s="169">
        <v>10</v>
      </c>
      <c r="M38" s="65">
        <f t="shared" si="31"/>
        <v>2869.5652173913045</v>
      </c>
      <c r="N38" s="65">
        <f t="shared" si="3"/>
        <v>286.95652173913044</v>
      </c>
      <c r="O38" s="66">
        <f t="shared" si="4"/>
        <v>0</v>
      </c>
      <c r="P38" s="67">
        <f t="shared" si="5"/>
        <v>-13.043478260869563</v>
      </c>
      <c r="Q38" s="165">
        <f t="shared" si="6"/>
        <v>0.95652173913043481</v>
      </c>
      <c r="R38" s="529"/>
      <c r="S38" s="68">
        <v>0.18611111111111112</v>
      </c>
      <c r="T38" s="68">
        <v>0.23402777777777778</v>
      </c>
      <c r="U38" s="162">
        <f t="shared" ref="U38:U46" si="33">(S38-T37)*24*60</f>
        <v>30.000000000000014</v>
      </c>
      <c r="V38" s="170">
        <f t="shared" si="32"/>
        <v>69</v>
      </c>
      <c r="W38" s="69"/>
      <c r="X38" s="69"/>
      <c r="Y38" s="517"/>
      <c r="Z38" s="518"/>
      <c r="AA38" s="66">
        <f t="shared" si="8"/>
        <v>-130.43478260869551</v>
      </c>
      <c r="AB38" s="165">
        <f t="shared" si="9"/>
        <v>0.95652173913043481</v>
      </c>
      <c r="AC38" s="529"/>
    </row>
    <row r="39" spans="1:29" ht="15.75" customHeight="1">
      <c r="A39" s="526" t="s">
        <v>251</v>
      </c>
      <c r="B39" s="62" t="s">
        <v>35</v>
      </c>
      <c r="C39" s="521" t="s">
        <v>38</v>
      </c>
      <c r="D39" s="522"/>
      <c r="E39" s="62">
        <v>35.119999999999997</v>
      </c>
      <c r="F39" s="171">
        <v>3996</v>
      </c>
      <c r="G39" s="162">
        <f t="shared" si="30"/>
        <v>140339.51999999999</v>
      </c>
      <c r="H39" s="90" t="s">
        <v>5</v>
      </c>
      <c r="I39" s="169">
        <v>10</v>
      </c>
      <c r="J39" s="63">
        <v>3000</v>
      </c>
      <c r="K39" s="64">
        <f t="shared" si="1"/>
        <v>300</v>
      </c>
      <c r="L39" s="169">
        <v>10</v>
      </c>
      <c r="M39" s="65">
        <f t="shared" si="31"/>
        <v>2854.2857142857133</v>
      </c>
      <c r="N39" s="65">
        <f t="shared" si="3"/>
        <v>285.42857142857133</v>
      </c>
      <c r="O39" s="66">
        <f t="shared" si="4"/>
        <v>0</v>
      </c>
      <c r="P39" s="67">
        <f t="shared" si="5"/>
        <v>-14.571428571428669</v>
      </c>
      <c r="Q39" s="165">
        <f t="shared" si="6"/>
        <v>0.95142857142857107</v>
      </c>
      <c r="R39" s="529"/>
      <c r="S39" s="68">
        <v>0.23749999999999999</v>
      </c>
      <c r="T39" s="68">
        <v>0.29583333333333334</v>
      </c>
      <c r="U39" s="162">
        <f t="shared" si="33"/>
        <v>4.9999999999999822</v>
      </c>
      <c r="V39" s="170">
        <f t="shared" si="32"/>
        <v>84.000000000000028</v>
      </c>
      <c r="W39" s="69"/>
      <c r="X39" s="69"/>
      <c r="Y39" s="517"/>
      <c r="Z39" s="518"/>
      <c r="AA39" s="66">
        <f t="shared" si="8"/>
        <v>-145.71428571428669</v>
      </c>
      <c r="AB39" s="165">
        <f t="shared" si="9"/>
        <v>0.95142857142857107</v>
      </c>
      <c r="AC39" s="529"/>
    </row>
    <row r="40" spans="1:29" ht="15.75" customHeight="1">
      <c r="A40" s="526" t="s">
        <v>722</v>
      </c>
      <c r="B40" s="62" t="s">
        <v>35</v>
      </c>
      <c r="C40" s="521" t="s">
        <v>39</v>
      </c>
      <c r="D40" s="522"/>
      <c r="E40" s="62">
        <v>35.869999999999997</v>
      </c>
      <c r="F40" s="171">
        <v>2646</v>
      </c>
      <c r="G40" s="162">
        <f t="shared" si="30"/>
        <v>94912.01999999999</v>
      </c>
      <c r="H40" s="90" t="s">
        <v>5</v>
      </c>
      <c r="I40" s="169">
        <v>9</v>
      </c>
      <c r="J40" s="63">
        <v>3000</v>
      </c>
      <c r="K40" s="64">
        <f t="shared" si="1"/>
        <v>333.33333333333331</v>
      </c>
      <c r="L40" s="169">
        <v>9</v>
      </c>
      <c r="M40" s="65">
        <f t="shared" si="31"/>
        <v>2886.5454545454563</v>
      </c>
      <c r="N40" s="65">
        <f t="shared" si="3"/>
        <v>320.72727272727292</v>
      </c>
      <c r="O40" s="66">
        <f t="shared" si="4"/>
        <v>0</v>
      </c>
      <c r="P40" s="67">
        <f t="shared" si="5"/>
        <v>-12.606060606060396</v>
      </c>
      <c r="Q40" s="165">
        <f t="shared" si="6"/>
        <v>0.9621818181818188</v>
      </c>
      <c r="R40" s="529"/>
      <c r="S40" s="68">
        <v>0.30069444444444443</v>
      </c>
      <c r="T40" s="68">
        <v>0.33888888888888885</v>
      </c>
      <c r="U40" s="162">
        <f t="shared" si="33"/>
        <v>6.9999999999999751</v>
      </c>
      <c r="V40" s="170">
        <f t="shared" si="32"/>
        <v>54.999999999999964</v>
      </c>
      <c r="W40" s="69"/>
      <c r="X40" s="69"/>
      <c r="Y40" s="517"/>
      <c r="Z40" s="518"/>
      <c r="AA40" s="66">
        <f t="shared" si="8"/>
        <v>-113.45454545454368</v>
      </c>
      <c r="AB40" s="165">
        <f t="shared" si="9"/>
        <v>0.9621818181818188</v>
      </c>
      <c r="AC40" s="529"/>
    </row>
    <row r="41" spans="1:29" ht="15.75" customHeight="1">
      <c r="A41" s="526" t="s">
        <v>722</v>
      </c>
      <c r="B41" s="62" t="s">
        <v>35</v>
      </c>
      <c r="C41" s="521" t="s">
        <v>40</v>
      </c>
      <c r="D41" s="522"/>
      <c r="E41" s="62">
        <v>36.14</v>
      </c>
      <c r="F41" s="171">
        <v>1398</v>
      </c>
      <c r="G41" s="162">
        <f t="shared" si="30"/>
        <v>50523.72</v>
      </c>
      <c r="H41" s="90" t="s">
        <v>5</v>
      </c>
      <c r="I41" s="169">
        <v>9</v>
      </c>
      <c r="J41" s="63">
        <v>3000</v>
      </c>
      <c r="K41" s="64">
        <f t="shared" si="1"/>
        <v>333.33333333333331</v>
      </c>
      <c r="L41" s="169">
        <v>9</v>
      </c>
      <c r="M41" s="65">
        <f t="shared" si="31"/>
        <v>2892.4137931034502</v>
      </c>
      <c r="N41" s="65">
        <f t="shared" si="3"/>
        <v>321.37931034482779</v>
      </c>
      <c r="O41" s="66">
        <f t="shared" si="4"/>
        <v>0</v>
      </c>
      <c r="P41" s="67">
        <f t="shared" si="5"/>
        <v>-11.954022988505528</v>
      </c>
      <c r="Q41" s="165">
        <f t="shared" si="6"/>
        <v>0.96413793103448342</v>
      </c>
      <c r="R41" s="529"/>
      <c r="S41" s="68">
        <v>0.34444444444444439</v>
      </c>
      <c r="T41" s="68">
        <v>0.36458333333333326</v>
      </c>
      <c r="U41" s="162">
        <f t="shared" si="33"/>
        <v>7.9999999999999716</v>
      </c>
      <c r="V41" s="170">
        <f t="shared" si="32"/>
        <v>28.999999999999979</v>
      </c>
      <c r="W41" s="69"/>
      <c r="X41" s="69"/>
      <c r="Y41" s="517"/>
      <c r="Z41" s="518"/>
      <c r="AA41" s="66">
        <f t="shared" si="8"/>
        <v>-107.58620689654981</v>
      </c>
      <c r="AB41" s="165">
        <f t="shared" si="9"/>
        <v>0.96413793103448342</v>
      </c>
      <c r="AC41" s="529"/>
    </row>
    <row r="42" spans="1:29" ht="15.75" customHeight="1">
      <c r="A42" s="526" t="s">
        <v>722</v>
      </c>
      <c r="B42" s="62" t="s">
        <v>35</v>
      </c>
      <c r="C42" s="521" t="s">
        <v>74</v>
      </c>
      <c r="D42" s="522"/>
      <c r="E42" s="62">
        <v>34.36</v>
      </c>
      <c r="F42" s="171">
        <v>2475</v>
      </c>
      <c r="G42" s="162">
        <f t="shared" si="30"/>
        <v>85041</v>
      </c>
      <c r="H42" s="90" t="s">
        <v>5</v>
      </c>
      <c r="I42" s="169">
        <v>10</v>
      </c>
      <c r="J42" s="63">
        <v>3000</v>
      </c>
      <c r="K42" s="64">
        <f t="shared" si="1"/>
        <v>300</v>
      </c>
      <c r="L42" s="169">
        <v>10</v>
      </c>
      <c r="M42" s="65">
        <f t="shared" si="31"/>
        <v>2855.7692307692323</v>
      </c>
      <c r="N42" s="65">
        <f t="shared" si="3"/>
        <v>285.57692307692321</v>
      </c>
      <c r="O42" s="66">
        <f t="shared" si="4"/>
        <v>0</v>
      </c>
      <c r="P42" s="67">
        <f t="shared" si="5"/>
        <v>-14.423076923076792</v>
      </c>
      <c r="Q42" s="165">
        <f t="shared" si="6"/>
        <v>0.95192307692307732</v>
      </c>
      <c r="R42" s="529"/>
      <c r="S42" s="68">
        <v>0.36805555555555547</v>
      </c>
      <c r="T42" s="68">
        <v>0.40416666666666656</v>
      </c>
      <c r="U42" s="162">
        <f t="shared" si="33"/>
        <v>4.9999999999999822</v>
      </c>
      <c r="V42" s="170">
        <f t="shared" si="32"/>
        <v>51.999999999999972</v>
      </c>
      <c r="W42" s="69"/>
      <c r="X42" s="69"/>
      <c r="Y42" s="517"/>
      <c r="Z42" s="518"/>
      <c r="AA42" s="66">
        <f t="shared" si="8"/>
        <v>-144.23076923076769</v>
      </c>
      <c r="AB42" s="165">
        <f t="shared" si="9"/>
        <v>0.95192307692307743</v>
      </c>
      <c r="AC42" s="529"/>
    </row>
    <row r="43" spans="1:29" ht="15.75" customHeight="1">
      <c r="A43" s="526" t="s">
        <v>251</v>
      </c>
      <c r="B43" s="62" t="s">
        <v>35</v>
      </c>
      <c r="C43" s="521" t="s">
        <v>84</v>
      </c>
      <c r="D43" s="522"/>
      <c r="E43" s="62">
        <v>31</v>
      </c>
      <c r="F43" s="171">
        <v>3500</v>
      </c>
      <c r="G43" s="162">
        <f t="shared" si="30"/>
        <v>108500</v>
      </c>
      <c r="H43" s="90">
        <v>2</v>
      </c>
      <c r="I43" s="169">
        <v>13</v>
      </c>
      <c r="J43" s="63">
        <v>2000</v>
      </c>
      <c r="K43" s="64">
        <f t="shared" si="1"/>
        <v>153.84615384615384</v>
      </c>
      <c r="L43" s="169">
        <v>13</v>
      </c>
      <c r="M43" s="65">
        <f t="shared" si="31"/>
        <v>1909.0909090909088</v>
      </c>
      <c r="N43" s="65">
        <f t="shared" si="3"/>
        <v>146.85314685314682</v>
      </c>
      <c r="O43" s="66">
        <f t="shared" si="4"/>
        <v>0</v>
      </c>
      <c r="P43" s="67">
        <f t="shared" si="5"/>
        <v>-6.9930069930070147</v>
      </c>
      <c r="Q43" s="165">
        <f t="shared" si="6"/>
        <v>0.95454545454545436</v>
      </c>
      <c r="R43" s="529"/>
      <c r="S43" s="68">
        <v>0.40833333333333321</v>
      </c>
      <c r="T43" s="68">
        <v>0.48472222222222211</v>
      </c>
      <c r="U43" s="162">
        <f t="shared" si="33"/>
        <v>5.9999999999999787</v>
      </c>
      <c r="V43" s="170">
        <f t="shared" si="32"/>
        <v>110.00000000000001</v>
      </c>
      <c r="W43" s="69">
        <f>T43</f>
        <v>0.48472222222222211</v>
      </c>
      <c r="X43" s="69">
        <f>S44</f>
        <v>0.52708333333333313</v>
      </c>
      <c r="Y43" s="517"/>
      <c r="Z43" s="518"/>
      <c r="AA43" s="66">
        <f t="shared" si="8"/>
        <v>-90.909090909091219</v>
      </c>
      <c r="AB43" s="165">
        <f t="shared" si="9"/>
        <v>0.95454545454545436</v>
      </c>
      <c r="AC43" s="529"/>
    </row>
    <row r="44" spans="1:29" ht="15.75" customHeight="1">
      <c r="A44" s="526" t="s">
        <v>722</v>
      </c>
      <c r="B44" s="62" t="s">
        <v>35</v>
      </c>
      <c r="C44" s="521" t="s">
        <v>84</v>
      </c>
      <c r="D44" s="522"/>
      <c r="E44" s="62">
        <v>31</v>
      </c>
      <c r="F44" s="171">
        <v>3090</v>
      </c>
      <c r="G44" s="162">
        <f t="shared" si="30"/>
        <v>95790</v>
      </c>
      <c r="H44" s="90" t="s">
        <v>5</v>
      </c>
      <c r="I44" s="169">
        <v>13</v>
      </c>
      <c r="J44" s="63">
        <v>2000</v>
      </c>
      <c r="K44" s="64">
        <f t="shared" si="1"/>
        <v>153.84615384615384</v>
      </c>
      <c r="L44" s="169">
        <v>13</v>
      </c>
      <c r="M44" s="65">
        <f t="shared" si="31"/>
        <v>1911.3402061855675</v>
      </c>
      <c r="N44" s="65">
        <f t="shared" si="3"/>
        <v>147.02616970658212</v>
      </c>
      <c r="O44" s="66">
        <f t="shared" si="4"/>
        <v>0</v>
      </c>
      <c r="P44" s="67">
        <f t="shared" si="5"/>
        <v>-6.8199841395717158</v>
      </c>
      <c r="Q44" s="165">
        <f t="shared" si="6"/>
        <v>0.95567010309278388</v>
      </c>
      <c r="R44" s="529"/>
      <c r="S44" s="68">
        <v>0.52708333333333313</v>
      </c>
      <c r="T44" s="68">
        <v>0.59444444444444422</v>
      </c>
      <c r="U44" s="162">
        <f t="shared" si="33"/>
        <v>60.999999999999865</v>
      </c>
      <c r="V44" s="170">
        <f t="shared" si="32"/>
        <v>96.999999999999972</v>
      </c>
      <c r="W44" s="69"/>
      <c r="X44" s="69"/>
      <c r="Y44" s="517"/>
      <c r="Z44" s="518"/>
      <c r="AA44" s="66">
        <f t="shared" si="8"/>
        <v>-88.659793814432533</v>
      </c>
      <c r="AB44" s="165">
        <f t="shared" si="9"/>
        <v>0.95567010309278377</v>
      </c>
      <c r="AC44" s="529"/>
    </row>
    <row r="45" spans="1:29" ht="15.75" customHeight="1">
      <c r="A45" s="526" t="s">
        <v>722</v>
      </c>
      <c r="B45" s="62" t="s">
        <v>35</v>
      </c>
      <c r="C45" s="521" t="s">
        <v>37</v>
      </c>
      <c r="D45" s="522"/>
      <c r="E45" s="62">
        <v>27.17</v>
      </c>
      <c r="F45" s="171">
        <v>2106</v>
      </c>
      <c r="G45" s="162">
        <f t="shared" si="30"/>
        <v>57220.020000000004</v>
      </c>
      <c r="H45" s="90" t="s">
        <v>5</v>
      </c>
      <c r="I45" s="169">
        <v>10</v>
      </c>
      <c r="J45" s="63">
        <v>3000</v>
      </c>
      <c r="K45" s="64">
        <f t="shared" si="1"/>
        <v>300</v>
      </c>
      <c r="L45" s="169">
        <v>10</v>
      </c>
      <c r="M45" s="65">
        <f t="shared" si="31"/>
        <v>2871.818181818182</v>
      </c>
      <c r="N45" s="65">
        <f t="shared" si="3"/>
        <v>287.18181818181819</v>
      </c>
      <c r="O45" s="66">
        <f t="shared" si="4"/>
        <v>0</v>
      </c>
      <c r="P45" s="67">
        <f t="shared" si="5"/>
        <v>-12.818181818181813</v>
      </c>
      <c r="Q45" s="165">
        <f t="shared" si="6"/>
        <v>0.95727272727272728</v>
      </c>
      <c r="R45" s="529"/>
      <c r="S45" s="68">
        <v>0.59930555555555531</v>
      </c>
      <c r="T45" s="68">
        <v>0.62986111111111087</v>
      </c>
      <c r="U45" s="162">
        <f t="shared" si="33"/>
        <v>6.9999999999999751</v>
      </c>
      <c r="V45" s="170">
        <f t="shared" si="32"/>
        <v>44</v>
      </c>
      <c r="W45" s="69"/>
      <c r="X45" s="69"/>
      <c r="Y45" s="517"/>
      <c r="Z45" s="518"/>
      <c r="AA45" s="66">
        <f t="shared" si="8"/>
        <v>-128.18181818181802</v>
      </c>
      <c r="AB45" s="165">
        <f t="shared" si="9"/>
        <v>0.95727272727272728</v>
      </c>
      <c r="AC45" s="529"/>
    </row>
    <row r="46" spans="1:29" ht="15.75" customHeight="1">
      <c r="A46" s="526" t="s">
        <v>722</v>
      </c>
      <c r="B46" s="62" t="s">
        <v>35</v>
      </c>
      <c r="C46" s="521" t="s">
        <v>36</v>
      </c>
      <c r="D46" s="522"/>
      <c r="E46" s="62">
        <v>21.13</v>
      </c>
      <c r="F46" s="171">
        <v>1687</v>
      </c>
      <c r="G46" s="162">
        <f t="shared" si="30"/>
        <v>35646.31</v>
      </c>
      <c r="H46" s="90" t="s">
        <v>5</v>
      </c>
      <c r="I46" s="169">
        <v>10</v>
      </c>
      <c r="J46" s="63">
        <v>3000</v>
      </c>
      <c r="K46" s="64">
        <f t="shared" si="1"/>
        <v>300</v>
      </c>
      <c r="L46" s="169">
        <v>10</v>
      </c>
      <c r="M46" s="65">
        <f t="shared" si="31"/>
        <v>2891.9999999999973</v>
      </c>
      <c r="N46" s="65">
        <f t="shared" si="3"/>
        <v>289.1999999999997</v>
      </c>
      <c r="O46" s="66">
        <f t="shared" si="4"/>
        <v>0</v>
      </c>
      <c r="P46" s="67">
        <f t="shared" si="5"/>
        <v>-10.800000000000296</v>
      </c>
      <c r="Q46" s="165">
        <f t="shared" si="6"/>
        <v>0.96399999999999897</v>
      </c>
      <c r="R46" s="529"/>
      <c r="S46" s="68">
        <v>0.63472222222222197</v>
      </c>
      <c r="T46" s="68">
        <v>0.65902777777777755</v>
      </c>
      <c r="U46" s="162">
        <f t="shared" si="33"/>
        <v>6.9999999999999751</v>
      </c>
      <c r="V46" s="170">
        <f t="shared" si="32"/>
        <v>35.000000000000036</v>
      </c>
      <c r="W46" s="69"/>
      <c r="X46" s="69"/>
      <c r="Y46" s="517"/>
      <c r="Z46" s="518"/>
      <c r="AA46" s="66">
        <f t="shared" si="8"/>
        <v>-108.00000000000273</v>
      </c>
      <c r="AB46" s="165">
        <f t="shared" si="9"/>
        <v>0.96399999999999908</v>
      </c>
      <c r="AC46" s="529"/>
    </row>
    <row r="47" spans="1:29" ht="15.75" customHeight="1">
      <c r="A47" s="527" t="s">
        <v>722</v>
      </c>
      <c r="B47" s="62" t="s">
        <v>712</v>
      </c>
      <c r="C47" s="508"/>
      <c r="D47" s="509"/>
      <c r="E47" s="161"/>
      <c r="F47" s="171"/>
      <c r="G47" s="162"/>
      <c r="H47" s="171"/>
      <c r="I47" s="72">
        <v>10.4</v>
      </c>
      <c r="J47" s="63">
        <v>2800</v>
      </c>
      <c r="K47" s="64">
        <f t="shared" si="1"/>
        <v>269.23076923076923</v>
      </c>
      <c r="L47" s="72">
        <v>10.4</v>
      </c>
      <c r="M47" s="65">
        <f>AVERAGE(M37:M46)</f>
        <v>2683.9380431327741</v>
      </c>
      <c r="N47" s="64">
        <f t="shared" si="3"/>
        <v>258.07096568584365</v>
      </c>
      <c r="O47" s="66">
        <f t="shared" si="4"/>
        <v>0</v>
      </c>
      <c r="P47" s="67">
        <f t="shared" si="5"/>
        <v>-11.15980354492558</v>
      </c>
      <c r="Q47" s="165">
        <f t="shared" si="6"/>
        <v>0.95854930111884784</v>
      </c>
      <c r="R47" s="530"/>
      <c r="S47" s="68"/>
      <c r="T47" s="68"/>
      <c r="U47" s="162"/>
      <c r="V47" s="170"/>
      <c r="W47" s="69"/>
      <c r="X47" s="69"/>
      <c r="Y47" s="517"/>
      <c r="Z47" s="518"/>
      <c r="AA47" s="66">
        <f t="shared" si="8"/>
        <v>-116.06195686722594</v>
      </c>
      <c r="AB47" s="165">
        <f t="shared" si="9"/>
        <v>0.95854930111884784</v>
      </c>
      <c r="AC47" s="530"/>
    </row>
    <row r="48" spans="1:29" ht="15.75" customHeight="1">
      <c r="A48" s="523" t="s">
        <v>80</v>
      </c>
      <c r="B48" s="62" t="s">
        <v>10</v>
      </c>
      <c r="C48" s="512" t="s">
        <v>41</v>
      </c>
      <c r="D48" s="512"/>
      <c r="E48" s="62">
        <v>46</v>
      </c>
      <c r="F48" s="74">
        <v>2283</v>
      </c>
      <c r="G48" s="162">
        <f t="shared" ref="G48:G51" si="34">E48*F48</f>
        <v>105018</v>
      </c>
      <c r="H48" s="90" t="s">
        <v>5</v>
      </c>
      <c r="I48" s="169">
        <v>17</v>
      </c>
      <c r="J48" s="63">
        <v>2000</v>
      </c>
      <c r="K48" s="64">
        <f t="shared" si="1"/>
        <v>117.64705882352941</v>
      </c>
      <c r="L48" s="169">
        <v>17</v>
      </c>
      <c r="M48" s="65">
        <f t="shared" ref="M48:M51" si="35">F48/V48*60</f>
        <v>1902.4999999999993</v>
      </c>
      <c r="N48" s="65">
        <f t="shared" si="3"/>
        <v>111.91176470588232</v>
      </c>
      <c r="O48" s="66">
        <f t="shared" si="4"/>
        <v>0</v>
      </c>
      <c r="P48" s="67">
        <f t="shared" si="5"/>
        <v>-5.7352941176470864</v>
      </c>
      <c r="Q48" s="165">
        <f t="shared" si="6"/>
        <v>0.95124999999999982</v>
      </c>
      <c r="R48" s="511">
        <f>Q52</f>
        <v>0.95605753545235272</v>
      </c>
      <c r="S48" s="68">
        <v>0.20833333333333334</v>
      </c>
      <c r="T48" s="68">
        <v>0.25833333333333336</v>
      </c>
      <c r="U48" s="73"/>
      <c r="V48" s="170">
        <f t="shared" ref="V48:V51" si="36">(T48-S48)*24*60</f>
        <v>72.000000000000028</v>
      </c>
      <c r="W48" s="73"/>
      <c r="X48" s="73"/>
      <c r="Y48" s="510"/>
      <c r="Z48" s="510"/>
      <c r="AA48" s="66">
        <f t="shared" si="8"/>
        <v>-97.500000000000682</v>
      </c>
      <c r="AB48" s="165">
        <f t="shared" si="9"/>
        <v>0.95124999999999971</v>
      </c>
      <c r="AC48" s="511">
        <f>AB52</f>
        <v>0.95605753545235284</v>
      </c>
    </row>
    <row r="49" spans="1:29" ht="15.75" customHeight="1">
      <c r="A49" s="523" t="s">
        <v>723</v>
      </c>
      <c r="B49" s="62" t="s">
        <v>10</v>
      </c>
      <c r="C49" s="512" t="s">
        <v>42</v>
      </c>
      <c r="D49" s="512"/>
      <c r="E49" s="62">
        <v>46</v>
      </c>
      <c r="F49" s="74">
        <v>2445</v>
      </c>
      <c r="G49" s="162">
        <f t="shared" si="34"/>
        <v>112470</v>
      </c>
      <c r="H49" s="90" t="s">
        <v>5</v>
      </c>
      <c r="I49" s="169">
        <v>17</v>
      </c>
      <c r="J49" s="63">
        <v>2000</v>
      </c>
      <c r="K49" s="64">
        <f t="shared" si="1"/>
        <v>117.64705882352941</v>
      </c>
      <c r="L49" s="169">
        <v>17</v>
      </c>
      <c r="M49" s="65">
        <f t="shared" si="35"/>
        <v>1905.1948051948059</v>
      </c>
      <c r="N49" s="65">
        <f t="shared" si="3"/>
        <v>112.070282658518</v>
      </c>
      <c r="O49" s="66">
        <f t="shared" si="4"/>
        <v>0</v>
      </c>
      <c r="P49" s="67">
        <f t="shared" si="5"/>
        <v>-5.5767761650114096</v>
      </c>
      <c r="Q49" s="165">
        <f t="shared" si="6"/>
        <v>0.952597402597403</v>
      </c>
      <c r="R49" s="511"/>
      <c r="S49" s="68">
        <v>0.2638888888888889</v>
      </c>
      <c r="T49" s="68">
        <v>0.31736111111111109</v>
      </c>
      <c r="U49" s="162">
        <f t="shared" ref="U49:U51" si="37">IF(S49=TIME(17,0,0),"",(S49-T48)*24*60)</f>
        <v>7.9999999999999716</v>
      </c>
      <c r="V49" s="170">
        <f t="shared" si="36"/>
        <v>76.999999999999972</v>
      </c>
      <c r="W49" s="69"/>
      <c r="X49" s="69"/>
      <c r="Y49" s="510"/>
      <c r="Z49" s="510"/>
      <c r="AA49" s="66">
        <f t="shared" si="8"/>
        <v>-94.805194805194105</v>
      </c>
      <c r="AB49" s="165">
        <f t="shared" si="9"/>
        <v>0.952597402597403</v>
      </c>
      <c r="AC49" s="511"/>
    </row>
    <row r="50" spans="1:29" ht="15.75" customHeight="1">
      <c r="A50" s="523" t="s">
        <v>723</v>
      </c>
      <c r="B50" s="62" t="s">
        <v>6</v>
      </c>
      <c r="C50" s="521" t="s">
        <v>43</v>
      </c>
      <c r="D50" s="522"/>
      <c r="E50" s="62">
        <v>55.56</v>
      </c>
      <c r="F50" s="74">
        <v>2620</v>
      </c>
      <c r="G50" s="162">
        <f t="shared" si="34"/>
        <v>145567.20000000001</v>
      </c>
      <c r="H50" s="90" t="s">
        <v>5</v>
      </c>
      <c r="I50" s="169">
        <v>17</v>
      </c>
      <c r="J50" s="63">
        <v>2000</v>
      </c>
      <c r="K50" s="64">
        <f t="shared" si="1"/>
        <v>117.64705882352941</v>
      </c>
      <c r="L50" s="169">
        <v>17</v>
      </c>
      <c r="M50" s="65">
        <f t="shared" si="35"/>
        <v>1917.0731707317066</v>
      </c>
      <c r="N50" s="65">
        <f t="shared" si="3"/>
        <v>112.76901004304156</v>
      </c>
      <c r="O50" s="66">
        <f t="shared" si="4"/>
        <v>0</v>
      </c>
      <c r="P50" s="67">
        <f t="shared" si="5"/>
        <v>-4.8780487804878447</v>
      </c>
      <c r="Q50" s="165">
        <f t="shared" si="6"/>
        <v>0.95853658536585329</v>
      </c>
      <c r="R50" s="511"/>
      <c r="S50" s="68">
        <v>0.70833333333333337</v>
      </c>
      <c r="T50" s="68">
        <v>0.76527777777777783</v>
      </c>
      <c r="U50" s="162" t="str">
        <f t="shared" si="37"/>
        <v/>
      </c>
      <c r="V50" s="170">
        <f t="shared" si="36"/>
        <v>82.000000000000028</v>
      </c>
      <c r="W50" s="69"/>
      <c r="X50" s="69"/>
      <c r="Y50" s="163"/>
      <c r="Z50" s="164"/>
      <c r="AA50" s="66">
        <f t="shared" si="8"/>
        <v>-82.926829268293432</v>
      </c>
      <c r="AB50" s="165">
        <f t="shared" si="9"/>
        <v>0.95853658536585329</v>
      </c>
      <c r="AC50" s="511"/>
    </row>
    <row r="51" spans="1:29" ht="15.75" customHeight="1">
      <c r="A51" s="523" t="s">
        <v>723</v>
      </c>
      <c r="B51" s="62" t="s">
        <v>6</v>
      </c>
      <c r="C51" s="167" t="s">
        <v>44</v>
      </c>
      <c r="D51" s="168"/>
      <c r="E51" s="62">
        <v>55.32</v>
      </c>
      <c r="F51" s="74">
        <v>2084</v>
      </c>
      <c r="G51" s="162">
        <f t="shared" si="34"/>
        <v>115286.88</v>
      </c>
      <c r="H51" s="90" t="s">
        <v>5</v>
      </c>
      <c r="I51" s="169">
        <v>15</v>
      </c>
      <c r="J51" s="63">
        <v>2000</v>
      </c>
      <c r="K51" s="64">
        <f t="shared" si="1"/>
        <v>133.33333333333334</v>
      </c>
      <c r="L51" s="169">
        <v>15</v>
      </c>
      <c r="M51" s="65">
        <f t="shared" si="35"/>
        <v>1923.6923076923099</v>
      </c>
      <c r="N51" s="65">
        <f t="shared" si="3"/>
        <v>128.24615384615399</v>
      </c>
      <c r="O51" s="66">
        <f t="shared" si="4"/>
        <v>0</v>
      </c>
      <c r="P51" s="67">
        <f t="shared" si="5"/>
        <v>-5.0871794871793554</v>
      </c>
      <c r="Q51" s="165">
        <f t="shared" si="6"/>
        <v>0.96184615384615479</v>
      </c>
      <c r="R51" s="511"/>
      <c r="S51" s="68">
        <v>0.77083333333333337</v>
      </c>
      <c r="T51" s="68">
        <v>0.81597222222222221</v>
      </c>
      <c r="U51" s="162">
        <f t="shared" si="37"/>
        <v>7.9999999999999716</v>
      </c>
      <c r="V51" s="170">
        <f t="shared" si="36"/>
        <v>64.999999999999929</v>
      </c>
      <c r="W51" s="69"/>
      <c r="X51" s="69"/>
      <c r="Y51" s="163"/>
      <c r="Z51" s="164"/>
      <c r="AA51" s="66">
        <f t="shared" si="8"/>
        <v>-76.307692307690104</v>
      </c>
      <c r="AB51" s="165">
        <f t="shared" si="9"/>
        <v>0.96184615384615491</v>
      </c>
      <c r="AC51" s="511"/>
    </row>
    <row r="52" spans="1:29">
      <c r="A52" s="524" t="s">
        <v>723</v>
      </c>
      <c r="B52" s="62" t="s">
        <v>712</v>
      </c>
      <c r="C52" s="513"/>
      <c r="D52" s="513"/>
      <c r="E52" s="166"/>
      <c r="F52" s="71"/>
      <c r="G52" s="64"/>
      <c r="H52" s="171"/>
      <c r="I52" s="72">
        <v>16.5</v>
      </c>
      <c r="J52" s="63">
        <v>2000</v>
      </c>
      <c r="K52" s="64">
        <f t="shared" si="1"/>
        <v>121.21212121212122</v>
      </c>
      <c r="L52" s="72">
        <v>16.5</v>
      </c>
      <c r="M52" s="65">
        <f>AVERAGE(M48:M51)</f>
        <v>1912.1150709047056</v>
      </c>
      <c r="N52" s="64">
        <f t="shared" si="3"/>
        <v>115.88576187301246</v>
      </c>
      <c r="O52" s="66">
        <f t="shared" si="4"/>
        <v>0</v>
      </c>
      <c r="P52" s="67">
        <f t="shared" si="5"/>
        <v>-5.3263593391087625</v>
      </c>
      <c r="Q52" s="165">
        <f t="shared" si="6"/>
        <v>0.95605753545235272</v>
      </c>
      <c r="R52" s="511"/>
      <c r="S52" s="75"/>
      <c r="T52" s="68"/>
      <c r="U52" s="64"/>
      <c r="V52" s="170"/>
      <c r="W52" s="64"/>
      <c r="X52" s="64"/>
      <c r="Y52" s="510"/>
      <c r="Z52" s="510"/>
      <c r="AA52" s="66">
        <f t="shared" si="8"/>
        <v>-87.88492909529441</v>
      </c>
      <c r="AB52" s="165">
        <f t="shared" si="9"/>
        <v>0.95605753545235284</v>
      </c>
      <c r="AC52" s="511"/>
    </row>
    <row r="53" spans="1:29" ht="15.75" customHeight="1">
      <c r="A53" s="519" t="s">
        <v>724</v>
      </c>
      <c r="B53" s="171" t="s">
        <v>10</v>
      </c>
      <c r="C53" s="512" t="s">
        <v>46</v>
      </c>
      <c r="D53" s="512"/>
      <c r="E53" s="62">
        <v>26.97</v>
      </c>
      <c r="F53" s="74">
        <v>2905</v>
      </c>
      <c r="G53" s="162">
        <f t="shared" ref="G53:G56" si="38">E53*F53</f>
        <v>78347.849999999991</v>
      </c>
      <c r="H53" s="90" t="s">
        <v>5</v>
      </c>
      <c r="I53" s="169">
        <v>8</v>
      </c>
      <c r="J53" s="63">
        <v>1500</v>
      </c>
      <c r="K53" s="64">
        <f t="shared" si="1"/>
        <v>187.5</v>
      </c>
      <c r="L53" s="169">
        <v>8</v>
      </c>
      <c r="M53" s="65">
        <f t="shared" ref="M53:M56" si="39">F53/V53*60</f>
        <v>1440.4958677685952</v>
      </c>
      <c r="N53" s="64">
        <f t="shared" si="3"/>
        <v>180.0619834710744</v>
      </c>
      <c r="O53" s="66">
        <f t="shared" si="4"/>
        <v>0</v>
      </c>
      <c r="P53" s="67">
        <f t="shared" si="5"/>
        <v>-7.4380165289256013</v>
      </c>
      <c r="Q53" s="165">
        <f t="shared" si="6"/>
        <v>0.96033057851239678</v>
      </c>
      <c r="R53" s="511">
        <f>Q57</f>
        <v>0.9565587505064469</v>
      </c>
      <c r="S53" s="68">
        <v>0.20833333333333334</v>
      </c>
      <c r="T53" s="68">
        <v>0.29236111111111113</v>
      </c>
      <c r="U53" s="162"/>
      <c r="V53" s="170">
        <f t="shared" ref="V53:V56" si="40">(T53-S53)*24*60</f>
        <v>121</v>
      </c>
      <c r="W53" s="73"/>
      <c r="X53" s="73"/>
      <c r="Y53" s="510"/>
      <c r="Z53" s="510"/>
      <c r="AA53" s="66">
        <f t="shared" si="8"/>
        <v>-59.50413223140481</v>
      </c>
      <c r="AB53" s="165">
        <f t="shared" si="9"/>
        <v>0.96033057851239678</v>
      </c>
      <c r="AC53" s="511">
        <f>AB57</f>
        <v>0.95655875050644701</v>
      </c>
    </row>
    <row r="54" spans="1:29" ht="15.75" customHeight="1">
      <c r="A54" s="519" t="s">
        <v>724</v>
      </c>
      <c r="B54" s="171" t="s">
        <v>35</v>
      </c>
      <c r="C54" s="512" t="s">
        <v>45</v>
      </c>
      <c r="D54" s="512"/>
      <c r="E54" s="62">
        <v>26.78</v>
      </c>
      <c r="F54" s="74">
        <v>2494</v>
      </c>
      <c r="G54" s="162">
        <f t="shared" si="38"/>
        <v>66789.320000000007</v>
      </c>
      <c r="H54" s="90" t="s">
        <v>5</v>
      </c>
      <c r="I54" s="169">
        <v>10</v>
      </c>
      <c r="J54" s="63">
        <v>3000</v>
      </c>
      <c r="K54" s="64">
        <f t="shared" si="1"/>
        <v>300</v>
      </c>
      <c r="L54" s="169">
        <v>10</v>
      </c>
      <c r="M54" s="65">
        <f t="shared" si="39"/>
        <v>2877.6923076923094</v>
      </c>
      <c r="N54" s="64">
        <f t="shared" si="3"/>
        <v>287.76923076923094</v>
      </c>
      <c r="O54" s="66">
        <f t="shared" si="4"/>
        <v>0</v>
      </c>
      <c r="P54" s="67">
        <f t="shared" si="5"/>
        <v>-12.230769230769056</v>
      </c>
      <c r="Q54" s="165">
        <f t="shared" si="6"/>
        <v>0.95923076923076978</v>
      </c>
      <c r="R54" s="511"/>
      <c r="S54" s="68">
        <v>0.29791666666666666</v>
      </c>
      <c r="T54" s="68">
        <v>0.33402777777777776</v>
      </c>
      <c r="U54" s="162">
        <f t="shared" ref="U54:U56" si="41">(S54-T53)*24*60</f>
        <v>7.9999999999999716</v>
      </c>
      <c r="V54" s="170">
        <f t="shared" si="40"/>
        <v>51.999999999999972</v>
      </c>
      <c r="W54" s="162"/>
      <c r="X54" s="162"/>
      <c r="Y54" s="510"/>
      <c r="Z54" s="510"/>
      <c r="AA54" s="66">
        <f t="shared" si="8"/>
        <v>-122.30769230769056</v>
      </c>
      <c r="AB54" s="165">
        <f t="shared" si="9"/>
        <v>0.95923076923076978</v>
      </c>
      <c r="AC54" s="511"/>
    </row>
    <row r="55" spans="1:29" ht="15.75" customHeight="1">
      <c r="A55" s="519" t="s">
        <v>724</v>
      </c>
      <c r="B55" s="171" t="s">
        <v>35</v>
      </c>
      <c r="C55" s="512" t="s">
        <v>75</v>
      </c>
      <c r="D55" s="512"/>
      <c r="E55" s="62">
        <v>37.880000000000003</v>
      </c>
      <c r="F55" s="74">
        <v>3142</v>
      </c>
      <c r="G55" s="162">
        <f t="shared" si="38"/>
        <v>119018.96</v>
      </c>
      <c r="H55" s="90" t="s">
        <v>5</v>
      </c>
      <c r="I55" s="169">
        <v>10</v>
      </c>
      <c r="J55" s="63">
        <v>3000</v>
      </c>
      <c r="K55" s="64">
        <f t="shared" si="1"/>
        <v>300</v>
      </c>
      <c r="L55" s="169">
        <v>10</v>
      </c>
      <c r="M55" s="65">
        <f t="shared" si="39"/>
        <v>2856.3636363636365</v>
      </c>
      <c r="N55" s="64">
        <f t="shared" si="3"/>
        <v>285.63636363636363</v>
      </c>
      <c r="O55" s="66">
        <f t="shared" si="4"/>
        <v>0</v>
      </c>
      <c r="P55" s="67">
        <f t="shared" si="5"/>
        <v>-14.363636363636374</v>
      </c>
      <c r="Q55" s="165">
        <f t="shared" si="6"/>
        <v>0.95212121212121203</v>
      </c>
      <c r="R55" s="511"/>
      <c r="S55" s="68">
        <v>0.33749999999999997</v>
      </c>
      <c r="T55" s="68">
        <v>0.3833333333333333</v>
      </c>
      <c r="U55" s="162">
        <f t="shared" si="41"/>
        <v>4.9999999999999822</v>
      </c>
      <c r="V55" s="170">
        <f t="shared" si="40"/>
        <v>66</v>
      </c>
      <c r="W55" s="162"/>
      <c r="X55" s="162"/>
      <c r="Y55" s="510"/>
      <c r="Z55" s="510"/>
      <c r="AA55" s="66">
        <f t="shared" si="8"/>
        <v>-143.63636363636351</v>
      </c>
      <c r="AB55" s="165">
        <f t="shared" si="9"/>
        <v>0.95212121212121215</v>
      </c>
      <c r="AC55" s="511"/>
    </row>
    <row r="56" spans="1:29" ht="15.75" customHeight="1">
      <c r="A56" s="519" t="s">
        <v>724</v>
      </c>
      <c r="B56" s="171" t="s">
        <v>35</v>
      </c>
      <c r="C56" s="512" t="s">
        <v>85</v>
      </c>
      <c r="D56" s="512"/>
      <c r="E56" s="62">
        <v>40.51</v>
      </c>
      <c r="F56" s="74">
        <v>3491</v>
      </c>
      <c r="G56" s="162">
        <f t="shared" si="38"/>
        <v>141420.41</v>
      </c>
      <c r="H56" s="90" t="s">
        <v>5</v>
      </c>
      <c r="I56" s="169">
        <v>8</v>
      </c>
      <c r="J56" s="63">
        <v>3000</v>
      </c>
      <c r="K56" s="64">
        <f t="shared" si="1"/>
        <v>375</v>
      </c>
      <c r="L56" s="169">
        <v>8</v>
      </c>
      <c r="M56" s="65">
        <f t="shared" si="39"/>
        <v>2869.3150684931516</v>
      </c>
      <c r="N56" s="64">
        <f t="shared" si="3"/>
        <v>358.66438356164394</v>
      </c>
      <c r="O56" s="66">
        <f t="shared" si="4"/>
        <v>0</v>
      </c>
      <c r="P56" s="67">
        <f t="shared" si="5"/>
        <v>-16.335616438356055</v>
      </c>
      <c r="Q56" s="165">
        <f t="shared" si="6"/>
        <v>0.95643835616438388</v>
      </c>
      <c r="R56" s="511"/>
      <c r="S56" s="68">
        <v>0.38680555555555551</v>
      </c>
      <c r="T56" s="68">
        <v>0.43749999999999994</v>
      </c>
      <c r="U56" s="162">
        <f t="shared" si="41"/>
        <v>4.9999999999999822</v>
      </c>
      <c r="V56" s="170">
        <f t="shared" si="40"/>
        <v>72.999999999999986</v>
      </c>
      <c r="W56" s="162"/>
      <c r="X56" s="162"/>
      <c r="Y56" s="510"/>
      <c r="Z56" s="510"/>
      <c r="AA56" s="66">
        <f t="shared" si="8"/>
        <v>-130.68493150684844</v>
      </c>
      <c r="AB56" s="165">
        <f t="shared" si="9"/>
        <v>0.95643835616438388</v>
      </c>
      <c r="AC56" s="511"/>
    </row>
    <row r="57" spans="1:29">
      <c r="A57" s="520" t="s">
        <v>724</v>
      </c>
      <c r="B57" s="62" t="s">
        <v>712</v>
      </c>
      <c r="C57" s="513"/>
      <c r="D57" s="513"/>
      <c r="E57" s="166"/>
      <c r="F57" s="71"/>
      <c r="G57" s="64"/>
      <c r="H57" s="171"/>
      <c r="I57" s="72">
        <v>9</v>
      </c>
      <c r="J57" s="63">
        <v>2625</v>
      </c>
      <c r="K57" s="64">
        <f t="shared" si="1"/>
        <v>291.66666666666669</v>
      </c>
      <c r="L57" s="72">
        <v>9</v>
      </c>
      <c r="M57" s="65">
        <f>AVERAGE(M53:M56)</f>
        <v>2510.9667200794233</v>
      </c>
      <c r="N57" s="64">
        <f t="shared" si="3"/>
        <v>278.99630223104703</v>
      </c>
      <c r="O57" s="66">
        <f t="shared" si="4"/>
        <v>0</v>
      </c>
      <c r="P57" s="67">
        <f t="shared" si="5"/>
        <v>-12.670364435619661</v>
      </c>
      <c r="Q57" s="165">
        <f t="shared" si="6"/>
        <v>0.9565587505064469</v>
      </c>
      <c r="R57" s="511"/>
      <c r="S57" s="68"/>
      <c r="T57" s="68"/>
      <c r="U57" s="64"/>
      <c r="V57" s="170"/>
      <c r="W57" s="64"/>
      <c r="X57" s="64"/>
      <c r="Y57" s="510"/>
      <c r="Z57" s="510"/>
      <c r="AA57" s="66">
        <f t="shared" si="8"/>
        <v>-114.03327992057666</v>
      </c>
      <c r="AB57" s="165">
        <f t="shared" si="9"/>
        <v>0.95655875050644701</v>
      </c>
      <c r="AC57" s="511"/>
    </row>
    <row r="58" spans="1:29" ht="15.75" customHeight="1">
      <c r="A58" s="514" t="s">
        <v>725</v>
      </c>
      <c r="B58" s="171" t="s">
        <v>16</v>
      </c>
      <c r="C58" s="512" t="s">
        <v>48</v>
      </c>
      <c r="D58" s="512"/>
      <c r="E58" s="62">
        <v>20.2</v>
      </c>
      <c r="F58" s="171">
        <v>1893</v>
      </c>
      <c r="G58" s="162">
        <f t="shared" ref="G58:G65" si="42">E58*F58</f>
        <v>38238.6</v>
      </c>
      <c r="H58" s="90" t="s">
        <v>5</v>
      </c>
      <c r="I58" s="169">
        <v>19</v>
      </c>
      <c r="J58" s="63">
        <v>2400</v>
      </c>
      <c r="K58" s="64">
        <f t="shared" si="1"/>
        <v>126.31578947368421</v>
      </c>
      <c r="L58" s="169">
        <v>19</v>
      </c>
      <c r="M58" s="65">
        <f t="shared" ref="M58:M65" si="43">F58/V58*60</f>
        <v>2317.9591836734703</v>
      </c>
      <c r="N58" s="64">
        <f t="shared" si="3"/>
        <v>121.99785177228792</v>
      </c>
      <c r="O58" s="66">
        <f t="shared" si="4"/>
        <v>0</v>
      </c>
      <c r="P58" s="67">
        <f t="shared" si="5"/>
        <v>-4.3179377013962892</v>
      </c>
      <c r="Q58" s="165">
        <f t="shared" si="6"/>
        <v>0.96581632653061267</v>
      </c>
      <c r="R58" s="511">
        <f>Q66</f>
        <v>0.9590032420989324</v>
      </c>
      <c r="S58" s="68">
        <v>0.125</v>
      </c>
      <c r="T58" s="68">
        <v>0.15902777777777777</v>
      </c>
      <c r="U58" s="73"/>
      <c r="V58" s="170">
        <f t="shared" ref="V58:V65" si="44">(T58-S58)*24*60</f>
        <v>48.999999999999986</v>
      </c>
      <c r="W58" s="69">
        <f>T58</f>
        <v>0.15902777777777777</v>
      </c>
      <c r="X58" s="69">
        <f>S59</f>
        <v>0.1784722222222222</v>
      </c>
      <c r="Y58" s="510"/>
      <c r="Z58" s="510"/>
      <c r="AA58" s="66">
        <f t="shared" si="8"/>
        <v>-82.040816326529693</v>
      </c>
      <c r="AB58" s="165">
        <f t="shared" si="9"/>
        <v>0.96581632653061267</v>
      </c>
      <c r="AC58" s="511">
        <f>AB66</f>
        <v>0.95900324209893217</v>
      </c>
    </row>
    <row r="59" spans="1:29" ht="15.75" customHeight="1">
      <c r="A59" s="515" t="s">
        <v>725</v>
      </c>
      <c r="B59" s="171" t="s">
        <v>16</v>
      </c>
      <c r="C59" s="512" t="s">
        <v>27</v>
      </c>
      <c r="D59" s="512"/>
      <c r="E59" s="62">
        <v>25.98</v>
      </c>
      <c r="F59" s="171">
        <v>1007</v>
      </c>
      <c r="G59" s="162">
        <f t="shared" si="42"/>
        <v>26161.86</v>
      </c>
      <c r="H59" s="90" t="s">
        <v>5</v>
      </c>
      <c r="I59" s="169">
        <v>17</v>
      </c>
      <c r="J59" s="63">
        <v>2400</v>
      </c>
      <c r="K59" s="64">
        <f t="shared" si="1"/>
        <v>141.1764705882353</v>
      </c>
      <c r="L59" s="169">
        <v>17</v>
      </c>
      <c r="M59" s="65">
        <f t="shared" si="43"/>
        <v>2323.8461538461552</v>
      </c>
      <c r="N59" s="64">
        <f t="shared" si="3"/>
        <v>136.69683257918561</v>
      </c>
      <c r="O59" s="66">
        <f t="shared" si="4"/>
        <v>0</v>
      </c>
      <c r="P59" s="67">
        <f t="shared" si="5"/>
        <v>-4.4796380090496939</v>
      </c>
      <c r="Q59" s="165">
        <f t="shared" si="6"/>
        <v>0.96826923076923133</v>
      </c>
      <c r="R59" s="511"/>
      <c r="S59" s="68">
        <v>0.1784722222222222</v>
      </c>
      <c r="T59" s="68">
        <v>0.19652777777777775</v>
      </c>
      <c r="U59" s="162">
        <f t="shared" ref="U59:U65" si="45">(S59-T58)*24*60</f>
        <v>27.999999999999979</v>
      </c>
      <c r="V59" s="170">
        <f t="shared" si="44"/>
        <v>25.999999999999986</v>
      </c>
      <c r="W59" s="69"/>
      <c r="X59" s="69"/>
      <c r="Y59" s="510"/>
      <c r="Z59" s="510"/>
      <c r="AA59" s="66">
        <f t="shared" si="8"/>
        <v>-76.153846153844825</v>
      </c>
      <c r="AB59" s="165">
        <f t="shared" si="9"/>
        <v>0.96826923076923133</v>
      </c>
      <c r="AC59" s="511"/>
    </row>
    <row r="60" spans="1:29" ht="15.75" customHeight="1">
      <c r="A60" s="515" t="s">
        <v>725</v>
      </c>
      <c r="B60" s="171" t="s">
        <v>16</v>
      </c>
      <c r="C60" s="512" t="s">
        <v>51</v>
      </c>
      <c r="D60" s="512"/>
      <c r="E60" s="62">
        <v>24.25</v>
      </c>
      <c r="F60" s="171">
        <v>2381</v>
      </c>
      <c r="G60" s="162">
        <f t="shared" si="42"/>
        <v>57739.25</v>
      </c>
      <c r="H60" s="90" t="s">
        <v>5</v>
      </c>
      <c r="I60" s="169">
        <v>17</v>
      </c>
      <c r="J60" s="63">
        <v>2400</v>
      </c>
      <c r="K60" s="64">
        <f t="shared" si="1"/>
        <v>141.1764705882353</v>
      </c>
      <c r="L60" s="169">
        <v>17</v>
      </c>
      <c r="M60" s="65">
        <f t="shared" si="43"/>
        <v>2304.1935483870961</v>
      </c>
      <c r="N60" s="64">
        <f t="shared" si="3"/>
        <v>135.54079696394683</v>
      </c>
      <c r="O60" s="66">
        <f t="shared" si="4"/>
        <v>0</v>
      </c>
      <c r="P60" s="67">
        <f t="shared" si="5"/>
        <v>-5.6356736242884722</v>
      </c>
      <c r="Q60" s="165">
        <f t="shared" si="6"/>
        <v>0.96008064516128999</v>
      </c>
      <c r="R60" s="511"/>
      <c r="S60" s="68">
        <v>0.19999999999999996</v>
      </c>
      <c r="T60" s="68">
        <v>0.24305555555555552</v>
      </c>
      <c r="U60" s="162">
        <f t="shared" si="45"/>
        <v>4.9999999999999822</v>
      </c>
      <c r="V60" s="170">
        <f t="shared" si="44"/>
        <v>62.000000000000021</v>
      </c>
      <c r="W60" s="69"/>
      <c r="X60" s="69"/>
      <c r="Y60" s="510"/>
      <c r="Z60" s="510"/>
      <c r="AA60" s="66">
        <f t="shared" si="8"/>
        <v>-95.806451612903857</v>
      </c>
      <c r="AB60" s="165">
        <f t="shared" si="9"/>
        <v>0.9600806451612901</v>
      </c>
      <c r="AC60" s="511"/>
    </row>
    <row r="61" spans="1:29" ht="15.75" customHeight="1">
      <c r="A61" s="515" t="s">
        <v>725</v>
      </c>
      <c r="B61" s="171" t="s">
        <v>16</v>
      </c>
      <c r="C61" s="512" t="s">
        <v>17</v>
      </c>
      <c r="D61" s="512"/>
      <c r="E61" s="62">
        <v>24.45</v>
      </c>
      <c r="F61" s="171">
        <v>1959</v>
      </c>
      <c r="G61" s="162">
        <f t="shared" si="42"/>
        <v>47897.549999999996</v>
      </c>
      <c r="H61" s="90" t="s">
        <v>5</v>
      </c>
      <c r="I61" s="169">
        <v>20</v>
      </c>
      <c r="J61" s="63">
        <v>2400</v>
      </c>
      <c r="K61" s="64">
        <f t="shared" si="1"/>
        <v>120</v>
      </c>
      <c r="L61" s="169">
        <v>20</v>
      </c>
      <c r="M61" s="65">
        <f t="shared" si="43"/>
        <v>2304.7058823529401</v>
      </c>
      <c r="N61" s="64">
        <f t="shared" si="3"/>
        <v>115.235294117647</v>
      </c>
      <c r="O61" s="66">
        <f t="shared" si="4"/>
        <v>0</v>
      </c>
      <c r="P61" s="67">
        <f t="shared" si="5"/>
        <v>-4.7647058823529989</v>
      </c>
      <c r="Q61" s="165">
        <f t="shared" si="6"/>
        <v>0.9602941176470583</v>
      </c>
      <c r="R61" s="511"/>
      <c r="S61" s="68">
        <v>0.2472222222222222</v>
      </c>
      <c r="T61" s="68">
        <v>0.28263888888888888</v>
      </c>
      <c r="U61" s="162">
        <f t="shared" si="45"/>
        <v>6.0000000000000187</v>
      </c>
      <c r="V61" s="170">
        <f t="shared" si="44"/>
        <v>51.000000000000021</v>
      </c>
      <c r="W61" s="69"/>
      <c r="X61" s="69"/>
      <c r="Y61" s="510"/>
      <c r="Z61" s="510"/>
      <c r="AA61" s="66">
        <f t="shared" si="8"/>
        <v>-95.29411764705992</v>
      </c>
      <c r="AB61" s="165">
        <f t="shared" si="9"/>
        <v>0.96029411764705841</v>
      </c>
      <c r="AC61" s="511"/>
    </row>
    <row r="62" spans="1:29" ht="15.75" customHeight="1">
      <c r="A62" s="515" t="s">
        <v>726</v>
      </c>
      <c r="B62" s="171" t="s">
        <v>16</v>
      </c>
      <c r="C62" s="512" t="s">
        <v>34</v>
      </c>
      <c r="D62" s="512"/>
      <c r="E62" s="62">
        <v>24.25</v>
      </c>
      <c r="F62" s="171">
        <v>3253</v>
      </c>
      <c r="G62" s="162">
        <f t="shared" si="42"/>
        <v>78885.25</v>
      </c>
      <c r="H62" s="90" t="s">
        <v>5</v>
      </c>
      <c r="I62" s="169">
        <v>13</v>
      </c>
      <c r="J62" s="63">
        <v>2400</v>
      </c>
      <c r="K62" s="64">
        <f t="shared" si="1"/>
        <v>184.61538461538461</v>
      </c>
      <c r="L62" s="169">
        <v>13</v>
      </c>
      <c r="M62" s="65">
        <f t="shared" si="43"/>
        <v>2296.2352941176468</v>
      </c>
      <c r="N62" s="64">
        <f t="shared" si="3"/>
        <v>176.63348416289591</v>
      </c>
      <c r="O62" s="66">
        <f t="shared" si="4"/>
        <v>0</v>
      </c>
      <c r="P62" s="67">
        <f t="shared" si="5"/>
        <v>-7.9819004524887021</v>
      </c>
      <c r="Q62" s="165">
        <f t="shared" si="6"/>
        <v>0.95676470588235285</v>
      </c>
      <c r="R62" s="511"/>
      <c r="S62" s="68">
        <v>0.28611111111111109</v>
      </c>
      <c r="T62" s="68">
        <v>0.34513888888888888</v>
      </c>
      <c r="U62" s="162">
        <f t="shared" si="45"/>
        <v>4.9999999999999822</v>
      </c>
      <c r="V62" s="170">
        <f t="shared" si="44"/>
        <v>85.000000000000014</v>
      </c>
      <c r="W62" s="69"/>
      <c r="X62" s="69"/>
      <c r="Y62" s="510"/>
      <c r="Z62" s="510"/>
      <c r="AA62" s="66">
        <f t="shared" si="8"/>
        <v>-103.76470588235316</v>
      </c>
      <c r="AB62" s="165">
        <f t="shared" si="9"/>
        <v>0.95676470588235285</v>
      </c>
      <c r="AC62" s="511"/>
    </row>
    <row r="63" spans="1:29" ht="15.75" customHeight="1">
      <c r="A63" s="515" t="s">
        <v>725</v>
      </c>
      <c r="B63" s="171" t="s">
        <v>16</v>
      </c>
      <c r="C63" s="512" t="s">
        <v>26</v>
      </c>
      <c r="D63" s="512"/>
      <c r="E63" s="62">
        <v>20.52</v>
      </c>
      <c r="F63" s="171">
        <v>2817</v>
      </c>
      <c r="G63" s="162">
        <f t="shared" si="42"/>
        <v>57804.84</v>
      </c>
      <c r="H63" s="90" t="s">
        <v>5</v>
      </c>
      <c r="I63" s="169">
        <v>18</v>
      </c>
      <c r="J63" s="63">
        <v>2400</v>
      </c>
      <c r="K63" s="64">
        <f t="shared" si="1"/>
        <v>133.33333333333334</v>
      </c>
      <c r="L63" s="169">
        <v>18</v>
      </c>
      <c r="M63" s="65">
        <f t="shared" si="43"/>
        <v>2284.0540540540546</v>
      </c>
      <c r="N63" s="64">
        <f t="shared" si="3"/>
        <v>126.89189189189193</v>
      </c>
      <c r="O63" s="66">
        <f t="shared" si="4"/>
        <v>0</v>
      </c>
      <c r="P63" s="67">
        <f t="shared" si="5"/>
        <v>-6.4414414414414125</v>
      </c>
      <c r="Q63" s="165">
        <f t="shared" si="6"/>
        <v>0.95168918918918943</v>
      </c>
      <c r="R63" s="511"/>
      <c r="S63" s="68">
        <v>0.35069444444444442</v>
      </c>
      <c r="T63" s="68">
        <v>0.40208333333333329</v>
      </c>
      <c r="U63" s="162">
        <f t="shared" si="45"/>
        <v>7.9999999999999716</v>
      </c>
      <c r="V63" s="170">
        <f t="shared" si="44"/>
        <v>73.999999999999972</v>
      </c>
      <c r="W63" s="69"/>
      <c r="X63" s="69"/>
      <c r="Y63" s="510"/>
      <c r="Z63" s="510"/>
      <c r="AA63" s="66">
        <f t="shared" si="8"/>
        <v>-115.94594594594537</v>
      </c>
      <c r="AB63" s="165">
        <f t="shared" si="9"/>
        <v>0.95168918918918943</v>
      </c>
      <c r="AC63" s="511"/>
    </row>
    <row r="64" spans="1:29" ht="15.75" customHeight="1">
      <c r="A64" s="515" t="s">
        <v>725</v>
      </c>
      <c r="B64" s="171" t="s">
        <v>16</v>
      </c>
      <c r="C64" s="512" t="s">
        <v>49</v>
      </c>
      <c r="D64" s="512"/>
      <c r="E64" s="62">
        <v>19.02</v>
      </c>
      <c r="F64" s="171">
        <v>4000</v>
      </c>
      <c r="G64" s="162">
        <f t="shared" si="42"/>
        <v>76080</v>
      </c>
      <c r="H64" s="90">
        <v>2</v>
      </c>
      <c r="I64" s="169">
        <v>15</v>
      </c>
      <c r="J64" s="63">
        <v>2400</v>
      </c>
      <c r="K64" s="64">
        <f t="shared" si="1"/>
        <v>160</v>
      </c>
      <c r="L64" s="169">
        <v>15</v>
      </c>
      <c r="M64" s="65">
        <f t="shared" si="43"/>
        <v>2285.7142857142853</v>
      </c>
      <c r="N64" s="64">
        <f t="shared" si="3"/>
        <v>152.38095238095235</v>
      </c>
      <c r="O64" s="66">
        <f t="shared" si="4"/>
        <v>0</v>
      </c>
      <c r="P64" s="67">
        <f t="shared" si="5"/>
        <v>-7.6190476190476488</v>
      </c>
      <c r="Q64" s="165">
        <f t="shared" si="6"/>
        <v>0.95238095238095222</v>
      </c>
      <c r="R64" s="511"/>
      <c r="S64" s="68">
        <v>0.4055555555555555</v>
      </c>
      <c r="T64" s="68">
        <v>0.47847222222222219</v>
      </c>
      <c r="U64" s="162">
        <f t="shared" si="45"/>
        <v>4.9999999999999822</v>
      </c>
      <c r="V64" s="170">
        <f t="shared" si="44"/>
        <v>105.00000000000003</v>
      </c>
      <c r="W64" s="69">
        <f>T64</f>
        <v>0.47847222222222219</v>
      </c>
      <c r="X64" s="69">
        <f>S65</f>
        <v>0.51874999999999993</v>
      </c>
      <c r="Y64" s="517"/>
      <c r="Z64" s="518"/>
      <c r="AA64" s="66">
        <f t="shared" si="8"/>
        <v>-114.28571428571468</v>
      </c>
      <c r="AB64" s="165">
        <f t="shared" si="9"/>
        <v>0.95238095238095222</v>
      </c>
      <c r="AC64" s="511"/>
    </row>
    <row r="65" spans="1:29" ht="15.75" customHeight="1">
      <c r="A65" s="515" t="s">
        <v>725</v>
      </c>
      <c r="B65" s="171" t="s">
        <v>16</v>
      </c>
      <c r="C65" s="512" t="s">
        <v>49</v>
      </c>
      <c r="D65" s="512"/>
      <c r="E65" s="62">
        <v>19.02</v>
      </c>
      <c r="F65" s="171">
        <v>3980</v>
      </c>
      <c r="G65" s="162">
        <f t="shared" si="42"/>
        <v>75699.599999999991</v>
      </c>
      <c r="H65" s="90" t="s">
        <v>5</v>
      </c>
      <c r="I65" s="169">
        <v>15</v>
      </c>
      <c r="J65" s="63">
        <v>2400</v>
      </c>
      <c r="K65" s="64">
        <f t="shared" si="1"/>
        <v>160</v>
      </c>
      <c r="L65" s="169">
        <v>15</v>
      </c>
      <c r="M65" s="65">
        <f t="shared" si="43"/>
        <v>2296.1538461538471</v>
      </c>
      <c r="N65" s="64">
        <f t="shared" si="3"/>
        <v>153.07692307692315</v>
      </c>
      <c r="O65" s="66">
        <f t="shared" si="4"/>
        <v>0</v>
      </c>
      <c r="P65" s="67">
        <f t="shared" si="5"/>
        <v>-6.9230769230768487</v>
      </c>
      <c r="Q65" s="165">
        <f t="shared" si="6"/>
        <v>0.95673076923076972</v>
      </c>
      <c r="R65" s="511"/>
      <c r="S65" s="68">
        <v>0.51874999999999993</v>
      </c>
      <c r="T65" s="68">
        <v>0.59097222222222212</v>
      </c>
      <c r="U65" s="162">
        <f t="shared" si="45"/>
        <v>57.999999999999957</v>
      </c>
      <c r="V65" s="170">
        <f t="shared" si="44"/>
        <v>103.99999999999994</v>
      </c>
      <c r="W65" s="69"/>
      <c r="X65" s="69"/>
      <c r="Y65" s="517"/>
      <c r="Z65" s="518"/>
      <c r="AA65" s="66">
        <f t="shared" si="8"/>
        <v>-103.8461538461529</v>
      </c>
      <c r="AB65" s="165">
        <f t="shared" si="9"/>
        <v>0.95673076923076961</v>
      </c>
      <c r="AC65" s="511"/>
    </row>
    <row r="66" spans="1:29" ht="16.5" customHeight="1">
      <c r="A66" s="516" t="s">
        <v>725</v>
      </c>
      <c r="B66" s="62" t="s">
        <v>712</v>
      </c>
      <c r="C66" s="508"/>
      <c r="D66" s="509"/>
      <c r="E66" s="166"/>
      <c r="F66" s="71"/>
      <c r="G66" s="64"/>
      <c r="H66" s="171"/>
      <c r="I66" s="72">
        <v>16.75</v>
      </c>
      <c r="J66" s="63">
        <v>2400</v>
      </c>
      <c r="K66" s="64">
        <f t="shared" si="1"/>
        <v>143.28358208955223</v>
      </c>
      <c r="L66" s="72">
        <v>16.75</v>
      </c>
      <c r="M66" s="65">
        <f>AVERAGE(M58:M65)</f>
        <v>2301.6077810374372</v>
      </c>
      <c r="N66" s="64">
        <f t="shared" si="3"/>
        <v>137.4094197634291</v>
      </c>
      <c r="O66" s="66">
        <f t="shared" si="4"/>
        <v>0</v>
      </c>
      <c r="P66" s="67">
        <f t="shared" si="5"/>
        <v>-5.8741623261231268</v>
      </c>
      <c r="Q66" s="165">
        <f t="shared" si="6"/>
        <v>0.9590032420989324</v>
      </c>
      <c r="R66" s="511"/>
      <c r="S66" s="68"/>
      <c r="T66" s="68"/>
      <c r="U66" s="64"/>
      <c r="V66" s="170"/>
      <c r="W66" s="64"/>
      <c r="X66" s="64"/>
      <c r="Y66" s="510"/>
      <c r="Z66" s="510"/>
      <c r="AA66" s="66">
        <f t="shared" si="8"/>
        <v>-98.392218962562765</v>
      </c>
      <c r="AB66" s="165">
        <f t="shared" si="9"/>
        <v>0.95900324209893217</v>
      </c>
      <c r="AC66" s="511"/>
    </row>
    <row r="67" spans="1:29">
      <c r="D67" s="76"/>
      <c r="E67" s="76"/>
    </row>
  </sheetData>
  <mergeCells count="182">
    <mergeCell ref="AC58:AC66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A58:A66"/>
    <mergeCell ref="C58:D58"/>
    <mergeCell ref="R58:R66"/>
    <mergeCell ref="Y58:Z58"/>
    <mergeCell ref="Y63:Z63"/>
    <mergeCell ref="C64:D64"/>
    <mergeCell ref="Y64:Z64"/>
    <mergeCell ref="A53:A57"/>
    <mergeCell ref="C53:D53"/>
    <mergeCell ref="R53:R57"/>
    <mergeCell ref="Y53:Z53"/>
    <mergeCell ref="C65:D65"/>
    <mergeCell ref="Y65:Z65"/>
    <mergeCell ref="C66:D66"/>
    <mergeCell ref="Y66:Z66"/>
    <mergeCell ref="AC53:AC57"/>
    <mergeCell ref="C54:D54"/>
    <mergeCell ref="Y54:Z54"/>
    <mergeCell ref="C55:D55"/>
    <mergeCell ref="Y55:Z55"/>
    <mergeCell ref="C56:D56"/>
    <mergeCell ref="AC48:AC52"/>
    <mergeCell ref="C49:D49"/>
    <mergeCell ref="Y49:Z49"/>
    <mergeCell ref="C50:D50"/>
    <mergeCell ref="C52:D52"/>
    <mergeCell ref="Y52:Z52"/>
    <mergeCell ref="Y56:Z56"/>
    <mergeCell ref="C57:D57"/>
    <mergeCell ref="Y57:Z57"/>
    <mergeCell ref="A48:A52"/>
    <mergeCell ref="C48:D48"/>
    <mergeCell ref="R48:R52"/>
    <mergeCell ref="Y48:Z48"/>
    <mergeCell ref="C43:D43"/>
    <mergeCell ref="Y43:Z43"/>
    <mergeCell ref="C44:D44"/>
    <mergeCell ref="Y44:Z44"/>
    <mergeCell ref="C45:D45"/>
    <mergeCell ref="Y45:Z45"/>
    <mergeCell ref="A37:A47"/>
    <mergeCell ref="C37:D37"/>
    <mergeCell ref="R37:R47"/>
    <mergeCell ref="Y37:Z37"/>
    <mergeCell ref="C46:D46"/>
    <mergeCell ref="Y46:Z46"/>
    <mergeCell ref="C47:D47"/>
    <mergeCell ref="Y47:Z47"/>
    <mergeCell ref="Y40:Z40"/>
    <mergeCell ref="C41:D41"/>
    <mergeCell ref="Y41:Z41"/>
    <mergeCell ref="C42:D42"/>
    <mergeCell ref="Y42:Z42"/>
    <mergeCell ref="AC37:AC47"/>
    <mergeCell ref="C38:D38"/>
    <mergeCell ref="Y38:Z38"/>
    <mergeCell ref="C39:D39"/>
    <mergeCell ref="Y39:Z39"/>
    <mergeCell ref="AC29:AC36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C40:D40"/>
    <mergeCell ref="Y36:Z36"/>
    <mergeCell ref="AC10:AC15"/>
    <mergeCell ref="C11:D11"/>
    <mergeCell ref="Y11:Z11"/>
    <mergeCell ref="C12:D12"/>
    <mergeCell ref="A29:A36"/>
    <mergeCell ref="C29:D29"/>
    <mergeCell ref="R29:R36"/>
    <mergeCell ref="Y29:Z29"/>
    <mergeCell ref="Y34:Z34"/>
    <mergeCell ref="C35:D35"/>
    <mergeCell ref="Y35:Z35"/>
    <mergeCell ref="C36:D36"/>
    <mergeCell ref="A16:A20"/>
    <mergeCell ref="C16:D16"/>
    <mergeCell ref="R16:R20"/>
    <mergeCell ref="Y16:Z16"/>
    <mergeCell ref="C25:D25"/>
    <mergeCell ref="Y25:Z25"/>
    <mergeCell ref="C26:D26"/>
    <mergeCell ref="Y26:Z26"/>
    <mergeCell ref="C27:D27"/>
    <mergeCell ref="Y27:Z27"/>
    <mergeCell ref="A21:A28"/>
    <mergeCell ref="C21:D21"/>
    <mergeCell ref="AC21:AC28"/>
    <mergeCell ref="C22:D22"/>
    <mergeCell ref="Y22:Z22"/>
    <mergeCell ref="C23:D23"/>
    <mergeCell ref="Y23:Z23"/>
    <mergeCell ref="C24:D24"/>
    <mergeCell ref="AC16:AC20"/>
    <mergeCell ref="C17:D17"/>
    <mergeCell ref="Y17:Z17"/>
    <mergeCell ref="C18:D18"/>
    <mergeCell ref="Y18:Z18"/>
    <mergeCell ref="C19:D19"/>
    <mergeCell ref="Y19:Z19"/>
    <mergeCell ref="C20:D20"/>
    <mergeCell ref="Y20:Z20"/>
    <mergeCell ref="Y24:Z24"/>
    <mergeCell ref="R21:R28"/>
    <mergeCell ref="Y21:Z21"/>
    <mergeCell ref="C28:D28"/>
    <mergeCell ref="Y28:Z28"/>
    <mergeCell ref="C15:D15"/>
    <mergeCell ref="Y15:Z15"/>
    <mergeCell ref="A5:A6"/>
    <mergeCell ref="C5:D5"/>
    <mergeCell ref="R5:R6"/>
    <mergeCell ref="Y5:Z5"/>
    <mergeCell ref="AC5:AC6"/>
    <mergeCell ref="C6:D6"/>
    <mergeCell ref="Y6:Z6"/>
    <mergeCell ref="Y12:Z12"/>
    <mergeCell ref="C13:D13"/>
    <mergeCell ref="A7:A9"/>
    <mergeCell ref="C7:D7"/>
    <mergeCell ref="R7:R9"/>
    <mergeCell ref="Y7:Z7"/>
    <mergeCell ref="AC7:AC9"/>
    <mergeCell ref="C8:D8"/>
    <mergeCell ref="Y8:Z8"/>
    <mergeCell ref="C9:D9"/>
    <mergeCell ref="Y9:Z9"/>
    <mergeCell ref="Y13:Z13"/>
    <mergeCell ref="A10:A15"/>
    <mergeCell ref="C10:D10"/>
    <mergeCell ref="R10:R15"/>
    <mergeCell ref="AB3:AB4"/>
    <mergeCell ref="N3:N4"/>
    <mergeCell ref="O3:O4"/>
    <mergeCell ref="P3:P4"/>
    <mergeCell ref="Q3:Q4"/>
    <mergeCell ref="R3:R4"/>
    <mergeCell ref="S3:T3"/>
    <mergeCell ref="C14:D14"/>
    <mergeCell ref="Y14:Z14"/>
    <mergeCell ref="Y10:Z10"/>
    <mergeCell ref="A3:A4"/>
    <mergeCell ref="B3:B4"/>
    <mergeCell ref="C3:D4"/>
    <mergeCell ref="E3:E4"/>
    <mergeCell ref="F3:F4"/>
    <mergeCell ref="G3:G4"/>
    <mergeCell ref="I1:K2"/>
    <mergeCell ref="L1:N2"/>
    <mergeCell ref="AC3:AC4"/>
    <mergeCell ref="H3:H4"/>
    <mergeCell ref="I3:I4"/>
    <mergeCell ref="J3:J4"/>
    <mergeCell ref="K3:K4"/>
    <mergeCell ref="O1:R2"/>
    <mergeCell ref="S1:X2"/>
    <mergeCell ref="Y1:Z2"/>
    <mergeCell ref="AA1:AC2"/>
    <mergeCell ref="L3:L4"/>
    <mergeCell ref="M3:M4"/>
    <mergeCell ref="U3:U4"/>
    <mergeCell ref="V3:V4"/>
    <mergeCell ref="W3:X3"/>
    <mergeCell ref="Y3:Z4"/>
    <mergeCell ref="AA3:AA4"/>
  </mergeCells>
  <phoneticPr fontId="3" type="noConversion"/>
  <conditionalFormatting sqref="O56:O63 O66 O5:O7 O9:O11 O47:O53 O15:O42">
    <cfRule type="cellIs" dxfId="763" priority="70" operator="greaterThan">
      <formula>0</formula>
    </cfRule>
  </conditionalFormatting>
  <conditionalFormatting sqref="P5 P56 AA56 P58:P63 P21:P27 P53 P7 P9:P11 P16:P19 P48:P51 P29:P42 AA5:AA53 AA58:AA66">
    <cfRule type="cellIs" dxfId="762" priority="74" operator="lessThan">
      <formula>0</formula>
    </cfRule>
  </conditionalFormatting>
  <conditionalFormatting sqref="AB56 Q56:Q63 Q66 Q5:Q7 Q9:Q11 Q47:Q53 Q15:Q42 AB5:AB53 AB58:AB66">
    <cfRule type="cellIs" dxfId="761" priority="71" operator="greaterThan">
      <formula>1</formula>
    </cfRule>
    <cfRule type="cellIs" dxfId="760" priority="72" operator="lessThan">
      <formula>0.8</formula>
    </cfRule>
  </conditionalFormatting>
  <conditionalFormatting sqref="AC10:AC11 R10:R11 AC56 R56:R63 R66 AC5:AC7 R5:R7 R15:R42 AC15:AC42 AC47:AC53 R47:R53">
    <cfRule type="cellIs" dxfId="759" priority="76" operator="lessThan">
      <formula>0.8</formula>
    </cfRule>
  </conditionalFormatting>
  <conditionalFormatting sqref="AC37">
    <cfRule type="cellIs" dxfId="758" priority="78" operator="lessThan">
      <formula>0.8</formula>
    </cfRule>
  </conditionalFormatting>
  <conditionalFormatting sqref="AC16:AC19">
    <cfRule type="cellIs" dxfId="757" priority="75" operator="lessThan">
      <formula>0.8</formula>
    </cfRule>
  </conditionalFormatting>
  <conditionalFormatting sqref="AC21">
    <cfRule type="cellIs" dxfId="756" priority="77" operator="lessThan">
      <formula>0.8</formula>
    </cfRule>
  </conditionalFormatting>
  <conditionalFormatting sqref="AC29:AC35">
    <cfRule type="cellIs" dxfId="755" priority="73" operator="lessThan">
      <formula>0.8</formula>
    </cfRule>
  </conditionalFormatting>
  <conditionalFormatting sqref="AA57">
    <cfRule type="cellIs" dxfId="754" priority="69" operator="lessThan">
      <formula>0</formula>
    </cfRule>
  </conditionalFormatting>
  <conditionalFormatting sqref="AB57">
    <cfRule type="cellIs" dxfId="753" priority="67" operator="greaterThan">
      <formula>1</formula>
    </cfRule>
    <cfRule type="cellIs" dxfId="752" priority="68" operator="lessThan">
      <formula>0.8</formula>
    </cfRule>
  </conditionalFormatting>
  <conditionalFormatting sqref="O12:O13">
    <cfRule type="cellIs" dxfId="751" priority="62" operator="greaterThan">
      <formula>0</formula>
    </cfRule>
  </conditionalFormatting>
  <conditionalFormatting sqref="P12:P13">
    <cfRule type="cellIs" dxfId="750" priority="65" operator="lessThan">
      <formula>0</formula>
    </cfRule>
  </conditionalFormatting>
  <conditionalFormatting sqref="Q12:Q13">
    <cfRule type="cellIs" dxfId="749" priority="63" operator="greaterThan">
      <formula>1</formula>
    </cfRule>
    <cfRule type="cellIs" dxfId="748" priority="64" operator="lessThan">
      <formula>0.8</formula>
    </cfRule>
  </conditionalFormatting>
  <conditionalFormatting sqref="R12:R13 AC12:AC13">
    <cfRule type="cellIs" dxfId="747" priority="66" operator="lessThan">
      <formula>0.8</formula>
    </cfRule>
  </conditionalFormatting>
  <conditionalFormatting sqref="O8">
    <cfRule type="cellIs" dxfId="746" priority="58" operator="greaterThan">
      <formula>0</formula>
    </cfRule>
  </conditionalFormatting>
  <conditionalFormatting sqref="P8">
    <cfRule type="cellIs" dxfId="745" priority="61" operator="lessThan">
      <formula>0</formula>
    </cfRule>
  </conditionalFormatting>
  <conditionalFormatting sqref="Q8">
    <cfRule type="cellIs" dxfId="744" priority="59" operator="greaterThan">
      <formula>1</formula>
    </cfRule>
    <cfRule type="cellIs" dxfId="743" priority="60" operator="lessThan">
      <formula>0.8</formula>
    </cfRule>
  </conditionalFormatting>
  <conditionalFormatting sqref="O55">
    <cfRule type="cellIs" dxfId="742" priority="53" operator="greaterThan">
      <formula>0</formula>
    </cfRule>
  </conditionalFormatting>
  <conditionalFormatting sqref="P55 AA55">
    <cfRule type="cellIs" dxfId="741" priority="56" operator="lessThan">
      <formula>0</formula>
    </cfRule>
  </conditionalFormatting>
  <conditionalFormatting sqref="Q55 AB55">
    <cfRule type="cellIs" dxfId="740" priority="54" operator="greaterThan">
      <formula>1</formula>
    </cfRule>
    <cfRule type="cellIs" dxfId="739" priority="55" operator="lessThan">
      <formula>0.8</formula>
    </cfRule>
  </conditionalFormatting>
  <conditionalFormatting sqref="R55 AC55">
    <cfRule type="cellIs" dxfId="738" priority="57" operator="lessThan">
      <formula>0.8</formula>
    </cfRule>
  </conditionalFormatting>
  <conditionalFormatting sqref="O64">
    <cfRule type="cellIs" dxfId="737" priority="48" operator="greaterThan">
      <formula>0</formula>
    </cfRule>
  </conditionalFormatting>
  <conditionalFormatting sqref="P64">
    <cfRule type="cellIs" dxfId="736" priority="51" operator="lessThan">
      <formula>0</formula>
    </cfRule>
  </conditionalFormatting>
  <conditionalFormatting sqref="Q64">
    <cfRule type="cellIs" dxfId="735" priority="49" operator="greaterThan">
      <formula>1</formula>
    </cfRule>
    <cfRule type="cellIs" dxfId="734" priority="50" operator="lessThan">
      <formula>0.8</formula>
    </cfRule>
  </conditionalFormatting>
  <conditionalFormatting sqref="R64">
    <cfRule type="cellIs" dxfId="733" priority="52" operator="lessThan">
      <formula>0.8</formula>
    </cfRule>
  </conditionalFormatting>
  <conditionalFormatting sqref="O14">
    <cfRule type="cellIs" dxfId="732" priority="43" operator="greaterThan">
      <formula>0</formula>
    </cfRule>
  </conditionalFormatting>
  <conditionalFormatting sqref="P14">
    <cfRule type="cellIs" dxfId="731" priority="46" operator="lessThan">
      <formula>0</formula>
    </cfRule>
  </conditionalFormatting>
  <conditionalFormatting sqref="Q14">
    <cfRule type="cellIs" dxfId="730" priority="44" operator="greaterThan">
      <formula>1</formula>
    </cfRule>
    <cfRule type="cellIs" dxfId="729" priority="45" operator="lessThan">
      <formula>0.8</formula>
    </cfRule>
  </conditionalFormatting>
  <conditionalFormatting sqref="R14 AC14">
    <cfRule type="cellIs" dxfId="728" priority="47" operator="lessThan">
      <formula>0.8</formula>
    </cfRule>
  </conditionalFormatting>
  <conditionalFormatting sqref="O43">
    <cfRule type="cellIs" dxfId="727" priority="37" operator="greaterThan">
      <formula>0</formula>
    </cfRule>
  </conditionalFormatting>
  <conditionalFormatting sqref="P43">
    <cfRule type="cellIs" dxfId="726" priority="41" operator="lessThan">
      <formula>0</formula>
    </cfRule>
  </conditionalFormatting>
  <conditionalFormatting sqref="Q43">
    <cfRule type="cellIs" dxfId="725" priority="38" operator="greaterThan">
      <formula>1</formula>
    </cfRule>
    <cfRule type="cellIs" dxfId="724" priority="39" operator="lessThan">
      <formula>0.8</formula>
    </cfRule>
  </conditionalFormatting>
  <conditionalFormatting sqref="R43 AC43">
    <cfRule type="cellIs" dxfId="723" priority="42" operator="lessThan">
      <formula>0.8</formula>
    </cfRule>
  </conditionalFormatting>
  <conditionalFormatting sqref="AC43">
    <cfRule type="cellIs" dxfId="722" priority="40" operator="lessThan">
      <formula>0.8</formula>
    </cfRule>
  </conditionalFormatting>
  <conditionalFormatting sqref="O44">
    <cfRule type="cellIs" dxfId="721" priority="31" operator="greaterThan">
      <formula>0</formula>
    </cfRule>
  </conditionalFormatting>
  <conditionalFormatting sqref="P44">
    <cfRule type="cellIs" dxfId="720" priority="35" operator="lessThan">
      <formula>0</formula>
    </cfRule>
  </conditionalFormatting>
  <conditionalFormatting sqref="Q44">
    <cfRule type="cellIs" dxfId="719" priority="32" operator="greaterThan">
      <formula>1</formula>
    </cfRule>
    <cfRule type="cellIs" dxfId="718" priority="33" operator="lessThan">
      <formula>0.8</formula>
    </cfRule>
  </conditionalFormatting>
  <conditionalFormatting sqref="R44 AC44">
    <cfRule type="cellIs" dxfId="717" priority="36" operator="lessThan">
      <formula>0.8</formula>
    </cfRule>
  </conditionalFormatting>
  <conditionalFormatting sqref="AC44">
    <cfRule type="cellIs" dxfId="716" priority="34" operator="lessThan">
      <formula>0.8</formula>
    </cfRule>
  </conditionalFormatting>
  <conditionalFormatting sqref="O45">
    <cfRule type="cellIs" dxfId="715" priority="25" operator="greaterThan">
      <formula>0</formula>
    </cfRule>
  </conditionalFormatting>
  <conditionalFormatting sqref="P45">
    <cfRule type="cellIs" dxfId="714" priority="29" operator="lessThan">
      <formula>0</formula>
    </cfRule>
  </conditionalFormatting>
  <conditionalFormatting sqref="Q45">
    <cfRule type="cellIs" dxfId="713" priority="26" operator="greaterThan">
      <formula>1</formula>
    </cfRule>
    <cfRule type="cellIs" dxfId="712" priority="27" operator="lessThan">
      <formula>0.8</formula>
    </cfRule>
  </conditionalFormatting>
  <conditionalFormatting sqref="R45 AC45">
    <cfRule type="cellIs" dxfId="711" priority="30" operator="lessThan">
      <formula>0.8</formula>
    </cfRule>
  </conditionalFormatting>
  <conditionalFormatting sqref="AC45">
    <cfRule type="cellIs" dxfId="710" priority="28" operator="lessThan">
      <formula>0.8</formula>
    </cfRule>
  </conditionalFormatting>
  <conditionalFormatting sqref="O46">
    <cfRule type="cellIs" dxfId="709" priority="19" operator="greaterThan">
      <formula>0</formula>
    </cfRule>
  </conditionalFormatting>
  <conditionalFormatting sqref="P46">
    <cfRule type="cellIs" dxfId="708" priority="23" operator="lessThan">
      <formula>0</formula>
    </cfRule>
  </conditionalFormatting>
  <conditionalFormatting sqref="Q46">
    <cfRule type="cellIs" dxfId="707" priority="20" operator="greaterThan">
      <formula>1</formula>
    </cfRule>
    <cfRule type="cellIs" dxfId="706" priority="21" operator="lessThan">
      <formula>0.8</formula>
    </cfRule>
  </conditionalFormatting>
  <conditionalFormatting sqref="R46 AC46">
    <cfRule type="cellIs" dxfId="705" priority="24" operator="lessThan">
      <formula>0.8</formula>
    </cfRule>
  </conditionalFormatting>
  <conditionalFormatting sqref="AC46">
    <cfRule type="cellIs" dxfId="704" priority="22" operator="lessThan">
      <formula>0.8</formula>
    </cfRule>
  </conditionalFormatting>
  <conditionalFormatting sqref="O54">
    <cfRule type="cellIs" dxfId="703" priority="14" operator="greaterThan">
      <formula>0</formula>
    </cfRule>
  </conditionalFormatting>
  <conditionalFormatting sqref="P54 AA54">
    <cfRule type="cellIs" dxfId="702" priority="17" operator="lessThan">
      <formula>0</formula>
    </cfRule>
  </conditionalFormatting>
  <conditionalFormatting sqref="Q54 AB54">
    <cfRule type="cellIs" dxfId="701" priority="15" operator="greaterThan">
      <formula>1</formula>
    </cfRule>
    <cfRule type="cellIs" dxfId="700" priority="16" operator="lessThan">
      <formula>0.8</formula>
    </cfRule>
  </conditionalFormatting>
  <conditionalFormatting sqref="R54 AC54">
    <cfRule type="cellIs" dxfId="699" priority="18" operator="lessThan">
      <formula>0.8</formula>
    </cfRule>
  </conditionalFormatting>
  <conditionalFormatting sqref="P6">
    <cfRule type="cellIs" dxfId="698" priority="13" operator="lessThan">
      <formula>0</formula>
    </cfRule>
  </conditionalFormatting>
  <conditionalFormatting sqref="P15">
    <cfRule type="cellIs" dxfId="697" priority="12" operator="lessThan">
      <formula>0</formula>
    </cfRule>
  </conditionalFormatting>
  <conditionalFormatting sqref="P20">
    <cfRule type="cellIs" dxfId="696" priority="11" operator="lessThan">
      <formula>0</formula>
    </cfRule>
  </conditionalFormatting>
  <conditionalFormatting sqref="P28">
    <cfRule type="cellIs" dxfId="695" priority="10" operator="lessThan">
      <formula>0</formula>
    </cfRule>
  </conditionalFormatting>
  <conditionalFormatting sqref="P47">
    <cfRule type="cellIs" dxfId="694" priority="9" operator="lessThan">
      <formula>0</formula>
    </cfRule>
  </conditionalFormatting>
  <conditionalFormatting sqref="P52">
    <cfRule type="cellIs" dxfId="693" priority="8" operator="lessThan">
      <formula>0</formula>
    </cfRule>
  </conditionalFormatting>
  <conditionalFormatting sqref="P57">
    <cfRule type="cellIs" dxfId="692" priority="7" operator="lessThan">
      <formula>0</formula>
    </cfRule>
  </conditionalFormatting>
  <conditionalFormatting sqref="P66">
    <cfRule type="cellIs" dxfId="691" priority="6" operator="lessThan">
      <formula>0</formula>
    </cfRule>
  </conditionalFormatting>
  <conditionalFormatting sqref="O65">
    <cfRule type="cellIs" dxfId="690" priority="1" operator="greaterThan">
      <formula>0</formula>
    </cfRule>
  </conditionalFormatting>
  <conditionalFormatting sqref="P65">
    <cfRule type="cellIs" dxfId="689" priority="4" operator="lessThan">
      <formula>0</formula>
    </cfRule>
  </conditionalFormatting>
  <conditionalFormatting sqref="Q65">
    <cfRule type="cellIs" dxfId="688" priority="2" operator="greaterThan">
      <formula>1</formula>
    </cfRule>
    <cfRule type="cellIs" dxfId="687" priority="3" operator="lessThan">
      <formula>0.8</formula>
    </cfRule>
  </conditionalFormatting>
  <conditionalFormatting sqref="R65">
    <cfRule type="cellIs" dxfId="686" priority="5" operator="lessThan">
      <formula>0.8</formula>
    </cfRule>
  </conditionalFormatting>
  <dataValidations count="1">
    <dataValidation type="list" allowBlank="1" showInputMessage="1" showErrorMessage="1" sqref="Z6 Y5:Z5 Y6:Y56 Z8:Z53 Y57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X62" sqref="X62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576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577</v>
      </c>
      <c r="C3" s="497" t="str">
        <f>TEXT('1107 4度C'!A2,"yyyy.mm.ddaaaa")</f>
        <v>2025.11.07星期五</v>
      </c>
      <c r="D3" s="498"/>
      <c r="E3" s="4" t="s">
        <v>347</v>
      </c>
      <c r="F3" s="499">
        <f>'1107 4度C'!D1</f>
        <v>142911</v>
      </c>
      <c r="G3" s="500"/>
      <c r="H3" s="4" t="s">
        <v>578</v>
      </c>
      <c r="I3" s="501">
        <f>'1107 4度C'!F1</f>
        <v>4657499.8499999996</v>
      </c>
      <c r="J3" s="502"/>
      <c r="K3" s="5"/>
      <c r="L3" s="6"/>
      <c r="M3" s="7"/>
      <c r="N3" s="7"/>
    </row>
    <row r="4" spans="2:17" ht="28.5" customHeight="1">
      <c r="B4" s="503" t="s">
        <v>579</v>
      </c>
      <c r="C4" s="485" t="s">
        <v>580</v>
      </c>
      <c r="D4" s="486"/>
      <c r="E4" s="506" t="s">
        <v>581</v>
      </c>
      <c r="F4" s="507"/>
      <c r="G4" s="506" t="s">
        <v>582</v>
      </c>
      <c r="H4" s="507"/>
      <c r="I4" s="506" t="s">
        <v>583</v>
      </c>
      <c r="J4" s="507"/>
      <c r="L4" s="7"/>
      <c r="M4" s="7"/>
      <c r="N4" s="7"/>
    </row>
    <row r="5" spans="2:17" ht="28.5" customHeight="1">
      <c r="B5" s="504"/>
      <c r="C5" s="485" t="s">
        <v>584</v>
      </c>
      <c r="D5" s="486"/>
      <c r="E5" s="485" t="s">
        <v>585</v>
      </c>
      <c r="F5" s="486"/>
      <c r="G5" s="487" t="s">
        <v>586</v>
      </c>
      <c r="H5" s="488"/>
      <c r="I5" s="489" t="s">
        <v>587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151.68090491669258</v>
      </c>
      <c r="F6" s="492">
        <f>AVERAGE(D27:O27,D13:J13)</f>
        <v>156.2068096698078</v>
      </c>
      <c r="G6" s="493">
        <f>AVERAGE(D13:J13)</f>
        <v>156.2068096698078</v>
      </c>
      <c r="H6" s="494"/>
      <c r="I6" s="493">
        <f>AVERAGE(K13:M13)</f>
        <v>141.1204604927571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145.19821529413676</v>
      </c>
      <c r="F7" s="478">
        <f>AVERAGE(D28:O28,D14:J14)</f>
        <v>149.46279711020034</v>
      </c>
      <c r="G7" s="479">
        <f>AVERAGE(D14:J14)</f>
        <v>149.46279711020034</v>
      </c>
      <c r="H7" s="480"/>
      <c r="I7" s="479">
        <f>AVERAGE(K14:M14)</f>
        <v>135.24752438998837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0.95727073733887114</v>
      </c>
      <c r="F8" s="482">
        <f>AVERAGE(D15:J15,D29:O29)</f>
        <v>0.95679946563895213</v>
      </c>
      <c r="G8" s="483">
        <f>AVERAGE(D15:J15)</f>
        <v>0.95679946563895213</v>
      </c>
      <c r="H8" s="484"/>
      <c r="I8" s="483">
        <f>AVERAGE(K15:M15)</f>
        <v>0.9583703713053483</v>
      </c>
      <c r="J8" s="484"/>
      <c r="K8" s="8" t="s">
        <v>588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589</v>
      </c>
      <c r="C10" s="459"/>
      <c r="D10" s="460" t="s">
        <v>590</v>
      </c>
      <c r="E10" s="461"/>
      <c r="F10" s="461"/>
      <c r="G10" s="461"/>
      <c r="H10" s="461"/>
      <c r="I10" s="461"/>
      <c r="J10" s="462"/>
      <c r="K10" s="463" t="s">
        <v>591</v>
      </c>
      <c r="L10" s="464"/>
      <c r="M10" s="465"/>
      <c r="P10" s="11"/>
      <c r="Q10" s="11"/>
    </row>
    <row r="11" spans="2:17" ht="17.25" customHeight="1">
      <c r="B11" s="466" t="s">
        <v>592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593</v>
      </c>
      <c r="C13" s="18" t="s">
        <v>594</v>
      </c>
      <c r="D13" s="19">
        <f>SUMIFS('1107 4度C'!$K:$K,'1107 4度C'!$A:$A,"新豐6線",'1107 4度C'!$B:$B,"平均")</f>
        <v>117.64705882352941</v>
      </c>
      <c r="E13" s="20">
        <f>SUMIFS('1107 4度C'!$K:$K,'1107 4度C'!$A:$A,"新豐2線",'1107 4度C'!$B:$B,"平均")</f>
        <v>81.081081081081081</v>
      </c>
      <c r="F13" s="21">
        <f>SUMIFS('1107 4度C'!$K:$K,'1107 4度C'!$A:$A,"新豐5線",'1107 4度C'!$B:$B,"平均")</f>
        <v>91.397849462365585</v>
      </c>
      <c r="G13" s="21">
        <f>SUMIFS('1107 4度C'!$K:$K,'1107 4度C'!$A:$A,"新豐7線",'1107 4度C'!$B:$B,"平均")</f>
        <v>121.21212121212122</v>
      </c>
      <c r="H13" s="21">
        <f>SUMIFS('1107 4度C'!$K:$K,'1107 4度C'!$A:$A,"新豐3線",'1107 4度C'!$B:$B,"平均")</f>
        <v>269.23076923076923</v>
      </c>
      <c r="I13" s="21">
        <f>SUMIFS('1107 4度C'!$K:$K,'1107 4度C'!$A:$A,"新豐1線",'1107 4度C'!$B:$B,"平均")</f>
        <v>121.21212121212122</v>
      </c>
      <c r="J13" s="22">
        <f>SUMIFS('1107 4度C'!$K:$K,'1107 4度C'!$A:$A,"新豐10線",'1107 4度C'!$B:$B,"平均")</f>
        <v>291.66666666666669</v>
      </c>
      <c r="K13" s="23">
        <f>SUMIFS('1107 4度C'!$K:$K,'1107 4度C'!$A:$A,"新豐8線",'1107 4度C'!$B:$B,"平均")</f>
        <v>137.70491803278691</v>
      </c>
      <c r="L13" s="24">
        <f>SUMIFS('1107 4度C'!$K:$K,'1107 4度C'!$A:$A,"新豐9線",'1107 4度C'!$B:$B,"平均")</f>
        <v>142.37288135593221</v>
      </c>
      <c r="M13" s="22">
        <f>SUMIFS('1107 4度C'!$K:$K,'1107 4度C'!$A:$A,"新豐4線",'1107 4度C'!$B:$B,"平均")</f>
        <v>143.28358208955223</v>
      </c>
    </row>
    <row r="14" spans="2:17" ht="39.6" customHeight="1">
      <c r="B14" s="471"/>
      <c r="C14" s="25" t="s">
        <v>595</v>
      </c>
      <c r="D14" s="26">
        <f>SUMIFS('1107 4度C'!$N:$N,'1107 4度C'!$A:$A,"新豐6線",'1107 4度C'!$B:$B,"平均")</f>
        <v>112.58823529411775</v>
      </c>
      <c r="E14" s="27">
        <f>SUMIFS('1107 4度C'!$N:$N,'1107 4度C'!$A:$A,"新豐2線",'1107 4度C'!$B:$B,"平均")</f>
        <v>77.231346414908046</v>
      </c>
      <c r="F14" s="27">
        <f>SUMIFS('1107 4度C'!$N:$N,'1107 4度C'!$A:$A,"新豐5線",'1107 4度C'!$B:$B,"平均")</f>
        <v>87.719528349739434</v>
      </c>
      <c r="G14" s="27">
        <f>SUMIFS('1107 4度C'!$N:$N,'1107 4度C'!$A:$A,"新豐7線",'1107 4度C'!$B:$B,"平均")</f>
        <v>115.6577143616617</v>
      </c>
      <c r="H14" s="27">
        <f>SUMIFS('1107 4度C'!$N:$N,'1107 4度C'!$A:$A,"新豐3線",'1107 4度C'!$B:$B,"平均")</f>
        <v>258.39638611037424</v>
      </c>
      <c r="I14" s="27">
        <f>SUMIFS('1107 4度C'!$N:$N,'1107 4度C'!$A:$A,"新豐1線",'1107 4度C'!$B:$B,"平均")</f>
        <v>116.42069512057063</v>
      </c>
      <c r="J14" s="28">
        <f>SUMIFS('1107 4度C'!$N:$N,'1107 4度C'!$A:$A,"新豐10線",'1107 4度C'!$B:$B,"平均")</f>
        <v>278.22567412003053</v>
      </c>
      <c r="K14" s="29">
        <f>SUMIFS('1107 4度C'!$N:$N,'1107 4度C'!$A:$A,"新豐8線",'1107 4度C'!$B:$B,"平均")</f>
        <v>131.83646081279809</v>
      </c>
      <c r="L14" s="30">
        <f>SUMIFS('1107 4度C'!$N:$N,'1107 4度C'!$A:$A,"新豐9線",'1107 4度C'!$B:$B,"平均")</f>
        <v>136.43576100048293</v>
      </c>
      <c r="M14" s="28">
        <f>SUMIFS('1107 4度C'!$N:$N,'1107 4度C'!$A:$A,"新豐4線",'1107 4度C'!$B:$B,"平均")</f>
        <v>137.47035135668409</v>
      </c>
    </row>
    <row r="15" spans="2:17" ht="40.15" customHeight="1">
      <c r="B15" s="472"/>
      <c r="C15" s="31" t="s">
        <v>596</v>
      </c>
      <c r="D15" s="32">
        <f t="shared" ref="D15:M15" si="0">D14/D13</f>
        <v>0.95700000000000096</v>
      </c>
      <c r="E15" s="33">
        <f t="shared" si="0"/>
        <v>0.95251993911719923</v>
      </c>
      <c r="F15" s="33">
        <f t="shared" si="0"/>
        <v>0.95975483959126684</v>
      </c>
      <c r="G15" s="33">
        <f t="shared" si="0"/>
        <v>0.95417614348370905</v>
      </c>
      <c r="H15" s="33">
        <f t="shared" si="0"/>
        <v>0.95975800555281865</v>
      </c>
      <c r="I15" s="33">
        <f t="shared" si="0"/>
        <v>0.96047073474470768</v>
      </c>
      <c r="J15" s="34">
        <f t="shared" si="0"/>
        <v>0.95391659698296172</v>
      </c>
      <c r="K15" s="32">
        <f t="shared" si="0"/>
        <v>0.95738382256912891</v>
      </c>
      <c r="L15" s="33">
        <f t="shared" si="0"/>
        <v>0.95829879750339197</v>
      </c>
      <c r="M15" s="34">
        <f t="shared" si="0"/>
        <v>0.95942849384352447</v>
      </c>
    </row>
    <row r="16" spans="2:17" ht="17.25" customHeight="1">
      <c r="B16" s="473" t="s">
        <v>597</v>
      </c>
      <c r="C16" s="35" t="s">
        <v>598</v>
      </c>
      <c r="D16" s="49">
        <f>VLOOKUP("新豐6線",'1107 4度C'!$A:$T,19,0)</f>
        <v>0.70833333333333337</v>
      </c>
      <c r="E16" s="50">
        <f>VLOOKUP("新豐2線",'1107 4度C'!$A:$T,19,0)</f>
        <v>0.20833333333333334</v>
      </c>
      <c r="F16" s="50">
        <f>VLOOKUP("新豐5線",'1107 4度C'!$A:$T,19,0)</f>
        <v>0.125</v>
      </c>
      <c r="G16" s="50">
        <f>VLOOKUP("新豐7線",'1107 4度C'!$A:$T,19,0)</f>
        <v>0.20833333333333334</v>
      </c>
      <c r="H16" s="50">
        <f>VLOOKUP("新豐3線",'1107 4度C'!$A:$T,19,0)</f>
        <v>0.125</v>
      </c>
      <c r="I16" s="50">
        <f>VLOOKUP("新豐1線",'1107 4度C'!$A:$T,19,0)</f>
        <v>0.20833333333333334</v>
      </c>
      <c r="J16" s="51">
        <f>VLOOKUP("新豐10線",'1107 4度C'!$A:$T,19,0)</f>
        <v>0.20833333333333334</v>
      </c>
      <c r="K16" s="36">
        <f>VLOOKUP("新豐8線",'1107 4度C'!$A:$T,19,0)</f>
        <v>0.125</v>
      </c>
      <c r="L16" s="37">
        <f>VLOOKUP("新豐9線",'1107 4度C'!$A:$T,19,0)</f>
        <v>0.125</v>
      </c>
      <c r="M16" s="38">
        <f>VLOOKUP("新豐4線",'1107 4度C'!$A:$T,19,0)</f>
        <v>0.125</v>
      </c>
    </row>
    <row r="17" spans="2:13" ht="17.25" customHeight="1">
      <c r="B17" s="474"/>
      <c r="C17" s="35" t="s">
        <v>599</v>
      </c>
      <c r="D17" s="36">
        <f>LOOKUP(2,1/(('1107 4度C'!$A:$A="新豐6線")*('1107 4度C'!$T:$T&lt;&gt;"")),'1107 4度C'!$T:$T)</f>
        <v>0.75</v>
      </c>
      <c r="E17" s="50">
        <f>LOOKUP(2,1/(('1107 4度C'!$A:$A="新豐2線")*('1107 4度C'!$T:$T&lt;&gt;"")),'1107 4度C'!$T:$T)</f>
        <v>0.41944444444444445</v>
      </c>
      <c r="F17" s="50">
        <f>LOOKUP(2,1/(('1107 4度C'!$A:$A="新豐5線")*('1107 4度C'!$T:$T&lt;&gt;"")),'1107 4度C'!$T:$T)</f>
        <v>0.84166666666666667</v>
      </c>
      <c r="G17" s="50">
        <f>LOOKUP(2,1/(('1107 4度C'!$A:$A="新豐7線")*('1107 4度C'!$T:$T&lt;&gt;"")),'1107 4度C'!$T:$T)</f>
        <v>0.76111111111111118</v>
      </c>
      <c r="H17" s="50">
        <f>LOOKUP(2,1/(('1107 4度C'!$A:$A="新豐3線")*('1107 4度C'!$T:$T&lt;&gt;"")),'1107 4度C'!$T:$T)</f>
        <v>0.65555555555555545</v>
      </c>
      <c r="I17" s="50">
        <f>LOOKUP(2,1/(('1107 4度C'!$A:$A="新豐1線")*('1107 4度C'!$T:$T&lt;&gt;"")),'1107 4度C'!$T:$T)</f>
        <v>0.80069444444444449</v>
      </c>
      <c r="J17" s="51">
        <f>LOOKUP(2,1/(('1107 4度C'!$A:$A="新豐10線")*('1107 4度C'!$T:$T&lt;&gt;"")),'1107 4度C'!$T:$T)</f>
        <v>0.43055555555555552</v>
      </c>
      <c r="K17" s="49">
        <f>LOOKUP(2,1/(('1107 4度C'!$A:$A="新豐8線")*('1107 4度C'!$T:$T&lt;&gt;"")),'1107 4度C'!$T:$T)</f>
        <v>0.61874999999999991</v>
      </c>
      <c r="L17" s="50">
        <f>LOOKUP(2,1/(('1107 4度C'!$A:$A="新豐9線")*('1107 4度C'!$T:$T&lt;&gt;"")),'1107 4度C'!$T:$T)</f>
        <v>0.61111111111111105</v>
      </c>
      <c r="M17" s="51">
        <f>LOOKUP(2,1/(('1107 4度C'!$A:$A="新豐4線")*('1107 4度C'!$T:$T&lt;&gt;"")),'1107 4度C'!$T:$T)</f>
        <v>0.59305555555555545</v>
      </c>
    </row>
    <row r="18" spans="2:13" ht="17.25" customHeight="1">
      <c r="B18" s="452" t="s">
        <v>600</v>
      </c>
      <c r="C18" s="453"/>
      <c r="D18" s="39">
        <f>SUMIFS('1107 4度C'!$I:$I,'1107 4度C'!$A:$A,"新豐6線",'1107 4度C'!$B:$B,"平均")</f>
        <v>17</v>
      </c>
      <c r="E18" s="40">
        <f>SUMIFS('1107 4度C'!$I:$I,'1107 4度C'!$A:$A,"新豐2線",'1107 4度C'!$B:$B,"平均")</f>
        <v>18.5</v>
      </c>
      <c r="F18" s="40">
        <f>SUMIFS('1107 4度C'!$I:$I,'1107 4度C'!$A:$A,"新豐5線",'1107 4度C'!$B:$B,"平均")</f>
        <v>18.600000000000001</v>
      </c>
      <c r="G18" s="40">
        <f>SUMIFS('1107 4度C'!$I:$I,'1107 4度C'!$A:$A,"新豐7線",'1107 4度C'!$B:$B,"平均")</f>
        <v>16.5</v>
      </c>
      <c r="H18" s="40">
        <f>SUMIFS('1107 4度C'!$I:$I,'1107 4度C'!$A:$A,"新豐3線",'1107 4度C'!$B:$B,"平均")</f>
        <v>10.4</v>
      </c>
      <c r="I18" s="40">
        <f>SUMIFS('1107 4度C'!$I:$I,'1107 4度C'!$A:$A,"新豐1線",'1107 4度C'!$B:$B,"平均")</f>
        <v>16.5</v>
      </c>
      <c r="J18" s="41">
        <f>SUMIFS('1107 4度C'!$I:$I,'1107 4度C'!$A:$A,"新豐10線",'1107 4度C'!$B:$B,"平均")</f>
        <v>9</v>
      </c>
      <c r="K18" s="39">
        <f>SUMIFS('1107 4度C'!$I:$I,'1107 4度C'!$A:$A,"新豐8線",'1107 4度C'!$B:$B,"平均")</f>
        <v>17.428571428571427</v>
      </c>
      <c r="L18" s="40">
        <f>SUMIFS('1107 4度C'!$I:$I,'1107 4度C'!$A:$A,"新豐9線",'1107 4度C'!$B:$B,"平均")</f>
        <v>16.857142857142858</v>
      </c>
      <c r="M18" s="41">
        <f>SUMIFS('1107 4度C'!$I:$I,'1107 4度C'!$A:$A,"新豐4線",'1107 4度C'!$B:$B,"平均")</f>
        <v>16.75</v>
      </c>
    </row>
    <row r="19" spans="2:13" ht="17.25" customHeight="1">
      <c r="B19" s="452" t="s">
        <v>601</v>
      </c>
      <c r="C19" s="453"/>
      <c r="D19" s="42" t="s">
        <v>65</v>
      </c>
      <c r="E19" s="43" t="s">
        <v>66</v>
      </c>
      <c r="F19" s="43" t="s">
        <v>602</v>
      </c>
      <c r="G19" s="43" t="s">
        <v>602</v>
      </c>
      <c r="H19" s="43" t="s">
        <v>67</v>
      </c>
      <c r="I19" s="43" t="s">
        <v>65</v>
      </c>
      <c r="J19" s="44" t="s">
        <v>67</v>
      </c>
      <c r="K19" s="42" t="s">
        <v>603</v>
      </c>
      <c r="L19" s="43" t="s">
        <v>604</v>
      </c>
      <c r="M19" s="44" t="s">
        <v>449</v>
      </c>
    </row>
    <row r="20" spans="2:13" ht="17.25" customHeight="1">
      <c r="B20" s="452" t="s">
        <v>195</v>
      </c>
      <c r="C20" s="453"/>
      <c r="D20" s="42"/>
      <c r="E20" s="43"/>
      <c r="F20" s="43" t="s">
        <v>605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606</v>
      </c>
      <c r="C21" s="455"/>
      <c r="D21" s="45"/>
      <c r="E21" s="46" t="s">
        <v>607</v>
      </c>
      <c r="F21" s="456" t="s">
        <v>608</v>
      </c>
      <c r="G21" s="457"/>
      <c r="H21" s="46" t="s">
        <v>609</v>
      </c>
      <c r="I21" s="46" t="s">
        <v>610</v>
      </c>
      <c r="J21" s="47" t="s">
        <v>609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8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7"/>
  <sheetViews>
    <sheetView topLeftCell="L1" zoomScale="80" zoomScaleNormal="80" workbookViewId="0">
      <pane ySplit="4" topLeftCell="A44" activePane="bottomLeft" state="frozen"/>
      <selection activeCell="B6" sqref="B6"/>
      <selection pane="bottomLeft" activeCell="F1" sqref="F1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611</v>
      </c>
      <c r="B1" s="52"/>
      <c r="C1" s="53" t="s">
        <v>612</v>
      </c>
      <c r="D1" s="54">
        <f>SUM(F5:F66)</f>
        <v>142911</v>
      </c>
      <c r="E1" s="147" t="s">
        <v>613</v>
      </c>
      <c r="F1" s="52">
        <f>SUM(G5:G66)</f>
        <v>4657499.8499999996</v>
      </c>
      <c r="G1" s="52" t="s">
        <v>614</v>
      </c>
      <c r="H1" s="55">
        <f>L6+L9+L47+L52+L15+L57+L28+L36+L20+L66</f>
        <v>157.53571428571428</v>
      </c>
      <c r="I1" s="556" t="s">
        <v>615</v>
      </c>
      <c r="J1" s="556"/>
      <c r="K1" s="556"/>
      <c r="L1" s="556" t="s">
        <v>616</v>
      </c>
      <c r="M1" s="556"/>
      <c r="N1" s="556"/>
      <c r="O1" s="556" t="s">
        <v>617</v>
      </c>
      <c r="P1" s="556"/>
      <c r="Q1" s="556"/>
      <c r="R1" s="556"/>
      <c r="S1" s="556" t="s">
        <v>618</v>
      </c>
      <c r="T1" s="556"/>
      <c r="U1" s="556"/>
      <c r="V1" s="556"/>
      <c r="W1" s="556"/>
      <c r="X1" s="556"/>
      <c r="Y1" s="556" t="s">
        <v>619</v>
      </c>
      <c r="Z1" s="556"/>
      <c r="AA1" s="556" t="s">
        <v>620</v>
      </c>
      <c r="AB1" s="557"/>
      <c r="AC1" s="557"/>
    </row>
    <row r="2" spans="1:29" ht="26.25" customHeight="1">
      <c r="A2" s="57">
        <v>45968</v>
      </c>
      <c r="B2" s="58" t="s">
        <v>621</v>
      </c>
      <c r="C2" s="53" t="s">
        <v>593</v>
      </c>
      <c r="D2" s="59">
        <f>AVERAGE(N6,N9,N47,N52,N15,N57,N20,N28,N36,N66)</f>
        <v>145.19821529413676</v>
      </c>
      <c r="E2" s="60" t="s">
        <v>0</v>
      </c>
      <c r="F2" s="61">
        <f>F1/D1</f>
        <v>32.590212439910154</v>
      </c>
      <c r="G2" s="52" t="s">
        <v>622</v>
      </c>
      <c r="H2" s="156">
        <f>COUNT(H5:H66)</f>
        <v>8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623</v>
      </c>
      <c r="B3" s="510" t="s">
        <v>624</v>
      </c>
      <c r="C3" s="510" t="s">
        <v>625</v>
      </c>
      <c r="D3" s="510"/>
      <c r="E3" s="554" t="s">
        <v>626</v>
      </c>
      <c r="F3" s="510" t="s">
        <v>627</v>
      </c>
      <c r="G3" s="554" t="s">
        <v>628</v>
      </c>
      <c r="H3" s="547" t="s">
        <v>629</v>
      </c>
      <c r="I3" s="545" t="s">
        <v>630</v>
      </c>
      <c r="J3" s="550" t="s">
        <v>631</v>
      </c>
      <c r="K3" s="552" t="s">
        <v>593</v>
      </c>
      <c r="L3" s="545" t="s">
        <v>630</v>
      </c>
      <c r="M3" s="550" t="s">
        <v>631</v>
      </c>
      <c r="N3" s="552" t="s">
        <v>593</v>
      </c>
      <c r="O3" s="545" t="s">
        <v>630</v>
      </c>
      <c r="P3" s="552" t="s">
        <v>593</v>
      </c>
      <c r="Q3" s="551" t="s">
        <v>632</v>
      </c>
      <c r="R3" s="523" t="s">
        <v>633</v>
      </c>
      <c r="S3" s="553" t="s">
        <v>1</v>
      </c>
      <c r="T3" s="553"/>
      <c r="U3" s="547" t="s">
        <v>2</v>
      </c>
      <c r="V3" s="547" t="s">
        <v>634</v>
      </c>
      <c r="W3" s="510" t="s">
        <v>635</v>
      </c>
      <c r="X3" s="510"/>
      <c r="Y3" s="548" t="s">
        <v>636</v>
      </c>
      <c r="Z3" s="549"/>
      <c r="AA3" s="550" t="s">
        <v>631</v>
      </c>
      <c r="AB3" s="551" t="s">
        <v>637</v>
      </c>
      <c r="AC3" s="523" t="s">
        <v>638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57" t="s">
        <v>3</v>
      </c>
      <c r="T4" s="157" t="s">
        <v>4</v>
      </c>
      <c r="U4" s="547"/>
      <c r="V4" s="547"/>
      <c r="W4" s="147" t="s">
        <v>639</v>
      </c>
      <c r="X4" s="147" t="s">
        <v>640</v>
      </c>
      <c r="Y4" s="549"/>
      <c r="Z4" s="549"/>
      <c r="AA4" s="550"/>
      <c r="AB4" s="551"/>
      <c r="AC4" s="523"/>
    </row>
    <row r="5" spans="1:29">
      <c r="A5" s="544" t="s">
        <v>641</v>
      </c>
      <c r="B5" s="62" t="s">
        <v>6</v>
      </c>
      <c r="C5" s="546" t="s">
        <v>9</v>
      </c>
      <c r="D5" s="546"/>
      <c r="E5" s="62">
        <v>50.67</v>
      </c>
      <c r="F5" s="157">
        <v>1914</v>
      </c>
      <c r="G5" s="147">
        <f t="shared" ref="G5" si="0">E5*F5</f>
        <v>96982.38</v>
      </c>
      <c r="H5" s="90" t="s">
        <v>5</v>
      </c>
      <c r="I5" s="154">
        <v>17</v>
      </c>
      <c r="J5" s="63">
        <v>2000</v>
      </c>
      <c r="K5" s="64">
        <f t="shared" ref="K5:K66" si="1">J5/I5</f>
        <v>117.64705882352941</v>
      </c>
      <c r="L5" s="154">
        <v>17</v>
      </c>
      <c r="M5" s="65">
        <f t="shared" ref="M5" si="2">F5/V5*60</f>
        <v>1914.0000000000018</v>
      </c>
      <c r="N5" s="64">
        <f t="shared" ref="N5:N66" si="3">M5/L5</f>
        <v>112.58823529411775</v>
      </c>
      <c r="O5" s="66">
        <f t="shared" ref="O5:O66" si="4">L5-I5</f>
        <v>0</v>
      </c>
      <c r="P5" s="67">
        <f t="shared" ref="P5:P66" si="5">N5-K5</f>
        <v>-5.0588235294116544</v>
      </c>
      <c r="Q5" s="150">
        <f t="shared" ref="Q5:Q66" si="6">N5/K5</f>
        <v>0.95700000000000096</v>
      </c>
      <c r="R5" s="511">
        <f>Q6</f>
        <v>0.95700000000000096</v>
      </c>
      <c r="S5" s="68">
        <v>0.70833333333333337</v>
      </c>
      <c r="T5" s="68">
        <v>0.75</v>
      </c>
      <c r="U5" s="147"/>
      <c r="V5" s="155">
        <f t="shared" ref="V5" si="7">(T5-S5)*24*60</f>
        <v>59.999999999999943</v>
      </c>
      <c r="W5" s="69"/>
      <c r="X5" s="70"/>
      <c r="Y5" s="510"/>
      <c r="Z5" s="510"/>
      <c r="AA5" s="66">
        <f t="shared" ref="AA5:AA66" si="8">M5-J5</f>
        <v>-85.999999999998181</v>
      </c>
      <c r="AB5" s="150">
        <f t="shared" ref="AB5:AB66" si="9">M5/J5</f>
        <v>0.95700000000000096</v>
      </c>
      <c r="AC5" s="511">
        <f>AB6</f>
        <v>0.95700000000000096</v>
      </c>
    </row>
    <row r="6" spans="1:29">
      <c r="A6" s="545" t="s">
        <v>642</v>
      </c>
      <c r="B6" s="62" t="s">
        <v>643</v>
      </c>
      <c r="C6" s="513"/>
      <c r="D6" s="513"/>
      <c r="E6" s="151"/>
      <c r="F6" s="71"/>
      <c r="G6" s="64"/>
      <c r="H6" s="157"/>
      <c r="I6" s="72">
        <v>17</v>
      </c>
      <c r="J6" s="63">
        <v>2000</v>
      </c>
      <c r="K6" s="64">
        <f t="shared" si="1"/>
        <v>117.64705882352941</v>
      </c>
      <c r="L6" s="72">
        <v>17</v>
      </c>
      <c r="M6" s="65">
        <f>AVERAGE(M5:M5)</f>
        <v>1914.0000000000018</v>
      </c>
      <c r="N6" s="64">
        <f t="shared" si="3"/>
        <v>112.58823529411775</v>
      </c>
      <c r="O6" s="66">
        <f t="shared" si="4"/>
        <v>0</v>
      </c>
      <c r="P6" s="67">
        <f t="shared" si="5"/>
        <v>-5.0588235294116544</v>
      </c>
      <c r="Q6" s="150">
        <f t="shared" si="6"/>
        <v>0.95700000000000096</v>
      </c>
      <c r="R6" s="511"/>
      <c r="S6" s="68"/>
      <c r="T6" s="68"/>
      <c r="U6" s="147"/>
      <c r="V6" s="155"/>
      <c r="W6" s="64"/>
      <c r="X6" s="64"/>
      <c r="Y6" s="510"/>
      <c r="Z6" s="510"/>
      <c r="AA6" s="66">
        <f t="shared" si="8"/>
        <v>-85.999999999998181</v>
      </c>
      <c r="AB6" s="150">
        <f t="shared" si="9"/>
        <v>0.95700000000000096</v>
      </c>
      <c r="AC6" s="511"/>
    </row>
    <row r="7" spans="1:29" ht="15.75" customHeight="1">
      <c r="A7" s="543" t="s">
        <v>644</v>
      </c>
      <c r="B7" s="62" t="s">
        <v>10</v>
      </c>
      <c r="C7" s="539" t="s">
        <v>12</v>
      </c>
      <c r="D7" s="540"/>
      <c r="E7" s="62">
        <v>39.36</v>
      </c>
      <c r="F7" s="157">
        <v>1738</v>
      </c>
      <c r="G7" s="147">
        <f t="shared" ref="G7:G8" si="10">E7*F7</f>
        <v>68407.679999999993</v>
      </c>
      <c r="H7" s="90" t="s">
        <v>5</v>
      </c>
      <c r="I7" s="154">
        <v>20</v>
      </c>
      <c r="J7" s="63">
        <v>1500</v>
      </c>
      <c r="K7" s="64">
        <f t="shared" si="1"/>
        <v>75</v>
      </c>
      <c r="L7" s="154">
        <v>20</v>
      </c>
      <c r="M7" s="65">
        <f t="shared" ref="M7:M8" si="11">F7/V7*60</f>
        <v>1428.4931506849312</v>
      </c>
      <c r="N7" s="64">
        <f t="shared" si="3"/>
        <v>71.424657534246563</v>
      </c>
      <c r="O7" s="66">
        <f t="shared" si="4"/>
        <v>0</v>
      </c>
      <c r="P7" s="67">
        <f t="shared" si="5"/>
        <v>-3.5753424657534367</v>
      </c>
      <c r="Q7" s="150">
        <f t="shared" si="6"/>
        <v>0.95232876712328751</v>
      </c>
      <c r="R7" s="511">
        <f>Q9</f>
        <v>0.95251993911719923</v>
      </c>
      <c r="S7" s="68">
        <v>0.20833333333333334</v>
      </c>
      <c r="T7" s="68">
        <v>0.2590277777777778</v>
      </c>
      <c r="U7" s="147"/>
      <c r="V7" s="155">
        <f t="shared" ref="V7:V8" si="12">(T7-S7)*24*60</f>
        <v>73.000000000000014</v>
      </c>
      <c r="W7" s="69"/>
      <c r="X7" s="69"/>
      <c r="Y7" s="510"/>
      <c r="Z7" s="510"/>
      <c r="AA7" s="66">
        <f t="shared" si="8"/>
        <v>-71.506849315068848</v>
      </c>
      <c r="AB7" s="150">
        <f t="shared" si="9"/>
        <v>0.9523287671232874</v>
      </c>
      <c r="AC7" s="511">
        <f>AB9</f>
        <v>0.95251993911719923</v>
      </c>
    </row>
    <row r="8" spans="1:29" ht="15.75" customHeight="1">
      <c r="A8" s="543" t="s">
        <v>644</v>
      </c>
      <c r="B8" s="62" t="s">
        <v>10</v>
      </c>
      <c r="C8" s="539" t="s">
        <v>11</v>
      </c>
      <c r="D8" s="540"/>
      <c r="E8" s="62">
        <v>39.799999999999997</v>
      </c>
      <c r="F8" s="157">
        <v>5359</v>
      </c>
      <c r="G8" s="147">
        <f t="shared" si="10"/>
        <v>213288.19999999998</v>
      </c>
      <c r="H8" s="90" t="s">
        <v>5</v>
      </c>
      <c r="I8" s="154">
        <v>17</v>
      </c>
      <c r="J8" s="63">
        <v>1500</v>
      </c>
      <c r="K8" s="64">
        <f t="shared" si="1"/>
        <v>88.235294117647058</v>
      </c>
      <c r="L8" s="154">
        <v>17</v>
      </c>
      <c r="M8" s="65">
        <f t="shared" si="11"/>
        <v>1429.0666666666666</v>
      </c>
      <c r="N8" s="64">
        <f t="shared" si="3"/>
        <v>84.062745098039215</v>
      </c>
      <c r="O8" s="66">
        <f t="shared" si="4"/>
        <v>0</v>
      </c>
      <c r="P8" s="67">
        <f t="shared" si="5"/>
        <v>-4.1725490196078425</v>
      </c>
      <c r="Q8" s="150">
        <f t="shared" si="6"/>
        <v>0.95271111111111106</v>
      </c>
      <c r="R8" s="511"/>
      <c r="S8" s="68">
        <v>0.26319444444444445</v>
      </c>
      <c r="T8" s="68">
        <v>0.41944444444444445</v>
      </c>
      <c r="U8" s="147">
        <f t="shared" ref="U8" si="13">IF(S8=TIME(17,0,0),"",(S8-T7)*24*60)</f>
        <v>5.9999999999999787</v>
      </c>
      <c r="V8" s="155">
        <f t="shared" si="12"/>
        <v>225</v>
      </c>
      <c r="W8" s="69"/>
      <c r="X8" s="69"/>
      <c r="Y8" s="510"/>
      <c r="Z8" s="510"/>
      <c r="AA8" s="66">
        <f t="shared" si="8"/>
        <v>-70.933333333333394</v>
      </c>
      <c r="AB8" s="150">
        <f t="shared" si="9"/>
        <v>0.95271111111111106</v>
      </c>
      <c r="AC8" s="511"/>
    </row>
    <row r="9" spans="1:29" ht="16.5" customHeight="1">
      <c r="A9" s="543" t="s">
        <v>644</v>
      </c>
      <c r="B9" s="62" t="s">
        <v>643</v>
      </c>
      <c r="C9" s="513"/>
      <c r="D9" s="513"/>
      <c r="E9" s="151"/>
      <c r="F9" s="63"/>
      <c r="G9" s="65"/>
      <c r="H9" s="157"/>
      <c r="I9" s="72">
        <v>18.5</v>
      </c>
      <c r="J9" s="63">
        <v>1500</v>
      </c>
      <c r="K9" s="64">
        <f t="shared" si="1"/>
        <v>81.081081081081081</v>
      </c>
      <c r="L9" s="72">
        <v>18.5</v>
      </c>
      <c r="M9" s="65">
        <f>AVERAGE(M7:M8)</f>
        <v>1428.7799086757989</v>
      </c>
      <c r="N9" s="64">
        <f t="shared" si="3"/>
        <v>77.231346414908046</v>
      </c>
      <c r="O9" s="66">
        <f t="shared" si="4"/>
        <v>0</v>
      </c>
      <c r="P9" s="67">
        <f t="shared" si="5"/>
        <v>-3.8497346661730347</v>
      </c>
      <c r="Q9" s="150">
        <f t="shared" si="6"/>
        <v>0.95251993911719923</v>
      </c>
      <c r="R9" s="511"/>
      <c r="S9" s="68"/>
      <c r="T9" s="68"/>
      <c r="U9" s="64"/>
      <c r="V9" s="155"/>
      <c r="W9" s="64"/>
      <c r="X9" s="64"/>
      <c r="Y9" s="510"/>
      <c r="Z9" s="510"/>
      <c r="AA9" s="66">
        <f t="shared" si="8"/>
        <v>-71.220091324201121</v>
      </c>
      <c r="AB9" s="150">
        <f t="shared" si="9"/>
        <v>0.95251993911719923</v>
      </c>
      <c r="AC9" s="511"/>
    </row>
    <row r="10" spans="1:29" ht="16.5" customHeight="1">
      <c r="A10" s="541" t="s">
        <v>645</v>
      </c>
      <c r="B10" s="157" t="s">
        <v>13</v>
      </c>
      <c r="C10" s="533" t="s">
        <v>14</v>
      </c>
      <c r="D10" s="533"/>
      <c r="E10" s="62">
        <v>41</v>
      </c>
      <c r="F10" s="157">
        <v>2187</v>
      </c>
      <c r="G10" s="147">
        <f t="shared" ref="G10:G14" si="14">E10*F10</f>
        <v>89667</v>
      </c>
      <c r="H10" s="90" t="s">
        <v>5</v>
      </c>
      <c r="I10" s="154">
        <v>26</v>
      </c>
      <c r="J10" s="63">
        <v>1500</v>
      </c>
      <c r="K10" s="64">
        <f t="shared" si="1"/>
        <v>57.692307692307693</v>
      </c>
      <c r="L10" s="154">
        <v>26</v>
      </c>
      <c r="M10" s="65">
        <f t="shared" ref="M10:M14" si="15">F10/V10*60</f>
        <v>1441.9780219780221</v>
      </c>
      <c r="N10" s="64">
        <f t="shared" si="3"/>
        <v>55.460693153000847</v>
      </c>
      <c r="O10" s="66">
        <f t="shared" si="4"/>
        <v>0</v>
      </c>
      <c r="P10" s="67">
        <f t="shared" si="5"/>
        <v>-2.2316145393068467</v>
      </c>
      <c r="Q10" s="150">
        <f t="shared" si="6"/>
        <v>0.96131868131868137</v>
      </c>
      <c r="R10" s="511">
        <f>Q15</f>
        <v>0.95975483959126684</v>
      </c>
      <c r="S10" s="68">
        <v>0.125</v>
      </c>
      <c r="T10" s="68">
        <v>0.18819444444444444</v>
      </c>
      <c r="U10" s="147"/>
      <c r="V10" s="155">
        <f t="shared" ref="V10:V14" si="16">(T10-S10)*24*60</f>
        <v>91</v>
      </c>
      <c r="W10" s="69">
        <f>T10</f>
        <v>0.18819444444444444</v>
      </c>
      <c r="X10" s="69">
        <f>S11</f>
        <v>0.20833333333333334</v>
      </c>
      <c r="Y10" s="510"/>
      <c r="Z10" s="510"/>
      <c r="AA10" s="66">
        <f t="shared" si="8"/>
        <v>-58.02197802197793</v>
      </c>
      <c r="AB10" s="150">
        <f t="shared" si="9"/>
        <v>0.96131868131868137</v>
      </c>
      <c r="AC10" s="511">
        <f>AB15</f>
        <v>0.95975483959126673</v>
      </c>
    </row>
    <row r="11" spans="1:29" ht="16.5" customHeight="1">
      <c r="A11" s="542" t="s">
        <v>645</v>
      </c>
      <c r="B11" s="157" t="s">
        <v>10</v>
      </c>
      <c r="C11" s="533" t="s">
        <v>15</v>
      </c>
      <c r="D11" s="533"/>
      <c r="E11" s="62">
        <v>39.619999999999997</v>
      </c>
      <c r="F11" s="157">
        <v>3634</v>
      </c>
      <c r="G11" s="147">
        <f t="shared" si="14"/>
        <v>143979.07999999999</v>
      </c>
      <c r="H11" s="90" t="s">
        <v>5</v>
      </c>
      <c r="I11" s="154">
        <v>19</v>
      </c>
      <c r="J11" s="63">
        <v>1500</v>
      </c>
      <c r="K11" s="64">
        <f t="shared" si="1"/>
        <v>78.94736842105263</v>
      </c>
      <c r="L11" s="154">
        <v>19</v>
      </c>
      <c r="M11" s="65">
        <f t="shared" si="15"/>
        <v>1434.4736842105265</v>
      </c>
      <c r="N11" s="64">
        <f t="shared" si="3"/>
        <v>75.498614958448755</v>
      </c>
      <c r="O11" s="66">
        <f t="shared" si="4"/>
        <v>0</v>
      </c>
      <c r="P11" s="67">
        <f t="shared" si="5"/>
        <v>-3.4487534626038752</v>
      </c>
      <c r="Q11" s="150">
        <f t="shared" si="6"/>
        <v>0.95631578947368423</v>
      </c>
      <c r="R11" s="511"/>
      <c r="S11" s="68">
        <v>0.20833333333333334</v>
      </c>
      <c r="T11" s="68">
        <v>0.31388888888888888</v>
      </c>
      <c r="U11" s="147">
        <f t="shared" ref="U11:U14" si="17">IF(S11=TIME(17,0,0),"",(S11-T10)*24*60)</f>
        <v>29.000000000000018</v>
      </c>
      <c r="V11" s="155">
        <f t="shared" si="16"/>
        <v>152</v>
      </c>
      <c r="W11" s="69"/>
      <c r="X11" s="69"/>
      <c r="Y11" s="510"/>
      <c r="Z11" s="510"/>
      <c r="AA11" s="66">
        <f t="shared" si="8"/>
        <v>-65.526315789473529</v>
      </c>
      <c r="AB11" s="150">
        <f t="shared" si="9"/>
        <v>0.95631578947368434</v>
      </c>
      <c r="AC11" s="511"/>
    </row>
    <row r="12" spans="1:29" ht="16.5" customHeight="1">
      <c r="A12" s="542" t="s">
        <v>645</v>
      </c>
      <c r="B12" s="157" t="s">
        <v>77</v>
      </c>
      <c r="C12" s="533" t="s">
        <v>76</v>
      </c>
      <c r="D12" s="533"/>
      <c r="E12" s="62">
        <v>57.3</v>
      </c>
      <c r="F12" s="157">
        <v>1278</v>
      </c>
      <c r="G12" s="147">
        <f t="shared" si="14"/>
        <v>73229.399999999994</v>
      </c>
      <c r="H12" s="90" t="s">
        <v>5</v>
      </c>
      <c r="I12" s="154">
        <v>17</v>
      </c>
      <c r="J12" s="63">
        <v>1500</v>
      </c>
      <c r="K12" s="64">
        <f t="shared" si="1"/>
        <v>88.235294117647058</v>
      </c>
      <c r="L12" s="154">
        <v>17</v>
      </c>
      <c r="M12" s="65">
        <f t="shared" si="15"/>
        <v>1446.7924528301894</v>
      </c>
      <c r="N12" s="64">
        <f t="shared" si="3"/>
        <v>85.105438401775842</v>
      </c>
      <c r="O12" s="66">
        <f t="shared" si="4"/>
        <v>0</v>
      </c>
      <c r="P12" s="67">
        <f t="shared" si="5"/>
        <v>-3.1298557158712157</v>
      </c>
      <c r="Q12" s="150">
        <f t="shared" si="6"/>
        <v>0.96452830188679284</v>
      </c>
      <c r="R12" s="511"/>
      <c r="S12" s="68">
        <v>0.31944444444444442</v>
      </c>
      <c r="T12" s="68">
        <v>0.35624999999999996</v>
      </c>
      <c r="U12" s="147">
        <f t="shared" si="17"/>
        <v>7.9999999999999716</v>
      </c>
      <c r="V12" s="155">
        <f t="shared" si="16"/>
        <v>52.999999999999972</v>
      </c>
      <c r="W12" s="69"/>
      <c r="X12" s="69"/>
      <c r="Y12" s="510"/>
      <c r="Z12" s="510"/>
      <c r="AA12" s="66">
        <f t="shared" si="8"/>
        <v>-53.207547169810596</v>
      </c>
      <c r="AB12" s="150">
        <f t="shared" si="9"/>
        <v>0.96452830188679295</v>
      </c>
      <c r="AC12" s="511"/>
    </row>
    <row r="13" spans="1:29" ht="16.5" customHeight="1">
      <c r="A13" s="542" t="s">
        <v>645</v>
      </c>
      <c r="B13" s="157" t="s">
        <v>6</v>
      </c>
      <c r="C13" s="533" t="s">
        <v>19</v>
      </c>
      <c r="D13" s="533"/>
      <c r="E13" s="62">
        <v>50.98</v>
      </c>
      <c r="F13" s="157">
        <v>2810</v>
      </c>
      <c r="G13" s="147">
        <f t="shared" si="14"/>
        <v>143253.79999999999</v>
      </c>
      <c r="H13" s="90" t="s">
        <v>5</v>
      </c>
      <c r="I13" s="154">
        <v>16</v>
      </c>
      <c r="J13" s="63">
        <v>2000</v>
      </c>
      <c r="K13" s="64">
        <f t="shared" si="1"/>
        <v>125</v>
      </c>
      <c r="L13" s="154">
        <v>16</v>
      </c>
      <c r="M13" s="65">
        <f t="shared" si="15"/>
        <v>1915.909090909091</v>
      </c>
      <c r="N13" s="64">
        <f t="shared" si="3"/>
        <v>119.74431818181819</v>
      </c>
      <c r="O13" s="66">
        <f t="shared" si="4"/>
        <v>0</v>
      </c>
      <c r="P13" s="67">
        <f t="shared" si="5"/>
        <v>-5.255681818181813</v>
      </c>
      <c r="Q13" s="150">
        <f t="shared" si="6"/>
        <v>0.9579545454545455</v>
      </c>
      <c r="R13" s="511"/>
      <c r="S13" s="68">
        <v>0.70833333333333337</v>
      </c>
      <c r="T13" s="68">
        <v>0.76944444444444449</v>
      </c>
      <c r="U13" s="147" t="str">
        <f t="shared" si="17"/>
        <v/>
      </c>
      <c r="V13" s="155">
        <f t="shared" si="16"/>
        <v>88</v>
      </c>
      <c r="W13" s="69"/>
      <c r="X13" s="69"/>
      <c r="Y13" s="510"/>
      <c r="Z13" s="510"/>
      <c r="AA13" s="66">
        <f t="shared" si="8"/>
        <v>-84.090909090909008</v>
      </c>
      <c r="AB13" s="150">
        <f t="shared" si="9"/>
        <v>0.9579545454545455</v>
      </c>
      <c r="AC13" s="511"/>
    </row>
    <row r="14" spans="1:29" ht="16.5" customHeight="1">
      <c r="A14" s="542" t="s">
        <v>645</v>
      </c>
      <c r="B14" s="157" t="s">
        <v>6</v>
      </c>
      <c r="C14" s="533" t="s">
        <v>20</v>
      </c>
      <c r="D14" s="533"/>
      <c r="E14" s="62">
        <v>50.92</v>
      </c>
      <c r="F14" s="157">
        <v>3102</v>
      </c>
      <c r="G14" s="147">
        <f t="shared" si="14"/>
        <v>157953.84</v>
      </c>
      <c r="H14" s="90" t="s">
        <v>5</v>
      </c>
      <c r="I14" s="154">
        <v>15</v>
      </c>
      <c r="J14" s="63">
        <v>2000</v>
      </c>
      <c r="K14" s="64">
        <f t="shared" si="1"/>
        <v>133.33333333333334</v>
      </c>
      <c r="L14" s="154">
        <v>15</v>
      </c>
      <c r="M14" s="65">
        <f t="shared" si="15"/>
        <v>1918.7628865979389</v>
      </c>
      <c r="N14" s="64">
        <f t="shared" si="3"/>
        <v>127.91752577319592</v>
      </c>
      <c r="O14" s="66">
        <f t="shared" si="4"/>
        <v>0</v>
      </c>
      <c r="P14" s="67">
        <f t="shared" si="5"/>
        <v>-5.4158075601374236</v>
      </c>
      <c r="Q14" s="150">
        <f t="shared" si="6"/>
        <v>0.95938144329896935</v>
      </c>
      <c r="R14" s="511"/>
      <c r="S14" s="68">
        <v>0.77430555555555558</v>
      </c>
      <c r="T14" s="68">
        <v>0.84166666666666667</v>
      </c>
      <c r="U14" s="147">
        <f t="shared" si="17"/>
        <v>6.9999999999999751</v>
      </c>
      <c r="V14" s="155">
        <f t="shared" si="16"/>
        <v>96.999999999999972</v>
      </c>
      <c r="W14" s="69"/>
      <c r="X14" s="69"/>
      <c r="Y14" s="510"/>
      <c r="Z14" s="510"/>
      <c r="AA14" s="66">
        <f t="shared" si="8"/>
        <v>-81.237113402061141</v>
      </c>
      <c r="AB14" s="150">
        <f t="shared" si="9"/>
        <v>0.95938144329896946</v>
      </c>
      <c r="AC14" s="511"/>
    </row>
    <row r="15" spans="1:29" ht="16.5" customHeight="1">
      <c r="A15" s="542" t="s">
        <v>645</v>
      </c>
      <c r="B15" s="62" t="s">
        <v>411</v>
      </c>
      <c r="C15" s="513"/>
      <c r="D15" s="513"/>
      <c r="E15" s="151"/>
      <c r="F15" s="71"/>
      <c r="G15" s="64"/>
      <c r="H15" s="157"/>
      <c r="I15" s="72">
        <v>18.600000000000001</v>
      </c>
      <c r="J15" s="63">
        <v>1700</v>
      </c>
      <c r="K15" s="64">
        <f t="shared" si="1"/>
        <v>91.397849462365585</v>
      </c>
      <c r="L15" s="72">
        <v>18.600000000000001</v>
      </c>
      <c r="M15" s="65">
        <f>AVERAGE(M10:M14)</f>
        <v>1631.5832273051535</v>
      </c>
      <c r="N15" s="64">
        <f t="shared" si="3"/>
        <v>87.719528349739434</v>
      </c>
      <c r="O15" s="66">
        <f t="shared" si="4"/>
        <v>0</v>
      </c>
      <c r="P15" s="67">
        <f t="shared" si="5"/>
        <v>-3.6783211126261506</v>
      </c>
      <c r="Q15" s="150">
        <f t="shared" si="6"/>
        <v>0.95975483959126684</v>
      </c>
      <c r="R15" s="511"/>
      <c r="S15" s="68"/>
      <c r="T15" s="68"/>
      <c r="U15" s="147"/>
      <c r="V15" s="155"/>
      <c r="W15" s="64"/>
      <c r="X15" s="64"/>
      <c r="Y15" s="510"/>
      <c r="Z15" s="510"/>
      <c r="AA15" s="66">
        <f t="shared" si="8"/>
        <v>-68.416772694846486</v>
      </c>
      <c r="AB15" s="150">
        <f t="shared" si="9"/>
        <v>0.95975483959126673</v>
      </c>
      <c r="AC15" s="511"/>
    </row>
    <row r="16" spans="1:29" ht="15.75" customHeight="1">
      <c r="A16" s="537" t="s">
        <v>646</v>
      </c>
      <c r="B16" s="62" t="s">
        <v>13</v>
      </c>
      <c r="C16" s="533" t="s">
        <v>21</v>
      </c>
      <c r="D16" s="533"/>
      <c r="E16" s="62">
        <v>43.14</v>
      </c>
      <c r="F16" s="157">
        <v>1111</v>
      </c>
      <c r="G16" s="147">
        <f t="shared" ref="G16:G19" si="18">E16*F16</f>
        <v>47928.54</v>
      </c>
      <c r="H16" s="90" t="s">
        <v>5</v>
      </c>
      <c r="I16" s="154">
        <v>17</v>
      </c>
      <c r="J16" s="63">
        <v>2000</v>
      </c>
      <c r="K16" s="64">
        <f t="shared" si="1"/>
        <v>117.64705882352941</v>
      </c>
      <c r="L16" s="154">
        <v>17</v>
      </c>
      <c r="M16" s="65">
        <f t="shared" ref="M16:M19" si="19">F16/V16*60</f>
        <v>1904.5714285714291</v>
      </c>
      <c r="N16" s="64">
        <f t="shared" si="3"/>
        <v>112.03361344537818</v>
      </c>
      <c r="O16" s="66">
        <f t="shared" si="4"/>
        <v>0</v>
      </c>
      <c r="P16" s="67">
        <f t="shared" si="5"/>
        <v>-5.6134453781512264</v>
      </c>
      <c r="Q16" s="150">
        <f t="shared" si="6"/>
        <v>0.95228571428571462</v>
      </c>
      <c r="R16" s="511">
        <f>Q20</f>
        <v>0.95417614348370905</v>
      </c>
      <c r="S16" s="68">
        <v>0.20833333333333334</v>
      </c>
      <c r="T16" s="68">
        <v>0.2326388888888889</v>
      </c>
      <c r="U16" s="147"/>
      <c r="V16" s="155">
        <f t="shared" ref="V16:V19" si="20">(T16-S16)*24*60</f>
        <v>34.999999999999993</v>
      </c>
      <c r="W16" s="73"/>
      <c r="X16" s="73"/>
      <c r="Y16" s="510"/>
      <c r="Z16" s="510"/>
      <c r="AA16" s="66">
        <f t="shared" si="8"/>
        <v>-95.428571428570876</v>
      </c>
      <c r="AB16" s="150">
        <f t="shared" si="9"/>
        <v>0.95228571428571451</v>
      </c>
      <c r="AC16" s="511">
        <f>AB20</f>
        <v>0.95417614348370905</v>
      </c>
    </row>
    <row r="17" spans="1:29" ht="15.75" customHeight="1">
      <c r="A17" s="538" t="s">
        <v>646</v>
      </c>
      <c r="B17" s="62" t="s">
        <v>6</v>
      </c>
      <c r="C17" s="533" t="s">
        <v>23</v>
      </c>
      <c r="D17" s="533"/>
      <c r="E17" s="62">
        <v>53.68</v>
      </c>
      <c r="F17" s="157">
        <v>1535</v>
      </c>
      <c r="G17" s="147">
        <f t="shared" si="18"/>
        <v>82398.8</v>
      </c>
      <c r="H17" s="90" t="s">
        <v>5</v>
      </c>
      <c r="I17" s="154">
        <v>16</v>
      </c>
      <c r="J17" s="63">
        <v>2000</v>
      </c>
      <c r="K17" s="64">
        <f t="shared" si="1"/>
        <v>125</v>
      </c>
      <c r="L17" s="154">
        <v>16</v>
      </c>
      <c r="M17" s="65">
        <f t="shared" si="19"/>
        <v>1918.7499999999989</v>
      </c>
      <c r="N17" s="64">
        <f t="shared" si="3"/>
        <v>119.92187499999993</v>
      </c>
      <c r="O17" s="66">
        <f t="shared" si="4"/>
        <v>0</v>
      </c>
      <c r="P17" s="67">
        <f t="shared" si="5"/>
        <v>-5.0781250000000711</v>
      </c>
      <c r="Q17" s="150">
        <f t="shared" si="6"/>
        <v>0.95937499999999942</v>
      </c>
      <c r="R17" s="511"/>
      <c r="S17" s="68">
        <v>0.23750000000000002</v>
      </c>
      <c r="T17" s="68">
        <v>0.27083333333333337</v>
      </c>
      <c r="U17" s="147">
        <f t="shared" ref="U17:U19" si="21">IF(S17=TIME(17,0,0),"",(S17-T16)*24*60)</f>
        <v>7.0000000000000151</v>
      </c>
      <c r="V17" s="155">
        <f t="shared" si="20"/>
        <v>48.000000000000028</v>
      </c>
      <c r="W17" s="69"/>
      <c r="X17" s="147"/>
      <c r="Y17" s="510"/>
      <c r="Z17" s="510"/>
      <c r="AA17" s="66">
        <f t="shared" si="8"/>
        <v>-81.250000000001137</v>
      </c>
      <c r="AB17" s="150">
        <f t="shared" si="9"/>
        <v>0.95937499999999942</v>
      </c>
      <c r="AC17" s="511"/>
    </row>
    <row r="18" spans="1:29" ht="15.75" customHeight="1">
      <c r="A18" s="538" t="s">
        <v>646</v>
      </c>
      <c r="B18" s="62" t="s">
        <v>6</v>
      </c>
      <c r="C18" s="533" t="s">
        <v>22</v>
      </c>
      <c r="D18" s="533"/>
      <c r="E18" s="62">
        <v>57.73</v>
      </c>
      <c r="F18" s="157">
        <v>2288</v>
      </c>
      <c r="G18" s="147">
        <f t="shared" si="18"/>
        <v>132086.24</v>
      </c>
      <c r="H18" s="90" t="s">
        <v>5</v>
      </c>
      <c r="I18" s="154">
        <v>14</v>
      </c>
      <c r="J18" s="63">
        <v>2000</v>
      </c>
      <c r="K18" s="64">
        <f t="shared" si="1"/>
        <v>142.85714285714286</v>
      </c>
      <c r="L18" s="154">
        <v>14</v>
      </c>
      <c r="M18" s="65">
        <f t="shared" si="19"/>
        <v>1906.6666666666672</v>
      </c>
      <c r="N18" s="64">
        <f t="shared" si="3"/>
        <v>136.19047619047623</v>
      </c>
      <c r="O18" s="66">
        <f t="shared" si="4"/>
        <v>0</v>
      </c>
      <c r="P18" s="67">
        <f t="shared" si="5"/>
        <v>-6.6666666666666288</v>
      </c>
      <c r="Q18" s="150">
        <f t="shared" si="6"/>
        <v>0.95333333333333359</v>
      </c>
      <c r="R18" s="511"/>
      <c r="S18" s="68">
        <v>0.27500000000000002</v>
      </c>
      <c r="T18" s="68">
        <v>0.32500000000000001</v>
      </c>
      <c r="U18" s="147">
        <f t="shared" si="21"/>
        <v>5.9999999999999787</v>
      </c>
      <c r="V18" s="155">
        <f t="shared" si="20"/>
        <v>71.999999999999986</v>
      </c>
      <c r="W18" s="69"/>
      <c r="X18" s="147"/>
      <c r="Y18" s="510"/>
      <c r="Z18" s="510"/>
      <c r="AA18" s="66">
        <f t="shared" si="8"/>
        <v>-93.333333333332803</v>
      </c>
      <c r="AB18" s="150">
        <f t="shared" si="9"/>
        <v>0.95333333333333359</v>
      </c>
      <c r="AC18" s="511"/>
    </row>
    <row r="19" spans="1:29" ht="15.75" customHeight="1">
      <c r="A19" s="538" t="s">
        <v>646</v>
      </c>
      <c r="B19" s="62" t="s">
        <v>6</v>
      </c>
      <c r="C19" s="533" t="s">
        <v>24</v>
      </c>
      <c r="D19" s="533"/>
      <c r="E19" s="62">
        <v>54.09</v>
      </c>
      <c r="F19" s="157">
        <v>2411</v>
      </c>
      <c r="G19" s="147">
        <f t="shared" si="18"/>
        <v>130410.99</v>
      </c>
      <c r="H19" s="90" t="s">
        <v>5</v>
      </c>
      <c r="I19" s="154">
        <v>19</v>
      </c>
      <c r="J19" s="63">
        <v>2000</v>
      </c>
      <c r="K19" s="64">
        <f t="shared" si="1"/>
        <v>105.26315789473684</v>
      </c>
      <c r="L19" s="154">
        <v>19</v>
      </c>
      <c r="M19" s="65">
        <f t="shared" si="19"/>
        <v>1903.4210526315776</v>
      </c>
      <c r="N19" s="64">
        <f t="shared" si="3"/>
        <v>100.18005540166197</v>
      </c>
      <c r="O19" s="66">
        <f t="shared" si="4"/>
        <v>0</v>
      </c>
      <c r="P19" s="67">
        <f t="shared" si="5"/>
        <v>-5.0831024930748612</v>
      </c>
      <c r="Q19" s="150">
        <f t="shared" si="6"/>
        <v>0.95171052631578879</v>
      </c>
      <c r="R19" s="511"/>
      <c r="S19" s="68">
        <v>0.70833333333333337</v>
      </c>
      <c r="T19" s="68">
        <v>0.76111111111111118</v>
      </c>
      <c r="U19" s="147" t="str">
        <f t="shared" si="21"/>
        <v/>
      </c>
      <c r="V19" s="155">
        <f t="shared" si="20"/>
        <v>76.000000000000057</v>
      </c>
      <c r="W19" s="69"/>
      <c r="X19" s="147"/>
      <c r="Y19" s="510"/>
      <c r="Z19" s="510"/>
      <c r="AA19" s="66">
        <f t="shared" si="8"/>
        <v>-96.578947368422405</v>
      </c>
      <c r="AB19" s="150">
        <f t="shared" si="9"/>
        <v>0.95171052631578879</v>
      </c>
      <c r="AC19" s="511"/>
    </row>
    <row r="20" spans="1:29" ht="15.75" customHeight="1">
      <c r="A20" s="538" t="s">
        <v>646</v>
      </c>
      <c r="B20" s="62" t="s">
        <v>643</v>
      </c>
      <c r="C20" s="513"/>
      <c r="D20" s="513"/>
      <c r="E20" s="151"/>
      <c r="F20" s="157"/>
      <c r="G20" s="147"/>
      <c r="H20" s="157"/>
      <c r="I20" s="72">
        <v>16.5</v>
      </c>
      <c r="J20" s="63">
        <v>2000</v>
      </c>
      <c r="K20" s="64">
        <f t="shared" si="1"/>
        <v>121.21212121212122</v>
      </c>
      <c r="L20" s="72">
        <v>16.5</v>
      </c>
      <c r="M20" s="65">
        <f>AVERAGE(M16:M19)</f>
        <v>1908.3522869674182</v>
      </c>
      <c r="N20" s="64">
        <f t="shared" si="3"/>
        <v>115.6577143616617</v>
      </c>
      <c r="O20" s="66">
        <f t="shared" si="4"/>
        <v>0</v>
      </c>
      <c r="P20" s="67">
        <f t="shared" si="5"/>
        <v>-5.5544068504595145</v>
      </c>
      <c r="Q20" s="150">
        <f t="shared" si="6"/>
        <v>0.95417614348370905</v>
      </c>
      <c r="R20" s="511"/>
      <c r="S20" s="68"/>
      <c r="T20" s="68"/>
      <c r="U20" s="64"/>
      <c r="V20" s="155"/>
      <c r="W20" s="64"/>
      <c r="X20" s="64"/>
      <c r="Y20" s="510"/>
      <c r="Z20" s="510"/>
      <c r="AA20" s="66">
        <f t="shared" si="8"/>
        <v>-91.647713032581805</v>
      </c>
      <c r="AB20" s="150">
        <f t="shared" si="9"/>
        <v>0.95417614348370905</v>
      </c>
      <c r="AC20" s="511"/>
    </row>
    <row r="21" spans="1:29" ht="15.75" customHeight="1">
      <c r="A21" s="536" t="s">
        <v>647</v>
      </c>
      <c r="B21" s="62" t="s">
        <v>16</v>
      </c>
      <c r="C21" s="533" t="s">
        <v>30</v>
      </c>
      <c r="D21" s="533"/>
      <c r="E21" s="62">
        <v>31.29</v>
      </c>
      <c r="F21" s="157">
        <v>4100</v>
      </c>
      <c r="G21" s="147">
        <f t="shared" ref="G21:G27" si="22">E21*F21</f>
        <v>128289</v>
      </c>
      <c r="H21" s="90">
        <v>2</v>
      </c>
      <c r="I21" s="154">
        <v>18</v>
      </c>
      <c r="J21" s="63">
        <v>2400</v>
      </c>
      <c r="K21" s="64">
        <f t="shared" si="1"/>
        <v>133.33333333333334</v>
      </c>
      <c r="L21" s="154">
        <v>18</v>
      </c>
      <c r="M21" s="65">
        <f t="shared" ref="M21:M27" si="23">F21/V21*60</f>
        <v>2299.0654205607475</v>
      </c>
      <c r="N21" s="64">
        <f t="shared" si="3"/>
        <v>127.72585669781931</v>
      </c>
      <c r="O21" s="66">
        <f t="shared" si="4"/>
        <v>0</v>
      </c>
      <c r="P21" s="67">
        <f t="shared" si="5"/>
        <v>-5.6074766355140326</v>
      </c>
      <c r="Q21" s="150">
        <f t="shared" si="6"/>
        <v>0.9579439252336448</v>
      </c>
      <c r="R21" s="511">
        <f>Q28</f>
        <v>0.95738382256912891</v>
      </c>
      <c r="S21" s="68">
        <v>0.125</v>
      </c>
      <c r="T21" s="68">
        <v>0.19930555555555557</v>
      </c>
      <c r="U21" s="147"/>
      <c r="V21" s="155">
        <f t="shared" ref="V21:V27" si="24">(T21-S21)*24*60</f>
        <v>107.00000000000001</v>
      </c>
      <c r="W21" s="69">
        <f>T21</f>
        <v>0.19930555555555557</v>
      </c>
      <c r="X21" s="69">
        <f>S22</f>
        <v>0.22083333333333335</v>
      </c>
      <c r="Y21" s="510"/>
      <c r="Z21" s="510"/>
      <c r="AA21" s="66">
        <f t="shared" si="8"/>
        <v>-100.9345794392525</v>
      </c>
      <c r="AB21" s="150">
        <f t="shared" si="9"/>
        <v>0.9579439252336448</v>
      </c>
      <c r="AC21" s="511">
        <f>AB28</f>
        <v>0.95738382256912891</v>
      </c>
    </row>
    <row r="22" spans="1:29" ht="15.75" customHeight="1">
      <c r="A22" s="536" t="s">
        <v>647</v>
      </c>
      <c r="B22" s="62" t="s">
        <v>16</v>
      </c>
      <c r="C22" s="533" t="s">
        <v>28</v>
      </c>
      <c r="D22" s="533"/>
      <c r="E22" s="62">
        <v>26.18</v>
      </c>
      <c r="F22" s="157">
        <v>2956</v>
      </c>
      <c r="G22" s="147">
        <f t="shared" si="22"/>
        <v>77388.08</v>
      </c>
      <c r="H22" s="90" t="s">
        <v>5</v>
      </c>
      <c r="I22" s="154">
        <v>19</v>
      </c>
      <c r="J22" s="63">
        <v>2400</v>
      </c>
      <c r="K22" s="64">
        <f t="shared" si="1"/>
        <v>126.31578947368421</v>
      </c>
      <c r="L22" s="154">
        <v>19</v>
      </c>
      <c r="M22" s="65">
        <f t="shared" si="23"/>
        <v>2303.3766233766232</v>
      </c>
      <c r="N22" s="64">
        <f t="shared" si="3"/>
        <v>121.23034859876964</v>
      </c>
      <c r="O22" s="66">
        <f t="shared" si="4"/>
        <v>0</v>
      </c>
      <c r="P22" s="67">
        <f t="shared" si="5"/>
        <v>-5.0854408749145676</v>
      </c>
      <c r="Q22" s="150">
        <f t="shared" si="6"/>
        <v>0.95974025974025967</v>
      </c>
      <c r="R22" s="511"/>
      <c r="S22" s="68">
        <v>0.22083333333333335</v>
      </c>
      <c r="T22" s="68">
        <v>0.27430555555555558</v>
      </c>
      <c r="U22" s="147">
        <f t="shared" ref="U22:U27" si="25">(S22-T21)*24*60</f>
        <v>31.000000000000011</v>
      </c>
      <c r="V22" s="155">
        <f t="shared" si="24"/>
        <v>77</v>
      </c>
      <c r="W22" s="69"/>
      <c r="X22" s="69"/>
      <c r="Y22" s="510"/>
      <c r="Z22" s="510"/>
      <c r="AA22" s="66">
        <f t="shared" si="8"/>
        <v>-96.623376623376771</v>
      </c>
      <c r="AB22" s="150">
        <f t="shared" si="9"/>
        <v>0.95974025974025967</v>
      </c>
      <c r="AC22" s="511"/>
    </row>
    <row r="23" spans="1:29" ht="15.75" customHeight="1">
      <c r="A23" s="536" t="s">
        <v>647</v>
      </c>
      <c r="B23" s="62" t="s">
        <v>16</v>
      </c>
      <c r="C23" s="533" t="s">
        <v>29</v>
      </c>
      <c r="D23" s="533"/>
      <c r="E23" s="62">
        <v>26.2</v>
      </c>
      <c r="F23" s="157">
        <v>3684</v>
      </c>
      <c r="G23" s="147">
        <f t="shared" si="22"/>
        <v>96520.8</v>
      </c>
      <c r="H23" s="90" t="s">
        <v>5</v>
      </c>
      <c r="I23" s="154">
        <v>19</v>
      </c>
      <c r="J23" s="63">
        <v>2400</v>
      </c>
      <c r="K23" s="64">
        <f t="shared" si="1"/>
        <v>126.31578947368421</v>
      </c>
      <c r="L23" s="154">
        <v>19</v>
      </c>
      <c r="M23" s="65">
        <f t="shared" si="23"/>
        <v>2302.5000000000009</v>
      </c>
      <c r="N23" s="64">
        <f t="shared" si="3"/>
        <v>121.18421052631584</v>
      </c>
      <c r="O23" s="66">
        <f t="shared" si="4"/>
        <v>0</v>
      </c>
      <c r="P23" s="67">
        <f t="shared" si="5"/>
        <v>-5.1315789473683679</v>
      </c>
      <c r="Q23" s="150">
        <f t="shared" si="6"/>
        <v>0.95937500000000042</v>
      </c>
      <c r="R23" s="511"/>
      <c r="S23" s="68">
        <v>0.27847222222222223</v>
      </c>
      <c r="T23" s="68">
        <v>0.34513888888888888</v>
      </c>
      <c r="U23" s="147">
        <f t="shared" si="25"/>
        <v>5.9999999999999787</v>
      </c>
      <c r="V23" s="155">
        <f t="shared" si="24"/>
        <v>95.999999999999972</v>
      </c>
      <c r="W23" s="69"/>
      <c r="X23" s="69"/>
      <c r="Y23" s="510"/>
      <c r="Z23" s="510"/>
      <c r="AA23" s="66">
        <f t="shared" si="8"/>
        <v>-97.499999999999091</v>
      </c>
      <c r="AB23" s="150">
        <f t="shared" si="9"/>
        <v>0.95937500000000042</v>
      </c>
      <c r="AC23" s="511"/>
    </row>
    <row r="24" spans="1:29" ht="15.75" customHeight="1">
      <c r="A24" s="536" t="s">
        <v>647</v>
      </c>
      <c r="B24" s="62" t="s">
        <v>16</v>
      </c>
      <c r="C24" s="533" t="s">
        <v>25</v>
      </c>
      <c r="D24" s="533"/>
      <c r="E24" s="62">
        <v>26.2</v>
      </c>
      <c r="F24" s="157">
        <v>4151</v>
      </c>
      <c r="G24" s="147">
        <f t="shared" si="22"/>
        <v>108756.2</v>
      </c>
      <c r="H24" s="90" t="s">
        <v>5</v>
      </c>
      <c r="I24" s="154">
        <v>20</v>
      </c>
      <c r="J24" s="63">
        <v>2400</v>
      </c>
      <c r="K24" s="64">
        <f t="shared" si="1"/>
        <v>120</v>
      </c>
      <c r="L24" s="154">
        <v>20</v>
      </c>
      <c r="M24" s="65">
        <f t="shared" si="23"/>
        <v>2284.9541284403667</v>
      </c>
      <c r="N24" s="64">
        <f t="shared" si="3"/>
        <v>114.24770642201834</v>
      </c>
      <c r="O24" s="66">
        <f t="shared" si="4"/>
        <v>0</v>
      </c>
      <c r="P24" s="67">
        <f t="shared" si="5"/>
        <v>-5.7522935779816606</v>
      </c>
      <c r="Q24" s="150">
        <f t="shared" si="6"/>
        <v>0.95206422018348613</v>
      </c>
      <c r="R24" s="511"/>
      <c r="S24" s="68">
        <v>0.34861111111111109</v>
      </c>
      <c r="T24" s="68">
        <v>0.42430555555555555</v>
      </c>
      <c r="U24" s="147">
        <f t="shared" si="25"/>
        <v>4.9999999999999822</v>
      </c>
      <c r="V24" s="155">
        <f t="shared" si="24"/>
        <v>109.00000000000001</v>
      </c>
      <c r="W24" s="69"/>
      <c r="X24" s="69"/>
      <c r="Y24" s="510"/>
      <c r="Z24" s="510"/>
      <c r="AA24" s="66">
        <f t="shared" si="8"/>
        <v>-115.04587155963327</v>
      </c>
      <c r="AB24" s="150">
        <f t="shared" si="9"/>
        <v>0.95206422018348613</v>
      </c>
      <c r="AC24" s="511"/>
    </row>
    <row r="25" spans="1:29" ht="15.75" customHeight="1">
      <c r="A25" s="536" t="s">
        <v>647</v>
      </c>
      <c r="B25" s="62" t="s">
        <v>16</v>
      </c>
      <c r="C25" s="533" t="s">
        <v>83</v>
      </c>
      <c r="D25" s="533"/>
      <c r="E25" s="62">
        <v>25.99</v>
      </c>
      <c r="F25" s="157">
        <v>2900</v>
      </c>
      <c r="G25" s="147">
        <f t="shared" si="22"/>
        <v>75371</v>
      </c>
      <c r="H25" s="90">
        <v>2</v>
      </c>
      <c r="I25" s="154">
        <v>14</v>
      </c>
      <c r="J25" s="63">
        <v>2400</v>
      </c>
      <c r="K25" s="64">
        <f t="shared" si="1"/>
        <v>171.42857142857142</v>
      </c>
      <c r="L25" s="154">
        <v>14</v>
      </c>
      <c r="M25" s="65">
        <f t="shared" si="23"/>
        <v>2289.4736842105272</v>
      </c>
      <c r="N25" s="64">
        <f t="shared" si="3"/>
        <v>163.53383458646621</v>
      </c>
      <c r="O25" s="66">
        <f t="shared" si="4"/>
        <v>0</v>
      </c>
      <c r="P25" s="67">
        <f t="shared" si="5"/>
        <v>-7.8947368421052033</v>
      </c>
      <c r="Q25" s="150">
        <f t="shared" si="6"/>
        <v>0.95394736842105299</v>
      </c>
      <c r="R25" s="511"/>
      <c r="S25" s="68">
        <v>0.42986111111111108</v>
      </c>
      <c r="T25" s="68">
        <v>0.48263888888888884</v>
      </c>
      <c r="U25" s="147">
        <f t="shared" si="25"/>
        <v>7.9999999999999716</v>
      </c>
      <c r="V25" s="155">
        <f t="shared" si="24"/>
        <v>75.999999999999972</v>
      </c>
      <c r="W25" s="69">
        <f>T25</f>
        <v>0.48263888888888884</v>
      </c>
      <c r="X25" s="69">
        <f>S26</f>
        <v>0.52361111111111103</v>
      </c>
      <c r="Y25" s="510"/>
      <c r="Z25" s="510"/>
      <c r="AA25" s="66">
        <f t="shared" si="8"/>
        <v>-110.52631578947285</v>
      </c>
      <c r="AB25" s="150">
        <f t="shared" si="9"/>
        <v>0.95394736842105299</v>
      </c>
      <c r="AC25" s="511"/>
    </row>
    <row r="26" spans="1:29" ht="15.75" customHeight="1">
      <c r="A26" s="536" t="s">
        <v>335</v>
      </c>
      <c r="B26" s="62" t="s">
        <v>16</v>
      </c>
      <c r="C26" s="533" t="s">
        <v>83</v>
      </c>
      <c r="D26" s="533"/>
      <c r="E26" s="62">
        <v>25.99</v>
      </c>
      <c r="F26" s="157">
        <v>2078</v>
      </c>
      <c r="G26" s="147">
        <f t="shared" si="22"/>
        <v>54007.219999999994</v>
      </c>
      <c r="H26" s="90" t="s">
        <v>5</v>
      </c>
      <c r="I26" s="154">
        <v>14</v>
      </c>
      <c r="J26" s="63">
        <v>2400</v>
      </c>
      <c r="K26" s="64">
        <f t="shared" si="1"/>
        <v>171.42857142857142</v>
      </c>
      <c r="L26" s="154">
        <v>14</v>
      </c>
      <c r="M26" s="65">
        <f t="shared" si="23"/>
        <v>2308.8888888888901</v>
      </c>
      <c r="N26" s="64">
        <f t="shared" si="3"/>
        <v>164.920634920635</v>
      </c>
      <c r="O26" s="66">
        <f t="shared" si="4"/>
        <v>0</v>
      </c>
      <c r="P26" s="67">
        <f t="shared" si="5"/>
        <v>-6.5079365079364209</v>
      </c>
      <c r="Q26" s="150">
        <f t="shared" si="6"/>
        <v>0.96203703703703758</v>
      </c>
      <c r="R26" s="511"/>
      <c r="S26" s="68">
        <v>0.52361111111111103</v>
      </c>
      <c r="T26" s="68">
        <v>0.56111111111111101</v>
      </c>
      <c r="U26" s="147">
        <f t="shared" si="25"/>
        <v>58.99999999999995</v>
      </c>
      <c r="V26" s="155">
        <f t="shared" si="24"/>
        <v>53.999999999999972</v>
      </c>
      <c r="W26" s="69"/>
      <c r="X26" s="69"/>
      <c r="Y26" s="510"/>
      <c r="Z26" s="510"/>
      <c r="AA26" s="66">
        <f t="shared" si="8"/>
        <v>-91.111111111109949</v>
      </c>
      <c r="AB26" s="150">
        <f t="shared" si="9"/>
        <v>0.96203703703703747</v>
      </c>
      <c r="AC26" s="511"/>
    </row>
    <row r="27" spans="1:29" ht="15.75" customHeight="1">
      <c r="A27" s="536" t="s">
        <v>647</v>
      </c>
      <c r="B27" s="62" t="s">
        <v>16</v>
      </c>
      <c r="C27" s="533" t="s">
        <v>30</v>
      </c>
      <c r="D27" s="533"/>
      <c r="E27" s="62">
        <v>31.29</v>
      </c>
      <c r="F27" s="157">
        <v>2908</v>
      </c>
      <c r="G27" s="147">
        <f t="shared" si="22"/>
        <v>90991.319999999992</v>
      </c>
      <c r="H27" s="90" t="s">
        <v>5</v>
      </c>
      <c r="I27" s="154">
        <v>18</v>
      </c>
      <c r="J27" s="63">
        <v>2400</v>
      </c>
      <c r="K27" s="64">
        <f t="shared" si="1"/>
        <v>133.33333333333334</v>
      </c>
      <c r="L27" s="154">
        <v>18</v>
      </c>
      <c r="M27" s="65">
        <f t="shared" si="23"/>
        <v>2295.789473684209</v>
      </c>
      <c r="N27" s="64">
        <f t="shared" si="3"/>
        <v>127.54385964912272</v>
      </c>
      <c r="O27" s="66">
        <f t="shared" si="4"/>
        <v>0</v>
      </c>
      <c r="P27" s="67">
        <f t="shared" si="5"/>
        <v>-5.7894736842106198</v>
      </c>
      <c r="Q27" s="150">
        <f t="shared" si="6"/>
        <v>0.95657894736842031</v>
      </c>
      <c r="R27" s="511"/>
      <c r="S27" s="68">
        <v>0.5659722222222221</v>
      </c>
      <c r="T27" s="68">
        <v>0.61874999999999991</v>
      </c>
      <c r="U27" s="147">
        <f t="shared" si="25"/>
        <v>6.9999999999999751</v>
      </c>
      <c r="V27" s="155">
        <f t="shared" si="24"/>
        <v>76.000000000000057</v>
      </c>
      <c r="W27" s="69"/>
      <c r="X27" s="69"/>
      <c r="Y27" s="510"/>
      <c r="Z27" s="510"/>
      <c r="AA27" s="66">
        <f t="shared" si="8"/>
        <v>-104.21052631579096</v>
      </c>
      <c r="AB27" s="150">
        <f t="shared" si="9"/>
        <v>0.95657894736842042</v>
      </c>
      <c r="AC27" s="511"/>
    </row>
    <row r="28" spans="1:29" ht="15.75" customHeight="1">
      <c r="A28" s="536" t="s">
        <v>647</v>
      </c>
      <c r="B28" s="62" t="s">
        <v>643</v>
      </c>
      <c r="C28" s="513"/>
      <c r="D28" s="513"/>
      <c r="E28" s="151"/>
      <c r="F28" s="157"/>
      <c r="G28" s="147"/>
      <c r="H28" s="157"/>
      <c r="I28" s="72">
        <v>17.428571428571427</v>
      </c>
      <c r="J28" s="63">
        <v>2400</v>
      </c>
      <c r="K28" s="64">
        <f t="shared" si="1"/>
        <v>137.70491803278691</v>
      </c>
      <c r="L28" s="72">
        <v>17.428571428571427</v>
      </c>
      <c r="M28" s="65">
        <f>AVERAGE(M21:M27)</f>
        <v>2297.7211741659094</v>
      </c>
      <c r="N28" s="64">
        <f t="shared" si="3"/>
        <v>131.83646081279809</v>
      </c>
      <c r="O28" s="66">
        <f t="shared" si="4"/>
        <v>0</v>
      </c>
      <c r="P28" s="67">
        <f t="shared" si="5"/>
        <v>-5.8684572199888123</v>
      </c>
      <c r="Q28" s="150">
        <f t="shared" si="6"/>
        <v>0.95738382256912891</v>
      </c>
      <c r="R28" s="511"/>
      <c r="S28" s="68"/>
      <c r="T28" s="68"/>
      <c r="U28" s="147"/>
      <c r="V28" s="155"/>
      <c r="W28" s="147"/>
      <c r="X28" s="147"/>
      <c r="Y28" s="510"/>
      <c r="Z28" s="510"/>
      <c r="AA28" s="66">
        <f t="shared" si="8"/>
        <v>-102.27882583409064</v>
      </c>
      <c r="AB28" s="150">
        <f t="shared" si="9"/>
        <v>0.95738382256912891</v>
      </c>
      <c r="AC28" s="511"/>
    </row>
    <row r="29" spans="1:29" ht="15.75" customHeight="1">
      <c r="A29" s="531" t="s">
        <v>648</v>
      </c>
      <c r="B29" s="62" t="s">
        <v>16</v>
      </c>
      <c r="C29" s="512" t="s">
        <v>31</v>
      </c>
      <c r="D29" s="512"/>
      <c r="E29" s="62">
        <v>26.2</v>
      </c>
      <c r="F29" s="157">
        <v>5411</v>
      </c>
      <c r="G29" s="147">
        <f t="shared" ref="G29:G35" si="26">E29*F29</f>
        <v>141768.19999999998</v>
      </c>
      <c r="H29" s="90" t="s">
        <v>5</v>
      </c>
      <c r="I29" s="154">
        <v>18</v>
      </c>
      <c r="J29" s="63">
        <v>2400</v>
      </c>
      <c r="K29" s="64">
        <f t="shared" si="1"/>
        <v>133.33333333333334</v>
      </c>
      <c r="L29" s="154">
        <v>18</v>
      </c>
      <c r="M29" s="65">
        <f t="shared" ref="M29:M35" si="27">F29/V29*60</f>
        <v>2286.3380281690147</v>
      </c>
      <c r="N29" s="64">
        <f t="shared" si="3"/>
        <v>127.01877934272304</v>
      </c>
      <c r="O29" s="66">
        <f t="shared" si="4"/>
        <v>0</v>
      </c>
      <c r="P29" s="67">
        <f t="shared" si="5"/>
        <v>-6.3145539906103068</v>
      </c>
      <c r="Q29" s="150">
        <f t="shared" si="6"/>
        <v>0.95264084507042268</v>
      </c>
      <c r="R29" s="511">
        <f>Q36</f>
        <v>0.95829879750339197</v>
      </c>
      <c r="S29" s="68">
        <v>0.125</v>
      </c>
      <c r="T29" s="68">
        <v>0.22361111111111109</v>
      </c>
      <c r="U29" s="147"/>
      <c r="V29" s="155">
        <f t="shared" ref="V29:V35" si="28">(T29-S29)*24*60</f>
        <v>141.99999999999997</v>
      </c>
      <c r="W29" s="73">
        <f>T29</f>
        <v>0.22361111111111109</v>
      </c>
      <c r="X29" s="73">
        <f>S30</f>
        <v>0.24305555555555555</v>
      </c>
      <c r="Y29" s="510"/>
      <c r="Z29" s="510"/>
      <c r="AA29" s="66">
        <f t="shared" si="8"/>
        <v>-113.66197183098529</v>
      </c>
      <c r="AB29" s="150">
        <f t="shared" si="9"/>
        <v>0.95264084507042279</v>
      </c>
      <c r="AC29" s="511">
        <f>AB36</f>
        <v>0.95829879750339197</v>
      </c>
    </row>
    <row r="30" spans="1:29" ht="15.75" customHeight="1">
      <c r="A30" s="531" t="s">
        <v>648</v>
      </c>
      <c r="B30" s="62" t="s">
        <v>16</v>
      </c>
      <c r="C30" s="512" t="s">
        <v>32</v>
      </c>
      <c r="D30" s="512"/>
      <c r="E30" s="62">
        <v>26.39</v>
      </c>
      <c r="F30" s="157">
        <v>3100</v>
      </c>
      <c r="G30" s="147">
        <f t="shared" si="26"/>
        <v>81809</v>
      </c>
      <c r="H30" s="90">
        <v>2</v>
      </c>
      <c r="I30" s="154">
        <v>19</v>
      </c>
      <c r="J30" s="63">
        <v>2400</v>
      </c>
      <c r="K30" s="64">
        <f t="shared" si="1"/>
        <v>126.31578947368421</v>
      </c>
      <c r="L30" s="154">
        <v>19</v>
      </c>
      <c r="M30" s="65">
        <f t="shared" si="27"/>
        <v>2296.296296296297</v>
      </c>
      <c r="N30" s="64">
        <f t="shared" si="3"/>
        <v>120.85769980506826</v>
      </c>
      <c r="O30" s="66">
        <f t="shared" si="4"/>
        <v>0</v>
      </c>
      <c r="P30" s="67">
        <f t="shared" si="5"/>
        <v>-5.4580896686159406</v>
      </c>
      <c r="Q30" s="150">
        <f t="shared" si="6"/>
        <v>0.95679012345679049</v>
      </c>
      <c r="R30" s="511"/>
      <c r="S30" s="68">
        <v>0.24305555555555555</v>
      </c>
      <c r="T30" s="68">
        <v>0.29930555555555555</v>
      </c>
      <c r="U30" s="147">
        <f t="shared" ref="U30:U35" si="29">(S30-T29)*24*60</f>
        <v>28.000000000000021</v>
      </c>
      <c r="V30" s="155">
        <f t="shared" si="28"/>
        <v>80.999999999999986</v>
      </c>
      <c r="W30" s="147"/>
      <c r="X30" s="147"/>
      <c r="Y30" s="510"/>
      <c r="Z30" s="510"/>
      <c r="AA30" s="66">
        <f t="shared" si="8"/>
        <v>-103.70370370370301</v>
      </c>
      <c r="AB30" s="150">
        <f t="shared" si="9"/>
        <v>0.95679012345679038</v>
      </c>
      <c r="AC30" s="511"/>
    </row>
    <row r="31" spans="1:29">
      <c r="A31" s="532" t="s">
        <v>648</v>
      </c>
      <c r="B31" s="62" t="s">
        <v>16</v>
      </c>
      <c r="C31" s="512" t="s">
        <v>50</v>
      </c>
      <c r="D31" s="512"/>
      <c r="E31" s="62">
        <v>20.52</v>
      </c>
      <c r="F31" s="157">
        <v>3789</v>
      </c>
      <c r="G31" s="147">
        <f t="shared" si="26"/>
        <v>77750.28</v>
      </c>
      <c r="H31" s="90" t="s">
        <v>5</v>
      </c>
      <c r="I31" s="154">
        <v>18</v>
      </c>
      <c r="J31" s="63">
        <v>2400</v>
      </c>
      <c r="K31" s="64">
        <f t="shared" si="1"/>
        <v>133.33333333333334</v>
      </c>
      <c r="L31" s="154">
        <v>18</v>
      </c>
      <c r="M31" s="65">
        <f t="shared" si="27"/>
        <v>2296.3636363636369</v>
      </c>
      <c r="N31" s="64">
        <f t="shared" si="3"/>
        <v>127.57575757575761</v>
      </c>
      <c r="O31" s="66">
        <f t="shared" si="4"/>
        <v>0</v>
      </c>
      <c r="P31" s="67">
        <f t="shared" si="5"/>
        <v>-5.7575757575757365</v>
      </c>
      <c r="Q31" s="150">
        <f t="shared" si="6"/>
        <v>0.95681818181818201</v>
      </c>
      <c r="R31" s="511"/>
      <c r="S31" s="68">
        <v>0.3034722222222222</v>
      </c>
      <c r="T31" s="68">
        <v>0.37222222222222218</v>
      </c>
      <c r="U31" s="147">
        <f t="shared" si="29"/>
        <v>5.9999999999999787</v>
      </c>
      <c r="V31" s="155">
        <f t="shared" si="28"/>
        <v>98.999999999999972</v>
      </c>
      <c r="W31" s="147"/>
      <c r="X31" s="147"/>
      <c r="Y31" s="510"/>
      <c r="Z31" s="510"/>
      <c r="AA31" s="66">
        <f t="shared" si="8"/>
        <v>-103.63636363636306</v>
      </c>
      <c r="AB31" s="150">
        <f t="shared" si="9"/>
        <v>0.95681818181818201</v>
      </c>
      <c r="AC31" s="511"/>
    </row>
    <row r="32" spans="1:29">
      <c r="A32" s="532" t="s">
        <v>648</v>
      </c>
      <c r="B32" s="62" t="s">
        <v>16</v>
      </c>
      <c r="C32" s="512" t="s">
        <v>18</v>
      </c>
      <c r="D32" s="512"/>
      <c r="E32" s="62">
        <v>22.35</v>
      </c>
      <c r="F32" s="157">
        <v>1549</v>
      </c>
      <c r="G32" s="147">
        <f t="shared" si="26"/>
        <v>34620.15</v>
      </c>
      <c r="H32" s="90" t="s">
        <v>5</v>
      </c>
      <c r="I32" s="154">
        <v>16</v>
      </c>
      <c r="J32" s="63">
        <v>2400</v>
      </c>
      <c r="K32" s="64">
        <f t="shared" si="1"/>
        <v>150</v>
      </c>
      <c r="L32" s="154">
        <v>16</v>
      </c>
      <c r="M32" s="65">
        <f t="shared" si="27"/>
        <v>2323.4999999999991</v>
      </c>
      <c r="N32" s="64">
        <f t="shared" si="3"/>
        <v>145.21874999999994</v>
      </c>
      <c r="O32" s="66">
        <f t="shared" si="4"/>
        <v>0</v>
      </c>
      <c r="P32" s="67">
        <f t="shared" si="5"/>
        <v>-4.7812500000000568</v>
      </c>
      <c r="Q32" s="150">
        <f t="shared" si="6"/>
        <v>0.96812499999999957</v>
      </c>
      <c r="R32" s="511"/>
      <c r="S32" s="68">
        <v>0.37708333333333327</v>
      </c>
      <c r="T32" s="68">
        <v>0.40486111111111106</v>
      </c>
      <c r="U32" s="147">
        <f t="shared" si="29"/>
        <v>6.9999999999999751</v>
      </c>
      <c r="V32" s="155">
        <f t="shared" si="28"/>
        <v>40.000000000000014</v>
      </c>
      <c r="W32" s="69"/>
      <c r="X32" s="69"/>
      <c r="Y32" s="510"/>
      <c r="Z32" s="510"/>
      <c r="AA32" s="66">
        <f t="shared" si="8"/>
        <v>-76.500000000000909</v>
      </c>
      <c r="AB32" s="150">
        <f t="shared" si="9"/>
        <v>0.96812499999999957</v>
      </c>
      <c r="AC32" s="511"/>
    </row>
    <row r="33" spans="1:29">
      <c r="A33" s="532" t="s">
        <v>648</v>
      </c>
      <c r="B33" s="62" t="s">
        <v>16</v>
      </c>
      <c r="C33" s="512" t="s">
        <v>33</v>
      </c>
      <c r="D33" s="512"/>
      <c r="E33" s="62">
        <v>24.43</v>
      </c>
      <c r="F33" s="157">
        <v>3900</v>
      </c>
      <c r="G33" s="147">
        <f t="shared" si="26"/>
        <v>95277</v>
      </c>
      <c r="H33" s="90">
        <v>2</v>
      </c>
      <c r="I33" s="154">
        <v>14</v>
      </c>
      <c r="J33" s="63">
        <v>2400</v>
      </c>
      <c r="K33" s="64">
        <f t="shared" si="1"/>
        <v>171.42857142857142</v>
      </c>
      <c r="L33" s="154">
        <v>14</v>
      </c>
      <c r="M33" s="65">
        <f t="shared" si="27"/>
        <v>2294.1176470588225</v>
      </c>
      <c r="N33" s="64">
        <f t="shared" si="3"/>
        <v>163.86554621848731</v>
      </c>
      <c r="O33" s="66">
        <f t="shared" si="4"/>
        <v>0</v>
      </c>
      <c r="P33" s="67">
        <f t="shared" si="5"/>
        <v>-7.5630252100841062</v>
      </c>
      <c r="Q33" s="150">
        <f t="shared" si="6"/>
        <v>0.95588235294117607</v>
      </c>
      <c r="R33" s="511"/>
      <c r="S33" s="68">
        <v>0.40972222222222215</v>
      </c>
      <c r="T33" s="68">
        <v>0.48055555555555551</v>
      </c>
      <c r="U33" s="147">
        <f t="shared" si="29"/>
        <v>6.9999999999999751</v>
      </c>
      <c r="V33" s="155">
        <f t="shared" si="28"/>
        <v>102.00000000000004</v>
      </c>
      <c r="W33" s="69">
        <f>T33</f>
        <v>0.48055555555555551</v>
      </c>
      <c r="X33" s="69">
        <f>S34</f>
        <v>0.52083333333333326</v>
      </c>
      <c r="Y33" s="510"/>
      <c r="Z33" s="510"/>
      <c r="AA33" s="66">
        <f t="shared" si="8"/>
        <v>-105.88235294117749</v>
      </c>
      <c r="AB33" s="150">
        <f t="shared" si="9"/>
        <v>0.95588235294117607</v>
      </c>
      <c r="AC33" s="511"/>
    </row>
    <row r="34" spans="1:29">
      <c r="A34" s="532" t="s">
        <v>648</v>
      </c>
      <c r="B34" s="62" t="s">
        <v>16</v>
      </c>
      <c r="C34" s="512" t="s">
        <v>33</v>
      </c>
      <c r="D34" s="512"/>
      <c r="E34" s="62">
        <v>24.43</v>
      </c>
      <c r="F34" s="157">
        <v>2786</v>
      </c>
      <c r="G34" s="147">
        <f t="shared" si="26"/>
        <v>68061.98</v>
      </c>
      <c r="H34" s="90" t="s">
        <v>5</v>
      </c>
      <c r="I34" s="154">
        <v>14</v>
      </c>
      <c r="J34" s="63">
        <v>2400</v>
      </c>
      <c r="K34" s="64">
        <f t="shared" si="1"/>
        <v>171.42857142857142</v>
      </c>
      <c r="L34" s="154">
        <v>14</v>
      </c>
      <c r="M34" s="65">
        <f t="shared" si="27"/>
        <v>2289.863013698628</v>
      </c>
      <c r="N34" s="64">
        <f t="shared" si="3"/>
        <v>163.56164383561628</v>
      </c>
      <c r="O34" s="66">
        <f t="shared" si="4"/>
        <v>0</v>
      </c>
      <c r="P34" s="67">
        <f t="shared" si="5"/>
        <v>-7.8669275929551361</v>
      </c>
      <c r="Q34" s="150">
        <f t="shared" si="6"/>
        <v>0.954109589041095</v>
      </c>
      <c r="R34" s="511"/>
      <c r="S34" s="68">
        <v>0.52083333333333326</v>
      </c>
      <c r="T34" s="68">
        <v>0.57152777777777775</v>
      </c>
      <c r="U34" s="147">
        <f t="shared" si="29"/>
        <v>57.999999999999957</v>
      </c>
      <c r="V34" s="155">
        <f t="shared" si="28"/>
        <v>73.000000000000057</v>
      </c>
      <c r="W34" s="69"/>
      <c r="X34" s="69"/>
      <c r="Y34" s="510"/>
      <c r="Z34" s="510"/>
      <c r="AA34" s="66">
        <f t="shared" si="8"/>
        <v>-110.13698630137196</v>
      </c>
      <c r="AB34" s="150">
        <f t="shared" si="9"/>
        <v>0.954109589041095</v>
      </c>
      <c r="AC34" s="511"/>
    </row>
    <row r="35" spans="1:29">
      <c r="A35" s="532" t="s">
        <v>648</v>
      </c>
      <c r="B35" s="62" t="s">
        <v>16</v>
      </c>
      <c r="C35" s="512" t="s">
        <v>32</v>
      </c>
      <c r="D35" s="512"/>
      <c r="E35" s="62">
        <v>26.39</v>
      </c>
      <c r="F35" s="157">
        <v>1966</v>
      </c>
      <c r="G35" s="147">
        <f t="shared" si="26"/>
        <v>51882.74</v>
      </c>
      <c r="H35" s="90" t="s">
        <v>5</v>
      </c>
      <c r="I35" s="154">
        <v>19</v>
      </c>
      <c r="J35" s="63">
        <v>2400</v>
      </c>
      <c r="K35" s="64">
        <f t="shared" si="1"/>
        <v>126.31578947368421</v>
      </c>
      <c r="L35" s="154">
        <v>19</v>
      </c>
      <c r="M35" s="65">
        <f t="shared" si="27"/>
        <v>2312.9411764705892</v>
      </c>
      <c r="N35" s="64">
        <f t="shared" si="3"/>
        <v>121.73374613003101</v>
      </c>
      <c r="O35" s="66">
        <f t="shared" si="4"/>
        <v>0</v>
      </c>
      <c r="P35" s="67">
        <f t="shared" si="5"/>
        <v>-4.5820433436531971</v>
      </c>
      <c r="Q35" s="150">
        <f t="shared" si="6"/>
        <v>0.96372549019607889</v>
      </c>
      <c r="R35" s="511"/>
      <c r="S35" s="68">
        <v>0.5756944444444444</v>
      </c>
      <c r="T35" s="68">
        <v>0.61111111111111105</v>
      </c>
      <c r="U35" s="147">
        <f t="shared" si="29"/>
        <v>5.9999999999999787</v>
      </c>
      <c r="V35" s="155">
        <f t="shared" si="28"/>
        <v>50.999999999999979</v>
      </c>
      <c r="W35" s="69"/>
      <c r="X35" s="69"/>
      <c r="Y35" s="517"/>
      <c r="Z35" s="518"/>
      <c r="AA35" s="66">
        <f t="shared" si="8"/>
        <v>-87.058823529410802</v>
      </c>
      <c r="AB35" s="150">
        <f t="shared" si="9"/>
        <v>0.96372549019607878</v>
      </c>
      <c r="AC35" s="511"/>
    </row>
    <row r="36" spans="1:29">
      <c r="A36" s="532" t="s">
        <v>648</v>
      </c>
      <c r="B36" s="71" t="s">
        <v>643</v>
      </c>
      <c r="C36" s="513"/>
      <c r="D36" s="513"/>
      <c r="E36" s="151"/>
      <c r="F36" s="71"/>
      <c r="G36" s="64"/>
      <c r="H36" s="157"/>
      <c r="I36" s="72">
        <v>16.857142857142858</v>
      </c>
      <c r="J36" s="63">
        <v>2400</v>
      </c>
      <c r="K36" s="64">
        <f t="shared" si="1"/>
        <v>142.37288135593221</v>
      </c>
      <c r="L36" s="72">
        <v>16.857142857142858</v>
      </c>
      <c r="M36" s="65">
        <f>AVERAGE(M29:M35)</f>
        <v>2299.9171140081407</v>
      </c>
      <c r="N36" s="64">
        <f t="shared" si="3"/>
        <v>136.43576100048293</v>
      </c>
      <c r="O36" s="66">
        <f t="shared" si="4"/>
        <v>0</v>
      </c>
      <c r="P36" s="67">
        <f t="shared" si="5"/>
        <v>-5.9371203554492809</v>
      </c>
      <c r="Q36" s="150">
        <f t="shared" si="6"/>
        <v>0.95829879750339197</v>
      </c>
      <c r="R36" s="511"/>
      <c r="S36" s="68"/>
      <c r="T36" s="68"/>
      <c r="U36" s="64"/>
      <c r="V36" s="155"/>
      <c r="W36" s="64"/>
      <c r="X36" s="64"/>
      <c r="Y36" s="510"/>
      <c r="Z36" s="510"/>
      <c r="AA36" s="66">
        <f t="shared" si="8"/>
        <v>-100.08288599185926</v>
      </c>
      <c r="AB36" s="150">
        <f t="shared" si="9"/>
        <v>0.95829879750339197</v>
      </c>
      <c r="AC36" s="511"/>
    </row>
    <row r="37" spans="1:29" ht="15.75" customHeight="1">
      <c r="A37" s="525" t="s">
        <v>649</v>
      </c>
      <c r="B37" s="62" t="s">
        <v>35</v>
      </c>
      <c r="C37" s="521" t="s">
        <v>36</v>
      </c>
      <c r="D37" s="522"/>
      <c r="E37" s="62">
        <v>21.13</v>
      </c>
      <c r="F37" s="157">
        <v>2500</v>
      </c>
      <c r="G37" s="147">
        <f t="shared" ref="G37:G46" si="30">E37*F37</f>
        <v>52825</v>
      </c>
      <c r="H37" s="90">
        <v>2</v>
      </c>
      <c r="I37" s="154">
        <v>10</v>
      </c>
      <c r="J37" s="63">
        <v>3000</v>
      </c>
      <c r="K37" s="64">
        <f t="shared" si="1"/>
        <v>300</v>
      </c>
      <c r="L37" s="154">
        <v>10</v>
      </c>
      <c r="M37" s="65">
        <f t="shared" ref="M37:M46" si="31">F37/V37*60</f>
        <v>2884.6153846153838</v>
      </c>
      <c r="N37" s="65">
        <f t="shared" si="3"/>
        <v>288.4615384615384</v>
      </c>
      <c r="O37" s="66">
        <f t="shared" si="4"/>
        <v>0</v>
      </c>
      <c r="P37" s="67">
        <f t="shared" si="5"/>
        <v>-11.538461538461604</v>
      </c>
      <c r="Q37" s="150">
        <f t="shared" si="6"/>
        <v>0.96153846153846134</v>
      </c>
      <c r="R37" s="528">
        <f>Q47</f>
        <v>0.95975800555281865</v>
      </c>
      <c r="S37" s="68">
        <v>0.125</v>
      </c>
      <c r="T37" s="68">
        <v>0.16111111111111112</v>
      </c>
      <c r="U37" s="73"/>
      <c r="V37" s="155">
        <f t="shared" ref="V37:V46" si="32">(T37-S37)*24*60</f>
        <v>52.000000000000014</v>
      </c>
      <c r="W37" s="69">
        <f>T37</f>
        <v>0.16111111111111112</v>
      </c>
      <c r="X37" s="69">
        <f>S38</f>
        <v>0.18263888888888891</v>
      </c>
      <c r="Y37" s="517"/>
      <c r="Z37" s="518"/>
      <c r="AA37" s="66">
        <f t="shared" si="8"/>
        <v>-115.38461538461615</v>
      </c>
      <c r="AB37" s="150">
        <f t="shared" si="9"/>
        <v>0.96153846153846123</v>
      </c>
      <c r="AC37" s="528">
        <f>AB47</f>
        <v>0.95975800555281876</v>
      </c>
    </row>
    <row r="38" spans="1:29" ht="15.75" customHeight="1">
      <c r="A38" s="526" t="s">
        <v>649</v>
      </c>
      <c r="B38" s="62" t="s">
        <v>35</v>
      </c>
      <c r="C38" s="521" t="s">
        <v>37</v>
      </c>
      <c r="D38" s="522"/>
      <c r="E38" s="62">
        <v>27.17</v>
      </c>
      <c r="F38" s="157">
        <v>3200</v>
      </c>
      <c r="G38" s="147">
        <f t="shared" si="30"/>
        <v>86944</v>
      </c>
      <c r="H38" s="90">
        <v>2</v>
      </c>
      <c r="I38" s="154">
        <v>10</v>
      </c>
      <c r="J38" s="63">
        <v>3000</v>
      </c>
      <c r="K38" s="64">
        <f t="shared" si="1"/>
        <v>300</v>
      </c>
      <c r="L38" s="154">
        <v>10</v>
      </c>
      <c r="M38" s="65">
        <f t="shared" si="31"/>
        <v>2865.6716417910447</v>
      </c>
      <c r="N38" s="65">
        <f t="shared" si="3"/>
        <v>286.56716417910445</v>
      </c>
      <c r="O38" s="66">
        <f t="shared" si="4"/>
        <v>0</v>
      </c>
      <c r="P38" s="67">
        <f t="shared" si="5"/>
        <v>-13.432835820895548</v>
      </c>
      <c r="Q38" s="150">
        <f t="shared" si="6"/>
        <v>0.9552238805970148</v>
      </c>
      <c r="R38" s="529"/>
      <c r="S38" s="68">
        <v>0.18263888888888891</v>
      </c>
      <c r="T38" s="68">
        <v>0.22916666666666669</v>
      </c>
      <c r="U38" s="147">
        <f t="shared" ref="U38:U46" si="33">(S38-T37)*24*60</f>
        <v>31.000000000000011</v>
      </c>
      <c r="V38" s="155">
        <f t="shared" si="32"/>
        <v>67</v>
      </c>
      <c r="W38" s="69"/>
      <c r="X38" s="69"/>
      <c r="Y38" s="517"/>
      <c r="Z38" s="518"/>
      <c r="AA38" s="66">
        <f t="shared" si="8"/>
        <v>-134.32835820895525</v>
      </c>
      <c r="AB38" s="150">
        <f t="shared" si="9"/>
        <v>0.95522388059701491</v>
      </c>
      <c r="AC38" s="529"/>
    </row>
    <row r="39" spans="1:29" ht="15.75" customHeight="1">
      <c r="A39" s="526" t="s">
        <v>649</v>
      </c>
      <c r="B39" s="62" t="s">
        <v>35</v>
      </c>
      <c r="C39" s="521" t="s">
        <v>38</v>
      </c>
      <c r="D39" s="522"/>
      <c r="E39" s="62">
        <v>35.119999999999997</v>
      </c>
      <c r="F39" s="157">
        <v>3887</v>
      </c>
      <c r="G39" s="147">
        <f t="shared" si="30"/>
        <v>136511.44</v>
      </c>
      <c r="H39" s="90" t="s">
        <v>5</v>
      </c>
      <c r="I39" s="154">
        <v>10</v>
      </c>
      <c r="J39" s="63">
        <v>3000</v>
      </c>
      <c r="K39" s="64">
        <f t="shared" si="1"/>
        <v>300</v>
      </c>
      <c r="L39" s="154">
        <v>10</v>
      </c>
      <c r="M39" s="65">
        <f t="shared" si="31"/>
        <v>2879.25925925926</v>
      </c>
      <c r="N39" s="65">
        <f t="shared" si="3"/>
        <v>287.92592592592598</v>
      </c>
      <c r="O39" s="66">
        <f t="shared" si="4"/>
        <v>0</v>
      </c>
      <c r="P39" s="67">
        <f t="shared" si="5"/>
        <v>-12.074074074074019</v>
      </c>
      <c r="Q39" s="150">
        <f t="shared" si="6"/>
        <v>0.95975308641975332</v>
      </c>
      <c r="R39" s="529"/>
      <c r="S39" s="68">
        <v>0.23472222222222225</v>
      </c>
      <c r="T39" s="68">
        <v>0.29097222222222224</v>
      </c>
      <c r="U39" s="147">
        <f t="shared" si="33"/>
        <v>8.0000000000000107</v>
      </c>
      <c r="V39" s="155">
        <f t="shared" si="32"/>
        <v>80.999999999999986</v>
      </c>
      <c r="W39" s="69"/>
      <c r="X39" s="69"/>
      <c r="Y39" s="517"/>
      <c r="Z39" s="518"/>
      <c r="AA39" s="66">
        <f t="shared" si="8"/>
        <v>-120.74074074073997</v>
      </c>
      <c r="AB39" s="150">
        <f t="shared" si="9"/>
        <v>0.95975308641975332</v>
      </c>
      <c r="AC39" s="529"/>
    </row>
    <row r="40" spans="1:29" ht="15.75" customHeight="1">
      <c r="A40" s="526" t="s">
        <v>649</v>
      </c>
      <c r="B40" s="62" t="s">
        <v>35</v>
      </c>
      <c r="C40" s="521" t="s">
        <v>39</v>
      </c>
      <c r="D40" s="522"/>
      <c r="E40" s="62">
        <v>35.869999999999997</v>
      </c>
      <c r="F40" s="157">
        <v>2540</v>
      </c>
      <c r="G40" s="147">
        <f t="shared" si="30"/>
        <v>91109.799999999988</v>
      </c>
      <c r="H40" s="90" t="s">
        <v>5</v>
      </c>
      <c r="I40" s="154">
        <v>9</v>
      </c>
      <c r="J40" s="63">
        <v>3000</v>
      </c>
      <c r="K40" s="64">
        <f t="shared" si="1"/>
        <v>333.33333333333331</v>
      </c>
      <c r="L40" s="154">
        <v>9</v>
      </c>
      <c r="M40" s="65">
        <f t="shared" si="31"/>
        <v>2875.4716981132092</v>
      </c>
      <c r="N40" s="65">
        <f t="shared" si="3"/>
        <v>319.49685534591214</v>
      </c>
      <c r="O40" s="66">
        <f t="shared" si="4"/>
        <v>0</v>
      </c>
      <c r="P40" s="67">
        <f t="shared" si="5"/>
        <v>-13.836477987421176</v>
      </c>
      <c r="Q40" s="150">
        <f t="shared" si="6"/>
        <v>0.95849056603773641</v>
      </c>
      <c r="R40" s="529"/>
      <c r="S40" s="68">
        <v>0.29652777777777778</v>
      </c>
      <c r="T40" s="68">
        <v>0.33333333333333331</v>
      </c>
      <c r="U40" s="147">
        <f t="shared" si="33"/>
        <v>7.9999999999999716</v>
      </c>
      <c r="V40" s="155">
        <f t="shared" si="32"/>
        <v>52.999999999999972</v>
      </c>
      <c r="W40" s="69"/>
      <c r="X40" s="69"/>
      <c r="Y40" s="517"/>
      <c r="Z40" s="518"/>
      <c r="AA40" s="66">
        <f t="shared" si="8"/>
        <v>-124.52830188679081</v>
      </c>
      <c r="AB40" s="150">
        <f t="shared" si="9"/>
        <v>0.95849056603773641</v>
      </c>
      <c r="AC40" s="529"/>
    </row>
    <row r="41" spans="1:29" ht="15.75" customHeight="1">
      <c r="A41" s="526" t="s">
        <v>649</v>
      </c>
      <c r="B41" s="62" t="s">
        <v>35</v>
      </c>
      <c r="C41" s="521" t="s">
        <v>40</v>
      </c>
      <c r="D41" s="522"/>
      <c r="E41" s="62">
        <v>36.14</v>
      </c>
      <c r="F41" s="157">
        <v>1324</v>
      </c>
      <c r="G41" s="147">
        <f t="shared" si="30"/>
        <v>47849.36</v>
      </c>
      <c r="H41" s="90" t="s">
        <v>5</v>
      </c>
      <c r="I41" s="154">
        <v>9</v>
      </c>
      <c r="J41" s="63">
        <v>3000</v>
      </c>
      <c r="K41" s="64">
        <f t="shared" si="1"/>
        <v>333.33333333333331</v>
      </c>
      <c r="L41" s="154">
        <v>9</v>
      </c>
      <c r="M41" s="65">
        <f t="shared" si="31"/>
        <v>2942.2222222222235</v>
      </c>
      <c r="N41" s="65">
        <f t="shared" si="3"/>
        <v>326.91358024691374</v>
      </c>
      <c r="O41" s="66">
        <f t="shared" si="4"/>
        <v>0</v>
      </c>
      <c r="P41" s="67">
        <f t="shared" si="5"/>
        <v>-6.4197530864195755</v>
      </c>
      <c r="Q41" s="150">
        <f t="shared" si="6"/>
        <v>0.98074074074074125</v>
      </c>
      <c r="R41" s="529"/>
      <c r="S41" s="68">
        <v>0.33819444444444441</v>
      </c>
      <c r="T41" s="68">
        <v>0.3569444444444444</v>
      </c>
      <c r="U41" s="147">
        <f t="shared" si="33"/>
        <v>6.9999999999999751</v>
      </c>
      <c r="V41" s="155">
        <f t="shared" si="32"/>
        <v>26.999999999999986</v>
      </c>
      <c r="W41" s="69"/>
      <c r="X41" s="69"/>
      <c r="Y41" s="517"/>
      <c r="Z41" s="518"/>
      <c r="AA41" s="66">
        <f t="shared" si="8"/>
        <v>-57.777777777776464</v>
      </c>
      <c r="AB41" s="150">
        <f t="shared" si="9"/>
        <v>0.98074074074074113</v>
      </c>
      <c r="AC41" s="529"/>
    </row>
    <row r="42" spans="1:29" ht="15.75" customHeight="1">
      <c r="A42" s="526" t="s">
        <v>649</v>
      </c>
      <c r="B42" s="62" t="s">
        <v>35</v>
      </c>
      <c r="C42" s="521" t="s">
        <v>74</v>
      </c>
      <c r="D42" s="522"/>
      <c r="E42" s="62">
        <v>34.36</v>
      </c>
      <c r="F42" s="157">
        <v>2426</v>
      </c>
      <c r="G42" s="147">
        <f t="shared" si="30"/>
        <v>83357.36</v>
      </c>
      <c r="H42" s="90" t="s">
        <v>5</v>
      </c>
      <c r="I42" s="154">
        <v>10</v>
      </c>
      <c r="J42" s="63">
        <v>3000</v>
      </c>
      <c r="K42" s="64">
        <f t="shared" si="1"/>
        <v>300</v>
      </c>
      <c r="L42" s="154">
        <v>10</v>
      </c>
      <c r="M42" s="65">
        <f t="shared" si="31"/>
        <v>2854.1176470588248</v>
      </c>
      <c r="N42" s="65">
        <f t="shared" si="3"/>
        <v>285.41176470588249</v>
      </c>
      <c r="O42" s="66">
        <f t="shared" si="4"/>
        <v>0</v>
      </c>
      <c r="P42" s="67">
        <f t="shared" si="5"/>
        <v>-14.58823529411751</v>
      </c>
      <c r="Q42" s="150">
        <f t="shared" si="6"/>
        <v>0.95137254901960833</v>
      </c>
      <c r="R42" s="529"/>
      <c r="S42" s="68">
        <v>0.36041666666666661</v>
      </c>
      <c r="T42" s="68">
        <v>0.39583333333333326</v>
      </c>
      <c r="U42" s="147">
        <f t="shared" si="33"/>
        <v>4.9999999999999822</v>
      </c>
      <c r="V42" s="155">
        <f t="shared" si="32"/>
        <v>50.999999999999979</v>
      </c>
      <c r="W42" s="69"/>
      <c r="X42" s="69"/>
      <c r="Y42" s="517"/>
      <c r="Z42" s="518"/>
      <c r="AA42" s="66">
        <f t="shared" si="8"/>
        <v>-145.88235294117521</v>
      </c>
      <c r="AB42" s="150">
        <f t="shared" si="9"/>
        <v>0.95137254901960822</v>
      </c>
      <c r="AC42" s="529"/>
    </row>
    <row r="43" spans="1:29" ht="15.75" customHeight="1">
      <c r="A43" s="526" t="s">
        <v>649</v>
      </c>
      <c r="B43" s="62" t="s">
        <v>35</v>
      </c>
      <c r="C43" s="521" t="s">
        <v>84</v>
      </c>
      <c r="D43" s="522"/>
      <c r="E43" s="62">
        <v>31</v>
      </c>
      <c r="F43" s="157">
        <v>4100</v>
      </c>
      <c r="G43" s="147">
        <f t="shared" si="30"/>
        <v>127100</v>
      </c>
      <c r="H43" s="90">
        <v>2</v>
      </c>
      <c r="I43" s="154">
        <v>13</v>
      </c>
      <c r="J43" s="63">
        <v>2000</v>
      </c>
      <c r="K43" s="64">
        <f t="shared" si="1"/>
        <v>153.84615384615384</v>
      </c>
      <c r="L43" s="154">
        <v>13</v>
      </c>
      <c r="M43" s="65">
        <f t="shared" si="31"/>
        <v>1906.9767441860461</v>
      </c>
      <c r="N43" s="65">
        <f t="shared" si="3"/>
        <v>146.69051878354202</v>
      </c>
      <c r="O43" s="66">
        <f t="shared" si="4"/>
        <v>0</v>
      </c>
      <c r="P43" s="67">
        <f t="shared" si="5"/>
        <v>-7.1556350626118217</v>
      </c>
      <c r="Q43" s="150">
        <f t="shared" si="6"/>
        <v>0.95348837209302317</v>
      </c>
      <c r="R43" s="529"/>
      <c r="S43" s="68">
        <v>0.40069444444444435</v>
      </c>
      <c r="T43" s="68">
        <v>0.4902777777777777</v>
      </c>
      <c r="U43" s="147">
        <f t="shared" si="33"/>
        <v>6.9999999999999751</v>
      </c>
      <c r="V43" s="155">
        <f t="shared" si="32"/>
        <v>129.00000000000003</v>
      </c>
      <c r="W43" s="69">
        <f>T43</f>
        <v>0.4902777777777777</v>
      </c>
      <c r="X43" s="69">
        <f>S44</f>
        <v>0.52986111111111101</v>
      </c>
      <c r="Y43" s="517"/>
      <c r="Z43" s="518"/>
      <c r="AA43" s="66">
        <f t="shared" si="8"/>
        <v>-93.023255813953938</v>
      </c>
      <c r="AB43" s="150">
        <f t="shared" si="9"/>
        <v>0.95348837209302306</v>
      </c>
      <c r="AC43" s="529"/>
    </row>
    <row r="44" spans="1:29" ht="15.75" customHeight="1">
      <c r="A44" s="526" t="s">
        <v>649</v>
      </c>
      <c r="B44" s="62" t="s">
        <v>35</v>
      </c>
      <c r="C44" s="521" t="s">
        <v>84</v>
      </c>
      <c r="D44" s="522"/>
      <c r="E44" s="62">
        <v>31</v>
      </c>
      <c r="F44" s="157">
        <v>2657</v>
      </c>
      <c r="G44" s="147">
        <f t="shared" si="30"/>
        <v>82367</v>
      </c>
      <c r="H44" s="90" t="s">
        <v>5</v>
      </c>
      <c r="I44" s="154">
        <v>13</v>
      </c>
      <c r="J44" s="63">
        <v>2000</v>
      </c>
      <c r="K44" s="64">
        <f t="shared" si="1"/>
        <v>153.84615384615384</v>
      </c>
      <c r="L44" s="154">
        <v>13</v>
      </c>
      <c r="M44" s="65">
        <f t="shared" si="31"/>
        <v>1920.7228915662645</v>
      </c>
      <c r="N44" s="65">
        <f t="shared" si="3"/>
        <v>147.74791473586649</v>
      </c>
      <c r="O44" s="66">
        <f t="shared" si="4"/>
        <v>0</v>
      </c>
      <c r="P44" s="67">
        <f t="shared" si="5"/>
        <v>-6.0982391102873521</v>
      </c>
      <c r="Q44" s="150">
        <f t="shared" si="6"/>
        <v>0.96036144578313221</v>
      </c>
      <c r="R44" s="529"/>
      <c r="S44" s="68">
        <v>0.52986111111111101</v>
      </c>
      <c r="T44" s="68">
        <v>0.58749999999999991</v>
      </c>
      <c r="U44" s="147">
        <f t="shared" si="33"/>
        <v>56.999999999999957</v>
      </c>
      <c r="V44" s="155">
        <f t="shared" si="32"/>
        <v>83.000000000000028</v>
      </c>
      <c r="W44" s="69"/>
      <c r="X44" s="69"/>
      <c r="Y44" s="517"/>
      <c r="Z44" s="518"/>
      <c r="AA44" s="66">
        <f t="shared" si="8"/>
        <v>-79.277108433735521</v>
      </c>
      <c r="AB44" s="150">
        <f t="shared" si="9"/>
        <v>0.96036144578313221</v>
      </c>
      <c r="AC44" s="529"/>
    </row>
    <row r="45" spans="1:29" ht="15.75" customHeight="1">
      <c r="A45" s="526" t="s">
        <v>649</v>
      </c>
      <c r="B45" s="62" t="s">
        <v>35</v>
      </c>
      <c r="C45" s="521" t="s">
        <v>37</v>
      </c>
      <c r="D45" s="522"/>
      <c r="E45" s="62">
        <v>27.17</v>
      </c>
      <c r="F45" s="157">
        <v>2156</v>
      </c>
      <c r="G45" s="147">
        <f t="shared" si="30"/>
        <v>58578.520000000004</v>
      </c>
      <c r="H45" s="90" t="s">
        <v>5</v>
      </c>
      <c r="I45" s="154">
        <v>10</v>
      </c>
      <c r="J45" s="63">
        <v>3000</v>
      </c>
      <c r="K45" s="64">
        <f t="shared" si="1"/>
        <v>300</v>
      </c>
      <c r="L45" s="154">
        <v>10</v>
      </c>
      <c r="M45" s="65">
        <f t="shared" si="31"/>
        <v>2874.6666666666665</v>
      </c>
      <c r="N45" s="65">
        <f t="shared" si="3"/>
        <v>287.46666666666664</v>
      </c>
      <c r="O45" s="66">
        <f t="shared" si="4"/>
        <v>0</v>
      </c>
      <c r="P45" s="67">
        <f t="shared" si="5"/>
        <v>-12.53333333333336</v>
      </c>
      <c r="Q45" s="150">
        <f t="shared" si="6"/>
        <v>0.95822222222222209</v>
      </c>
      <c r="R45" s="529"/>
      <c r="S45" s="68">
        <v>0.59305555555555545</v>
      </c>
      <c r="T45" s="68">
        <v>0.62430555555555545</v>
      </c>
      <c r="U45" s="147">
        <f t="shared" si="33"/>
        <v>7.9999999999999716</v>
      </c>
      <c r="V45" s="155">
        <f t="shared" si="32"/>
        <v>45</v>
      </c>
      <c r="W45" s="69"/>
      <c r="X45" s="69"/>
      <c r="Y45" s="517"/>
      <c r="Z45" s="518"/>
      <c r="AA45" s="66">
        <f t="shared" si="8"/>
        <v>-125.33333333333348</v>
      </c>
      <c r="AB45" s="150">
        <f t="shared" si="9"/>
        <v>0.9582222222222222</v>
      </c>
      <c r="AC45" s="529"/>
    </row>
    <row r="46" spans="1:29" ht="15.75" customHeight="1">
      <c r="A46" s="526" t="s">
        <v>649</v>
      </c>
      <c r="B46" s="62" t="s">
        <v>35</v>
      </c>
      <c r="C46" s="521" t="s">
        <v>36</v>
      </c>
      <c r="D46" s="522"/>
      <c r="E46" s="62">
        <v>21.13</v>
      </c>
      <c r="F46" s="157">
        <v>1913</v>
      </c>
      <c r="G46" s="147">
        <f t="shared" si="30"/>
        <v>40421.689999999995</v>
      </c>
      <c r="H46" s="90" t="s">
        <v>5</v>
      </c>
      <c r="I46" s="154">
        <v>10</v>
      </c>
      <c r="J46" s="63">
        <v>3000</v>
      </c>
      <c r="K46" s="64">
        <f t="shared" si="1"/>
        <v>300</v>
      </c>
      <c r="L46" s="154">
        <v>10</v>
      </c>
      <c r="M46" s="65">
        <f t="shared" si="31"/>
        <v>2869.4999999999991</v>
      </c>
      <c r="N46" s="65">
        <f t="shared" si="3"/>
        <v>286.94999999999993</v>
      </c>
      <c r="O46" s="66">
        <f t="shared" si="4"/>
        <v>0</v>
      </c>
      <c r="P46" s="67">
        <f t="shared" si="5"/>
        <v>-13.050000000000068</v>
      </c>
      <c r="Q46" s="150">
        <f t="shared" si="6"/>
        <v>0.95649999999999979</v>
      </c>
      <c r="R46" s="529"/>
      <c r="S46" s="68">
        <v>0.62777777777777766</v>
      </c>
      <c r="T46" s="68">
        <v>0.65555555555555545</v>
      </c>
      <c r="U46" s="147">
        <f t="shared" si="33"/>
        <v>4.9999999999999822</v>
      </c>
      <c r="V46" s="155">
        <f t="shared" si="32"/>
        <v>40.000000000000014</v>
      </c>
      <c r="W46" s="69"/>
      <c r="X46" s="69"/>
      <c r="Y46" s="517"/>
      <c r="Z46" s="518"/>
      <c r="AA46" s="66">
        <f t="shared" si="8"/>
        <v>-130.50000000000091</v>
      </c>
      <c r="AB46" s="150">
        <f t="shared" si="9"/>
        <v>0.95649999999999968</v>
      </c>
      <c r="AC46" s="529"/>
    </row>
    <row r="47" spans="1:29" ht="15.75" customHeight="1">
      <c r="A47" s="527" t="s">
        <v>649</v>
      </c>
      <c r="B47" s="62" t="s">
        <v>643</v>
      </c>
      <c r="C47" s="508"/>
      <c r="D47" s="509"/>
      <c r="E47" s="146"/>
      <c r="F47" s="157"/>
      <c r="G47" s="147"/>
      <c r="H47" s="157"/>
      <c r="I47" s="72">
        <v>10.4</v>
      </c>
      <c r="J47" s="63">
        <v>2800</v>
      </c>
      <c r="K47" s="64">
        <f t="shared" si="1"/>
        <v>269.23076923076923</v>
      </c>
      <c r="L47" s="72">
        <v>10.4</v>
      </c>
      <c r="M47" s="65">
        <f>AVERAGE(M37:M46)</f>
        <v>2687.3224155478924</v>
      </c>
      <c r="N47" s="64">
        <f t="shared" si="3"/>
        <v>258.39638611037424</v>
      </c>
      <c r="O47" s="66">
        <f t="shared" si="4"/>
        <v>0</v>
      </c>
      <c r="P47" s="67">
        <f t="shared" si="5"/>
        <v>-10.834383120394989</v>
      </c>
      <c r="Q47" s="150">
        <f t="shared" si="6"/>
        <v>0.95975800555281865</v>
      </c>
      <c r="R47" s="530"/>
      <c r="S47" s="68"/>
      <c r="T47" s="68"/>
      <c r="U47" s="147"/>
      <c r="V47" s="155"/>
      <c r="W47" s="69"/>
      <c r="X47" s="69"/>
      <c r="Y47" s="517"/>
      <c r="Z47" s="518"/>
      <c r="AA47" s="66">
        <f t="shared" si="8"/>
        <v>-112.67758445210757</v>
      </c>
      <c r="AB47" s="150">
        <f t="shared" si="9"/>
        <v>0.95975800555281876</v>
      </c>
      <c r="AC47" s="530"/>
    </row>
    <row r="48" spans="1:29" ht="15.75" customHeight="1">
      <c r="A48" s="523" t="s">
        <v>650</v>
      </c>
      <c r="B48" s="62" t="s">
        <v>10</v>
      </c>
      <c r="C48" s="512" t="s">
        <v>41</v>
      </c>
      <c r="D48" s="512"/>
      <c r="E48" s="62">
        <v>46</v>
      </c>
      <c r="F48" s="74">
        <v>2176</v>
      </c>
      <c r="G48" s="147">
        <f t="shared" ref="G48:G51" si="34">E48*F48</f>
        <v>100096</v>
      </c>
      <c r="H48" s="90" t="s">
        <v>5</v>
      </c>
      <c r="I48" s="154">
        <v>17</v>
      </c>
      <c r="J48" s="63">
        <v>2000</v>
      </c>
      <c r="K48" s="64">
        <f t="shared" si="1"/>
        <v>117.64705882352941</v>
      </c>
      <c r="L48" s="154">
        <v>17</v>
      </c>
      <c r="M48" s="65">
        <f t="shared" ref="M48:M51" si="35">F48/V48*60</f>
        <v>1920.0000000000014</v>
      </c>
      <c r="N48" s="65">
        <f t="shared" si="3"/>
        <v>112.94117647058832</v>
      </c>
      <c r="O48" s="66">
        <f t="shared" si="4"/>
        <v>0</v>
      </c>
      <c r="P48" s="67">
        <f t="shared" si="5"/>
        <v>-4.7058823529410887</v>
      </c>
      <c r="Q48" s="150">
        <f t="shared" si="6"/>
        <v>0.96000000000000074</v>
      </c>
      <c r="R48" s="511">
        <f>Q52</f>
        <v>0.96047073474470768</v>
      </c>
      <c r="S48" s="68">
        <v>0.20833333333333334</v>
      </c>
      <c r="T48" s="68">
        <v>0.25555555555555554</v>
      </c>
      <c r="U48" s="73"/>
      <c r="V48" s="155">
        <f t="shared" ref="V48:V51" si="36">(T48-S48)*24*60</f>
        <v>67.999999999999957</v>
      </c>
      <c r="W48" s="73"/>
      <c r="X48" s="73"/>
      <c r="Y48" s="510"/>
      <c r="Z48" s="510"/>
      <c r="AA48" s="66">
        <f t="shared" si="8"/>
        <v>-79.999999999998636</v>
      </c>
      <c r="AB48" s="150">
        <f t="shared" si="9"/>
        <v>0.96000000000000063</v>
      </c>
      <c r="AC48" s="511">
        <f>AB52</f>
        <v>0.96047073474470768</v>
      </c>
    </row>
    <row r="49" spans="1:29" ht="15.75" customHeight="1">
      <c r="A49" s="523" t="s">
        <v>650</v>
      </c>
      <c r="B49" s="62" t="s">
        <v>10</v>
      </c>
      <c r="C49" s="512" t="s">
        <v>42</v>
      </c>
      <c r="D49" s="512"/>
      <c r="E49" s="62">
        <v>46</v>
      </c>
      <c r="F49" s="74">
        <v>2400</v>
      </c>
      <c r="G49" s="147">
        <f t="shared" si="34"/>
        <v>110400</v>
      </c>
      <c r="H49" s="90" t="s">
        <v>5</v>
      </c>
      <c r="I49" s="154">
        <v>17</v>
      </c>
      <c r="J49" s="63">
        <v>2000</v>
      </c>
      <c r="K49" s="64">
        <f t="shared" si="1"/>
        <v>117.64705882352941</v>
      </c>
      <c r="L49" s="154">
        <v>17</v>
      </c>
      <c r="M49" s="65">
        <f t="shared" si="35"/>
        <v>1920.0000000000009</v>
      </c>
      <c r="N49" s="65">
        <f t="shared" si="3"/>
        <v>112.94117647058829</v>
      </c>
      <c r="O49" s="66">
        <f t="shared" si="4"/>
        <v>0</v>
      </c>
      <c r="P49" s="67">
        <f t="shared" si="5"/>
        <v>-4.7058823529411171</v>
      </c>
      <c r="Q49" s="150">
        <f t="shared" si="6"/>
        <v>0.96000000000000052</v>
      </c>
      <c r="R49" s="511"/>
      <c r="S49" s="68">
        <v>0.25902777777777775</v>
      </c>
      <c r="T49" s="68">
        <v>0.31111111111111106</v>
      </c>
      <c r="U49" s="147">
        <f t="shared" ref="U49:U51" si="37">IF(S49=TIME(17,0,0),"",(S49-T48)*24*60)</f>
        <v>4.9999999999999822</v>
      </c>
      <c r="V49" s="155">
        <f t="shared" si="36"/>
        <v>74.999999999999972</v>
      </c>
      <c r="W49" s="69"/>
      <c r="X49" s="69"/>
      <c r="Y49" s="510"/>
      <c r="Z49" s="510"/>
      <c r="AA49" s="66">
        <f t="shared" si="8"/>
        <v>-79.999999999999091</v>
      </c>
      <c r="AB49" s="150">
        <f t="shared" si="9"/>
        <v>0.96000000000000041</v>
      </c>
      <c r="AC49" s="511"/>
    </row>
    <row r="50" spans="1:29" ht="15.75" customHeight="1">
      <c r="A50" s="523" t="s">
        <v>650</v>
      </c>
      <c r="B50" s="62" t="s">
        <v>6</v>
      </c>
      <c r="C50" s="521" t="s">
        <v>43</v>
      </c>
      <c r="D50" s="522"/>
      <c r="E50" s="62">
        <v>55.56</v>
      </c>
      <c r="F50" s="74">
        <v>2322</v>
      </c>
      <c r="G50" s="147">
        <f t="shared" si="34"/>
        <v>129010.32</v>
      </c>
      <c r="H50" s="90" t="s">
        <v>5</v>
      </c>
      <c r="I50" s="154">
        <v>17</v>
      </c>
      <c r="J50" s="63">
        <v>2000</v>
      </c>
      <c r="K50" s="64">
        <f t="shared" si="1"/>
        <v>117.64705882352941</v>
      </c>
      <c r="L50" s="154">
        <v>17</v>
      </c>
      <c r="M50" s="65">
        <f t="shared" si="35"/>
        <v>1908.49315068493</v>
      </c>
      <c r="N50" s="65">
        <f t="shared" si="3"/>
        <v>112.26430298146647</v>
      </c>
      <c r="O50" s="66">
        <f t="shared" si="4"/>
        <v>0</v>
      </c>
      <c r="P50" s="67">
        <f t="shared" si="5"/>
        <v>-5.3827558420629344</v>
      </c>
      <c r="Q50" s="150">
        <f t="shared" si="6"/>
        <v>0.95424657534246504</v>
      </c>
      <c r="R50" s="511"/>
      <c r="S50" s="68">
        <v>0.70833333333333337</v>
      </c>
      <c r="T50" s="68">
        <v>0.75902777777777786</v>
      </c>
      <c r="U50" s="147" t="str">
        <f t="shared" si="37"/>
        <v/>
      </c>
      <c r="V50" s="155">
        <f t="shared" si="36"/>
        <v>73.000000000000057</v>
      </c>
      <c r="W50" s="69"/>
      <c r="X50" s="69"/>
      <c r="Y50" s="148"/>
      <c r="Z50" s="149"/>
      <c r="AA50" s="66">
        <f t="shared" si="8"/>
        <v>-91.506849315069985</v>
      </c>
      <c r="AB50" s="150">
        <f t="shared" si="9"/>
        <v>0.95424657534246504</v>
      </c>
      <c r="AC50" s="511"/>
    </row>
    <row r="51" spans="1:29" ht="15.75" customHeight="1">
      <c r="A51" s="523" t="s">
        <v>650</v>
      </c>
      <c r="B51" s="62" t="s">
        <v>6</v>
      </c>
      <c r="C51" s="152" t="s">
        <v>44</v>
      </c>
      <c r="D51" s="153"/>
      <c r="E51" s="62">
        <v>55.32</v>
      </c>
      <c r="F51" s="74">
        <v>1774</v>
      </c>
      <c r="G51" s="147">
        <f t="shared" si="34"/>
        <v>98137.680000000008</v>
      </c>
      <c r="H51" s="90" t="s">
        <v>5</v>
      </c>
      <c r="I51" s="154">
        <v>15</v>
      </c>
      <c r="J51" s="63">
        <v>2000</v>
      </c>
      <c r="K51" s="64">
        <f t="shared" si="1"/>
        <v>133.33333333333334</v>
      </c>
      <c r="L51" s="154">
        <v>15</v>
      </c>
      <c r="M51" s="65">
        <f t="shared" si="35"/>
        <v>1935.2727272727288</v>
      </c>
      <c r="N51" s="65">
        <f t="shared" si="3"/>
        <v>129.01818181818192</v>
      </c>
      <c r="O51" s="66">
        <f t="shared" si="4"/>
        <v>0</v>
      </c>
      <c r="P51" s="67">
        <f t="shared" si="5"/>
        <v>-4.3151515151514275</v>
      </c>
      <c r="Q51" s="150">
        <f t="shared" si="6"/>
        <v>0.96763636363636429</v>
      </c>
      <c r="R51" s="511"/>
      <c r="S51" s="68">
        <v>0.76250000000000007</v>
      </c>
      <c r="T51" s="68">
        <v>0.80069444444444449</v>
      </c>
      <c r="U51" s="147">
        <f t="shared" si="37"/>
        <v>4.9999999999999822</v>
      </c>
      <c r="V51" s="155">
        <f t="shared" si="36"/>
        <v>54.999999999999964</v>
      </c>
      <c r="W51" s="69"/>
      <c r="X51" s="69"/>
      <c r="Y51" s="148"/>
      <c r="Z51" s="149"/>
      <c r="AA51" s="66">
        <f t="shared" si="8"/>
        <v>-64.727272727271156</v>
      </c>
      <c r="AB51" s="150">
        <f t="shared" si="9"/>
        <v>0.9676363636363644</v>
      </c>
      <c r="AC51" s="511"/>
    </row>
    <row r="52" spans="1:29">
      <c r="A52" s="524" t="s">
        <v>650</v>
      </c>
      <c r="B52" s="62" t="s">
        <v>643</v>
      </c>
      <c r="C52" s="513"/>
      <c r="D52" s="513"/>
      <c r="E52" s="151"/>
      <c r="F52" s="71"/>
      <c r="G52" s="64"/>
      <c r="H52" s="157"/>
      <c r="I52" s="72">
        <v>16.5</v>
      </c>
      <c r="J52" s="63">
        <v>2000</v>
      </c>
      <c r="K52" s="64">
        <f t="shared" si="1"/>
        <v>121.21212121212122</v>
      </c>
      <c r="L52" s="72">
        <v>16.5</v>
      </c>
      <c r="M52" s="65">
        <f>AVERAGE(M48:M51)</f>
        <v>1920.9414694894153</v>
      </c>
      <c r="N52" s="64">
        <f t="shared" si="3"/>
        <v>116.42069512057063</v>
      </c>
      <c r="O52" s="66">
        <f t="shared" si="4"/>
        <v>0</v>
      </c>
      <c r="P52" s="67">
        <f t="shared" si="5"/>
        <v>-4.7914260915505906</v>
      </c>
      <c r="Q52" s="150">
        <f t="shared" si="6"/>
        <v>0.96047073474470768</v>
      </c>
      <c r="R52" s="511"/>
      <c r="S52" s="75"/>
      <c r="T52" s="68"/>
      <c r="U52" s="64"/>
      <c r="V52" s="155"/>
      <c r="W52" s="64"/>
      <c r="X52" s="64"/>
      <c r="Y52" s="510"/>
      <c r="Z52" s="510"/>
      <c r="AA52" s="66">
        <f t="shared" si="8"/>
        <v>-79.05853051058466</v>
      </c>
      <c r="AB52" s="150">
        <f t="shared" si="9"/>
        <v>0.96047073474470768</v>
      </c>
      <c r="AC52" s="511"/>
    </row>
    <row r="53" spans="1:29" ht="15.75" customHeight="1">
      <c r="A53" s="519" t="s">
        <v>651</v>
      </c>
      <c r="B53" s="157" t="s">
        <v>10</v>
      </c>
      <c r="C53" s="512" t="s">
        <v>46</v>
      </c>
      <c r="D53" s="512"/>
      <c r="E53" s="62">
        <v>26.97</v>
      </c>
      <c r="F53" s="74">
        <v>2771</v>
      </c>
      <c r="G53" s="147">
        <f t="shared" ref="G53:G56" si="38">E53*F53</f>
        <v>74733.87</v>
      </c>
      <c r="H53" s="90" t="s">
        <v>5</v>
      </c>
      <c r="I53" s="154">
        <v>8</v>
      </c>
      <c r="J53" s="63">
        <v>1500</v>
      </c>
      <c r="K53" s="64">
        <f t="shared" si="1"/>
        <v>187.5</v>
      </c>
      <c r="L53" s="154">
        <v>8</v>
      </c>
      <c r="M53" s="65">
        <f t="shared" ref="M53:M56" si="39">F53/V53*60</f>
        <v>1433.2758620689654</v>
      </c>
      <c r="N53" s="64">
        <f t="shared" si="3"/>
        <v>179.15948275862067</v>
      </c>
      <c r="O53" s="66">
        <f t="shared" si="4"/>
        <v>0</v>
      </c>
      <c r="P53" s="67">
        <f t="shared" si="5"/>
        <v>-8.3405172413793309</v>
      </c>
      <c r="Q53" s="150">
        <f t="shared" si="6"/>
        <v>0.95551724137931027</v>
      </c>
      <c r="R53" s="511">
        <f>Q57</f>
        <v>0.95391659698296172</v>
      </c>
      <c r="S53" s="68">
        <v>0.20833333333333334</v>
      </c>
      <c r="T53" s="68">
        <v>0.28888888888888892</v>
      </c>
      <c r="U53" s="147"/>
      <c r="V53" s="155">
        <f t="shared" ref="V53:V56" si="40">(T53-S53)*24*60</f>
        <v>116.00000000000003</v>
      </c>
      <c r="W53" s="73"/>
      <c r="X53" s="73"/>
      <c r="Y53" s="510"/>
      <c r="Z53" s="510"/>
      <c r="AA53" s="66">
        <f t="shared" si="8"/>
        <v>-66.724137931034647</v>
      </c>
      <c r="AB53" s="150">
        <f t="shared" si="9"/>
        <v>0.95551724137931027</v>
      </c>
      <c r="AC53" s="511">
        <f>AB57</f>
        <v>0.95391659698296172</v>
      </c>
    </row>
    <row r="54" spans="1:29" ht="15.75" customHeight="1">
      <c r="A54" s="519" t="s">
        <v>651</v>
      </c>
      <c r="B54" s="157" t="s">
        <v>35</v>
      </c>
      <c r="C54" s="512" t="s">
        <v>45</v>
      </c>
      <c r="D54" s="512"/>
      <c r="E54" s="62">
        <v>26.78</v>
      </c>
      <c r="F54" s="74">
        <v>2333</v>
      </c>
      <c r="G54" s="147">
        <f t="shared" si="38"/>
        <v>62477.740000000005</v>
      </c>
      <c r="H54" s="90" t="s">
        <v>5</v>
      </c>
      <c r="I54" s="154">
        <v>10</v>
      </c>
      <c r="J54" s="63">
        <v>3000</v>
      </c>
      <c r="K54" s="64">
        <f t="shared" si="1"/>
        <v>300</v>
      </c>
      <c r="L54" s="154">
        <v>10</v>
      </c>
      <c r="M54" s="65">
        <f t="shared" si="39"/>
        <v>2856.7346938775522</v>
      </c>
      <c r="N54" s="64">
        <f t="shared" si="3"/>
        <v>285.67346938775523</v>
      </c>
      <c r="O54" s="66">
        <f t="shared" si="4"/>
        <v>0</v>
      </c>
      <c r="P54" s="67">
        <f t="shared" si="5"/>
        <v>-14.326530612244767</v>
      </c>
      <c r="Q54" s="150">
        <f t="shared" si="6"/>
        <v>0.9522448979591841</v>
      </c>
      <c r="R54" s="511"/>
      <c r="S54" s="68">
        <v>0.29444444444444445</v>
      </c>
      <c r="T54" s="68">
        <v>0.32847222222222222</v>
      </c>
      <c r="U54" s="147">
        <f t="shared" ref="U54:U56" si="41">(S54-T53)*24*60</f>
        <v>7.9999999999999716</v>
      </c>
      <c r="V54" s="155">
        <f t="shared" si="40"/>
        <v>48.999999999999986</v>
      </c>
      <c r="W54" s="147"/>
      <c r="X54" s="147"/>
      <c r="Y54" s="510"/>
      <c r="Z54" s="510"/>
      <c r="AA54" s="66">
        <f t="shared" si="8"/>
        <v>-143.26530612244778</v>
      </c>
      <c r="AB54" s="150">
        <f t="shared" si="9"/>
        <v>0.9522448979591841</v>
      </c>
      <c r="AC54" s="511"/>
    </row>
    <row r="55" spans="1:29" ht="15.75" customHeight="1">
      <c r="A55" s="519" t="s">
        <v>651</v>
      </c>
      <c r="B55" s="157" t="s">
        <v>35</v>
      </c>
      <c r="C55" s="512" t="s">
        <v>75</v>
      </c>
      <c r="D55" s="512"/>
      <c r="E55" s="62">
        <v>37.880000000000003</v>
      </c>
      <c r="F55" s="74">
        <v>3088</v>
      </c>
      <c r="G55" s="147">
        <f t="shared" si="38"/>
        <v>116973.44</v>
      </c>
      <c r="H55" s="90" t="s">
        <v>5</v>
      </c>
      <c r="I55" s="154">
        <v>10</v>
      </c>
      <c r="J55" s="63">
        <v>3000</v>
      </c>
      <c r="K55" s="64">
        <f t="shared" si="1"/>
        <v>300</v>
      </c>
      <c r="L55" s="154">
        <v>10</v>
      </c>
      <c r="M55" s="65">
        <f t="shared" si="39"/>
        <v>2850.4615384615377</v>
      </c>
      <c r="N55" s="64">
        <f t="shared" si="3"/>
        <v>285.04615384615374</v>
      </c>
      <c r="O55" s="66">
        <f t="shared" si="4"/>
        <v>0</v>
      </c>
      <c r="P55" s="67">
        <f t="shared" si="5"/>
        <v>-14.953846153846257</v>
      </c>
      <c r="Q55" s="150">
        <f t="shared" si="6"/>
        <v>0.95015384615384579</v>
      </c>
      <c r="R55" s="511"/>
      <c r="S55" s="68">
        <v>0.33194444444444443</v>
      </c>
      <c r="T55" s="68">
        <v>0.37708333333333333</v>
      </c>
      <c r="U55" s="147">
        <f t="shared" si="41"/>
        <v>4.9999999999999822</v>
      </c>
      <c r="V55" s="155">
        <f t="shared" si="40"/>
        <v>65.000000000000014</v>
      </c>
      <c r="W55" s="147"/>
      <c r="X55" s="147"/>
      <c r="Y55" s="510"/>
      <c r="Z55" s="510"/>
      <c r="AA55" s="66">
        <f t="shared" si="8"/>
        <v>-149.53846153846234</v>
      </c>
      <c r="AB55" s="150">
        <f t="shared" si="9"/>
        <v>0.9501538461538459</v>
      </c>
      <c r="AC55" s="511"/>
    </row>
    <row r="56" spans="1:29" ht="15.75" customHeight="1">
      <c r="A56" s="519" t="s">
        <v>651</v>
      </c>
      <c r="B56" s="157" t="s">
        <v>35</v>
      </c>
      <c r="C56" s="512" t="s">
        <v>85</v>
      </c>
      <c r="D56" s="512"/>
      <c r="E56" s="62">
        <v>40.51</v>
      </c>
      <c r="F56" s="74">
        <v>3307</v>
      </c>
      <c r="G56" s="147">
        <f t="shared" si="38"/>
        <v>133966.57</v>
      </c>
      <c r="H56" s="90" t="s">
        <v>5</v>
      </c>
      <c r="I56" s="154">
        <v>8</v>
      </c>
      <c r="J56" s="63">
        <v>3000</v>
      </c>
      <c r="K56" s="64">
        <f t="shared" si="1"/>
        <v>375</v>
      </c>
      <c r="L56" s="154">
        <v>8</v>
      </c>
      <c r="M56" s="65">
        <f t="shared" si="39"/>
        <v>2875.6521739130435</v>
      </c>
      <c r="N56" s="64">
        <f t="shared" si="3"/>
        <v>359.45652173913044</v>
      </c>
      <c r="O56" s="66">
        <f t="shared" si="4"/>
        <v>0</v>
      </c>
      <c r="P56" s="67">
        <f t="shared" si="5"/>
        <v>-15.543478260869563</v>
      </c>
      <c r="Q56" s="150">
        <f t="shared" si="6"/>
        <v>0.95855072463768121</v>
      </c>
      <c r="R56" s="511"/>
      <c r="S56" s="68">
        <v>0.38263888888888886</v>
      </c>
      <c r="T56" s="68">
        <v>0.43055555555555552</v>
      </c>
      <c r="U56" s="147">
        <f t="shared" si="41"/>
        <v>7.9999999999999716</v>
      </c>
      <c r="V56" s="155">
        <f t="shared" si="40"/>
        <v>69</v>
      </c>
      <c r="W56" s="147"/>
      <c r="X56" s="147"/>
      <c r="Y56" s="510"/>
      <c r="Z56" s="510"/>
      <c r="AA56" s="66">
        <f t="shared" si="8"/>
        <v>-124.3478260869565</v>
      </c>
      <c r="AB56" s="150">
        <f t="shared" si="9"/>
        <v>0.95855072463768121</v>
      </c>
      <c r="AC56" s="511"/>
    </row>
    <row r="57" spans="1:29">
      <c r="A57" s="520" t="s">
        <v>651</v>
      </c>
      <c r="B57" s="62" t="s">
        <v>643</v>
      </c>
      <c r="C57" s="513"/>
      <c r="D57" s="513"/>
      <c r="E57" s="151"/>
      <c r="F57" s="71"/>
      <c r="G57" s="64"/>
      <c r="H57" s="157"/>
      <c r="I57" s="72">
        <v>9</v>
      </c>
      <c r="J57" s="63">
        <v>2625</v>
      </c>
      <c r="K57" s="64">
        <f t="shared" si="1"/>
        <v>291.66666666666669</v>
      </c>
      <c r="L57" s="72">
        <v>9</v>
      </c>
      <c r="M57" s="65">
        <f>AVERAGE(M53:M56)</f>
        <v>2504.0310670802746</v>
      </c>
      <c r="N57" s="64">
        <f t="shared" si="3"/>
        <v>278.22567412003053</v>
      </c>
      <c r="O57" s="66">
        <f t="shared" si="4"/>
        <v>0</v>
      </c>
      <c r="P57" s="67">
        <f t="shared" si="5"/>
        <v>-13.440992546636153</v>
      </c>
      <c r="Q57" s="150">
        <f t="shared" si="6"/>
        <v>0.95391659698296172</v>
      </c>
      <c r="R57" s="511"/>
      <c r="S57" s="68"/>
      <c r="T57" s="68"/>
      <c r="U57" s="64"/>
      <c r="V57" s="155"/>
      <c r="W57" s="64"/>
      <c r="X57" s="64"/>
      <c r="Y57" s="510"/>
      <c r="Z57" s="510"/>
      <c r="AA57" s="66">
        <f t="shared" si="8"/>
        <v>-120.96893291972538</v>
      </c>
      <c r="AB57" s="150">
        <f t="shared" si="9"/>
        <v>0.95391659698296172</v>
      </c>
      <c r="AC57" s="511"/>
    </row>
    <row r="58" spans="1:29" ht="15.75" customHeight="1">
      <c r="A58" s="514" t="s">
        <v>652</v>
      </c>
      <c r="B58" s="157" t="s">
        <v>16</v>
      </c>
      <c r="C58" s="512" t="s">
        <v>48</v>
      </c>
      <c r="D58" s="512"/>
      <c r="E58" s="62">
        <v>20.2</v>
      </c>
      <c r="F58" s="157">
        <v>2429</v>
      </c>
      <c r="G58" s="147">
        <f t="shared" ref="G58:G65" si="42">E58*F58</f>
        <v>49065.799999999996</v>
      </c>
      <c r="H58" s="90" t="s">
        <v>5</v>
      </c>
      <c r="I58" s="154">
        <v>19</v>
      </c>
      <c r="J58" s="63">
        <v>2400</v>
      </c>
      <c r="K58" s="64">
        <f t="shared" si="1"/>
        <v>126.31578947368421</v>
      </c>
      <c r="L58" s="154">
        <v>19</v>
      </c>
      <c r="M58" s="65">
        <f t="shared" ref="M58:M65" si="43">F58/V58*60</f>
        <v>2313.333333333333</v>
      </c>
      <c r="N58" s="64">
        <f t="shared" si="3"/>
        <v>121.75438596491226</v>
      </c>
      <c r="O58" s="66">
        <f t="shared" si="4"/>
        <v>0</v>
      </c>
      <c r="P58" s="67">
        <f t="shared" si="5"/>
        <v>-4.5614035087719458</v>
      </c>
      <c r="Q58" s="150">
        <f t="shared" si="6"/>
        <v>0.9638888888888888</v>
      </c>
      <c r="R58" s="511">
        <f>Q66</f>
        <v>0.95942849384352447</v>
      </c>
      <c r="S58" s="68">
        <v>0.125</v>
      </c>
      <c r="T58" s="68">
        <v>0.16875000000000001</v>
      </c>
      <c r="U58" s="73"/>
      <c r="V58" s="155">
        <f t="shared" ref="V58:V65" si="44">(T58-S58)*24*60</f>
        <v>63.000000000000014</v>
      </c>
      <c r="W58" s="69">
        <f>T58</f>
        <v>0.16875000000000001</v>
      </c>
      <c r="X58" s="69">
        <f>S59</f>
        <v>0.18819444444444444</v>
      </c>
      <c r="Y58" s="510"/>
      <c r="Z58" s="510"/>
      <c r="AA58" s="66">
        <f t="shared" si="8"/>
        <v>-86.66666666666697</v>
      </c>
      <c r="AB58" s="150">
        <f t="shared" si="9"/>
        <v>0.9638888888888888</v>
      </c>
      <c r="AC58" s="511">
        <f>AB66</f>
        <v>0.95942849384352447</v>
      </c>
    </row>
    <row r="59" spans="1:29" ht="15.75" customHeight="1">
      <c r="A59" s="515" t="s">
        <v>652</v>
      </c>
      <c r="B59" s="157" t="s">
        <v>16</v>
      </c>
      <c r="C59" s="512" t="s">
        <v>27</v>
      </c>
      <c r="D59" s="512"/>
      <c r="E59" s="62">
        <v>25.98</v>
      </c>
      <c r="F59" s="157">
        <v>1050</v>
      </c>
      <c r="G59" s="147">
        <f t="shared" si="42"/>
        <v>27279</v>
      </c>
      <c r="H59" s="90" t="s">
        <v>5</v>
      </c>
      <c r="I59" s="154">
        <v>17</v>
      </c>
      <c r="J59" s="63">
        <v>2400</v>
      </c>
      <c r="K59" s="64">
        <f t="shared" si="1"/>
        <v>141.1764705882353</v>
      </c>
      <c r="L59" s="154">
        <v>17</v>
      </c>
      <c r="M59" s="65">
        <f t="shared" si="43"/>
        <v>2333.3333333333344</v>
      </c>
      <c r="N59" s="64">
        <f t="shared" si="3"/>
        <v>137.25490196078437</v>
      </c>
      <c r="O59" s="66">
        <f t="shared" si="4"/>
        <v>0</v>
      </c>
      <c r="P59" s="67">
        <f t="shared" si="5"/>
        <v>-3.921568627450938</v>
      </c>
      <c r="Q59" s="150">
        <f t="shared" si="6"/>
        <v>0.97222222222222254</v>
      </c>
      <c r="R59" s="511"/>
      <c r="S59" s="68">
        <v>0.18819444444444444</v>
      </c>
      <c r="T59" s="68">
        <v>0.20694444444444443</v>
      </c>
      <c r="U59" s="147">
        <f t="shared" ref="U59:U65" si="45">(S59-T58)*24*60</f>
        <v>27.999999999999979</v>
      </c>
      <c r="V59" s="155">
        <f t="shared" si="44"/>
        <v>26.999999999999986</v>
      </c>
      <c r="W59" s="69"/>
      <c r="X59" s="69"/>
      <c r="Y59" s="510"/>
      <c r="Z59" s="510"/>
      <c r="AA59" s="66">
        <f t="shared" si="8"/>
        <v>-66.666666666665606</v>
      </c>
      <c r="AB59" s="150">
        <f t="shared" si="9"/>
        <v>0.97222222222222265</v>
      </c>
      <c r="AC59" s="511"/>
    </row>
    <row r="60" spans="1:29" ht="15.75" customHeight="1">
      <c r="A60" s="515" t="s">
        <v>652</v>
      </c>
      <c r="B60" s="157" t="s">
        <v>16</v>
      </c>
      <c r="C60" s="512" t="s">
        <v>51</v>
      </c>
      <c r="D60" s="512"/>
      <c r="E60" s="62">
        <v>24.25</v>
      </c>
      <c r="F60" s="157">
        <v>2382</v>
      </c>
      <c r="G60" s="147">
        <f t="shared" si="42"/>
        <v>57763.5</v>
      </c>
      <c r="H60" s="90" t="s">
        <v>5</v>
      </c>
      <c r="I60" s="154">
        <v>17</v>
      </c>
      <c r="J60" s="63">
        <v>2400</v>
      </c>
      <c r="K60" s="64">
        <f t="shared" si="1"/>
        <v>141.1764705882353</v>
      </c>
      <c r="L60" s="154">
        <v>17</v>
      </c>
      <c r="M60" s="65">
        <f t="shared" si="43"/>
        <v>2305.16129032258</v>
      </c>
      <c r="N60" s="64">
        <f t="shared" si="3"/>
        <v>135.59772296015177</v>
      </c>
      <c r="O60" s="66">
        <f t="shared" si="4"/>
        <v>0</v>
      </c>
      <c r="P60" s="67">
        <f t="shared" si="5"/>
        <v>-5.5787476280835335</v>
      </c>
      <c r="Q60" s="150">
        <f t="shared" si="6"/>
        <v>0.96048387096774168</v>
      </c>
      <c r="R60" s="511"/>
      <c r="S60" s="68">
        <v>0.21041666666666664</v>
      </c>
      <c r="T60" s="68">
        <v>0.25347222222222221</v>
      </c>
      <c r="U60" s="147">
        <f t="shared" si="45"/>
        <v>4.9999999999999822</v>
      </c>
      <c r="V60" s="155">
        <f t="shared" si="44"/>
        <v>62.000000000000021</v>
      </c>
      <c r="W60" s="69"/>
      <c r="X60" s="69"/>
      <c r="Y60" s="510"/>
      <c r="Z60" s="510"/>
      <c r="AA60" s="66">
        <f t="shared" si="8"/>
        <v>-94.838709677419956</v>
      </c>
      <c r="AB60" s="150">
        <f t="shared" si="9"/>
        <v>0.96048387096774168</v>
      </c>
      <c r="AC60" s="511"/>
    </row>
    <row r="61" spans="1:29" ht="15.75" customHeight="1">
      <c r="A61" s="515" t="s">
        <v>652</v>
      </c>
      <c r="B61" s="157" t="s">
        <v>16</v>
      </c>
      <c r="C61" s="512" t="s">
        <v>17</v>
      </c>
      <c r="D61" s="512"/>
      <c r="E61" s="62">
        <v>24.45</v>
      </c>
      <c r="F61" s="157">
        <v>2016</v>
      </c>
      <c r="G61" s="147">
        <f t="shared" si="42"/>
        <v>49291.199999999997</v>
      </c>
      <c r="H61" s="90" t="s">
        <v>5</v>
      </c>
      <c r="I61" s="154">
        <v>20</v>
      </c>
      <c r="J61" s="63">
        <v>2400</v>
      </c>
      <c r="K61" s="64">
        <f t="shared" si="1"/>
        <v>120</v>
      </c>
      <c r="L61" s="154">
        <v>20</v>
      </c>
      <c r="M61" s="65">
        <f t="shared" si="43"/>
        <v>2282.2641509433975</v>
      </c>
      <c r="N61" s="64">
        <f t="shared" si="3"/>
        <v>114.11320754716988</v>
      </c>
      <c r="O61" s="66">
        <f t="shared" si="4"/>
        <v>0</v>
      </c>
      <c r="P61" s="67">
        <f t="shared" si="5"/>
        <v>-5.8867924528301216</v>
      </c>
      <c r="Q61" s="150">
        <f t="shared" si="6"/>
        <v>0.95094339622641566</v>
      </c>
      <c r="R61" s="511"/>
      <c r="S61" s="68">
        <v>0.25902777777777775</v>
      </c>
      <c r="T61" s="68">
        <v>0.29583333333333328</v>
      </c>
      <c r="U61" s="147">
        <f t="shared" si="45"/>
        <v>7.9999999999999716</v>
      </c>
      <c r="V61" s="155">
        <f t="shared" si="44"/>
        <v>52.999999999999972</v>
      </c>
      <c r="W61" s="69"/>
      <c r="X61" s="69"/>
      <c r="Y61" s="510"/>
      <c r="Z61" s="510"/>
      <c r="AA61" s="66">
        <f t="shared" si="8"/>
        <v>-117.73584905660255</v>
      </c>
      <c r="AB61" s="150">
        <f t="shared" si="9"/>
        <v>0.95094339622641566</v>
      </c>
      <c r="AC61" s="511"/>
    </row>
    <row r="62" spans="1:29" ht="15.75" customHeight="1">
      <c r="A62" s="515" t="s">
        <v>652</v>
      </c>
      <c r="B62" s="157" t="s">
        <v>16</v>
      </c>
      <c r="C62" s="512" t="s">
        <v>34</v>
      </c>
      <c r="D62" s="512"/>
      <c r="E62" s="62">
        <v>24.25</v>
      </c>
      <c r="F62" s="157">
        <v>3408</v>
      </c>
      <c r="G62" s="147">
        <f t="shared" si="42"/>
        <v>82644</v>
      </c>
      <c r="H62" s="90" t="s">
        <v>5</v>
      </c>
      <c r="I62" s="154">
        <v>13</v>
      </c>
      <c r="J62" s="63">
        <v>2400</v>
      </c>
      <c r="K62" s="64">
        <f t="shared" si="1"/>
        <v>184.61538461538461</v>
      </c>
      <c r="L62" s="154">
        <v>13</v>
      </c>
      <c r="M62" s="65">
        <f t="shared" si="43"/>
        <v>2297.5280898876404</v>
      </c>
      <c r="N62" s="64">
        <f t="shared" si="3"/>
        <v>176.73292999135694</v>
      </c>
      <c r="O62" s="66">
        <f t="shared" si="4"/>
        <v>0</v>
      </c>
      <c r="P62" s="67">
        <f t="shared" si="5"/>
        <v>-7.8824546240276732</v>
      </c>
      <c r="Q62" s="150">
        <f t="shared" si="6"/>
        <v>0.95730337078651673</v>
      </c>
      <c r="R62" s="511"/>
      <c r="S62" s="68">
        <v>0.29930555555555549</v>
      </c>
      <c r="T62" s="68">
        <v>0.36111111111111105</v>
      </c>
      <c r="U62" s="147">
        <f t="shared" si="45"/>
        <v>4.9999999999999822</v>
      </c>
      <c r="V62" s="155">
        <f t="shared" si="44"/>
        <v>89</v>
      </c>
      <c r="W62" s="69"/>
      <c r="X62" s="69"/>
      <c r="Y62" s="510"/>
      <c r="Z62" s="510"/>
      <c r="AA62" s="66">
        <f t="shared" si="8"/>
        <v>-102.47191011235964</v>
      </c>
      <c r="AB62" s="150">
        <f t="shared" si="9"/>
        <v>0.95730337078651684</v>
      </c>
      <c r="AC62" s="511"/>
    </row>
    <row r="63" spans="1:29" ht="15.75" customHeight="1">
      <c r="A63" s="515" t="s">
        <v>652</v>
      </c>
      <c r="B63" s="157" t="s">
        <v>16</v>
      </c>
      <c r="C63" s="512" t="s">
        <v>26</v>
      </c>
      <c r="D63" s="512"/>
      <c r="E63" s="62">
        <v>20.52</v>
      </c>
      <c r="F63" s="157">
        <v>2855</v>
      </c>
      <c r="G63" s="147">
        <f t="shared" si="42"/>
        <v>58584.6</v>
      </c>
      <c r="H63" s="90" t="s">
        <v>5</v>
      </c>
      <c r="I63" s="154">
        <v>18</v>
      </c>
      <c r="J63" s="63">
        <v>2400</v>
      </c>
      <c r="K63" s="64">
        <f t="shared" si="1"/>
        <v>133.33333333333334</v>
      </c>
      <c r="L63" s="154">
        <v>18</v>
      </c>
      <c r="M63" s="65">
        <f t="shared" si="43"/>
        <v>2284.0000000000009</v>
      </c>
      <c r="N63" s="64">
        <f t="shared" si="3"/>
        <v>126.88888888888894</v>
      </c>
      <c r="O63" s="66">
        <f t="shared" si="4"/>
        <v>0</v>
      </c>
      <c r="P63" s="67">
        <f t="shared" si="5"/>
        <v>-6.4444444444444002</v>
      </c>
      <c r="Q63" s="150">
        <f t="shared" si="6"/>
        <v>0.95166666666666699</v>
      </c>
      <c r="R63" s="511"/>
      <c r="S63" s="68">
        <v>0.3652777777777777</v>
      </c>
      <c r="T63" s="68">
        <v>0.41736111111111102</v>
      </c>
      <c r="U63" s="147">
        <f t="shared" si="45"/>
        <v>5.9999999999999787</v>
      </c>
      <c r="V63" s="155">
        <f t="shared" si="44"/>
        <v>74.999999999999972</v>
      </c>
      <c r="W63" s="69"/>
      <c r="X63" s="69"/>
      <c r="Y63" s="510"/>
      <c r="Z63" s="510"/>
      <c r="AA63" s="66">
        <f t="shared" si="8"/>
        <v>-115.99999999999909</v>
      </c>
      <c r="AB63" s="150">
        <f t="shared" si="9"/>
        <v>0.95166666666666699</v>
      </c>
      <c r="AC63" s="511"/>
    </row>
    <row r="64" spans="1:29" ht="15.75" customHeight="1">
      <c r="A64" s="515" t="s">
        <v>652</v>
      </c>
      <c r="B64" s="157" t="s">
        <v>16</v>
      </c>
      <c r="C64" s="512" t="s">
        <v>49</v>
      </c>
      <c r="D64" s="512"/>
      <c r="E64" s="62">
        <v>19.02</v>
      </c>
      <c r="F64" s="157">
        <v>4100</v>
      </c>
      <c r="G64" s="147">
        <f t="shared" si="42"/>
        <v>77982</v>
      </c>
      <c r="H64" s="90">
        <v>2</v>
      </c>
      <c r="I64" s="154">
        <v>15</v>
      </c>
      <c r="J64" s="63">
        <v>2400</v>
      </c>
      <c r="K64" s="64">
        <f t="shared" si="1"/>
        <v>160</v>
      </c>
      <c r="L64" s="154">
        <v>15</v>
      </c>
      <c r="M64" s="65">
        <f t="shared" si="43"/>
        <v>2299.0654205607475</v>
      </c>
      <c r="N64" s="64">
        <f t="shared" si="3"/>
        <v>153.27102803738316</v>
      </c>
      <c r="O64" s="66">
        <f t="shared" si="4"/>
        <v>0</v>
      </c>
      <c r="P64" s="67">
        <f t="shared" si="5"/>
        <v>-6.7289719626168392</v>
      </c>
      <c r="Q64" s="150">
        <f t="shared" si="6"/>
        <v>0.9579439252336448</v>
      </c>
      <c r="R64" s="511"/>
      <c r="S64" s="68">
        <v>0.42152777777777767</v>
      </c>
      <c r="T64" s="68">
        <v>0.49583333333333324</v>
      </c>
      <c r="U64" s="147">
        <f t="shared" si="45"/>
        <v>5.9999999999999787</v>
      </c>
      <c r="V64" s="155">
        <f t="shared" si="44"/>
        <v>107.00000000000001</v>
      </c>
      <c r="W64" s="69">
        <f>T64</f>
        <v>0.49583333333333324</v>
      </c>
      <c r="X64" s="69">
        <f>S65</f>
        <v>0.53611111111111098</v>
      </c>
      <c r="Y64" s="517"/>
      <c r="Z64" s="518"/>
      <c r="AA64" s="66">
        <f t="shared" si="8"/>
        <v>-100.9345794392525</v>
      </c>
      <c r="AB64" s="150">
        <f t="shared" si="9"/>
        <v>0.9579439252336448</v>
      </c>
      <c r="AC64" s="511"/>
    </row>
    <row r="65" spans="1:29" ht="15.75" customHeight="1">
      <c r="A65" s="515" t="s">
        <v>652</v>
      </c>
      <c r="B65" s="157" t="s">
        <v>16</v>
      </c>
      <c r="C65" s="512" t="s">
        <v>49</v>
      </c>
      <c r="D65" s="512"/>
      <c r="E65" s="62">
        <v>19.02</v>
      </c>
      <c r="F65" s="157">
        <v>3152</v>
      </c>
      <c r="G65" s="147">
        <f t="shared" si="42"/>
        <v>59951.040000000001</v>
      </c>
      <c r="H65" s="90" t="s">
        <v>5</v>
      </c>
      <c r="I65" s="154">
        <v>15</v>
      </c>
      <c r="J65" s="63">
        <v>2400</v>
      </c>
      <c r="K65" s="64">
        <f t="shared" si="1"/>
        <v>160</v>
      </c>
      <c r="L65" s="154">
        <v>15</v>
      </c>
      <c r="M65" s="65">
        <f t="shared" si="43"/>
        <v>2306.3414634146334</v>
      </c>
      <c r="N65" s="64">
        <f t="shared" si="3"/>
        <v>153.75609756097555</v>
      </c>
      <c r="O65" s="66">
        <f t="shared" si="4"/>
        <v>0</v>
      </c>
      <c r="P65" s="67">
        <f t="shared" si="5"/>
        <v>-6.2439024390244526</v>
      </c>
      <c r="Q65" s="150">
        <f t="shared" si="6"/>
        <v>0.96097560975609719</v>
      </c>
      <c r="R65" s="511"/>
      <c r="S65" s="68">
        <v>0.53611111111111098</v>
      </c>
      <c r="T65" s="68">
        <v>0.59305555555555545</v>
      </c>
      <c r="U65" s="147">
        <f t="shared" si="45"/>
        <v>57.999999999999957</v>
      </c>
      <c r="V65" s="155">
        <f t="shared" si="44"/>
        <v>82.000000000000028</v>
      </c>
      <c r="W65" s="69"/>
      <c r="X65" s="69"/>
      <c r="Y65" s="517"/>
      <c r="Z65" s="518"/>
      <c r="AA65" s="66">
        <f t="shared" si="8"/>
        <v>-93.658536585366619</v>
      </c>
      <c r="AB65" s="150">
        <f t="shared" si="9"/>
        <v>0.96097560975609719</v>
      </c>
      <c r="AC65" s="511"/>
    </row>
    <row r="66" spans="1:29" ht="16.5" customHeight="1">
      <c r="A66" s="516" t="s">
        <v>652</v>
      </c>
      <c r="B66" s="62" t="s">
        <v>643</v>
      </c>
      <c r="C66" s="508"/>
      <c r="D66" s="509"/>
      <c r="E66" s="151"/>
      <c r="F66" s="71"/>
      <c r="G66" s="64"/>
      <c r="H66" s="157"/>
      <c r="I66" s="72">
        <v>16.75</v>
      </c>
      <c r="J66" s="63">
        <v>2400</v>
      </c>
      <c r="K66" s="64">
        <f t="shared" si="1"/>
        <v>143.28358208955223</v>
      </c>
      <c r="L66" s="72">
        <v>16.75</v>
      </c>
      <c r="M66" s="65">
        <f>AVERAGE(M58:M65)</f>
        <v>2302.6283852244587</v>
      </c>
      <c r="N66" s="64">
        <f t="shared" si="3"/>
        <v>137.47035135668409</v>
      </c>
      <c r="O66" s="66">
        <f t="shared" si="4"/>
        <v>0</v>
      </c>
      <c r="P66" s="67">
        <f t="shared" si="5"/>
        <v>-5.813230732868135</v>
      </c>
      <c r="Q66" s="150">
        <f t="shared" si="6"/>
        <v>0.95942849384352447</v>
      </c>
      <c r="R66" s="511"/>
      <c r="S66" s="68"/>
      <c r="T66" s="68"/>
      <c r="U66" s="64"/>
      <c r="V66" s="155"/>
      <c r="W66" s="64"/>
      <c r="X66" s="64"/>
      <c r="Y66" s="510"/>
      <c r="Z66" s="510"/>
      <c r="AA66" s="66">
        <f t="shared" si="8"/>
        <v>-97.371614775541275</v>
      </c>
      <c r="AB66" s="150">
        <f t="shared" si="9"/>
        <v>0.95942849384352447</v>
      </c>
      <c r="AC66" s="511"/>
    </row>
    <row r="67" spans="1:29">
      <c r="D67" s="76"/>
      <c r="E67" s="76"/>
    </row>
  </sheetData>
  <mergeCells count="182">
    <mergeCell ref="A3:A4"/>
    <mergeCell ref="B3:B4"/>
    <mergeCell ref="C3:D4"/>
    <mergeCell ref="E3:E4"/>
    <mergeCell ref="F3:F4"/>
    <mergeCell ref="G3:G4"/>
    <mergeCell ref="I1:K2"/>
    <mergeCell ref="L1:N2"/>
    <mergeCell ref="AC3:AC4"/>
    <mergeCell ref="H3:H4"/>
    <mergeCell ref="I3:I4"/>
    <mergeCell ref="J3:J4"/>
    <mergeCell ref="K3:K4"/>
    <mergeCell ref="O1:R2"/>
    <mergeCell ref="S1:X2"/>
    <mergeCell ref="Y1:Z2"/>
    <mergeCell ref="AA1:AC2"/>
    <mergeCell ref="L3:L4"/>
    <mergeCell ref="M3:M4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C14:D14"/>
    <mergeCell ref="Y14:Z14"/>
    <mergeCell ref="Y10:Z10"/>
    <mergeCell ref="C15:D15"/>
    <mergeCell ref="Y15:Z15"/>
    <mergeCell ref="A5:A6"/>
    <mergeCell ref="C5:D5"/>
    <mergeCell ref="R5:R6"/>
    <mergeCell ref="Y5:Z5"/>
    <mergeCell ref="AC5:AC6"/>
    <mergeCell ref="C6:D6"/>
    <mergeCell ref="Y6:Z6"/>
    <mergeCell ref="Y12:Z12"/>
    <mergeCell ref="C13:D13"/>
    <mergeCell ref="A7:A9"/>
    <mergeCell ref="C7:D7"/>
    <mergeCell ref="R7:R9"/>
    <mergeCell ref="Y7:Z7"/>
    <mergeCell ref="AC7:AC9"/>
    <mergeCell ref="C8:D8"/>
    <mergeCell ref="Y8:Z8"/>
    <mergeCell ref="C9:D9"/>
    <mergeCell ref="Y9:Z9"/>
    <mergeCell ref="Y13:Z13"/>
    <mergeCell ref="A10:A15"/>
    <mergeCell ref="C10:D10"/>
    <mergeCell ref="R10:R15"/>
    <mergeCell ref="AC21:AC28"/>
    <mergeCell ref="C22:D22"/>
    <mergeCell ref="Y22:Z22"/>
    <mergeCell ref="C23:D23"/>
    <mergeCell ref="Y23:Z23"/>
    <mergeCell ref="C24:D24"/>
    <mergeCell ref="AC16:AC20"/>
    <mergeCell ref="C17:D17"/>
    <mergeCell ref="Y17:Z17"/>
    <mergeCell ref="C18:D18"/>
    <mergeCell ref="Y18:Z18"/>
    <mergeCell ref="C19:D19"/>
    <mergeCell ref="Y19:Z19"/>
    <mergeCell ref="C20:D20"/>
    <mergeCell ref="Y20:Z20"/>
    <mergeCell ref="Y24:Z24"/>
    <mergeCell ref="R21:R28"/>
    <mergeCell ref="Y21:Z21"/>
    <mergeCell ref="C28:D28"/>
    <mergeCell ref="Y28:Z28"/>
    <mergeCell ref="AC10:AC15"/>
    <mergeCell ref="C11:D11"/>
    <mergeCell ref="Y11:Z11"/>
    <mergeCell ref="C12:D12"/>
    <mergeCell ref="A29:A36"/>
    <mergeCell ref="C29:D29"/>
    <mergeCell ref="R29:R36"/>
    <mergeCell ref="Y29:Z29"/>
    <mergeCell ref="Y34:Z34"/>
    <mergeCell ref="C35:D35"/>
    <mergeCell ref="Y35:Z35"/>
    <mergeCell ref="C36:D36"/>
    <mergeCell ref="A16:A20"/>
    <mergeCell ref="C16:D16"/>
    <mergeCell ref="R16:R20"/>
    <mergeCell ref="Y16:Z16"/>
    <mergeCell ref="C25:D25"/>
    <mergeCell ref="Y25:Z25"/>
    <mergeCell ref="C26:D26"/>
    <mergeCell ref="Y26:Z26"/>
    <mergeCell ref="C27:D27"/>
    <mergeCell ref="Y27:Z27"/>
    <mergeCell ref="A21:A28"/>
    <mergeCell ref="C21:D21"/>
    <mergeCell ref="AC37:AC47"/>
    <mergeCell ref="C38:D38"/>
    <mergeCell ref="Y38:Z38"/>
    <mergeCell ref="C39:D39"/>
    <mergeCell ref="Y39:Z39"/>
    <mergeCell ref="AC29:AC36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C40:D40"/>
    <mergeCell ref="Y36:Z36"/>
    <mergeCell ref="A48:A52"/>
    <mergeCell ref="C48:D48"/>
    <mergeCell ref="R48:R52"/>
    <mergeCell ref="Y48:Z48"/>
    <mergeCell ref="C43:D43"/>
    <mergeCell ref="Y43:Z43"/>
    <mergeCell ref="C44:D44"/>
    <mergeCell ref="Y44:Z44"/>
    <mergeCell ref="C45:D45"/>
    <mergeCell ref="Y45:Z45"/>
    <mergeCell ref="A37:A47"/>
    <mergeCell ref="C37:D37"/>
    <mergeCell ref="R37:R47"/>
    <mergeCell ref="Y37:Z37"/>
    <mergeCell ref="C46:D46"/>
    <mergeCell ref="Y46:Z46"/>
    <mergeCell ref="C47:D47"/>
    <mergeCell ref="Y47:Z47"/>
    <mergeCell ref="Y40:Z40"/>
    <mergeCell ref="C41:D41"/>
    <mergeCell ref="Y41:Z41"/>
    <mergeCell ref="C42:D42"/>
    <mergeCell ref="Y42:Z42"/>
    <mergeCell ref="AC53:AC57"/>
    <mergeCell ref="C54:D54"/>
    <mergeCell ref="Y54:Z54"/>
    <mergeCell ref="C55:D55"/>
    <mergeCell ref="Y55:Z55"/>
    <mergeCell ref="C56:D56"/>
    <mergeCell ref="AC48:AC52"/>
    <mergeCell ref="C49:D49"/>
    <mergeCell ref="Y49:Z49"/>
    <mergeCell ref="C50:D50"/>
    <mergeCell ref="C52:D52"/>
    <mergeCell ref="Y52:Z52"/>
    <mergeCell ref="Y56:Z56"/>
    <mergeCell ref="C57:D57"/>
    <mergeCell ref="Y57:Z57"/>
    <mergeCell ref="A58:A66"/>
    <mergeCell ref="C58:D58"/>
    <mergeCell ref="R58:R66"/>
    <mergeCell ref="Y58:Z58"/>
    <mergeCell ref="Y63:Z63"/>
    <mergeCell ref="C64:D64"/>
    <mergeCell ref="Y64:Z64"/>
    <mergeCell ref="A53:A57"/>
    <mergeCell ref="C53:D53"/>
    <mergeCell ref="R53:R57"/>
    <mergeCell ref="Y53:Z53"/>
    <mergeCell ref="C65:D65"/>
    <mergeCell ref="Y65:Z65"/>
    <mergeCell ref="C66:D66"/>
    <mergeCell ref="Y66:Z66"/>
    <mergeCell ref="AC58:AC66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6:O63 O66 O5:O7 O9:O11 O47:O53 O15:O42">
    <cfRule type="cellIs" dxfId="684" priority="70" operator="greaterThan">
      <formula>0</formula>
    </cfRule>
  </conditionalFormatting>
  <conditionalFormatting sqref="P5 P56 AA56 P58:P63 P21:P27 P53 P7 P9:P11 P16:P19 P48:P51 P29:P42 AA5:AA53 AA58:AA66">
    <cfRule type="cellIs" dxfId="683" priority="74" operator="lessThan">
      <formula>0</formula>
    </cfRule>
  </conditionalFormatting>
  <conditionalFormatting sqref="AB56 Q56:Q63 Q66 Q5:Q7 Q9:Q11 Q47:Q53 Q15:Q42 AB5:AB53 AB58:AB66">
    <cfRule type="cellIs" dxfId="682" priority="71" operator="greaterThan">
      <formula>1</formula>
    </cfRule>
    <cfRule type="cellIs" dxfId="681" priority="72" operator="lessThan">
      <formula>0.8</formula>
    </cfRule>
  </conditionalFormatting>
  <conditionalFormatting sqref="AC10:AC11 R10:R11 AC56 R56:R63 R66 AC5:AC7 R5:R7 R15:R42 AC15:AC42 AC47:AC53 R47:R53">
    <cfRule type="cellIs" dxfId="680" priority="76" operator="lessThan">
      <formula>0.8</formula>
    </cfRule>
  </conditionalFormatting>
  <conditionalFormatting sqref="AC37">
    <cfRule type="cellIs" dxfId="679" priority="78" operator="lessThan">
      <formula>0.8</formula>
    </cfRule>
  </conditionalFormatting>
  <conditionalFormatting sqref="AC16:AC19">
    <cfRule type="cellIs" dxfId="678" priority="75" operator="lessThan">
      <formula>0.8</formula>
    </cfRule>
  </conditionalFormatting>
  <conditionalFormatting sqref="AC21">
    <cfRule type="cellIs" dxfId="677" priority="77" operator="lessThan">
      <formula>0.8</formula>
    </cfRule>
  </conditionalFormatting>
  <conditionalFormatting sqref="AC29:AC35">
    <cfRule type="cellIs" dxfId="676" priority="73" operator="lessThan">
      <formula>0.8</formula>
    </cfRule>
  </conditionalFormatting>
  <conditionalFormatting sqref="AA57">
    <cfRule type="cellIs" dxfId="675" priority="69" operator="lessThan">
      <formula>0</formula>
    </cfRule>
  </conditionalFormatting>
  <conditionalFormatting sqref="AB57">
    <cfRule type="cellIs" dxfId="674" priority="67" operator="greaterThan">
      <formula>1</formula>
    </cfRule>
    <cfRule type="cellIs" dxfId="673" priority="68" operator="lessThan">
      <formula>0.8</formula>
    </cfRule>
  </conditionalFormatting>
  <conditionalFormatting sqref="O12:O13">
    <cfRule type="cellIs" dxfId="672" priority="62" operator="greaterThan">
      <formula>0</formula>
    </cfRule>
  </conditionalFormatting>
  <conditionalFormatting sqref="P12:P13">
    <cfRule type="cellIs" dxfId="671" priority="65" operator="lessThan">
      <formula>0</formula>
    </cfRule>
  </conditionalFormatting>
  <conditionalFormatting sqref="Q12:Q13">
    <cfRule type="cellIs" dxfId="670" priority="63" operator="greaterThan">
      <formula>1</formula>
    </cfRule>
    <cfRule type="cellIs" dxfId="669" priority="64" operator="lessThan">
      <formula>0.8</formula>
    </cfRule>
  </conditionalFormatting>
  <conditionalFormatting sqref="R12:R13 AC12:AC13">
    <cfRule type="cellIs" dxfId="668" priority="66" operator="lessThan">
      <formula>0.8</formula>
    </cfRule>
  </conditionalFormatting>
  <conditionalFormatting sqref="O8">
    <cfRule type="cellIs" dxfId="667" priority="58" operator="greaterThan">
      <formula>0</formula>
    </cfRule>
  </conditionalFormatting>
  <conditionalFormatting sqref="P8">
    <cfRule type="cellIs" dxfId="666" priority="61" operator="lessThan">
      <formula>0</formula>
    </cfRule>
  </conditionalFormatting>
  <conditionalFormatting sqref="Q8">
    <cfRule type="cellIs" dxfId="665" priority="59" operator="greaterThan">
      <formula>1</formula>
    </cfRule>
    <cfRule type="cellIs" dxfId="664" priority="60" operator="lessThan">
      <formula>0.8</formula>
    </cfRule>
  </conditionalFormatting>
  <conditionalFormatting sqref="O55">
    <cfRule type="cellIs" dxfId="663" priority="53" operator="greaterThan">
      <formula>0</formula>
    </cfRule>
  </conditionalFormatting>
  <conditionalFormatting sqref="P55 AA55">
    <cfRule type="cellIs" dxfId="662" priority="56" operator="lessThan">
      <formula>0</formula>
    </cfRule>
  </conditionalFormatting>
  <conditionalFormatting sqref="Q55 AB55">
    <cfRule type="cellIs" dxfId="661" priority="54" operator="greaterThan">
      <formula>1</formula>
    </cfRule>
    <cfRule type="cellIs" dxfId="660" priority="55" operator="lessThan">
      <formula>0.8</formula>
    </cfRule>
  </conditionalFormatting>
  <conditionalFormatting sqref="R55 AC55">
    <cfRule type="cellIs" dxfId="659" priority="57" operator="lessThan">
      <formula>0.8</formula>
    </cfRule>
  </conditionalFormatting>
  <conditionalFormatting sqref="O64">
    <cfRule type="cellIs" dxfId="658" priority="48" operator="greaterThan">
      <formula>0</formula>
    </cfRule>
  </conditionalFormatting>
  <conditionalFormatting sqref="P64">
    <cfRule type="cellIs" dxfId="657" priority="51" operator="lessThan">
      <formula>0</formula>
    </cfRule>
  </conditionalFormatting>
  <conditionalFormatting sqref="Q64">
    <cfRule type="cellIs" dxfId="656" priority="49" operator="greaterThan">
      <formula>1</formula>
    </cfRule>
    <cfRule type="cellIs" dxfId="655" priority="50" operator="lessThan">
      <formula>0.8</formula>
    </cfRule>
  </conditionalFormatting>
  <conditionalFormatting sqref="R64">
    <cfRule type="cellIs" dxfId="654" priority="52" operator="lessThan">
      <formula>0.8</formula>
    </cfRule>
  </conditionalFormatting>
  <conditionalFormatting sqref="O14">
    <cfRule type="cellIs" dxfId="653" priority="43" operator="greaterThan">
      <formula>0</formula>
    </cfRule>
  </conditionalFormatting>
  <conditionalFormatting sqref="P14">
    <cfRule type="cellIs" dxfId="652" priority="46" operator="lessThan">
      <formula>0</formula>
    </cfRule>
  </conditionalFormatting>
  <conditionalFormatting sqref="Q14">
    <cfRule type="cellIs" dxfId="651" priority="44" operator="greaterThan">
      <formula>1</formula>
    </cfRule>
    <cfRule type="cellIs" dxfId="650" priority="45" operator="lessThan">
      <formula>0.8</formula>
    </cfRule>
  </conditionalFormatting>
  <conditionalFormatting sqref="R14 AC14">
    <cfRule type="cellIs" dxfId="649" priority="47" operator="lessThan">
      <formula>0.8</formula>
    </cfRule>
  </conditionalFormatting>
  <conditionalFormatting sqref="O43">
    <cfRule type="cellIs" dxfId="648" priority="37" operator="greaterThan">
      <formula>0</formula>
    </cfRule>
  </conditionalFormatting>
  <conditionalFormatting sqref="P43">
    <cfRule type="cellIs" dxfId="647" priority="41" operator="lessThan">
      <formula>0</formula>
    </cfRule>
  </conditionalFormatting>
  <conditionalFormatting sqref="Q43">
    <cfRule type="cellIs" dxfId="646" priority="38" operator="greaterThan">
      <formula>1</formula>
    </cfRule>
    <cfRule type="cellIs" dxfId="645" priority="39" operator="lessThan">
      <formula>0.8</formula>
    </cfRule>
  </conditionalFormatting>
  <conditionalFormatting sqref="R43 AC43">
    <cfRule type="cellIs" dxfId="644" priority="42" operator="lessThan">
      <formula>0.8</formula>
    </cfRule>
  </conditionalFormatting>
  <conditionalFormatting sqref="AC43">
    <cfRule type="cellIs" dxfId="643" priority="40" operator="lessThan">
      <formula>0.8</formula>
    </cfRule>
  </conditionalFormatting>
  <conditionalFormatting sqref="O44">
    <cfRule type="cellIs" dxfId="642" priority="31" operator="greaterThan">
      <formula>0</formula>
    </cfRule>
  </conditionalFormatting>
  <conditionalFormatting sqref="P44">
    <cfRule type="cellIs" dxfId="641" priority="35" operator="lessThan">
      <formula>0</formula>
    </cfRule>
  </conditionalFormatting>
  <conditionalFormatting sqref="Q44">
    <cfRule type="cellIs" dxfId="640" priority="32" operator="greaterThan">
      <formula>1</formula>
    </cfRule>
    <cfRule type="cellIs" dxfId="639" priority="33" operator="lessThan">
      <formula>0.8</formula>
    </cfRule>
  </conditionalFormatting>
  <conditionalFormatting sqref="R44 AC44">
    <cfRule type="cellIs" dxfId="638" priority="36" operator="lessThan">
      <formula>0.8</formula>
    </cfRule>
  </conditionalFormatting>
  <conditionalFormatting sqref="AC44">
    <cfRule type="cellIs" dxfId="637" priority="34" operator="lessThan">
      <formula>0.8</formula>
    </cfRule>
  </conditionalFormatting>
  <conditionalFormatting sqref="O45">
    <cfRule type="cellIs" dxfId="636" priority="25" operator="greaterThan">
      <formula>0</formula>
    </cfRule>
  </conditionalFormatting>
  <conditionalFormatting sqref="P45">
    <cfRule type="cellIs" dxfId="635" priority="29" operator="lessThan">
      <formula>0</formula>
    </cfRule>
  </conditionalFormatting>
  <conditionalFormatting sqref="Q45">
    <cfRule type="cellIs" dxfId="634" priority="26" operator="greaterThan">
      <formula>1</formula>
    </cfRule>
    <cfRule type="cellIs" dxfId="633" priority="27" operator="lessThan">
      <formula>0.8</formula>
    </cfRule>
  </conditionalFormatting>
  <conditionalFormatting sqref="R45 AC45">
    <cfRule type="cellIs" dxfId="632" priority="30" operator="lessThan">
      <formula>0.8</formula>
    </cfRule>
  </conditionalFormatting>
  <conditionalFormatting sqref="AC45">
    <cfRule type="cellIs" dxfId="631" priority="28" operator="lessThan">
      <formula>0.8</formula>
    </cfRule>
  </conditionalFormatting>
  <conditionalFormatting sqref="O46">
    <cfRule type="cellIs" dxfId="630" priority="19" operator="greaterThan">
      <formula>0</formula>
    </cfRule>
  </conditionalFormatting>
  <conditionalFormatting sqref="P46">
    <cfRule type="cellIs" dxfId="629" priority="23" operator="lessThan">
      <formula>0</formula>
    </cfRule>
  </conditionalFormatting>
  <conditionalFormatting sqref="Q46">
    <cfRule type="cellIs" dxfId="628" priority="20" operator="greaterThan">
      <formula>1</formula>
    </cfRule>
    <cfRule type="cellIs" dxfId="627" priority="21" operator="lessThan">
      <formula>0.8</formula>
    </cfRule>
  </conditionalFormatting>
  <conditionalFormatting sqref="R46 AC46">
    <cfRule type="cellIs" dxfId="626" priority="24" operator="lessThan">
      <formula>0.8</formula>
    </cfRule>
  </conditionalFormatting>
  <conditionalFormatting sqref="AC46">
    <cfRule type="cellIs" dxfId="625" priority="22" operator="lessThan">
      <formula>0.8</formula>
    </cfRule>
  </conditionalFormatting>
  <conditionalFormatting sqref="O54">
    <cfRule type="cellIs" dxfId="624" priority="14" operator="greaterThan">
      <formula>0</formula>
    </cfRule>
  </conditionalFormatting>
  <conditionalFormatting sqref="P54 AA54">
    <cfRule type="cellIs" dxfId="623" priority="17" operator="lessThan">
      <formula>0</formula>
    </cfRule>
  </conditionalFormatting>
  <conditionalFormatting sqref="Q54 AB54">
    <cfRule type="cellIs" dxfId="622" priority="15" operator="greaterThan">
      <formula>1</formula>
    </cfRule>
    <cfRule type="cellIs" dxfId="621" priority="16" operator="lessThan">
      <formula>0.8</formula>
    </cfRule>
  </conditionalFormatting>
  <conditionalFormatting sqref="R54 AC54">
    <cfRule type="cellIs" dxfId="620" priority="18" operator="lessThan">
      <formula>0.8</formula>
    </cfRule>
  </conditionalFormatting>
  <conditionalFormatting sqref="P6">
    <cfRule type="cellIs" dxfId="619" priority="13" operator="lessThan">
      <formula>0</formula>
    </cfRule>
  </conditionalFormatting>
  <conditionalFormatting sqref="P15">
    <cfRule type="cellIs" dxfId="618" priority="12" operator="lessThan">
      <formula>0</formula>
    </cfRule>
  </conditionalFormatting>
  <conditionalFormatting sqref="P20">
    <cfRule type="cellIs" dxfId="617" priority="11" operator="lessThan">
      <formula>0</formula>
    </cfRule>
  </conditionalFormatting>
  <conditionalFormatting sqref="P28">
    <cfRule type="cellIs" dxfId="616" priority="10" operator="lessThan">
      <formula>0</formula>
    </cfRule>
  </conditionalFormatting>
  <conditionalFormatting sqref="P47">
    <cfRule type="cellIs" dxfId="615" priority="9" operator="lessThan">
      <formula>0</formula>
    </cfRule>
  </conditionalFormatting>
  <conditionalFormatting sqref="P52">
    <cfRule type="cellIs" dxfId="614" priority="8" operator="lessThan">
      <formula>0</formula>
    </cfRule>
  </conditionalFormatting>
  <conditionalFormatting sqref="P57">
    <cfRule type="cellIs" dxfId="613" priority="7" operator="lessThan">
      <formula>0</formula>
    </cfRule>
  </conditionalFormatting>
  <conditionalFormatting sqref="P66">
    <cfRule type="cellIs" dxfId="612" priority="6" operator="lessThan">
      <formula>0</formula>
    </cfRule>
  </conditionalFormatting>
  <conditionalFormatting sqref="O65">
    <cfRule type="cellIs" dxfId="611" priority="1" operator="greaterThan">
      <formula>0</formula>
    </cfRule>
  </conditionalFormatting>
  <conditionalFormatting sqref="P65">
    <cfRule type="cellIs" dxfId="610" priority="4" operator="lessThan">
      <formula>0</formula>
    </cfRule>
  </conditionalFormatting>
  <conditionalFormatting sqref="Q65">
    <cfRule type="cellIs" dxfId="609" priority="2" operator="greaterThan">
      <formula>1</formula>
    </cfRule>
    <cfRule type="cellIs" dxfId="608" priority="3" operator="lessThan">
      <formula>0.8</formula>
    </cfRule>
  </conditionalFormatting>
  <conditionalFormatting sqref="R65">
    <cfRule type="cellIs" dxfId="607" priority="5" operator="lessThan">
      <formula>0.8</formula>
    </cfRule>
  </conditionalFormatting>
  <dataValidations count="1">
    <dataValidation type="list" allowBlank="1" showInputMessage="1" showErrorMessage="1" sqref="Z6 Y5:Z5 Y6:Y56 Z8:Z53 Y57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7" zoomScale="85" zoomScaleNormal="85" workbookViewId="0">
      <selection activeCell="I3" sqref="I3:J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506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507</v>
      </c>
      <c r="C3" s="497" t="str">
        <f>TEXT('1106 4度C'!A2,"yyyy.mm.ddaaaa")</f>
        <v>2025.11.06星期四</v>
      </c>
      <c r="D3" s="498"/>
      <c r="E3" s="4" t="s">
        <v>508</v>
      </c>
      <c r="F3" s="499">
        <f>'1106 4度C'!D1</f>
        <v>190507</v>
      </c>
      <c r="G3" s="500"/>
      <c r="H3" s="4" t="s">
        <v>509</v>
      </c>
      <c r="I3" s="501">
        <f>'1106 4度C'!F1</f>
        <v>6458034.5099999998</v>
      </c>
      <c r="J3" s="502"/>
      <c r="K3" s="5"/>
      <c r="L3" s="6"/>
      <c r="M3" s="7"/>
      <c r="N3" s="7"/>
    </row>
    <row r="4" spans="2:17" ht="28.5" customHeight="1">
      <c r="B4" s="503" t="s">
        <v>510</v>
      </c>
      <c r="C4" s="485" t="s">
        <v>511</v>
      </c>
      <c r="D4" s="486"/>
      <c r="E4" s="506" t="s">
        <v>512</v>
      </c>
      <c r="F4" s="507"/>
      <c r="G4" s="506" t="s">
        <v>513</v>
      </c>
      <c r="H4" s="507"/>
      <c r="I4" s="506" t="s">
        <v>514</v>
      </c>
      <c r="J4" s="507"/>
      <c r="L4" s="7"/>
      <c r="M4" s="7"/>
      <c r="N4" s="7"/>
    </row>
    <row r="5" spans="2:17" ht="28.5" customHeight="1">
      <c r="B5" s="504"/>
      <c r="C5" s="485" t="s">
        <v>515</v>
      </c>
      <c r="D5" s="486"/>
      <c r="E5" s="485" t="s">
        <v>516</v>
      </c>
      <c r="F5" s="486"/>
      <c r="G5" s="487" t="s">
        <v>517</v>
      </c>
      <c r="H5" s="488"/>
      <c r="I5" s="489" t="s">
        <v>518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153.3060683972621</v>
      </c>
      <c r="F6" s="492">
        <f>AVERAGE(D27:O27,D13:J13)</f>
        <v>158.74548576060087</v>
      </c>
      <c r="G6" s="493">
        <f>AVERAGE(D13:J13)</f>
        <v>158.74548576060087</v>
      </c>
      <c r="H6" s="494"/>
      <c r="I6" s="493">
        <f>AVERAGE(K13:M13)</f>
        <v>140.6140945494715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146.97422030994886</v>
      </c>
      <c r="F7" s="478">
        <f>AVERAGE(D28:O28,D14:J14)</f>
        <v>152.20014540315296</v>
      </c>
      <c r="G7" s="479">
        <f>AVERAGE(D14:J14)</f>
        <v>152.20014540315296</v>
      </c>
      <c r="H7" s="480"/>
      <c r="I7" s="479">
        <f>AVERAGE(K14:M14)</f>
        <v>134.78039509247259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0.95843599114725253</v>
      </c>
      <c r="F8" s="482">
        <f>AVERAGE(D15:J15,D29:O29)</f>
        <v>0.95840549362367289</v>
      </c>
      <c r="G8" s="483">
        <f>AVERAGE(D15:J15)</f>
        <v>0.95840549362367289</v>
      </c>
      <c r="H8" s="484"/>
      <c r="I8" s="483">
        <f>AVERAGE(K15:M15)</f>
        <v>0.95850715203560444</v>
      </c>
      <c r="J8" s="484"/>
      <c r="K8" s="8" t="s">
        <v>519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520</v>
      </c>
      <c r="C10" s="459"/>
      <c r="D10" s="460" t="s">
        <v>521</v>
      </c>
      <c r="E10" s="461"/>
      <c r="F10" s="461"/>
      <c r="G10" s="461"/>
      <c r="H10" s="461"/>
      <c r="I10" s="461"/>
      <c r="J10" s="462"/>
      <c r="K10" s="463" t="s">
        <v>522</v>
      </c>
      <c r="L10" s="464"/>
      <c r="M10" s="465"/>
      <c r="P10" s="11"/>
      <c r="Q10" s="11"/>
    </row>
    <row r="11" spans="2:17" ht="17.25" customHeight="1">
      <c r="B11" s="466" t="s">
        <v>523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524</v>
      </c>
      <c r="C13" s="18" t="s">
        <v>525</v>
      </c>
      <c r="D13" s="19">
        <f>SUMIFS('1106 4度C'!$K:$K,'1106 4度C'!$A:$A,"新豐6線",'1106 4度C'!$B:$B,"平均")</f>
        <v>126.98412698412699</v>
      </c>
      <c r="E13" s="20">
        <f>SUMIFS('1106 4度C'!$K:$K,'1106 4度C'!$A:$A,"新豐2線",'1106 4度C'!$B:$B,"平均")</f>
        <v>81.081081081081081</v>
      </c>
      <c r="F13" s="21">
        <f>SUMIFS('1106 4度C'!$K:$K,'1106 4度C'!$A:$A,"新豐5線",'1106 4度C'!$B:$B,"平均")</f>
        <v>96</v>
      </c>
      <c r="G13" s="21">
        <f>SUMIFS('1106 4度C'!$K:$K,'1106 4度C'!$A:$A,"新豐7線",'1106 4度C'!$B:$B,"平均")</f>
        <v>125</v>
      </c>
      <c r="H13" s="21">
        <f>SUMIFS('1106 4度C'!$K:$K,'1106 4度C'!$A:$A,"新豐3線",'1106 4度C'!$B:$B,"平均")</f>
        <v>271.92982456140351</v>
      </c>
      <c r="I13" s="21">
        <f>SUMIFS('1106 4度C'!$K:$K,'1106 4度C'!$A:$A,"新豐1線",'1106 4度C'!$B:$B,"平均")</f>
        <v>118.55670103092783</v>
      </c>
      <c r="J13" s="22">
        <f>SUMIFS('1106 4度C'!$K:$K,'1106 4度C'!$A:$A,"新豐10線",'1106 4度C'!$B:$B,"平均")</f>
        <v>291.66666666666669</v>
      </c>
      <c r="K13" s="23">
        <f>SUMIFS('1106 4度C'!$K:$K,'1106 4度C'!$A:$A,"新豐8線",'1106 4度C'!$B:$B,"平均")</f>
        <v>135.21126760563379</v>
      </c>
      <c r="L13" s="24">
        <f>SUMIFS('1106 4度C'!$K:$K,'1106 4度C'!$A:$A,"新豐9線",'1106 4度C'!$B:$B,"平均")</f>
        <v>141.1764705882353</v>
      </c>
      <c r="M13" s="22">
        <f>SUMIFS('1106 4度C'!$K:$K,'1106 4度C'!$A:$A,"新豐4線",'1106 4度C'!$B:$B,"平均")</f>
        <v>145.45454545454547</v>
      </c>
    </row>
    <row r="14" spans="2:17" ht="39.6" customHeight="1">
      <c r="B14" s="471"/>
      <c r="C14" s="25" t="s">
        <v>526</v>
      </c>
      <c r="D14" s="26">
        <f>SUMIFS('1106 4度C'!$N:$N,'1106 4度C'!$A:$A,"新豐6線",'1106 4度C'!$B:$B,"平均")</f>
        <v>121.42563566701499</v>
      </c>
      <c r="E14" s="27">
        <f>SUMIFS('1106 4度C'!$N:$N,'1106 4度C'!$A:$A,"新豐2線",'1106 4度C'!$B:$B,"平均")</f>
        <v>77.475285944251482</v>
      </c>
      <c r="F14" s="27">
        <f>SUMIFS('1106 4度C'!$N:$N,'1106 4度C'!$A:$A,"新豐5線",'1106 4度C'!$B:$B,"平均")</f>
        <v>92.276827317621724</v>
      </c>
      <c r="G14" s="27">
        <f>SUMIFS('1106 4度C'!$N:$N,'1106 4度C'!$A:$A,"新豐7線",'1106 4度C'!$B:$B,"平均")</f>
        <v>119.63667929292932</v>
      </c>
      <c r="H14" s="27">
        <f>SUMIFS('1106 4度C'!$N:$N,'1106 4度C'!$A:$A,"新豐3線",'1106 4度C'!$B:$B,"平均")</f>
        <v>261.56848849141193</v>
      </c>
      <c r="I14" s="27">
        <f>SUMIFS('1106 4度C'!$N:$N,'1106 4度C'!$A:$A,"新豐1線",'1106 4度C'!$B:$B,"平均")</f>
        <v>113.73571493882027</v>
      </c>
      <c r="J14" s="28">
        <f>SUMIFS('1106 4度C'!$N:$N,'1106 4度C'!$A:$A,"新豐10線",'1106 4度C'!$B:$B,"平均")</f>
        <v>279.28238617002108</v>
      </c>
      <c r="K14" s="29">
        <f>SUMIFS('1106 4度C'!$N:$N,'1106 4度C'!$A:$A,"新豐8線",'1106 4度C'!$B:$B,"平均")</f>
        <v>129.61379693499504</v>
      </c>
      <c r="L14" s="30">
        <f>SUMIFS('1106 4度C'!$N:$N,'1106 4度C'!$A:$A,"新豐9線",'1106 4度C'!$B:$B,"平均")</f>
        <v>135.20938282042911</v>
      </c>
      <c r="M14" s="28">
        <f>SUMIFS('1106 4度C'!$N:$N,'1106 4度C'!$A:$A,"新豐4線",'1106 4度C'!$B:$B,"平均")</f>
        <v>139.51800552199364</v>
      </c>
    </row>
    <row r="15" spans="2:17" ht="40.15" customHeight="1">
      <c r="B15" s="472"/>
      <c r="C15" s="31" t="s">
        <v>527</v>
      </c>
      <c r="D15" s="32">
        <f t="shared" ref="D15:M15" si="0">D14/D13</f>
        <v>0.95622688087774299</v>
      </c>
      <c r="E15" s="33">
        <f t="shared" si="0"/>
        <v>0.95552852664576826</v>
      </c>
      <c r="F15" s="33">
        <f t="shared" si="0"/>
        <v>0.96121695122522632</v>
      </c>
      <c r="G15" s="33">
        <f t="shared" si="0"/>
        <v>0.95709343434343452</v>
      </c>
      <c r="H15" s="33">
        <f t="shared" si="0"/>
        <v>0.96189702219422446</v>
      </c>
      <c r="I15" s="33">
        <f t="shared" si="0"/>
        <v>0.95933603035352755</v>
      </c>
      <c r="J15" s="34">
        <f t="shared" si="0"/>
        <v>0.95753960972578656</v>
      </c>
      <c r="K15" s="32">
        <f t="shared" si="0"/>
        <v>0.9586020398317342</v>
      </c>
      <c r="L15" s="33">
        <f t="shared" si="0"/>
        <v>0.95773312831137281</v>
      </c>
      <c r="M15" s="34">
        <f t="shared" si="0"/>
        <v>0.9591862879637062</v>
      </c>
    </row>
    <row r="16" spans="2:17" ht="17.25" customHeight="1">
      <c r="B16" s="473" t="s">
        <v>528</v>
      </c>
      <c r="C16" s="35" t="s">
        <v>529</v>
      </c>
      <c r="D16" s="49">
        <f>VLOOKUP("新豐6線",'1106 4度C'!$A:$T,19,0)</f>
        <v>0.70833333333333337</v>
      </c>
      <c r="E16" s="50">
        <f>VLOOKUP("新豐2線",'1106 4度C'!$A:$T,19,0)</f>
        <v>0.20833333333333334</v>
      </c>
      <c r="F16" s="50">
        <f>VLOOKUP("新豐5線",'1106 4度C'!$A:$T,19,0)</f>
        <v>0.125</v>
      </c>
      <c r="G16" s="50">
        <f>VLOOKUP("新豐7線",'1106 4度C'!$A:$T,19,0)</f>
        <v>0.20833333333333334</v>
      </c>
      <c r="H16" s="50">
        <f>VLOOKUP("新豐3線",'1106 4度C'!$A:$T,19,0)</f>
        <v>0.125</v>
      </c>
      <c r="I16" s="50">
        <f>VLOOKUP("新豐1線",'1106 4度C'!$A:$T,19,0)</f>
        <v>0.20833333333333334</v>
      </c>
      <c r="J16" s="51">
        <f>VLOOKUP("新豐10線",'1106 4度C'!$A:$T,19,0)</f>
        <v>0.20833333333333334</v>
      </c>
      <c r="K16" s="36">
        <f>VLOOKUP("新豐8線",'1106 4度C'!$A:$T,19,0)</f>
        <v>0.125</v>
      </c>
      <c r="L16" s="37">
        <f>VLOOKUP("新豐9線",'1106 4度C'!$A:$T,19,0)</f>
        <v>0.125</v>
      </c>
      <c r="M16" s="38">
        <f>VLOOKUP("新豐4線",'1106 4度C'!$A:$T,19,0)</f>
        <v>0.125</v>
      </c>
    </row>
    <row r="17" spans="2:13" ht="17.25" customHeight="1">
      <c r="B17" s="474"/>
      <c r="C17" s="35" t="s">
        <v>530</v>
      </c>
      <c r="D17" s="36">
        <f>LOOKUP(2,1/(('1106 4度C'!$A:$A="新豐6線")*('1106 4度C'!$T:$T&lt;&gt;"")),'1106 4度C'!$T:$T)</f>
        <v>0.94652777777777775</v>
      </c>
      <c r="E17" s="50">
        <f>LOOKUP(2,1/(('1106 4度C'!$A:$A="新豐2線")*('1106 4度C'!$T:$T&lt;&gt;"")),'1106 4度C'!$T:$T)</f>
        <v>0.46527777777777773</v>
      </c>
      <c r="F17" s="50">
        <f>LOOKUP(2,1/(('1106 4度C'!$A:$A="新豐5線")*('1106 4度C'!$T:$T&lt;&gt;"")),'1106 4度C'!$T:$T)</f>
        <v>0.94930555555555551</v>
      </c>
      <c r="G17" s="50">
        <f>LOOKUP(2,1/(('1106 4度C'!$A:$A="新豐7線")*('1106 4度C'!$T:$T&lt;&gt;"")),'1106 4度C'!$T:$T)</f>
        <v>0.91874999999999996</v>
      </c>
      <c r="H17" s="50">
        <f>LOOKUP(2,1/(('1106 4度C'!$A:$A="新豐3線")*('1106 4度C'!$T:$T&lt;&gt;"")),'1106 4度C'!$T:$T)</f>
        <v>0.74097222222222214</v>
      </c>
      <c r="I17" s="50">
        <f>LOOKUP(2,1/(('1106 4度C'!$A:$A="新豐1線")*('1106 4度C'!$T:$T&lt;&gt;"")),'1106 4度C'!$T:$T)</f>
        <v>0.94791666666666674</v>
      </c>
      <c r="J17" s="51">
        <f>LOOKUP(2,1/(('1106 4度C'!$A:$A="新豐10線")*('1106 4度C'!$T:$T&lt;&gt;"")),'1106 4度C'!$T:$T)</f>
        <v>0.46527777777777779</v>
      </c>
      <c r="K17" s="49">
        <f>LOOKUP(2,1/(('1106 4度C'!$A:$A="新豐8線")*('1106 4度C'!$T:$T&lt;&gt;"")),'1106 4度C'!$T:$T)</f>
        <v>0.73333333333333306</v>
      </c>
      <c r="L17" s="50">
        <f>LOOKUP(2,1/(('1106 4度C'!$A:$A="新豐9線")*('1106 4度C'!$T:$T&lt;&gt;"")),'1106 4度C'!$T:$T)</f>
        <v>0.73124999999999996</v>
      </c>
      <c r="M17" s="51">
        <f>LOOKUP(2,1/(('1106 4度C'!$A:$A="新豐4線")*('1106 4度C'!$T:$T&lt;&gt;"")),'1106 4度C'!$T:$T)</f>
        <v>0.70624999999999993</v>
      </c>
    </row>
    <row r="18" spans="2:13" ht="17.25" customHeight="1">
      <c r="B18" s="452" t="s">
        <v>531</v>
      </c>
      <c r="C18" s="453"/>
      <c r="D18" s="39">
        <f>SUMIFS('1106 4度C'!$I:$I,'1106 4度C'!$A:$A,"新豐6線",'1106 4度C'!$B:$B,"平均")</f>
        <v>15.75</v>
      </c>
      <c r="E18" s="40">
        <f>SUMIFS('1106 4度C'!$I:$I,'1106 4度C'!$A:$A,"新豐2線",'1106 4度C'!$B:$B,"平均")</f>
        <v>18.5</v>
      </c>
      <c r="F18" s="40">
        <f>SUMIFS('1106 4度C'!$I:$I,'1106 4度C'!$A:$A,"新豐5線",'1106 4度C'!$B:$B,"平均")</f>
        <v>17.857142857142858</v>
      </c>
      <c r="G18" s="40">
        <f>SUMIFS('1106 4度C'!$I:$I,'1106 4度C'!$A:$A,"新豐7線",'1106 4度C'!$B:$B,"平均")</f>
        <v>16</v>
      </c>
      <c r="H18" s="40">
        <f>SUMIFS('1106 4度C'!$I:$I,'1106 4度C'!$A:$A,"新豐3線",'1106 4度C'!$B:$B,"平均")</f>
        <v>10.363636363636363</v>
      </c>
      <c r="I18" s="40">
        <f>SUMIFS('1106 4度C'!$I:$I,'1106 4度C'!$A:$A,"新豐1線",'1106 4度C'!$B:$B,"平均")</f>
        <v>16.166666666666668</v>
      </c>
      <c r="J18" s="41">
        <f>SUMIFS('1106 4度C'!$I:$I,'1106 4度C'!$A:$A,"新豐10線",'1106 4度C'!$B:$B,"平均")</f>
        <v>9</v>
      </c>
      <c r="K18" s="39">
        <f>SUMIFS('1106 4度C'!$I:$I,'1106 4度C'!$A:$A,"新豐8線",'1106 4度C'!$B:$B,"平均")</f>
        <v>17.75</v>
      </c>
      <c r="L18" s="40">
        <f>SUMIFS('1106 4度C'!$I:$I,'1106 4度C'!$A:$A,"新豐9線",'1106 4度C'!$B:$B,"平均")</f>
        <v>17</v>
      </c>
      <c r="M18" s="41">
        <f>SUMIFS('1106 4度C'!$I:$I,'1106 4度C'!$A:$A,"新豐4線",'1106 4度C'!$B:$B,"平均")</f>
        <v>16.5</v>
      </c>
    </row>
    <row r="19" spans="2:13" ht="17.25" customHeight="1">
      <c r="B19" s="452" t="s">
        <v>532</v>
      </c>
      <c r="C19" s="453"/>
      <c r="D19" s="42" t="s">
        <v>65</v>
      </c>
      <c r="E19" s="43" t="s">
        <v>66</v>
      </c>
      <c r="F19" s="43" t="s">
        <v>533</v>
      </c>
      <c r="G19" s="43" t="s">
        <v>533</v>
      </c>
      <c r="H19" s="43" t="s">
        <v>67</v>
      </c>
      <c r="I19" s="43" t="s">
        <v>65</v>
      </c>
      <c r="J19" s="44" t="s">
        <v>67</v>
      </c>
      <c r="K19" s="42" t="s">
        <v>534</v>
      </c>
      <c r="L19" s="43" t="s">
        <v>534</v>
      </c>
      <c r="M19" s="44" t="s">
        <v>534</v>
      </c>
    </row>
    <row r="20" spans="2:13" ht="17.25" customHeight="1">
      <c r="B20" s="452" t="s">
        <v>535</v>
      </c>
      <c r="C20" s="453"/>
      <c r="D20" s="42"/>
      <c r="E20" s="43"/>
      <c r="F20" s="43" t="s">
        <v>536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537</v>
      </c>
      <c r="C21" s="455"/>
      <c r="D21" s="45"/>
      <c r="E21" s="46" t="s">
        <v>538</v>
      </c>
      <c r="F21" s="456" t="s">
        <v>539</v>
      </c>
      <c r="G21" s="457"/>
      <c r="H21" s="46" t="s">
        <v>540</v>
      </c>
      <c r="I21" s="46" t="s">
        <v>541</v>
      </c>
      <c r="J21" s="47" t="s">
        <v>540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6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zoomScale="80" zoomScaleNormal="80" workbookViewId="0">
      <pane ySplit="4" topLeftCell="A5" activePane="bottomLeft" state="frozen"/>
      <selection activeCell="G5" sqref="G5:H5"/>
      <selection pane="bottomLeft" activeCell="G5" sqref="G5:H5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160" bestFit="1" customWidth="1"/>
    <col min="20" max="20" width="7.625" style="160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542</v>
      </c>
      <c r="B1" s="52"/>
      <c r="C1" s="53" t="s">
        <v>543</v>
      </c>
      <c r="D1" s="54">
        <f>SUM(F5:F80)</f>
        <v>190507</v>
      </c>
      <c r="E1" s="136" t="s">
        <v>544</v>
      </c>
      <c r="F1" s="52">
        <f>SUM(G5:G80)</f>
        <v>6458034.5099999998</v>
      </c>
      <c r="G1" s="52" t="s">
        <v>545</v>
      </c>
      <c r="H1" s="55">
        <f>L9+L12+L57+L64+L20+L69+L36+L45+L27+L80</f>
        <v>154.88744588744589</v>
      </c>
      <c r="I1" s="556" t="s">
        <v>546</v>
      </c>
      <c r="J1" s="556"/>
      <c r="K1" s="556"/>
      <c r="L1" s="556" t="s">
        <v>547</v>
      </c>
      <c r="M1" s="556"/>
      <c r="N1" s="556"/>
      <c r="O1" s="556" t="s">
        <v>548</v>
      </c>
      <c r="P1" s="556"/>
      <c r="Q1" s="556"/>
      <c r="R1" s="556"/>
      <c r="S1" s="556" t="s">
        <v>549</v>
      </c>
      <c r="T1" s="556"/>
      <c r="U1" s="556"/>
      <c r="V1" s="556"/>
      <c r="W1" s="556"/>
      <c r="X1" s="556"/>
      <c r="Y1" s="556" t="s">
        <v>550</v>
      </c>
      <c r="Z1" s="556"/>
      <c r="AA1" s="556" t="s">
        <v>551</v>
      </c>
      <c r="AB1" s="557"/>
      <c r="AC1" s="557"/>
    </row>
    <row r="2" spans="1:29" ht="26.25" customHeight="1">
      <c r="A2" s="57">
        <v>45967</v>
      </c>
      <c r="B2" s="58" t="s">
        <v>552</v>
      </c>
      <c r="C2" s="53" t="s">
        <v>553</v>
      </c>
      <c r="D2" s="59">
        <f>AVERAGE(N9,N12,N57,N64,N20,N69,N27,N36,N45,N80)</f>
        <v>146.97422030994886</v>
      </c>
      <c r="E2" s="60" t="s">
        <v>0</v>
      </c>
      <c r="F2" s="61">
        <f>F1/D1</f>
        <v>33.899197982226376</v>
      </c>
      <c r="G2" s="52" t="s">
        <v>554</v>
      </c>
      <c r="H2" s="145">
        <f>COUNT(H5:H80)</f>
        <v>18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131</v>
      </c>
      <c r="B3" s="510" t="s">
        <v>555</v>
      </c>
      <c r="C3" s="510" t="s">
        <v>556</v>
      </c>
      <c r="D3" s="510"/>
      <c r="E3" s="554" t="s">
        <v>557</v>
      </c>
      <c r="F3" s="510" t="s">
        <v>558</v>
      </c>
      <c r="G3" s="554" t="s">
        <v>136</v>
      </c>
      <c r="H3" s="547" t="s">
        <v>559</v>
      </c>
      <c r="I3" s="545" t="s">
        <v>560</v>
      </c>
      <c r="J3" s="550" t="s">
        <v>561</v>
      </c>
      <c r="K3" s="552" t="s">
        <v>562</v>
      </c>
      <c r="L3" s="545" t="s">
        <v>560</v>
      </c>
      <c r="M3" s="550" t="s">
        <v>139</v>
      </c>
      <c r="N3" s="552" t="s">
        <v>562</v>
      </c>
      <c r="O3" s="545" t="s">
        <v>138</v>
      </c>
      <c r="P3" s="552" t="s">
        <v>562</v>
      </c>
      <c r="Q3" s="551" t="s">
        <v>563</v>
      </c>
      <c r="R3" s="523" t="s">
        <v>142</v>
      </c>
      <c r="S3" s="553" t="s">
        <v>1</v>
      </c>
      <c r="T3" s="553"/>
      <c r="U3" s="547" t="s">
        <v>2</v>
      </c>
      <c r="V3" s="547" t="s">
        <v>564</v>
      </c>
      <c r="W3" s="510" t="s">
        <v>144</v>
      </c>
      <c r="X3" s="510"/>
      <c r="Y3" s="548" t="s">
        <v>565</v>
      </c>
      <c r="Z3" s="549"/>
      <c r="AA3" s="550" t="s">
        <v>566</v>
      </c>
      <c r="AB3" s="551" t="s">
        <v>567</v>
      </c>
      <c r="AC3" s="523" t="s">
        <v>568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80" t="s">
        <v>3</v>
      </c>
      <c r="T4" s="80" t="s">
        <v>4</v>
      </c>
      <c r="U4" s="547"/>
      <c r="V4" s="547"/>
      <c r="W4" s="136" t="s">
        <v>569</v>
      </c>
      <c r="X4" s="136" t="s">
        <v>570</v>
      </c>
      <c r="Y4" s="549"/>
      <c r="Z4" s="549"/>
      <c r="AA4" s="550"/>
      <c r="AB4" s="551"/>
      <c r="AC4" s="523"/>
    </row>
    <row r="5" spans="1:29">
      <c r="A5" s="544" t="s">
        <v>571</v>
      </c>
      <c r="B5" s="62" t="s">
        <v>6</v>
      </c>
      <c r="C5" s="546" t="s">
        <v>7</v>
      </c>
      <c r="D5" s="546"/>
      <c r="E5" s="62">
        <v>46.93</v>
      </c>
      <c r="F5" s="80">
        <v>2396</v>
      </c>
      <c r="G5" s="136">
        <f t="shared" ref="G5:G8" si="0">E5*F5</f>
        <v>112444.28</v>
      </c>
      <c r="H5" s="90" t="s">
        <v>5</v>
      </c>
      <c r="I5" s="143">
        <v>16</v>
      </c>
      <c r="J5" s="63">
        <v>2000</v>
      </c>
      <c r="K5" s="64">
        <f t="shared" ref="K5:K68" si="1">J5/I5</f>
        <v>125</v>
      </c>
      <c r="L5" s="143">
        <v>16</v>
      </c>
      <c r="M5" s="65">
        <f t="shared" ref="M5:M8" si="2">F5/V5*60</f>
        <v>1916.7999999999986</v>
      </c>
      <c r="N5" s="64">
        <f t="shared" ref="N5:N68" si="3">M5/L5</f>
        <v>119.79999999999991</v>
      </c>
      <c r="O5" s="66">
        <f t="shared" ref="O5:O68" si="4">L5-I5</f>
        <v>0</v>
      </c>
      <c r="P5" s="67">
        <f t="shared" ref="P5:P68" si="5">N5-K5</f>
        <v>-5.2000000000000881</v>
      </c>
      <c r="Q5" s="139">
        <f t="shared" ref="Q5:Q68" si="6">N5/K5</f>
        <v>0.95839999999999925</v>
      </c>
      <c r="R5" s="511">
        <f>Q9</f>
        <v>0.95622688087774299</v>
      </c>
      <c r="S5" s="68">
        <v>0.70833333333333337</v>
      </c>
      <c r="T5" s="68">
        <v>0.76041666666666674</v>
      </c>
      <c r="U5" s="136"/>
      <c r="V5" s="144">
        <f t="shared" ref="V5:V8" si="7">(T5-S5)*24*60</f>
        <v>75.000000000000057</v>
      </c>
      <c r="W5" s="69"/>
      <c r="X5" s="70"/>
      <c r="Y5" s="510"/>
      <c r="Z5" s="510"/>
      <c r="AA5" s="66">
        <f t="shared" ref="AA5:AA68" si="8">M5-J5</f>
        <v>-83.20000000000141</v>
      </c>
      <c r="AB5" s="139">
        <f t="shared" ref="AB5:AB68" si="9">M5/J5</f>
        <v>0.95839999999999925</v>
      </c>
      <c r="AC5" s="511">
        <f>AB9</f>
        <v>0.95622688087774299</v>
      </c>
    </row>
    <row r="6" spans="1:29">
      <c r="A6" s="545" t="s">
        <v>149</v>
      </c>
      <c r="B6" s="62" t="s">
        <v>6</v>
      </c>
      <c r="C6" s="546" t="s">
        <v>8</v>
      </c>
      <c r="D6" s="546"/>
      <c r="E6" s="62">
        <v>50.49</v>
      </c>
      <c r="F6" s="80">
        <v>1400</v>
      </c>
      <c r="G6" s="136">
        <f t="shared" si="0"/>
        <v>70686</v>
      </c>
      <c r="H6" s="90">
        <v>2</v>
      </c>
      <c r="I6" s="143">
        <v>15</v>
      </c>
      <c r="J6" s="63">
        <v>2000</v>
      </c>
      <c r="K6" s="64">
        <f t="shared" si="1"/>
        <v>133.33333333333334</v>
      </c>
      <c r="L6" s="143">
        <v>15</v>
      </c>
      <c r="M6" s="65">
        <f t="shared" si="2"/>
        <v>1909.090909090909</v>
      </c>
      <c r="N6" s="64">
        <f t="shared" si="3"/>
        <v>127.27272727272727</v>
      </c>
      <c r="O6" s="66">
        <f t="shared" si="4"/>
        <v>0</v>
      </c>
      <c r="P6" s="67">
        <f t="shared" si="5"/>
        <v>-6.0606060606060765</v>
      </c>
      <c r="Q6" s="139">
        <f t="shared" si="6"/>
        <v>0.95454545454545447</v>
      </c>
      <c r="R6" s="511"/>
      <c r="S6" s="68">
        <v>0.76458333333333339</v>
      </c>
      <c r="T6" s="68">
        <v>0.79513888888888895</v>
      </c>
      <c r="U6" s="136">
        <f t="shared" ref="U6:U8" si="10">IF(S6=TIME(17,0,0),"",(S6-T5)*24*60)</f>
        <v>5.9999999999999787</v>
      </c>
      <c r="V6" s="144">
        <f t="shared" si="7"/>
        <v>44</v>
      </c>
      <c r="W6" s="69"/>
      <c r="X6" s="69"/>
      <c r="Y6" s="510"/>
      <c r="Z6" s="510"/>
      <c r="AA6" s="66">
        <f t="shared" si="8"/>
        <v>-90.909090909090992</v>
      </c>
      <c r="AB6" s="139">
        <f t="shared" si="9"/>
        <v>0.95454545454545447</v>
      </c>
      <c r="AC6" s="511"/>
    </row>
    <row r="7" spans="1:29">
      <c r="A7" s="545" t="s">
        <v>149</v>
      </c>
      <c r="B7" s="62" t="s">
        <v>6</v>
      </c>
      <c r="C7" s="539" t="s">
        <v>9</v>
      </c>
      <c r="D7" s="540"/>
      <c r="E7" s="62">
        <v>50.67</v>
      </c>
      <c r="F7" s="80">
        <v>1848</v>
      </c>
      <c r="G7" s="136">
        <f t="shared" si="0"/>
        <v>93638.16</v>
      </c>
      <c r="H7" s="90" t="s">
        <v>5</v>
      </c>
      <c r="I7" s="143">
        <v>17</v>
      </c>
      <c r="J7" s="63">
        <v>2000</v>
      </c>
      <c r="K7" s="64">
        <f t="shared" si="1"/>
        <v>117.64705882352941</v>
      </c>
      <c r="L7" s="143">
        <v>17</v>
      </c>
      <c r="M7" s="65">
        <f t="shared" si="2"/>
        <v>1911.7241379310358</v>
      </c>
      <c r="N7" s="64">
        <f t="shared" si="3"/>
        <v>112.45436105476681</v>
      </c>
      <c r="O7" s="66">
        <f t="shared" si="4"/>
        <v>0</v>
      </c>
      <c r="P7" s="67">
        <f t="shared" si="5"/>
        <v>-5.1926977687625993</v>
      </c>
      <c r="Q7" s="139">
        <f t="shared" si="6"/>
        <v>0.95586206896551795</v>
      </c>
      <c r="R7" s="511"/>
      <c r="S7" s="68">
        <v>0.79861111111111116</v>
      </c>
      <c r="T7" s="68">
        <v>0.83888888888888891</v>
      </c>
      <c r="U7" s="136">
        <f t="shared" si="10"/>
        <v>4.9999999999999822</v>
      </c>
      <c r="V7" s="144">
        <f t="shared" si="7"/>
        <v>57.999999999999957</v>
      </c>
      <c r="W7" s="69">
        <f>T7</f>
        <v>0.83888888888888891</v>
      </c>
      <c r="X7" s="69">
        <f>S8</f>
        <v>0.87708333333333333</v>
      </c>
      <c r="Y7" s="517"/>
      <c r="Z7" s="518"/>
      <c r="AA7" s="66">
        <f t="shared" si="8"/>
        <v>-88.275862068964216</v>
      </c>
      <c r="AB7" s="139">
        <f t="shared" si="9"/>
        <v>0.95586206896551784</v>
      </c>
      <c r="AC7" s="511"/>
    </row>
    <row r="8" spans="1:29">
      <c r="A8" s="545" t="s">
        <v>149</v>
      </c>
      <c r="B8" s="62" t="s">
        <v>6</v>
      </c>
      <c r="C8" s="539" t="s">
        <v>8</v>
      </c>
      <c r="D8" s="540"/>
      <c r="E8" s="62">
        <v>50.49</v>
      </c>
      <c r="F8" s="80">
        <v>3187</v>
      </c>
      <c r="G8" s="136">
        <f t="shared" si="0"/>
        <v>160911.63</v>
      </c>
      <c r="H8" s="90" t="s">
        <v>5</v>
      </c>
      <c r="I8" s="143">
        <v>15</v>
      </c>
      <c r="J8" s="63">
        <v>2000</v>
      </c>
      <c r="K8" s="64">
        <f t="shared" si="1"/>
        <v>133.33333333333334</v>
      </c>
      <c r="L8" s="143">
        <v>15</v>
      </c>
      <c r="M8" s="65">
        <f t="shared" si="2"/>
        <v>1912.2000000000005</v>
      </c>
      <c r="N8" s="64">
        <f t="shared" si="3"/>
        <v>127.48000000000003</v>
      </c>
      <c r="O8" s="66">
        <f t="shared" si="4"/>
        <v>0</v>
      </c>
      <c r="P8" s="67">
        <f t="shared" si="5"/>
        <v>-5.8533333333333104</v>
      </c>
      <c r="Q8" s="139">
        <f t="shared" si="6"/>
        <v>0.95610000000000017</v>
      </c>
      <c r="R8" s="511"/>
      <c r="S8" s="68">
        <v>0.87708333333333333</v>
      </c>
      <c r="T8" s="68">
        <v>0.94652777777777775</v>
      </c>
      <c r="U8" s="136">
        <f t="shared" si="10"/>
        <v>54.999999999999964</v>
      </c>
      <c r="V8" s="144">
        <f t="shared" si="7"/>
        <v>99.999999999999972</v>
      </c>
      <c r="W8" s="73"/>
      <c r="X8" s="73"/>
      <c r="Y8" s="517"/>
      <c r="Z8" s="518"/>
      <c r="AA8" s="66">
        <f t="shared" si="8"/>
        <v>-87.7999999999995</v>
      </c>
      <c r="AB8" s="139">
        <f t="shared" si="9"/>
        <v>0.95610000000000028</v>
      </c>
      <c r="AC8" s="511"/>
    </row>
    <row r="9" spans="1:29">
      <c r="A9" s="545" t="s">
        <v>149</v>
      </c>
      <c r="B9" s="62" t="s">
        <v>79</v>
      </c>
      <c r="C9" s="513"/>
      <c r="D9" s="513"/>
      <c r="E9" s="140"/>
      <c r="F9" s="71"/>
      <c r="G9" s="64"/>
      <c r="H9" s="80"/>
      <c r="I9" s="72">
        <v>15.75</v>
      </c>
      <c r="J9" s="63">
        <v>2000</v>
      </c>
      <c r="K9" s="64">
        <f t="shared" si="1"/>
        <v>126.98412698412699</v>
      </c>
      <c r="L9" s="72">
        <v>15.75</v>
      </c>
      <c r="M9" s="65">
        <f>AVERAGE(M5:M8)</f>
        <v>1912.4537617554861</v>
      </c>
      <c r="N9" s="64">
        <f t="shared" si="3"/>
        <v>121.42563566701499</v>
      </c>
      <c r="O9" s="66">
        <f t="shared" si="4"/>
        <v>0</v>
      </c>
      <c r="P9" s="67">
        <f t="shared" si="5"/>
        <v>-5.5584913171120007</v>
      </c>
      <c r="Q9" s="139">
        <f t="shared" si="6"/>
        <v>0.95622688087774299</v>
      </c>
      <c r="R9" s="511"/>
      <c r="S9" s="68"/>
      <c r="T9" s="68"/>
      <c r="U9" s="136"/>
      <c r="V9" s="144"/>
      <c r="W9" s="64"/>
      <c r="X9" s="64"/>
      <c r="Y9" s="510"/>
      <c r="Z9" s="510"/>
      <c r="AA9" s="66">
        <f t="shared" si="8"/>
        <v>-87.546238244513916</v>
      </c>
      <c r="AB9" s="139">
        <f t="shared" si="9"/>
        <v>0.95622688087774299</v>
      </c>
      <c r="AC9" s="511"/>
    </row>
    <row r="10" spans="1:29" ht="15.75" customHeight="1">
      <c r="A10" s="543" t="s">
        <v>151</v>
      </c>
      <c r="B10" s="62" t="s">
        <v>10</v>
      </c>
      <c r="C10" s="539" t="s">
        <v>12</v>
      </c>
      <c r="D10" s="540"/>
      <c r="E10" s="62">
        <v>39.36</v>
      </c>
      <c r="F10" s="80">
        <v>2085</v>
      </c>
      <c r="G10" s="136">
        <f t="shared" ref="G10:G11" si="11">E10*F10</f>
        <v>82065.600000000006</v>
      </c>
      <c r="H10" s="90" t="s">
        <v>5</v>
      </c>
      <c r="I10" s="143">
        <v>20</v>
      </c>
      <c r="J10" s="63">
        <v>1500</v>
      </c>
      <c r="K10" s="64">
        <f t="shared" si="1"/>
        <v>75</v>
      </c>
      <c r="L10" s="143">
        <v>20</v>
      </c>
      <c r="M10" s="65">
        <f t="shared" ref="M10:M11" si="12">F10/V10*60</f>
        <v>1437.9310344827591</v>
      </c>
      <c r="N10" s="64">
        <f t="shared" si="3"/>
        <v>71.89655172413795</v>
      </c>
      <c r="O10" s="66">
        <f t="shared" si="4"/>
        <v>0</v>
      </c>
      <c r="P10" s="67">
        <f t="shared" si="5"/>
        <v>-3.1034482758620499</v>
      </c>
      <c r="Q10" s="139">
        <f t="shared" si="6"/>
        <v>0.95862068965517266</v>
      </c>
      <c r="R10" s="511">
        <f>Q12</f>
        <v>0.95552852664576826</v>
      </c>
      <c r="S10" s="68">
        <v>0.20833333333333334</v>
      </c>
      <c r="T10" s="68">
        <v>0.26874999999999999</v>
      </c>
      <c r="U10" s="136"/>
      <c r="V10" s="144">
        <f t="shared" ref="V10:V11" si="13">(T10-S10)*24*60</f>
        <v>86.999999999999972</v>
      </c>
      <c r="W10" s="69"/>
      <c r="X10" s="69"/>
      <c r="Y10" s="510"/>
      <c r="Z10" s="510"/>
      <c r="AA10" s="66">
        <f t="shared" si="8"/>
        <v>-62.06896551724094</v>
      </c>
      <c r="AB10" s="139">
        <f t="shared" si="9"/>
        <v>0.95862068965517266</v>
      </c>
      <c r="AC10" s="511">
        <f>AB12</f>
        <v>0.95552852664576826</v>
      </c>
    </row>
    <row r="11" spans="1:29" ht="15.75" customHeight="1">
      <c r="A11" s="543" t="s">
        <v>151</v>
      </c>
      <c r="B11" s="62" t="s">
        <v>10</v>
      </c>
      <c r="C11" s="539" t="s">
        <v>11</v>
      </c>
      <c r="D11" s="540"/>
      <c r="E11" s="62">
        <v>39.799999999999997</v>
      </c>
      <c r="F11" s="80">
        <v>6548</v>
      </c>
      <c r="G11" s="136">
        <f t="shared" si="11"/>
        <v>260610.4</v>
      </c>
      <c r="H11" s="90" t="s">
        <v>5</v>
      </c>
      <c r="I11" s="143">
        <v>17</v>
      </c>
      <c r="J11" s="63">
        <v>1500</v>
      </c>
      <c r="K11" s="64">
        <f t="shared" si="1"/>
        <v>88.235294117647058</v>
      </c>
      <c r="L11" s="143">
        <v>17</v>
      </c>
      <c r="M11" s="65">
        <f t="shared" si="12"/>
        <v>1428.6545454545455</v>
      </c>
      <c r="N11" s="64">
        <f t="shared" si="3"/>
        <v>84.038502673796799</v>
      </c>
      <c r="O11" s="66">
        <f t="shared" si="4"/>
        <v>0</v>
      </c>
      <c r="P11" s="67">
        <f t="shared" si="5"/>
        <v>-4.1967914438502589</v>
      </c>
      <c r="Q11" s="139">
        <f t="shared" si="6"/>
        <v>0.95243636363636375</v>
      </c>
      <c r="R11" s="511"/>
      <c r="S11" s="68">
        <v>0.27430555555555552</v>
      </c>
      <c r="T11" s="68">
        <v>0.46527777777777773</v>
      </c>
      <c r="U11" s="136">
        <f t="shared" ref="U11" si="14">IF(S11=TIME(17,0,0),"",(S11-T10)*24*60)</f>
        <v>7.9999999999999716</v>
      </c>
      <c r="V11" s="144">
        <f t="shared" si="13"/>
        <v>275</v>
      </c>
      <c r="W11" s="69"/>
      <c r="X11" s="69"/>
      <c r="Y11" s="510"/>
      <c r="Z11" s="510"/>
      <c r="AA11" s="66">
        <f t="shared" si="8"/>
        <v>-71.345454545454459</v>
      </c>
      <c r="AB11" s="139">
        <f t="shared" si="9"/>
        <v>0.95243636363636375</v>
      </c>
      <c r="AC11" s="511"/>
    </row>
    <row r="12" spans="1:29" ht="16.5" customHeight="1">
      <c r="A12" s="543" t="s">
        <v>151</v>
      </c>
      <c r="B12" s="62" t="s">
        <v>79</v>
      </c>
      <c r="C12" s="513"/>
      <c r="D12" s="513"/>
      <c r="E12" s="140"/>
      <c r="F12" s="63"/>
      <c r="G12" s="65"/>
      <c r="H12" s="80"/>
      <c r="I12" s="72">
        <v>18.5</v>
      </c>
      <c r="J12" s="63">
        <v>1500</v>
      </c>
      <c r="K12" s="64">
        <f t="shared" si="1"/>
        <v>81.081081081081081</v>
      </c>
      <c r="L12" s="72">
        <v>18.5</v>
      </c>
      <c r="M12" s="65">
        <f>AVERAGE(M10:M11)</f>
        <v>1433.2927899686524</v>
      </c>
      <c r="N12" s="64">
        <f t="shared" si="3"/>
        <v>77.475285944251482</v>
      </c>
      <c r="O12" s="66">
        <f t="shared" si="4"/>
        <v>0</v>
      </c>
      <c r="P12" s="67">
        <f t="shared" si="5"/>
        <v>-3.6057951368295988</v>
      </c>
      <c r="Q12" s="139">
        <f t="shared" si="6"/>
        <v>0.95552852664576826</v>
      </c>
      <c r="R12" s="511"/>
      <c r="S12" s="68"/>
      <c r="T12" s="68"/>
      <c r="U12" s="64"/>
      <c r="V12" s="144"/>
      <c r="W12" s="64"/>
      <c r="X12" s="64"/>
      <c r="Y12" s="510"/>
      <c r="Z12" s="510"/>
      <c r="AA12" s="66">
        <f t="shared" si="8"/>
        <v>-66.707210031347586</v>
      </c>
      <c r="AB12" s="139">
        <f t="shared" si="9"/>
        <v>0.95552852664576826</v>
      </c>
      <c r="AC12" s="511"/>
    </row>
    <row r="13" spans="1:29" ht="16.5" customHeight="1">
      <c r="A13" s="541" t="s">
        <v>153</v>
      </c>
      <c r="B13" s="80" t="s">
        <v>13</v>
      </c>
      <c r="C13" s="533" t="s">
        <v>14</v>
      </c>
      <c r="D13" s="533"/>
      <c r="E13" s="62">
        <v>41</v>
      </c>
      <c r="F13" s="80">
        <v>2549</v>
      </c>
      <c r="G13" s="136">
        <f t="shared" ref="G13:G19" si="15">E13*F13</f>
        <v>104509</v>
      </c>
      <c r="H13" s="90" t="s">
        <v>5</v>
      </c>
      <c r="I13" s="143">
        <v>26</v>
      </c>
      <c r="J13" s="63">
        <v>1500</v>
      </c>
      <c r="K13" s="64">
        <f t="shared" si="1"/>
        <v>57.692307692307693</v>
      </c>
      <c r="L13" s="143">
        <v>26</v>
      </c>
      <c r="M13" s="65">
        <f t="shared" ref="M13:M19" si="16">F13/V13*60</f>
        <v>1442.8301886792449</v>
      </c>
      <c r="N13" s="64">
        <f t="shared" si="3"/>
        <v>55.493468795355575</v>
      </c>
      <c r="O13" s="66">
        <f t="shared" si="4"/>
        <v>0</v>
      </c>
      <c r="P13" s="67">
        <f t="shared" si="5"/>
        <v>-2.1988388969521182</v>
      </c>
      <c r="Q13" s="139">
        <f t="shared" si="6"/>
        <v>0.96188679245282993</v>
      </c>
      <c r="R13" s="511">
        <f>Q20</f>
        <v>0.96121695122522632</v>
      </c>
      <c r="S13" s="68">
        <v>0.125</v>
      </c>
      <c r="T13" s="68">
        <v>0.19861111111111113</v>
      </c>
      <c r="U13" s="136"/>
      <c r="V13" s="144">
        <f t="shared" ref="V13:V19" si="17">(T13-S13)*24*60</f>
        <v>106.00000000000003</v>
      </c>
      <c r="W13" s="69">
        <f>T13</f>
        <v>0.19861111111111113</v>
      </c>
      <c r="X13" s="69">
        <f>S14</f>
        <v>0.21805555555555556</v>
      </c>
      <c r="Y13" s="510"/>
      <c r="Z13" s="510"/>
      <c r="AA13" s="66">
        <f t="shared" si="8"/>
        <v>-57.169811320755116</v>
      </c>
      <c r="AB13" s="139">
        <f t="shared" si="9"/>
        <v>0.96188679245282993</v>
      </c>
      <c r="AC13" s="511">
        <f>AB20</f>
        <v>0.96121695122522632</v>
      </c>
    </row>
    <row r="14" spans="1:29" ht="16.5" customHeight="1">
      <c r="A14" s="542" t="s">
        <v>241</v>
      </c>
      <c r="B14" s="80" t="s">
        <v>10</v>
      </c>
      <c r="C14" s="533" t="s">
        <v>15</v>
      </c>
      <c r="D14" s="533"/>
      <c r="E14" s="62">
        <v>39.619999999999997</v>
      </c>
      <c r="F14" s="80">
        <v>4480</v>
      </c>
      <c r="G14" s="136">
        <f t="shared" si="15"/>
        <v>177497.59999999998</v>
      </c>
      <c r="H14" s="90" t="s">
        <v>5</v>
      </c>
      <c r="I14" s="143">
        <v>19</v>
      </c>
      <c r="J14" s="63">
        <v>1500</v>
      </c>
      <c r="K14" s="64">
        <f t="shared" si="1"/>
        <v>78.94736842105263</v>
      </c>
      <c r="L14" s="143">
        <v>19</v>
      </c>
      <c r="M14" s="65">
        <f t="shared" si="16"/>
        <v>1429.7872340425533</v>
      </c>
      <c r="N14" s="64">
        <f t="shared" si="3"/>
        <v>75.251959686450178</v>
      </c>
      <c r="O14" s="66">
        <f t="shared" si="4"/>
        <v>0</v>
      </c>
      <c r="P14" s="67">
        <f t="shared" si="5"/>
        <v>-3.6954087346024522</v>
      </c>
      <c r="Q14" s="139">
        <f t="shared" si="6"/>
        <v>0.95319148936170228</v>
      </c>
      <c r="R14" s="511"/>
      <c r="S14" s="68">
        <v>0.21805555555555556</v>
      </c>
      <c r="T14" s="68">
        <v>0.34861111111111109</v>
      </c>
      <c r="U14" s="136">
        <f t="shared" ref="U14:U19" si="18">IF(S14=TIME(17,0,0),"",(S14-T13)*24*60)</f>
        <v>27.999999999999979</v>
      </c>
      <c r="V14" s="144">
        <f t="shared" si="17"/>
        <v>187.99999999999997</v>
      </c>
      <c r="W14" s="69"/>
      <c r="X14" s="69"/>
      <c r="Y14" s="510"/>
      <c r="Z14" s="510"/>
      <c r="AA14" s="66">
        <f t="shared" si="8"/>
        <v>-70.212765957446663</v>
      </c>
      <c r="AB14" s="139">
        <f t="shared" si="9"/>
        <v>0.95319148936170217</v>
      </c>
      <c r="AC14" s="511"/>
    </row>
    <row r="15" spans="1:29" ht="16.5" customHeight="1">
      <c r="A15" s="542" t="s">
        <v>241</v>
      </c>
      <c r="B15" s="80" t="s">
        <v>77</v>
      </c>
      <c r="C15" s="533" t="s">
        <v>76</v>
      </c>
      <c r="D15" s="533"/>
      <c r="E15" s="62">
        <v>57.3</v>
      </c>
      <c r="F15" s="80">
        <v>1374</v>
      </c>
      <c r="G15" s="136">
        <f t="shared" si="15"/>
        <v>78730.2</v>
      </c>
      <c r="H15" s="90" t="s">
        <v>5</v>
      </c>
      <c r="I15" s="143">
        <v>17</v>
      </c>
      <c r="J15" s="63">
        <v>1500</v>
      </c>
      <c r="K15" s="64">
        <f t="shared" si="1"/>
        <v>88.235294117647058</v>
      </c>
      <c r="L15" s="143">
        <v>17</v>
      </c>
      <c r="M15" s="65">
        <f t="shared" si="16"/>
        <v>1446.3157894736853</v>
      </c>
      <c r="N15" s="64">
        <f t="shared" si="3"/>
        <v>85.077399380805019</v>
      </c>
      <c r="O15" s="66">
        <f t="shared" si="4"/>
        <v>0</v>
      </c>
      <c r="P15" s="67">
        <f t="shared" si="5"/>
        <v>-3.1578947368420387</v>
      </c>
      <c r="Q15" s="139">
        <f t="shared" si="6"/>
        <v>0.96421052631579018</v>
      </c>
      <c r="R15" s="511"/>
      <c r="S15" s="68">
        <v>0.3520833333333333</v>
      </c>
      <c r="T15" s="68">
        <v>0.39166666666666661</v>
      </c>
      <c r="U15" s="136">
        <f t="shared" si="18"/>
        <v>4.9999999999999822</v>
      </c>
      <c r="V15" s="144">
        <f t="shared" si="17"/>
        <v>56.999999999999957</v>
      </c>
      <c r="W15" s="69"/>
      <c r="X15" s="69"/>
      <c r="Y15" s="510"/>
      <c r="Z15" s="510"/>
      <c r="AA15" s="66">
        <f t="shared" si="8"/>
        <v>-53.6842105263147</v>
      </c>
      <c r="AB15" s="139">
        <f t="shared" si="9"/>
        <v>0.96421052631579018</v>
      </c>
      <c r="AC15" s="511"/>
    </row>
    <row r="16" spans="1:29" ht="16.5" customHeight="1">
      <c r="A16" s="542" t="s">
        <v>153</v>
      </c>
      <c r="B16" s="80" t="s">
        <v>6</v>
      </c>
      <c r="C16" s="533" t="s">
        <v>19</v>
      </c>
      <c r="D16" s="533"/>
      <c r="E16" s="62">
        <v>50.98</v>
      </c>
      <c r="F16" s="80">
        <v>1300</v>
      </c>
      <c r="G16" s="136">
        <f t="shared" si="15"/>
        <v>66274</v>
      </c>
      <c r="H16" s="90">
        <v>2</v>
      </c>
      <c r="I16" s="143">
        <v>16</v>
      </c>
      <c r="J16" s="63">
        <v>2000</v>
      </c>
      <c r="K16" s="64">
        <f t="shared" si="1"/>
        <v>125</v>
      </c>
      <c r="L16" s="143">
        <v>16</v>
      </c>
      <c r="M16" s="65">
        <f t="shared" si="16"/>
        <v>1949.9999999999991</v>
      </c>
      <c r="N16" s="64">
        <f t="shared" si="3"/>
        <v>121.87499999999994</v>
      </c>
      <c r="O16" s="66">
        <f t="shared" si="4"/>
        <v>0</v>
      </c>
      <c r="P16" s="67">
        <f t="shared" si="5"/>
        <v>-3.1250000000000568</v>
      </c>
      <c r="Q16" s="139">
        <f t="shared" si="6"/>
        <v>0.97499999999999953</v>
      </c>
      <c r="R16" s="511"/>
      <c r="S16" s="68">
        <v>0.70833333333333337</v>
      </c>
      <c r="T16" s="68">
        <v>0.73611111111111116</v>
      </c>
      <c r="U16" s="136" t="str">
        <f t="shared" si="18"/>
        <v/>
      </c>
      <c r="V16" s="144">
        <f t="shared" si="17"/>
        <v>40.000000000000014</v>
      </c>
      <c r="W16" s="69"/>
      <c r="X16" s="69"/>
      <c r="Y16" s="510"/>
      <c r="Z16" s="510"/>
      <c r="AA16" s="66">
        <f t="shared" si="8"/>
        <v>-50.000000000000909</v>
      </c>
      <c r="AB16" s="139">
        <f t="shared" si="9"/>
        <v>0.97499999999999953</v>
      </c>
      <c r="AC16" s="511"/>
    </row>
    <row r="17" spans="1:29" ht="16.5" customHeight="1">
      <c r="A17" s="542" t="s">
        <v>153</v>
      </c>
      <c r="B17" s="80" t="s">
        <v>6</v>
      </c>
      <c r="C17" s="533" t="s">
        <v>82</v>
      </c>
      <c r="D17" s="533"/>
      <c r="E17" s="62">
        <v>57.73</v>
      </c>
      <c r="F17" s="80">
        <v>3000</v>
      </c>
      <c r="G17" s="136">
        <f t="shared" si="15"/>
        <v>173190</v>
      </c>
      <c r="H17" s="90">
        <v>2</v>
      </c>
      <c r="I17" s="143">
        <v>16</v>
      </c>
      <c r="J17" s="63">
        <v>1500</v>
      </c>
      <c r="K17" s="64">
        <f t="shared" si="1"/>
        <v>93.75</v>
      </c>
      <c r="L17" s="143">
        <v>16</v>
      </c>
      <c r="M17" s="65">
        <f t="shared" si="16"/>
        <v>1439.9999999999995</v>
      </c>
      <c r="N17" s="64">
        <f t="shared" si="3"/>
        <v>89.999999999999972</v>
      </c>
      <c r="O17" s="66">
        <f t="shared" si="4"/>
        <v>0</v>
      </c>
      <c r="P17" s="67">
        <f t="shared" si="5"/>
        <v>-3.7500000000000284</v>
      </c>
      <c r="Q17" s="139">
        <f t="shared" si="6"/>
        <v>0.95999999999999974</v>
      </c>
      <c r="R17" s="511"/>
      <c r="S17" s="68">
        <v>0.73958333333333337</v>
      </c>
      <c r="T17" s="68">
        <v>0.82638888888888895</v>
      </c>
      <c r="U17" s="136">
        <f t="shared" si="18"/>
        <v>4.9999999999999822</v>
      </c>
      <c r="V17" s="144">
        <f t="shared" si="17"/>
        <v>125.00000000000003</v>
      </c>
      <c r="W17" s="69">
        <f>T17</f>
        <v>0.82638888888888895</v>
      </c>
      <c r="X17" s="69">
        <f>S18</f>
        <v>0.86736111111111114</v>
      </c>
      <c r="Y17" s="510"/>
      <c r="Z17" s="510"/>
      <c r="AA17" s="66">
        <f t="shared" si="8"/>
        <v>-60.000000000000455</v>
      </c>
      <c r="AB17" s="139">
        <f t="shared" si="9"/>
        <v>0.95999999999999974</v>
      </c>
      <c r="AC17" s="511"/>
    </row>
    <row r="18" spans="1:29" ht="16.5" customHeight="1">
      <c r="A18" s="542" t="s">
        <v>153</v>
      </c>
      <c r="B18" s="80" t="s">
        <v>6</v>
      </c>
      <c r="C18" s="534" t="s">
        <v>20</v>
      </c>
      <c r="D18" s="535"/>
      <c r="E18" s="62">
        <v>50.92</v>
      </c>
      <c r="F18" s="80">
        <v>1947</v>
      </c>
      <c r="G18" s="136">
        <f t="shared" si="15"/>
        <v>99141.24</v>
      </c>
      <c r="H18" s="90" t="s">
        <v>5</v>
      </c>
      <c r="I18" s="143">
        <v>15</v>
      </c>
      <c r="J18" s="63">
        <v>2000</v>
      </c>
      <c r="K18" s="64">
        <f t="shared" si="1"/>
        <v>133.33333333333334</v>
      </c>
      <c r="L18" s="143">
        <v>15</v>
      </c>
      <c r="M18" s="65">
        <f t="shared" si="16"/>
        <v>1915.0819672131165</v>
      </c>
      <c r="N18" s="64">
        <f t="shared" si="3"/>
        <v>127.67213114754109</v>
      </c>
      <c r="O18" s="66">
        <f t="shared" si="4"/>
        <v>0</v>
      </c>
      <c r="P18" s="67">
        <f t="shared" si="5"/>
        <v>-5.6612021857922485</v>
      </c>
      <c r="Q18" s="139">
        <f t="shared" si="6"/>
        <v>0.95754098360655815</v>
      </c>
      <c r="R18" s="511"/>
      <c r="S18" s="68">
        <v>0.86736111111111114</v>
      </c>
      <c r="T18" s="68">
        <v>0.90972222222222221</v>
      </c>
      <c r="U18" s="136">
        <f t="shared" si="18"/>
        <v>58.99999999999995</v>
      </c>
      <c r="V18" s="144">
        <f t="shared" si="17"/>
        <v>60.999999999999943</v>
      </c>
      <c r="W18" s="69"/>
      <c r="X18" s="69"/>
      <c r="Y18" s="517"/>
      <c r="Z18" s="518"/>
      <c r="AA18" s="66">
        <f t="shared" si="8"/>
        <v>-84.918032786883487</v>
      </c>
      <c r="AB18" s="139">
        <f t="shared" si="9"/>
        <v>0.95754098360655826</v>
      </c>
      <c r="AC18" s="511"/>
    </row>
    <row r="19" spans="1:29" ht="16.5" customHeight="1">
      <c r="A19" s="542" t="s">
        <v>153</v>
      </c>
      <c r="B19" s="80" t="s">
        <v>6</v>
      </c>
      <c r="C19" s="158" t="s">
        <v>19</v>
      </c>
      <c r="D19" s="159"/>
      <c r="E19" s="62">
        <v>50.98</v>
      </c>
      <c r="F19" s="80">
        <v>1624</v>
      </c>
      <c r="G19" s="136">
        <f t="shared" si="15"/>
        <v>82791.51999999999</v>
      </c>
      <c r="H19" s="90" t="s">
        <v>5</v>
      </c>
      <c r="I19" s="143">
        <v>16</v>
      </c>
      <c r="J19" s="63">
        <v>2000</v>
      </c>
      <c r="K19" s="64">
        <f t="shared" si="1"/>
        <v>125</v>
      </c>
      <c r="L19" s="143">
        <v>16</v>
      </c>
      <c r="M19" s="65">
        <f t="shared" si="16"/>
        <v>1910.5882352941185</v>
      </c>
      <c r="N19" s="64">
        <f t="shared" si="3"/>
        <v>119.4117647058824</v>
      </c>
      <c r="O19" s="66">
        <f t="shared" si="4"/>
        <v>0</v>
      </c>
      <c r="P19" s="67">
        <f t="shared" si="5"/>
        <v>-5.5882352941175952</v>
      </c>
      <c r="Q19" s="139">
        <f t="shared" si="6"/>
        <v>0.95529411764705929</v>
      </c>
      <c r="R19" s="511"/>
      <c r="S19" s="68">
        <v>0.91388888888888886</v>
      </c>
      <c r="T19" s="68">
        <v>0.94930555555555551</v>
      </c>
      <c r="U19" s="136">
        <f t="shared" si="18"/>
        <v>5.9999999999999787</v>
      </c>
      <c r="V19" s="144">
        <f t="shared" si="17"/>
        <v>50.999999999999979</v>
      </c>
      <c r="W19" s="69"/>
      <c r="X19" s="69"/>
      <c r="Y19" s="517"/>
      <c r="Z19" s="518"/>
      <c r="AA19" s="66">
        <f t="shared" si="8"/>
        <v>-89.411764705881524</v>
      </c>
      <c r="AB19" s="139">
        <f t="shared" si="9"/>
        <v>0.95529411764705929</v>
      </c>
      <c r="AC19" s="511"/>
    </row>
    <row r="20" spans="1:29" ht="16.5" customHeight="1">
      <c r="A20" s="542" t="s">
        <v>241</v>
      </c>
      <c r="B20" s="62" t="s">
        <v>79</v>
      </c>
      <c r="C20" s="513"/>
      <c r="D20" s="513"/>
      <c r="E20" s="140"/>
      <c r="F20" s="71"/>
      <c r="G20" s="64"/>
      <c r="H20" s="80"/>
      <c r="I20" s="72">
        <v>17.857142857142858</v>
      </c>
      <c r="J20" s="63">
        <v>1714.2857142857142</v>
      </c>
      <c r="K20" s="64">
        <f t="shared" si="1"/>
        <v>96</v>
      </c>
      <c r="L20" s="72">
        <v>17.857142857142858</v>
      </c>
      <c r="M20" s="65">
        <f>AVERAGE(M13:M19)</f>
        <v>1647.8004878146737</v>
      </c>
      <c r="N20" s="64">
        <f t="shared" si="3"/>
        <v>92.276827317621724</v>
      </c>
      <c r="O20" s="66">
        <f t="shared" si="4"/>
        <v>0</v>
      </c>
      <c r="P20" s="67">
        <f t="shared" si="5"/>
        <v>-3.7231726823782765</v>
      </c>
      <c r="Q20" s="139">
        <f t="shared" si="6"/>
        <v>0.96121695122522632</v>
      </c>
      <c r="R20" s="511"/>
      <c r="S20" s="68"/>
      <c r="T20" s="68"/>
      <c r="U20" s="136"/>
      <c r="V20" s="144"/>
      <c r="W20" s="64"/>
      <c r="X20" s="64"/>
      <c r="Y20" s="510"/>
      <c r="Z20" s="510"/>
      <c r="AA20" s="66">
        <f t="shared" si="8"/>
        <v>-66.485226471040505</v>
      </c>
      <c r="AB20" s="139">
        <f t="shared" si="9"/>
        <v>0.96121695122522632</v>
      </c>
      <c r="AC20" s="511"/>
    </row>
    <row r="21" spans="1:29" ht="15.75" customHeight="1">
      <c r="A21" s="537" t="s">
        <v>155</v>
      </c>
      <c r="B21" s="62" t="s">
        <v>13</v>
      </c>
      <c r="C21" s="533" t="s">
        <v>21</v>
      </c>
      <c r="D21" s="533"/>
      <c r="E21" s="62">
        <v>43.14</v>
      </c>
      <c r="F21" s="80">
        <v>1334</v>
      </c>
      <c r="G21" s="136">
        <f t="shared" ref="G21:G26" si="19">E21*F21</f>
        <v>57548.76</v>
      </c>
      <c r="H21" s="90" t="s">
        <v>5</v>
      </c>
      <c r="I21" s="143">
        <v>17</v>
      </c>
      <c r="J21" s="63">
        <v>2000</v>
      </c>
      <c r="K21" s="64">
        <f t="shared" si="1"/>
        <v>117.64705882352941</v>
      </c>
      <c r="L21" s="143">
        <v>17</v>
      </c>
      <c r="M21" s="65">
        <f t="shared" ref="M21:M26" si="20">F21/V21*60</f>
        <v>1905.7142857142851</v>
      </c>
      <c r="N21" s="64">
        <f t="shared" si="3"/>
        <v>112.10084033613441</v>
      </c>
      <c r="O21" s="66">
        <f t="shared" si="4"/>
        <v>0</v>
      </c>
      <c r="P21" s="67">
        <f t="shared" si="5"/>
        <v>-5.5462184873949951</v>
      </c>
      <c r="Q21" s="139">
        <f t="shared" si="6"/>
        <v>0.95285714285714251</v>
      </c>
      <c r="R21" s="511">
        <f>Q27</f>
        <v>0.95709343434343452</v>
      </c>
      <c r="S21" s="68">
        <v>0.20833333333333334</v>
      </c>
      <c r="T21" s="68">
        <v>0.23750000000000002</v>
      </c>
      <c r="U21" s="136"/>
      <c r="V21" s="144">
        <f t="shared" ref="V21:V26" si="21">(T21-S21)*24*60</f>
        <v>42.000000000000014</v>
      </c>
      <c r="W21" s="73"/>
      <c r="X21" s="73"/>
      <c r="Y21" s="510"/>
      <c r="Z21" s="510"/>
      <c r="AA21" s="66">
        <f t="shared" si="8"/>
        <v>-94.285714285714903</v>
      </c>
      <c r="AB21" s="139">
        <f t="shared" si="9"/>
        <v>0.95285714285714251</v>
      </c>
      <c r="AC21" s="511">
        <f>AB27</f>
        <v>0.95709343434343452</v>
      </c>
    </row>
    <row r="22" spans="1:29" ht="15.75" customHeight="1">
      <c r="A22" s="538" t="s">
        <v>155</v>
      </c>
      <c r="B22" s="62" t="s">
        <v>6</v>
      </c>
      <c r="C22" s="533" t="s">
        <v>23</v>
      </c>
      <c r="D22" s="533"/>
      <c r="E22" s="62">
        <v>53.68</v>
      </c>
      <c r="F22" s="80">
        <v>1765</v>
      </c>
      <c r="G22" s="136">
        <f t="shared" si="19"/>
        <v>94745.2</v>
      </c>
      <c r="H22" s="90" t="s">
        <v>5</v>
      </c>
      <c r="I22" s="143">
        <v>16</v>
      </c>
      <c r="J22" s="63">
        <v>2000</v>
      </c>
      <c r="K22" s="64">
        <f t="shared" si="1"/>
        <v>125</v>
      </c>
      <c r="L22" s="143">
        <v>16</v>
      </c>
      <c r="M22" s="65">
        <f t="shared" si="20"/>
        <v>1925.4545454545469</v>
      </c>
      <c r="N22" s="64">
        <f t="shared" si="3"/>
        <v>120.34090909090918</v>
      </c>
      <c r="O22" s="66">
        <f t="shared" si="4"/>
        <v>0</v>
      </c>
      <c r="P22" s="67">
        <f t="shared" si="5"/>
        <v>-4.6590909090908212</v>
      </c>
      <c r="Q22" s="139">
        <f t="shared" si="6"/>
        <v>0.96272727272727343</v>
      </c>
      <c r="R22" s="511"/>
      <c r="S22" s="68">
        <v>0.24236111111111114</v>
      </c>
      <c r="T22" s="68">
        <v>0.28055555555555556</v>
      </c>
      <c r="U22" s="136">
        <f t="shared" ref="U22:U26" si="22">IF(S22=TIME(17,0,0),"",(S22-T21)*24*60)</f>
        <v>7.0000000000000151</v>
      </c>
      <c r="V22" s="144">
        <f t="shared" si="21"/>
        <v>54.999999999999964</v>
      </c>
      <c r="W22" s="69"/>
      <c r="X22" s="136"/>
      <c r="Y22" s="510"/>
      <c r="Z22" s="510"/>
      <c r="AA22" s="66">
        <f t="shared" si="8"/>
        <v>-74.54545454545314</v>
      </c>
      <c r="AB22" s="139">
        <f t="shared" si="9"/>
        <v>0.96272727272727343</v>
      </c>
      <c r="AC22" s="511"/>
    </row>
    <row r="23" spans="1:29" ht="15.75" customHeight="1">
      <c r="A23" s="538" t="s">
        <v>155</v>
      </c>
      <c r="B23" s="62" t="s">
        <v>6</v>
      </c>
      <c r="C23" s="533" t="s">
        <v>22</v>
      </c>
      <c r="D23" s="533"/>
      <c r="E23" s="62">
        <v>57.73</v>
      </c>
      <c r="F23" s="80">
        <v>2680</v>
      </c>
      <c r="G23" s="136">
        <f t="shared" si="19"/>
        <v>154716.4</v>
      </c>
      <c r="H23" s="90" t="s">
        <v>5</v>
      </c>
      <c r="I23" s="143">
        <v>14</v>
      </c>
      <c r="J23" s="63">
        <v>2000</v>
      </c>
      <c r="K23" s="64">
        <f t="shared" si="1"/>
        <v>142.85714285714286</v>
      </c>
      <c r="L23" s="143">
        <v>14</v>
      </c>
      <c r="M23" s="65">
        <f t="shared" si="20"/>
        <v>1914.2857142857138</v>
      </c>
      <c r="N23" s="64">
        <f t="shared" si="3"/>
        <v>136.734693877551</v>
      </c>
      <c r="O23" s="66">
        <f t="shared" si="4"/>
        <v>0</v>
      </c>
      <c r="P23" s="67">
        <f t="shared" si="5"/>
        <v>-6.1224489795918657</v>
      </c>
      <c r="Q23" s="139">
        <f t="shared" si="6"/>
        <v>0.95714285714285696</v>
      </c>
      <c r="R23" s="511"/>
      <c r="S23" s="68">
        <v>0.28611111111111109</v>
      </c>
      <c r="T23" s="68">
        <v>0.34444444444444444</v>
      </c>
      <c r="U23" s="136">
        <f t="shared" si="22"/>
        <v>7.9999999999999716</v>
      </c>
      <c r="V23" s="144">
        <f t="shared" si="21"/>
        <v>84.000000000000028</v>
      </c>
      <c r="W23" s="69"/>
      <c r="X23" s="136"/>
      <c r="Y23" s="510"/>
      <c r="Z23" s="510"/>
      <c r="AA23" s="66">
        <f t="shared" si="8"/>
        <v>-85.714285714286234</v>
      </c>
      <c r="AB23" s="139">
        <f t="shared" si="9"/>
        <v>0.95714285714285685</v>
      </c>
      <c r="AC23" s="511"/>
    </row>
    <row r="24" spans="1:29" ht="15.75" customHeight="1">
      <c r="A24" s="538" t="s">
        <v>155</v>
      </c>
      <c r="B24" s="62" t="s">
        <v>6</v>
      </c>
      <c r="C24" s="533" t="s">
        <v>24</v>
      </c>
      <c r="D24" s="533"/>
      <c r="E24" s="62">
        <v>54.09</v>
      </c>
      <c r="F24" s="80">
        <v>2294</v>
      </c>
      <c r="G24" s="136">
        <f t="shared" si="19"/>
        <v>124082.46</v>
      </c>
      <c r="H24" s="90" t="s">
        <v>5</v>
      </c>
      <c r="I24" s="143">
        <v>19</v>
      </c>
      <c r="J24" s="63">
        <v>2000</v>
      </c>
      <c r="K24" s="64">
        <f t="shared" si="1"/>
        <v>105.26315789473684</v>
      </c>
      <c r="L24" s="143">
        <v>19</v>
      </c>
      <c r="M24" s="65">
        <f t="shared" si="20"/>
        <v>1911.6666666666652</v>
      </c>
      <c r="N24" s="64">
        <f t="shared" si="3"/>
        <v>100.61403508771922</v>
      </c>
      <c r="O24" s="66">
        <f t="shared" si="4"/>
        <v>0</v>
      </c>
      <c r="P24" s="67">
        <f t="shared" si="5"/>
        <v>-4.6491228070176192</v>
      </c>
      <c r="Q24" s="139">
        <f t="shared" si="6"/>
        <v>0.95583333333333265</v>
      </c>
      <c r="R24" s="511"/>
      <c r="S24" s="68">
        <v>0.70833333333333337</v>
      </c>
      <c r="T24" s="68">
        <v>0.75833333333333341</v>
      </c>
      <c r="U24" s="136" t="str">
        <f t="shared" si="22"/>
        <v/>
      </c>
      <c r="V24" s="144">
        <f t="shared" si="21"/>
        <v>72.000000000000057</v>
      </c>
      <c r="W24" s="69"/>
      <c r="X24" s="136"/>
      <c r="Y24" s="510"/>
      <c r="Z24" s="510"/>
      <c r="AA24" s="66">
        <f t="shared" si="8"/>
        <v>-88.333333333334849</v>
      </c>
      <c r="AB24" s="139">
        <f t="shared" si="9"/>
        <v>0.95583333333333254</v>
      </c>
      <c r="AC24" s="511"/>
    </row>
    <row r="25" spans="1:29" ht="15.75" customHeight="1">
      <c r="A25" s="538" t="s">
        <v>155</v>
      </c>
      <c r="B25" s="62" t="s">
        <v>6</v>
      </c>
      <c r="C25" s="533" t="s">
        <v>81</v>
      </c>
      <c r="D25" s="533"/>
      <c r="E25" s="62">
        <v>50.67</v>
      </c>
      <c r="F25" s="80">
        <v>3200</v>
      </c>
      <c r="G25" s="136">
        <f t="shared" si="19"/>
        <v>162144</v>
      </c>
      <c r="H25" s="90">
        <v>2</v>
      </c>
      <c r="I25" s="143">
        <v>15</v>
      </c>
      <c r="J25" s="63">
        <v>2000</v>
      </c>
      <c r="K25" s="64">
        <f t="shared" si="1"/>
        <v>133.33333333333334</v>
      </c>
      <c r="L25" s="143">
        <v>15</v>
      </c>
      <c r="M25" s="65">
        <f t="shared" si="20"/>
        <v>1920.0000000000005</v>
      </c>
      <c r="N25" s="64">
        <f t="shared" si="3"/>
        <v>128.00000000000003</v>
      </c>
      <c r="O25" s="66">
        <f t="shared" si="4"/>
        <v>0</v>
      </c>
      <c r="P25" s="67">
        <f t="shared" si="5"/>
        <v>-5.3333333333333144</v>
      </c>
      <c r="Q25" s="139">
        <f t="shared" si="6"/>
        <v>0.96000000000000019</v>
      </c>
      <c r="R25" s="511"/>
      <c r="S25" s="68">
        <v>0.76250000000000007</v>
      </c>
      <c r="T25" s="68">
        <v>0.83194444444444449</v>
      </c>
      <c r="U25" s="136">
        <f t="shared" si="22"/>
        <v>5.9999999999999787</v>
      </c>
      <c r="V25" s="144">
        <f t="shared" si="21"/>
        <v>99.999999999999972</v>
      </c>
      <c r="W25" s="69">
        <f>T25</f>
        <v>0.83194444444444449</v>
      </c>
      <c r="X25" s="69">
        <f>S26</f>
        <v>0.87361111111111112</v>
      </c>
      <c r="Y25" s="510"/>
      <c r="Z25" s="510"/>
      <c r="AA25" s="66">
        <f t="shared" si="8"/>
        <v>-79.999999999999545</v>
      </c>
      <c r="AB25" s="139">
        <f t="shared" si="9"/>
        <v>0.96000000000000019</v>
      </c>
      <c r="AC25" s="511"/>
    </row>
    <row r="26" spans="1:29" ht="15.75" customHeight="1">
      <c r="A26" s="538" t="s">
        <v>155</v>
      </c>
      <c r="B26" s="62" t="s">
        <v>6</v>
      </c>
      <c r="C26" s="533" t="s">
        <v>81</v>
      </c>
      <c r="D26" s="533"/>
      <c r="E26" s="62">
        <v>50.67</v>
      </c>
      <c r="F26" s="80">
        <v>2067</v>
      </c>
      <c r="G26" s="136">
        <f t="shared" si="19"/>
        <v>104734.89</v>
      </c>
      <c r="H26" s="90" t="s">
        <v>5</v>
      </c>
      <c r="I26" s="143">
        <v>15</v>
      </c>
      <c r="J26" s="63">
        <v>2000</v>
      </c>
      <c r="K26" s="64">
        <f t="shared" si="1"/>
        <v>133.33333333333334</v>
      </c>
      <c r="L26" s="143">
        <v>15</v>
      </c>
      <c r="M26" s="65">
        <f t="shared" si="20"/>
        <v>1908.0000000000023</v>
      </c>
      <c r="N26" s="64">
        <f t="shared" si="3"/>
        <v>127.20000000000014</v>
      </c>
      <c r="O26" s="66">
        <f t="shared" si="4"/>
        <v>0</v>
      </c>
      <c r="P26" s="67">
        <f t="shared" si="5"/>
        <v>-6.1333333333331979</v>
      </c>
      <c r="Q26" s="139">
        <f t="shared" si="6"/>
        <v>0.95400000000000107</v>
      </c>
      <c r="R26" s="511"/>
      <c r="S26" s="68">
        <v>0.87361111111111112</v>
      </c>
      <c r="T26" s="68">
        <v>0.91874999999999996</v>
      </c>
      <c r="U26" s="136">
        <f t="shared" si="22"/>
        <v>59.999999999999943</v>
      </c>
      <c r="V26" s="144">
        <f t="shared" si="21"/>
        <v>64.999999999999929</v>
      </c>
      <c r="W26" s="69"/>
      <c r="X26" s="73"/>
      <c r="Y26" s="510"/>
      <c r="Z26" s="510"/>
      <c r="AA26" s="66">
        <f t="shared" si="8"/>
        <v>-91.999999999997726</v>
      </c>
      <c r="AB26" s="139">
        <f t="shared" si="9"/>
        <v>0.95400000000000118</v>
      </c>
      <c r="AC26" s="511"/>
    </row>
    <row r="27" spans="1:29" ht="15.75" customHeight="1">
      <c r="A27" s="538" t="s">
        <v>155</v>
      </c>
      <c r="B27" s="62" t="s">
        <v>491</v>
      </c>
      <c r="C27" s="513"/>
      <c r="D27" s="513"/>
      <c r="E27" s="140"/>
      <c r="F27" s="80"/>
      <c r="G27" s="136"/>
      <c r="H27" s="80"/>
      <c r="I27" s="72">
        <v>16</v>
      </c>
      <c r="J27" s="63">
        <v>2000</v>
      </c>
      <c r="K27" s="64">
        <f t="shared" si="1"/>
        <v>125</v>
      </c>
      <c r="L27" s="72">
        <v>16</v>
      </c>
      <c r="M27" s="65">
        <f>AVERAGE(M21:M26)</f>
        <v>1914.186868686869</v>
      </c>
      <c r="N27" s="64">
        <f t="shared" si="3"/>
        <v>119.63667929292932</v>
      </c>
      <c r="O27" s="66">
        <f t="shared" si="4"/>
        <v>0</v>
      </c>
      <c r="P27" s="67">
        <f t="shared" si="5"/>
        <v>-5.3633207070706845</v>
      </c>
      <c r="Q27" s="139">
        <f t="shared" si="6"/>
        <v>0.95709343434343452</v>
      </c>
      <c r="R27" s="511"/>
      <c r="S27" s="68"/>
      <c r="T27" s="68"/>
      <c r="U27" s="64"/>
      <c r="V27" s="144"/>
      <c r="W27" s="64"/>
      <c r="X27" s="64"/>
      <c r="Y27" s="510"/>
      <c r="Z27" s="510"/>
      <c r="AA27" s="66">
        <f t="shared" si="8"/>
        <v>-85.813131313130953</v>
      </c>
      <c r="AB27" s="139">
        <f t="shared" si="9"/>
        <v>0.95709343434343452</v>
      </c>
      <c r="AC27" s="511"/>
    </row>
    <row r="28" spans="1:29" ht="15.75" customHeight="1">
      <c r="A28" s="536" t="s">
        <v>159</v>
      </c>
      <c r="B28" s="62" t="s">
        <v>16</v>
      </c>
      <c r="C28" s="533" t="s">
        <v>30</v>
      </c>
      <c r="D28" s="533"/>
      <c r="E28" s="62">
        <v>31.29</v>
      </c>
      <c r="F28" s="80">
        <v>5400</v>
      </c>
      <c r="G28" s="136">
        <f t="shared" ref="G28:G35" si="23">E28*F28</f>
        <v>168966</v>
      </c>
      <c r="H28" s="90">
        <v>2</v>
      </c>
      <c r="I28" s="143">
        <v>18</v>
      </c>
      <c r="J28" s="63">
        <v>2400</v>
      </c>
      <c r="K28" s="64">
        <f t="shared" si="1"/>
        <v>133.33333333333334</v>
      </c>
      <c r="L28" s="143">
        <v>18</v>
      </c>
      <c r="M28" s="65">
        <f t="shared" ref="M28:M35" si="24">F28/V28*60</f>
        <v>2297.8723404255325</v>
      </c>
      <c r="N28" s="64">
        <f t="shared" si="3"/>
        <v>127.65957446808514</v>
      </c>
      <c r="O28" s="66">
        <f t="shared" si="4"/>
        <v>0</v>
      </c>
      <c r="P28" s="67">
        <f t="shared" si="5"/>
        <v>-5.6737588652482032</v>
      </c>
      <c r="Q28" s="139">
        <f t="shared" si="6"/>
        <v>0.95744680851063846</v>
      </c>
      <c r="R28" s="511">
        <f>Q36</f>
        <v>0.9586020398317342</v>
      </c>
      <c r="S28" s="68">
        <v>0.125</v>
      </c>
      <c r="T28" s="68">
        <v>0.22291666666666665</v>
      </c>
      <c r="U28" s="136"/>
      <c r="V28" s="144">
        <f t="shared" ref="V28:V35" si="25">(T28-S28)*24*60</f>
        <v>140.99999999999997</v>
      </c>
      <c r="W28" s="69">
        <f>T28</f>
        <v>0.22291666666666665</v>
      </c>
      <c r="X28" s="69">
        <f>S29</f>
        <v>0.24374999999999999</v>
      </c>
      <c r="Y28" s="510"/>
      <c r="Z28" s="510"/>
      <c r="AA28" s="66">
        <f t="shared" si="8"/>
        <v>-102.12765957446754</v>
      </c>
      <c r="AB28" s="139">
        <f t="shared" si="9"/>
        <v>0.95744680851063857</v>
      </c>
      <c r="AC28" s="511">
        <f>AB36</f>
        <v>0.95860203983173409</v>
      </c>
    </row>
    <row r="29" spans="1:29" ht="15.75" customHeight="1">
      <c r="A29" s="536" t="s">
        <v>159</v>
      </c>
      <c r="B29" s="62" t="s">
        <v>16</v>
      </c>
      <c r="C29" s="533" t="s">
        <v>28</v>
      </c>
      <c r="D29" s="533"/>
      <c r="E29" s="62">
        <v>26.18</v>
      </c>
      <c r="F29" s="80">
        <v>3531</v>
      </c>
      <c r="G29" s="136">
        <f t="shared" si="23"/>
        <v>92441.58</v>
      </c>
      <c r="H29" s="90" t="s">
        <v>5</v>
      </c>
      <c r="I29" s="143">
        <v>19</v>
      </c>
      <c r="J29" s="63">
        <v>2400</v>
      </c>
      <c r="K29" s="64">
        <f t="shared" si="1"/>
        <v>126.31578947368421</v>
      </c>
      <c r="L29" s="143">
        <v>19</v>
      </c>
      <c r="M29" s="65">
        <f t="shared" si="24"/>
        <v>2302.8260869565211</v>
      </c>
      <c r="N29" s="64">
        <f t="shared" si="3"/>
        <v>121.20137299771163</v>
      </c>
      <c r="O29" s="66">
        <f t="shared" si="4"/>
        <v>0</v>
      </c>
      <c r="P29" s="67">
        <f t="shared" si="5"/>
        <v>-5.1144164759725754</v>
      </c>
      <c r="Q29" s="139">
        <f t="shared" si="6"/>
        <v>0.95951086956521714</v>
      </c>
      <c r="R29" s="511"/>
      <c r="S29" s="68">
        <v>0.24374999999999999</v>
      </c>
      <c r="T29" s="68">
        <v>0.30763888888888891</v>
      </c>
      <c r="U29" s="136">
        <f t="shared" ref="U29:U35" si="26">(S29-T28)*24*60</f>
        <v>30.000000000000014</v>
      </c>
      <c r="V29" s="144">
        <f t="shared" si="25"/>
        <v>92.000000000000028</v>
      </c>
      <c r="W29" s="69"/>
      <c r="X29" s="69"/>
      <c r="Y29" s="510"/>
      <c r="Z29" s="510"/>
      <c r="AA29" s="66">
        <f t="shared" si="8"/>
        <v>-97.173913043478933</v>
      </c>
      <c r="AB29" s="139">
        <f t="shared" si="9"/>
        <v>0.95951086956521714</v>
      </c>
      <c r="AC29" s="511"/>
    </row>
    <row r="30" spans="1:29" ht="15.75" customHeight="1">
      <c r="A30" s="536" t="s">
        <v>159</v>
      </c>
      <c r="B30" s="62" t="s">
        <v>16</v>
      </c>
      <c r="C30" s="533" t="s">
        <v>29</v>
      </c>
      <c r="D30" s="533"/>
      <c r="E30" s="62">
        <v>26.2</v>
      </c>
      <c r="F30" s="80">
        <v>4605</v>
      </c>
      <c r="G30" s="136">
        <f t="shared" si="23"/>
        <v>120651</v>
      </c>
      <c r="H30" s="90" t="s">
        <v>5</v>
      </c>
      <c r="I30" s="143">
        <v>19</v>
      </c>
      <c r="J30" s="63">
        <v>2400</v>
      </c>
      <c r="K30" s="64">
        <f t="shared" si="1"/>
        <v>126.31578947368421</v>
      </c>
      <c r="L30" s="143">
        <v>19</v>
      </c>
      <c r="M30" s="65">
        <f t="shared" si="24"/>
        <v>2302.5000000000005</v>
      </c>
      <c r="N30" s="64">
        <f t="shared" si="3"/>
        <v>121.18421052631581</v>
      </c>
      <c r="O30" s="66">
        <f t="shared" si="4"/>
        <v>0</v>
      </c>
      <c r="P30" s="67">
        <f t="shared" si="5"/>
        <v>-5.1315789473683964</v>
      </c>
      <c r="Q30" s="139">
        <f t="shared" si="6"/>
        <v>0.9593750000000002</v>
      </c>
      <c r="R30" s="511"/>
      <c r="S30" s="68">
        <v>0.31319444444444444</v>
      </c>
      <c r="T30" s="68">
        <v>0.39652777777777776</v>
      </c>
      <c r="U30" s="136">
        <f t="shared" si="26"/>
        <v>7.9999999999999716</v>
      </c>
      <c r="V30" s="144">
        <f t="shared" si="25"/>
        <v>119.99999999999997</v>
      </c>
      <c r="W30" s="69"/>
      <c r="X30" s="69"/>
      <c r="Y30" s="510"/>
      <c r="Z30" s="510"/>
      <c r="AA30" s="66">
        <f t="shared" si="8"/>
        <v>-97.499999999999545</v>
      </c>
      <c r="AB30" s="139">
        <f t="shared" si="9"/>
        <v>0.9593750000000002</v>
      </c>
      <c r="AC30" s="511"/>
    </row>
    <row r="31" spans="1:29" ht="15.75" customHeight="1">
      <c r="A31" s="536" t="s">
        <v>415</v>
      </c>
      <c r="B31" s="62" t="s">
        <v>16</v>
      </c>
      <c r="C31" s="533" t="s">
        <v>25</v>
      </c>
      <c r="D31" s="533"/>
      <c r="E31" s="62">
        <v>26.2</v>
      </c>
      <c r="F31" s="80">
        <v>2900</v>
      </c>
      <c r="G31" s="136">
        <f t="shared" si="23"/>
        <v>75980</v>
      </c>
      <c r="H31" s="90">
        <v>2</v>
      </c>
      <c r="I31" s="143">
        <v>20</v>
      </c>
      <c r="J31" s="63">
        <v>2400</v>
      </c>
      <c r="K31" s="64">
        <f t="shared" si="1"/>
        <v>120</v>
      </c>
      <c r="L31" s="143">
        <v>20</v>
      </c>
      <c r="M31" s="65">
        <f t="shared" si="24"/>
        <v>2289.4736842105272</v>
      </c>
      <c r="N31" s="64">
        <f t="shared" si="3"/>
        <v>114.47368421052636</v>
      </c>
      <c r="O31" s="66">
        <f t="shared" si="4"/>
        <v>0</v>
      </c>
      <c r="P31" s="67">
        <f t="shared" si="5"/>
        <v>-5.5263157894736423</v>
      </c>
      <c r="Q31" s="139">
        <f t="shared" si="6"/>
        <v>0.95394736842105299</v>
      </c>
      <c r="R31" s="511"/>
      <c r="S31" s="68">
        <v>0.39999999999999997</v>
      </c>
      <c r="T31" s="68">
        <v>0.45277777777777772</v>
      </c>
      <c r="U31" s="136">
        <f t="shared" si="26"/>
        <v>4.9999999999999822</v>
      </c>
      <c r="V31" s="144">
        <f t="shared" si="25"/>
        <v>75.999999999999972</v>
      </c>
      <c r="W31" s="69"/>
      <c r="X31" s="69"/>
      <c r="Y31" s="510"/>
      <c r="Z31" s="510"/>
      <c r="AA31" s="66">
        <f t="shared" si="8"/>
        <v>-110.52631578947285</v>
      </c>
      <c r="AB31" s="139">
        <f t="shared" si="9"/>
        <v>0.95394736842105299</v>
      </c>
      <c r="AC31" s="511"/>
    </row>
    <row r="32" spans="1:29" ht="15.75" customHeight="1">
      <c r="A32" s="536" t="s">
        <v>159</v>
      </c>
      <c r="B32" s="62" t="s">
        <v>16</v>
      </c>
      <c r="C32" s="533" t="s">
        <v>83</v>
      </c>
      <c r="D32" s="533"/>
      <c r="E32" s="62">
        <v>25.99</v>
      </c>
      <c r="F32" s="80">
        <v>2500</v>
      </c>
      <c r="G32" s="136">
        <f t="shared" si="23"/>
        <v>64974.999999999993</v>
      </c>
      <c r="H32" s="90">
        <v>2</v>
      </c>
      <c r="I32" s="143">
        <v>14</v>
      </c>
      <c r="J32" s="63">
        <v>2400</v>
      </c>
      <c r="K32" s="64">
        <f t="shared" si="1"/>
        <v>171.42857142857142</v>
      </c>
      <c r="L32" s="143">
        <v>14</v>
      </c>
      <c r="M32" s="65">
        <f t="shared" si="24"/>
        <v>2307.6923076923104</v>
      </c>
      <c r="N32" s="64">
        <f t="shared" si="3"/>
        <v>164.83516483516502</v>
      </c>
      <c r="O32" s="66">
        <f t="shared" si="4"/>
        <v>0</v>
      </c>
      <c r="P32" s="67">
        <f t="shared" si="5"/>
        <v>-6.5934065934063995</v>
      </c>
      <c r="Q32" s="139">
        <f t="shared" si="6"/>
        <v>0.96153846153846267</v>
      </c>
      <c r="R32" s="511"/>
      <c r="S32" s="68">
        <v>0.45763888888888882</v>
      </c>
      <c r="T32" s="68">
        <v>0.50277777777777766</v>
      </c>
      <c r="U32" s="136">
        <f t="shared" si="26"/>
        <v>6.9999999999999751</v>
      </c>
      <c r="V32" s="144">
        <f t="shared" si="25"/>
        <v>64.999999999999929</v>
      </c>
      <c r="W32" s="69">
        <f>T32</f>
        <v>0.50277777777777766</v>
      </c>
      <c r="X32" s="69">
        <f>S33</f>
        <v>0.5430555555555554</v>
      </c>
      <c r="Y32" s="510"/>
      <c r="Z32" s="510"/>
      <c r="AA32" s="66">
        <f t="shared" si="8"/>
        <v>-92.307692307689649</v>
      </c>
      <c r="AB32" s="139">
        <f t="shared" si="9"/>
        <v>0.96153846153846267</v>
      </c>
      <c r="AC32" s="511"/>
    </row>
    <row r="33" spans="1:29" ht="15.75" customHeight="1">
      <c r="A33" s="536" t="s">
        <v>159</v>
      </c>
      <c r="B33" s="62" t="s">
        <v>16</v>
      </c>
      <c r="C33" s="533" t="s">
        <v>83</v>
      </c>
      <c r="D33" s="533"/>
      <c r="E33" s="62">
        <v>25.99</v>
      </c>
      <c r="F33" s="80">
        <v>4035</v>
      </c>
      <c r="G33" s="136">
        <f t="shared" si="23"/>
        <v>104869.65</v>
      </c>
      <c r="H33" s="90" t="s">
        <v>5</v>
      </c>
      <c r="I33" s="143">
        <v>14</v>
      </c>
      <c r="J33" s="63">
        <v>2400</v>
      </c>
      <c r="K33" s="64">
        <f t="shared" si="1"/>
        <v>171.42857142857142</v>
      </c>
      <c r="L33" s="143">
        <v>14</v>
      </c>
      <c r="M33" s="65">
        <f t="shared" si="24"/>
        <v>2305.7142857142871</v>
      </c>
      <c r="N33" s="64">
        <f t="shared" si="3"/>
        <v>164.69387755102051</v>
      </c>
      <c r="O33" s="66">
        <f t="shared" si="4"/>
        <v>0</v>
      </c>
      <c r="P33" s="67">
        <f t="shared" si="5"/>
        <v>-6.7346938775509102</v>
      </c>
      <c r="Q33" s="139">
        <f t="shared" si="6"/>
        <v>0.96071428571428641</v>
      </c>
      <c r="R33" s="511"/>
      <c r="S33" s="68">
        <v>0.5430555555555554</v>
      </c>
      <c r="T33" s="68">
        <v>0.61597222222222203</v>
      </c>
      <c r="U33" s="136">
        <f t="shared" si="26"/>
        <v>57.999999999999957</v>
      </c>
      <c r="V33" s="144">
        <f t="shared" si="25"/>
        <v>104.99999999999994</v>
      </c>
      <c r="W33" s="69"/>
      <c r="X33" s="69"/>
      <c r="Y33" s="510"/>
      <c r="Z33" s="510"/>
      <c r="AA33" s="66">
        <f t="shared" si="8"/>
        <v>-94.285714285712857</v>
      </c>
      <c r="AB33" s="139">
        <f t="shared" si="9"/>
        <v>0.9607142857142863</v>
      </c>
      <c r="AC33" s="511"/>
    </row>
    <row r="34" spans="1:29" ht="15.75" customHeight="1">
      <c r="A34" s="536" t="s">
        <v>159</v>
      </c>
      <c r="B34" s="62" t="s">
        <v>16</v>
      </c>
      <c r="C34" s="533" t="s">
        <v>30</v>
      </c>
      <c r="D34" s="533"/>
      <c r="E34" s="62">
        <v>31.29</v>
      </c>
      <c r="F34" s="80">
        <v>3806</v>
      </c>
      <c r="G34" s="136">
        <f t="shared" si="23"/>
        <v>119089.73999999999</v>
      </c>
      <c r="H34" s="90" t="s">
        <v>5</v>
      </c>
      <c r="I34" s="143">
        <v>18</v>
      </c>
      <c r="J34" s="63">
        <v>2400</v>
      </c>
      <c r="K34" s="64">
        <f t="shared" si="1"/>
        <v>133.33333333333334</v>
      </c>
      <c r="L34" s="143">
        <v>18</v>
      </c>
      <c r="M34" s="65">
        <f t="shared" si="24"/>
        <v>2306.6666666666674</v>
      </c>
      <c r="N34" s="64">
        <f t="shared" si="3"/>
        <v>128.14814814814818</v>
      </c>
      <c r="O34" s="66">
        <f t="shared" si="4"/>
        <v>0</v>
      </c>
      <c r="P34" s="67">
        <f t="shared" si="5"/>
        <v>-5.185185185185162</v>
      </c>
      <c r="Q34" s="139">
        <f t="shared" si="6"/>
        <v>0.96111111111111125</v>
      </c>
      <c r="R34" s="511"/>
      <c r="S34" s="68">
        <v>0.62013888888888868</v>
      </c>
      <c r="T34" s="68">
        <v>0.68888888888888866</v>
      </c>
      <c r="U34" s="136">
        <f t="shared" si="26"/>
        <v>5.9999999999999787</v>
      </c>
      <c r="V34" s="144">
        <f t="shared" si="25"/>
        <v>98.999999999999972</v>
      </c>
      <c r="W34" s="69"/>
      <c r="X34" s="69"/>
      <c r="Y34" s="510"/>
      <c r="Z34" s="510"/>
      <c r="AA34" s="66">
        <f t="shared" si="8"/>
        <v>-93.333333333332575</v>
      </c>
      <c r="AB34" s="139">
        <f t="shared" si="9"/>
        <v>0.96111111111111147</v>
      </c>
      <c r="AC34" s="511"/>
    </row>
    <row r="35" spans="1:29" ht="15.75" customHeight="1">
      <c r="A35" s="536" t="s">
        <v>159</v>
      </c>
      <c r="B35" s="62" t="s">
        <v>16</v>
      </c>
      <c r="C35" s="533" t="s">
        <v>25</v>
      </c>
      <c r="D35" s="533"/>
      <c r="E35" s="62">
        <v>26.2</v>
      </c>
      <c r="F35" s="80">
        <v>2216</v>
      </c>
      <c r="G35" s="136">
        <f t="shared" si="23"/>
        <v>58059.199999999997</v>
      </c>
      <c r="H35" s="90" t="s">
        <v>5</v>
      </c>
      <c r="I35" s="143">
        <v>20</v>
      </c>
      <c r="J35" s="63">
        <v>2400</v>
      </c>
      <c r="K35" s="64">
        <f t="shared" si="1"/>
        <v>120</v>
      </c>
      <c r="L35" s="143">
        <v>20</v>
      </c>
      <c r="M35" s="65">
        <f t="shared" si="24"/>
        <v>2292.4137931034497</v>
      </c>
      <c r="N35" s="64">
        <f t="shared" si="3"/>
        <v>114.62068965517248</v>
      </c>
      <c r="O35" s="66">
        <f t="shared" si="4"/>
        <v>0</v>
      </c>
      <c r="P35" s="67">
        <f t="shared" si="5"/>
        <v>-5.3793103448275161</v>
      </c>
      <c r="Q35" s="139">
        <f t="shared" si="6"/>
        <v>0.95517241379310402</v>
      </c>
      <c r="R35" s="511"/>
      <c r="S35" s="68">
        <v>0.69305555555555531</v>
      </c>
      <c r="T35" s="68">
        <v>0.73333333333333306</v>
      </c>
      <c r="U35" s="136">
        <f t="shared" si="26"/>
        <v>5.9999999999999787</v>
      </c>
      <c r="V35" s="144">
        <f t="shared" si="25"/>
        <v>57.999999999999957</v>
      </c>
      <c r="W35" s="69"/>
      <c r="X35" s="69"/>
      <c r="Y35" s="510"/>
      <c r="Z35" s="510"/>
      <c r="AA35" s="66">
        <f t="shared" si="8"/>
        <v>-107.58620689655027</v>
      </c>
      <c r="AB35" s="139">
        <f t="shared" si="9"/>
        <v>0.95517241379310402</v>
      </c>
      <c r="AC35" s="511"/>
    </row>
    <row r="36" spans="1:29" ht="15.75" customHeight="1">
      <c r="A36" s="536" t="s">
        <v>159</v>
      </c>
      <c r="B36" s="62" t="s">
        <v>79</v>
      </c>
      <c r="C36" s="513"/>
      <c r="D36" s="513"/>
      <c r="E36" s="140"/>
      <c r="F36" s="80"/>
      <c r="G36" s="136"/>
      <c r="H36" s="80"/>
      <c r="I36" s="72">
        <v>17.75</v>
      </c>
      <c r="J36" s="63">
        <v>2400</v>
      </c>
      <c r="K36" s="64">
        <f t="shared" si="1"/>
        <v>135.21126760563379</v>
      </c>
      <c r="L36" s="72">
        <v>17.75</v>
      </c>
      <c r="M36" s="65">
        <f>AVERAGE(M28:M35)</f>
        <v>2300.6448955961619</v>
      </c>
      <c r="N36" s="64">
        <f t="shared" si="3"/>
        <v>129.61379693499504</v>
      </c>
      <c r="O36" s="66">
        <f t="shared" si="4"/>
        <v>0</v>
      </c>
      <c r="P36" s="67">
        <f t="shared" si="5"/>
        <v>-5.5974706706387565</v>
      </c>
      <c r="Q36" s="139">
        <f t="shared" si="6"/>
        <v>0.9586020398317342</v>
      </c>
      <c r="R36" s="511"/>
      <c r="S36" s="68"/>
      <c r="T36" s="68"/>
      <c r="U36" s="136"/>
      <c r="V36" s="144"/>
      <c r="W36" s="136"/>
      <c r="X36" s="136"/>
      <c r="Y36" s="510"/>
      <c r="Z36" s="510"/>
      <c r="AA36" s="66">
        <f t="shared" si="8"/>
        <v>-99.355104403838141</v>
      </c>
      <c r="AB36" s="139">
        <f t="shared" si="9"/>
        <v>0.95860203983173409</v>
      </c>
      <c r="AC36" s="511"/>
    </row>
    <row r="37" spans="1:29" ht="15.75" customHeight="1">
      <c r="A37" s="531" t="s">
        <v>160</v>
      </c>
      <c r="B37" s="62" t="s">
        <v>16</v>
      </c>
      <c r="C37" s="512" t="s">
        <v>31</v>
      </c>
      <c r="D37" s="512"/>
      <c r="E37" s="62">
        <v>26.2</v>
      </c>
      <c r="F37" s="80">
        <v>3900</v>
      </c>
      <c r="G37" s="136">
        <f t="shared" ref="G37:G44" si="27">E37*F37</f>
        <v>102180</v>
      </c>
      <c r="H37" s="90">
        <v>2</v>
      </c>
      <c r="I37" s="143">
        <v>18</v>
      </c>
      <c r="J37" s="63">
        <v>2400</v>
      </c>
      <c r="K37" s="64">
        <f t="shared" si="1"/>
        <v>133.33333333333334</v>
      </c>
      <c r="L37" s="143">
        <v>18</v>
      </c>
      <c r="M37" s="65">
        <f t="shared" ref="M37:M44" si="28">F37/V37*60</f>
        <v>2294.1176470588234</v>
      </c>
      <c r="N37" s="64">
        <f t="shared" si="3"/>
        <v>127.45098039215685</v>
      </c>
      <c r="O37" s="66">
        <f t="shared" si="4"/>
        <v>0</v>
      </c>
      <c r="P37" s="67">
        <f t="shared" si="5"/>
        <v>-5.8823529411764923</v>
      </c>
      <c r="Q37" s="139">
        <f t="shared" si="6"/>
        <v>0.95588235294117629</v>
      </c>
      <c r="R37" s="511">
        <f>Q45</f>
        <v>0.95773312831137281</v>
      </c>
      <c r="S37" s="68">
        <v>0.125</v>
      </c>
      <c r="T37" s="68">
        <v>0.19583333333333333</v>
      </c>
      <c r="U37" s="136"/>
      <c r="V37" s="144">
        <f t="shared" ref="V37:V44" si="29">(T37-S37)*24*60</f>
        <v>102</v>
      </c>
      <c r="W37" s="73">
        <f>T37</f>
        <v>0.19583333333333333</v>
      </c>
      <c r="X37" s="73">
        <f>S38</f>
        <v>0.21527777777777776</v>
      </c>
      <c r="Y37" s="510"/>
      <c r="Z37" s="510"/>
      <c r="AA37" s="66">
        <f t="shared" si="8"/>
        <v>-105.88235294117658</v>
      </c>
      <c r="AB37" s="139">
        <f t="shared" si="9"/>
        <v>0.95588235294117641</v>
      </c>
      <c r="AC37" s="511">
        <f>AB45</f>
        <v>0.95773312831137292</v>
      </c>
    </row>
    <row r="38" spans="1:29" ht="15.75" customHeight="1">
      <c r="A38" s="531" t="s">
        <v>160</v>
      </c>
      <c r="B38" s="62" t="s">
        <v>16</v>
      </c>
      <c r="C38" s="512" t="s">
        <v>32</v>
      </c>
      <c r="D38" s="512"/>
      <c r="E38" s="62">
        <v>26.39</v>
      </c>
      <c r="F38" s="80">
        <v>3900</v>
      </c>
      <c r="G38" s="136">
        <f t="shared" si="27"/>
        <v>102921</v>
      </c>
      <c r="H38" s="90">
        <v>2</v>
      </c>
      <c r="I38" s="143">
        <v>19</v>
      </c>
      <c r="J38" s="63">
        <v>2400</v>
      </c>
      <c r="K38" s="64">
        <f t="shared" si="1"/>
        <v>126.31578947368421</v>
      </c>
      <c r="L38" s="143">
        <v>19</v>
      </c>
      <c r="M38" s="65">
        <f t="shared" si="28"/>
        <v>2294.1176470588234</v>
      </c>
      <c r="N38" s="64">
        <f t="shared" si="3"/>
        <v>120.74303405572755</v>
      </c>
      <c r="O38" s="66">
        <f t="shared" si="4"/>
        <v>0</v>
      </c>
      <c r="P38" s="67">
        <f t="shared" si="5"/>
        <v>-5.5727554179566567</v>
      </c>
      <c r="Q38" s="139">
        <f t="shared" si="6"/>
        <v>0.95588235294117652</v>
      </c>
      <c r="R38" s="511"/>
      <c r="S38" s="68">
        <v>0.21527777777777776</v>
      </c>
      <c r="T38" s="68">
        <v>0.28611111111111109</v>
      </c>
      <c r="U38" s="136">
        <f t="shared" ref="U38:U44" si="30">(S38-T37)*24*60</f>
        <v>27.999999999999979</v>
      </c>
      <c r="V38" s="144">
        <f t="shared" si="29"/>
        <v>102</v>
      </c>
      <c r="W38" s="136"/>
      <c r="X38" s="136"/>
      <c r="Y38" s="510"/>
      <c r="Z38" s="510"/>
      <c r="AA38" s="66">
        <f t="shared" si="8"/>
        <v>-105.88235294117658</v>
      </c>
      <c r="AB38" s="139">
        <f t="shared" si="9"/>
        <v>0.95588235294117641</v>
      </c>
      <c r="AC38" s="511"/>
    </row>
    <row r="39" spans="1:29">
      <c r="A39" s="532" t="s">
        <v>160</v>
      </c>
      <c r="B39" s="62" t="s">
        <v>16</v>
      </c>
      <c r="C39" s="512" t="s">
        <v>50</v>
      </c>
      <c r="D39" s="512"/>
      <c r="E39" s="62">
        <v>20.52</v>
      </c>
      <c r="F39" s="80">
        <v>4896</v>
      </c>
      <c r="G39" s="136">
        <f t="shared" si="27"/>
        <v>100465.92</v>
      </c>
      <c r="H39" s="90" t="s">
        <v>5</v>
      </c>
      <c r="I39" s="143">
        <v>18</v>
      </c>
      <c r="J39" s="63">
        <v>2400</v>
      </c>
      <c r="K39" s="64">
        <f t="shared" si="1"/>
        <v>133.33333333333334</v>
      </c>
      <c r="L39" s="143">
        <v>18</v>
      </c>
      <c r="M39" s="65">
        <f t="shared" si="28"/>
        <v>2294.9999999999995</v>
      </c>
      <c r="N39" s="64">
        <f t="shared" si="3"/>
        <v>127.49999999999997</v>
      </c>
      <c r="O39" s="66">
        <f t="shared" si="4"/>
        <v>0</v>
      </c>
      <c r="P39" s="67">
        <f t="shared" si="5"/>
        <v>-5.8333333333333712</v>
      </c>
      <c r="Q39" s="139">
        <f t="shared" si="6"/>
        <v>0.95624999999999971</v>
      </c>
      <c r="R39" s="511"/>
      <c r="S39" s="68">
        <v>0.29166666666666663</v>
      </c>
      <c r="T39" s="68">
        <v>0.38055555555555554</v>
      </c>
      <c r="U39" s="136">
        <f t="shared" si="30"/>
        <v>7.9999999999999716</v>
      </c>
      <c r="V39" s="144">
        <f t="shared" si="29"/>
        <v>128.00000000000003</v>
      </c>
      <c r="W39" s="136"/>
      <c r="X39" s="136"/>
      <c r="Y39" s="510"/>
      <c r="Z39" s="510"/>
      <c r="AA39" s="66">
        <f t="shared" si="8"/>
        <v>-105.00000000000045</v>
      </c>
      <c r="AB39" s="139">
        <f t="shared" si="9"/>
        <v>0.95624999999999982</v>
      </c>
      <c r="AC39" s="511"/>
    </row>
    <row r="40" spans="1:29">
      <c r="A40" s="532" t="s">
        <v>160</v>
      </c>
      <c r="B40" s="62" t="s">
        <v>16</v>
      </c>
      <c r="C40" s="512" t="s">
        <v>18</v>
      </c>
      <c r="D40" s="512"/>
      <c r="E40" s="62">
        <v>22.35</v>
      </c>
      <c r="F40" s="80">
        <v>1960</v>
      </c>
      <c r="G40" s="136">
        <f t="shared" si="27"/>
        <v>43806</v>
      </c>
      <c r="H40" s="90" t="s">
        <v>5</v>
      </c>
      <c r="I40" s="143">
        <v>16</v>
      </c>
      <c r="J40" s="63">
        <v>2400</v>
      </c>
      <c r="K40" s="64">
        <f t="shared" si="1"/>
        <v>150</v>
      </c>
      <c r="L40" s="143">
        <v>16</v>
      </c>
      <c r="M40" s="65">
        <f t="shared" si="28"/>
        <v>2305.882352941177</v>
      </c>
      <c r="N40" s="64">
        <f t="shared" si="3"/>
        <v>144.11764705882356</v>
      </c>
      <c r="O40" s="66">
        <f t="shared" si="4"/>
        <v>0</v>
      </c>
      <c r="P40" s="67">
        <f t="shared" si="5"/>
        <v>-5.8823529411764355</v>
      </c>
      <c r="Q40" s="139">
        <f t="shared" si="6"/>
        <v>0.96078431372549045</v>
      </c>
      <c r="R40" s="511"/>
      <c r="S40" s="68">
        <v>0.38472222222222219</v>
      </c>
      <c r="T40" s="68">
        <v>0.42013888888888884</v>
      </c>
      <c r="U40" s="136">
        <f t="shared" si="30"/>
        <v>5.9999999999999787</v>
      </c>
      <c r="V40" s="144">
        <f t="shared" si="29"/>
        <v>50.999999999999979</v>
      </c>
      <c r="W40" s="69"/>
      <c r="X40" s="69"/>
      <c r="Y40" s="510"/>
      <c r="Z40" s="510"/>
      <c r="AA40" s="66">
        <f t="shared" si="8"/>
        <v>-94.117647058822968</v>
      </c>
      <c r="AB40" s="139">
        <f t="shared" si="9"/>
        <v>0.96078431372549045</v>
      </c>
      <c r="AC40" s="511"/>
    </row>
    <row r="41" spans="1:29">
      <c r="A41" s="532" t="s">
        <v>572</v>
      </c>
      <c r="B41" s="62" t="s">
        <v>16</v>
      </c>
      <c r="C41" s="512" t="s">
        <v>33</v>
      </c>
      <c r="D41" s="512"/>
      <c r="E41" s="62">
        <v>24.43</v>
      </c>
      <c r="F41" s="80">
        <v>3500</v>
      </c>
      <c r="G41" s="136">
        <f t="shared" si="27"/>
        <v>85505</v>
      </c>
      <c r="H41" s="90">
        <v>2</v>
      </c>
      <c r="I41" s="143">
        <v>14</v>
      </c>
      <c r="J41" s="63">
        <v>2400</v>
      </c>
      <c r="K41" s="64">
        <f t="shared" si="1"/>
        <v>171.42857142857142</v>
      </c>
      <c r="L41" s="143">
        <v>14</v>
      </c>
      <c r="M41" s="65">
        <f t="shared" si="28"/>
        <v>2282.608695652174</v>
      </c>
      <c r="N41" s="64">
        <f t="shared" si="3"/>
        <v>163.04347826086956</v>
      </c>
      <c r="O41" s="66">
        <f t="shared" si="4"/>
        <v>0</v>
      </c>
      <c r="P41" s="67">
        <f t="shared" si="5"/>
        <v>-8.3850931677018536</v>
      </c>
      <c r="Q41" s="139">
        <f t="shared" si="6"/>
        <v>0.95108695652173914</v>
      </c>
      <c r="R41" s="511"/>
      <c r="S41" s="68">
        <v>0.42430555555555549</v>
      </c>
      <c r="T41" s="68">
        <v>0.48819444444444438</v>
      </c>
      <c r="U41" s="136">
        <f t="shared" si="30"/>
        <v>5.9999999999999787</v>
      </c>
      <c r="V41" s="144">
        <f t="shared" si="29"/>
        <v>92</v>
      </c>
      <c r="W41" s="69">
        <f>T41</f>
        <v>0.48819444444444438</v>
      </c>
      <c r="X41" s="69">
        <f>S42</f>
        <v>0.52916666666666656</v>
      </c>
      <c r="Y41" s="510"/>
      <c r="Z41" s="510"/>
      <c r="AA41" s="66">
        <f t="shared" si="8"/>
        <v>-117.39130434782601</v>
      </c>
      <c r="AB41" s="139">
        <f t="shared" si="9"/>
        <v>0.95108695652173914</v>
      </c>
      <c r="AC41" s="511"/>
    </row>
    <row r="42" spans="1:29">
      <c r="A42" s="532" t="s">
        <v>160</v>
      </c>
      <c r="B42" s="62" t="s">
        <v>16</v>
      </c>
      <c r="C42" s="512" t="s">
        <v>33</v>
      </c>
      <c r="D42" s="512"/>
      <c r="E42" s="62">
        <v>24.43</v>
      </c>
      <c r="F42" s="80">
        <v>4975</v>
      </c>
      <c r="G42" s="136">
        <f t="shared" si="27"/>
        <v>121539.25</v>
      </c>
      <c r="H42" s="90" t="s">
        <v>5</v>
      </c>
      <c r="I42" s="143">
        <v>14</v>
      </c>
      <c r="J42" s="63">
        <v>2400</v>
      </c>
      <c r="K42" s="64">
        <f t="shared" si="1"/>
        <v>171.42857142857142</v>
      </c>
      <c r="L42" s="143">
        <v>14</v>
      </c>
      <c r="M42" s="65">
        <f t="shared" si="28"/>
        <v>2296.1538461538457</v>
      </c>
      <c r="N42" s="64">
        <f t="shared" si="3"/>
        <v>164.01098901098899</v>
      </c>
      <c r="O42" s="66">
        <f t="shared" si="4"/>
        <v>0</v>
      </c>
      <c r="P42" s="67">
        <f t="shared" si="5"/>
        <v>-7.4175824175824232</v>
      </c>
      <c r="Q42" s="139">
        <f t="shared" si="6"/>
        <v>0.95673076923076916</v>
      </c>
      <c r="R42" s="511"/>
      <c r="S42" s="68">
        <v>0.52916666666666656</v>
      </c>
      <c r="T42" s="68">
        <v>0.61944444444444435</v>
      </c>
      <c r="U42" s="136">
        <f t="shared" si="30"/>
        <v>58.99999999999995</v>
      </c>
      <c r="V42" s="144">
        <f t="shared" si="29"/>
        <v>130.00000000000003</v>
      </c>
      <c r="W42" s="69"/>
      <c r="X42" s="69"/>
      <c r="Y42" s="510"/>
      <c r="Z42" s="510"/>
      <c r="AA42" s="66">
        <f t="shared" si="8"/>
        <v>-103.84615384615427</v>
      </c>
      <c r="AB42" s="139">
        <f t="shared" si="9"/>
        <v>0.95673076923076905</v>
      </c>
      <c r="AC42" s="511"/>
    </row>
    <row r="43" spans="1:29">
      <c r="A43" s="532" t="s">
        <v>160</v>
      </c>
      <c r="B43" s="62" t="s">
        <v>16</v>
      </c>
      <c r="C43" s="512" t="s">
        <v>31</v>
      </c>
      <c r="D43" s="512"/>
      <c r="E43" s="62">
        <v>26.2</v>
      </c>
      <c r="F43" s="80">
        <v>2963</v>
      </c>
      <c r="G43" s="136">
        <f t="shared" si="27"/>
        <v>77630.599999999991</v>
      </c>
      <c r="H43" s="90" t="s">
        <v>5</v>
      </c>
      <c r="I43" s="143">
        <v>18</v>
      </c>
      <c r="J43" s="63">
        <v>2400</v>
      </c>
      <c r="K43" s="64">
        <f t="shared" si="1"/>
        <v>133.33333333333334</v>
      </c>
      <c r="L43" s="143">
        <v>18</v>
      </c>
      <c r="M43" s="65">
        <f t="shared" si="28"/>
        <v>2308.8311688311678</v>
      </c>
      <c r="N43" s="64">
        <f t="shared" si="3"/>
        <v>128.26839826839822</v>
      </c>
      <c r="O43" s="66">
        <f t="shared" si="4"/>
        <v>0</v>
      </c>
      <c r="P43" s="67">
        <f t="shared" si="5"/>
        <v>-5.0649350649351277</v>
      </c>
      <c r="Q43" s="139">
        <f t="shared" si="6"/>
        <v>0.96201298701298654</v>
      </c>
      <c r="R43" s="511"/>
      <c r="S43" s="68">
        <v>0.62499999999999989</v>
      </c>
      <c r="T43" s="68">
        <v>0.67847222222222214</v>
      </c>
      <c r="U43" s="136">
        <f t="shared" si="30"/>
        <v>7.9999999999999716</v>
      </c>
      <c r="V43" s="144">
        <f t="shared" si="29"/>
        <v>77.000000000000043</v>
      </c>
      <c r="W43" s="69"/>
      <c r="X43" s="69"/>
      <c r="Y43" s="517"/>
      <c r="Z43" s="518"/>
      <c r="AA43" s="66">
        <f t="shared" si="8"/>
        <v>-91.168831168832185</v>
      </c>
      <c r="AB43" s="139">
        <f t="shared" si="9"/>
        <v>0.96201298701298654</v>
      </c>
      <c r="AC43" s="511"/>
    </row>
    <row r="44" spans="1:29">
      <c r="A44" s="532" t="s">
        <v>160</v>
      </c>
      <c r="B44" s="62" t="s">
        <v>16</v>
      </c>
      <c r="C44" s="512" t="s">
        <v>32</v>
      </c>
      <c r="D44" s="512"/>
      <c r="E44" s="62">
        <v>26.39</v>
      </c>
      <c r="F44" s="80">
        <v>2620</v>
      </c>
      <c r="G44" s="136">
        <f t="shared" si="27"/>
        <v>69141.8</v>
      </c>
      <c r="H44" s="90" t="s">
        <v>5</v>
      </c>
      <c r="I44" s="143">
        <v>19</v>
      </c>
      <c r="J44" s="63">
        <v>2400</v>
      </c>
      <c r="K44" s="64">
        <f t="shared" si="1"/>
        <v>126.31578947368421</v>
      </c>
      <c r="L44" s="143">
        <v>19</v>
      </c>
      <c r="M44" s="65">
        <f t="shared" si="28"/>
        <v>2311.76470588235</v>
      </c>
      <c r="N44" s="64">
        <f t="shared" si="3"/>
        <v>121.67182662538684</v>
      </c>
      <c r="O44" s="66">
        <f t="shared" si="4"/>
        <v>0</v>
      </c>
      <c r="P44" s="67">
        <f t="shared" si="5"/>
        <v>-4.6439628482973632</v>
      </c>
      <c r="Q44" s="139">
        <f t="shared" si="6"/>
        <v>0.96323529411764586</v>
      </c>
      <c r="R44" s="511"/>
      <c r="S44" s="68">
        <v>0.68402777777777768</v>
      </c>
      <c r="T44" s="68">
        <v>0.73124999999999996</v>
      </c>
      <c r="U44" s="136">
        <f t="shared" si="30"/>
        <v>7.9999999999999716</v>
      </c>
      <c r="V44" s="144">
        <f t="shared" si="29"/>
        <v>68.000000000000085</v>
      </c>
      <c r="W44" s="69"/>
      <c r="X44" s="69"/>
      <c r="Y44" s="517"/>
      <c r="Z44" s="518"/>
      <c r="AA44" s="66">
        <f t="shared" si="8"/>
        <v>-88.235294117650028</v>
      </c>
      <c r="AB44" s="139">
        <f t="shared" si="9"/>
        <v>0.96323529411764586</v>
      </c>
      <c r="AC44" s="511"/>
    </row>
    <row r="45" spans="1:29">
      <c r="A45" s="532" t="s">
        <v>160</v>
      </c>
      <c r="B45" s="71" t="s">
        <v>79</v>
      </c>
      <c r="C45" s="513"/>
      <c r="D45" s="513"/>
      <c r="E45" s="140"/>
      <c r="F45" s="71"/>
      <c r="G45" s="64"/>
      <c r="H45" s="80"/>
      <c r="I45" s="72">
        <v>17</v>
      </c>
      <c r="J45" s="63">
        <v>2400</v>
      </c>
      <c r="K45" s="64">
        <f t="shared" si="1"/>
        <v>141.1764705882353</v>
      </c>
      <c r="L45" s="72">
        <v>17</v>
      </c>
      <c r="M45" s="65">
        <f>AVERAGE(M37:M44)</f>
        <v>2298.5595079472951</v>
      </c>
      <c r="N45" s="64">
        <f t="shared" si="3"/>
        <v>135.20938282042911</v>
      </c>
      <c r="O45" s="66">
        <f t="shared" si="4"/>
        <v>0</v>
      </c>
      <c r="P45" s="67">
        <f t="shared" si="5"/>
        <v>-5.9670877678061913</v>
      </c>
      <c r="Q45" s="139">
        <f t="shared" si="6"/>
        <v>0.95773312831137281</v>
      </c>
      <c r="R45" s="511"/>
      <c r="S45" s="68"/>
      <c r="T45" s="68"/>
      <c r="U45" s="64"/>
      <c r="V45" s="144"/>
      <c r="W45" s="64"/>
      <c r="X45" s="64"/>
      <c r="Y45" s="510"/>
      <c r="Z45" s="510"/>
      <c r="AA45" s="66">
        <f t="shared" si="8"/>
        <v>-101.44049205270494</v>
      </c>
      <c r="AB45" s="139">
        <f t="shared" si="9"/>
        <v>0.95773312831137292</v>
      </c>
      <c r="AC45" s="511"/>
    </row>
    <row r="46" spans="1:29" ht="15.75" customHeight="1">
      <c r="A46" s="525" t="s">
        <v>337</v>
      </c>
      <c r="B46" s="62" t="s">
        <v>35</v>
      </c>
      <c r="C46" s="521" t="s">
        <v>36</v>
      </c>
      <c r="D46" s="522"/>
      <c r="E46" s="62">
        <v>21.13</v>
      </c>
      <c r="F46" s="80">
        <v>3300</v>
      </c>
      <c r="G46" s="136">
        <f t="shared" ref="G46:G56" si="31">E46*F46</f>
        <v>69729</v>
      </c>
      <c r="H46" s="90">
        <v>2</v>
      </c>
      <c r="I46" s="143">
        <v>10</v>
      </c>
      <c r="J46" s="63">
        <v>3000</v>
      </c>
      <c r="K46" s="64">
        <f t="shared" si="1"/>
        <v>300</v>
      </c>
      <c r="L46" s="143">
        <v>10</v>
      </c>
      <c r="M46" s="65">
        <f t="shared" ref="M46:M56" si="32">F46/V46*60</f>
        <v>2869.5652173913045</v>
      </c>
      <c r="N46" s="65">
        <f t="shared" si="3"/>
        <v>286.95652173913044</v>
      </c>
      <c r="O46" s="66">
        <f t="shared" si="4"/>
        <v>0</v>
      </c>
      <c r="P46" s="67">
        <f t="shared" si="5"/>
        <v>-13.043478260869563</v>
      </c>
      <c r="Q46" s="139">
        <f t="shared" si="6"/>
        <v>0.95652173913043481</v>
      </c>
      <c r="R46" s="528">
        <f>Q57</f>
        <v>0.96189702219422446</v>
      </c>
      <c r="S46" s="68">
        <v>0.125</v>
      </c>
      <c r="T46" s="68">
        <v>0.17291666666666666</v>
      </c>
      <c r="U46" s="73"/>
      <c r="V46" s="144">
        <f t="shared" ref="V46:V56" si="33">(T46-S46)*24*60</f>
        <v>69</v>
      </c>
      <c r="W46" s="69">
        <f>T46</f>
        <v>0.17291666666666666</v>
      </c>
      <c r="X46" s="69">
        <f>S47</f>
        <v>0.19097222222222221</v>
      </c>
      <c r="Y46" s="517"/>
      <c r="Z46" s="518"/>
      <c r="AA46" s="66">
        <f t="shared" si="8"/>
        <v>-130.43478260869551</v>
      </c>
      <c r="AB46" s="139">
        <f t="shared" si="9"/>
        <v>0.95652173913043481</v>
      </c>
      <c r="AC46" s="528">
        <f>AB57</f>
        <v>0.96189702219422457</v>
      </c>
    </row>
    <row r="47" spans="1:29" ht="15.75" customHeight="1">
      <c r="A47" s="526" t="s">
        <v>337</v>
      </c>
      <c r="B47" s="62" t="s">
        <v>35</v>
      </c>
      <c r="C47" s="521" t="s">
        <v>37</v>
      </c>
      <c r="D47" s="522"/>
      <c r="E47" s="62">
        <v>27.17</v>
      </c>
      <c r="F47" s="80">
        <v>3000</v>
      </c>
      <c r="G47" s="136">
        <f t="shared" si="31"/>
        <v>81510</v>
      </c>
      <c r="H47" s="90">
        <v>2</v>
      </c>
      <c r="I47" s="143">
        <v>10</v>
      </c>
      <c r="J47" s="63">
        <v>3000</v>
      </c>
      <c r="K47" s="64">
        <f t="shared" si="1"/>
        <v>300</v>
      </c>
      <c r="L47" s="143">
        <v>10</v>
      </c>
      <c r="M47" s="65">
        <f t="shared" si="32"/>
        <v>2857.1428571428564</v>
      </c>
      <c r="N47" s="65">
        <f t="shared" si="3"/>
        <v>285.71428571428567</v>
      </c>
      <c r="O47" s="66">
        <f t="shared" si="4"/>
        <v>0</v>
      </c>
      <c r="P47" s="67">
        <f t="shared" si="5"/>
        <v>-14.285714285714334</v>
      </c>
      <c r="Q47" s="139">
        <f t="shared" si="6"/>
        <v>0.95238095238095222</v>
      </c>
      <c r="R47" s="529"/>
      <c r="S47" s="68">
        <v>0.19097222222222221</v>
      </c>
      <c r="T47" s="68">
        <v>0.23472222222222222</v>
      </c>
      <c r="U47" s="136">
        <f t="shared" ref="U47:U56" si="34">(S47-T46)*24*60</f>
        <v>25.999999999999986</v>
      </c>
      <c r="V47" s="144">
        <f t="shared" si="33"/>
        <v>63.000000000000014</v>
      </c>
      <c r="W47" s="69"/>
      <c r="X47" s="69"/>
      <c r="Y47" s="517"/>
      <c r="Z47" s="518"/>
      <c r="AA47" s="66">
        <f t="shared" si="8"/>
        <v>-142.85714285714357</v>
      </c>
      <c r="AB47" s="139">
        <f t="shared" si="9"/>
        <v>0.95238095238095211</v>
      </c>
      <c r="AC47" s="529"/>
    </row>
    <row r="48" spans="1:29" ht="15.75" customHeight="1">
      <c r="A48" s="526" t="s">
        <v>337</v>
      </c>
      <c r="B48" s="62" t="s">
        <v>35</v>
      </c>
      <c r="C48" s="521" t="s">
        <v>38</v>
      </c>
      <c r="D48" s="522"/>
      <c r="E48" s="62">
        <v>35.119999999999997</v>
      </c>
      <c r="F48" s="80">
        <v>2600</v>
      </c>
      <c r="G48" s="136">
        <f t="shared" si="31"/>
        <v>91312</v>
      </c>
      <c r="H48" s="90">
        <v>2</v>
      </c>
      <c r="I48" s="143">
        <v>10</v>
      </c>
      <c r="J48" s="63">
        <v>3000</v>
      </c>
      <c r="K48" s="64">
        <f t="shared" si="1"/>
        <v>300</v>
      </c>
      <c r="L48" s="143">
        <v>10</v>
      </c>
      <c r="M48" s="65">
        <f t="shared" si="32"/>
        <v>2888.8888888888887</v>
      </c>
      <c r="N48" s="65">
        <f t="shared" si="3"/>
        <v>288.88888888888886</v>
      </c>
      <c r="O48" s="66">
        <f t="shared" si="4"/>
        <v>0</v>
      </c>
      <c r="P48" s="67">
        <f t="shared" si="5"/>
        <v>-11.111111111111143</v>
      </c>
      <c r="Q48" s="139">
        <f t="shared" si="6"/>
        <v>0.96296296296296291</v>
      </c>
      <c r="R48" s="529"/>
      <c r="S48" s="68">
        <v>0.24027777777777778</v>
      </c>
      <c r="T48" s="68">
        <v>0.27777777777777779</v>
      </c>
      <c r="U48" s="136">
        <f t="shared" si="34"/>
        <v>8.0000000000000107</v>
      </c>
      <c r="V48" s="144">
        <f t="shared" si="33"/>
        <v>54.000000000000007</v>
      </c>
      <c r="W48" s="69"/>
      <c r="X48" s="69"/>
      <c r="Y48" s="517"/>
      <c r="Z48" s="518"/>
      <c r="AA48" s="66">
        <f t="shared" si="8"/>
        <v>-111.11111111111131</v>
      </c>
      <c r="AB48" s="139">
        <f t="shared" si="9"/>
        <v>0.96296296296296291</v>
      </c>
      <c r="AC48" s="529"/>
    </row>
    <row r="49" spans="1:29" ht="15.75" customHeight="1">
      <c r="A49" s="526" t="s">
        <v>337</v>
      </c>
      <c r="B49" s="62" t="s">
        <v>35</v>
      </c>
      <c r="C49" s="521" t="s">
        <v>39</v>
      </c>
      <c r="D49" s="522"/>
      <c r="E49" s="62">
        <v>35.869999999999997</v>
      </c>
      <c r="F49" s="80">
        <v>2937</v>
      </c>
      <c r="G49" s="136">
        <f t="shared" si="31"/>
        <v>105350.18999999999</v>
      </c>
      <c r="H49" s="90" t="s">
        <v>5</v>
      </c>
      <c r="I49" s="143">
        <v>9</v>
      </c>
      <c r="J49" s="63">
        <v>3000</v>
      </c>
      <c r="K49" s="64">
        <f t="shared" si="1"/>
        <v>333.33333333333331</v>
      </c>
      <c r="L49" s="143">
        <v>9</v>
      </c>
      <c r="M49" s="65">
        <f t="shared" si="32"/>
        <v>2888.8524590163925</v>
      </c>
      <c r="N49" s="65">
        <f t="shared" si="3"/>
        <v>320.98360655737696</v>
      </c>
      <c r="O49" s="66">
        <f t="shared" si="4"/>
        <v>0</v>
      </c>
      <c r="P49" s="67">
        <f t="shared" si="5"/>
        <v>-12.349726775956356</v>
      </c>
      <c r="Q49" s="139">
        <f t="shared" si="6"/>
        <v>0.96295081967213092</v>
      </c>
      <c r="R49" s="529"/>
      <c r="S49" s="68">
        <v>0.28194444444444444</v>
      </c>
      <c r="T49" s="68">
        <v>0.32430555555555557</v>
      </c>
      <c r="U49" s="136">
        <f t="shared" si="34"/>
        <v>5.9999999999999787</v>
      </c>
      <c r="V49" s="144">
        <f t="shared" si="33"/>
        <v>61.000000000000021</v>
      </c>
      <c r="W49" s="69"/>
      <c r="X49" s="69"/>
      <c r="Y49" s="517"/>
      <c r="Z49" s="518"/>
      <c r="AA49" s="66">
        <f t="shared" si="8"/>
        <v>-111.14754098360754</v>
      </c>
      <c r="AB49" s="139">
        <f t="shared" si="9"/>
        <v>0.96295081967213081</v>
      </c>
      <c r="AC49" s="529"/>
    </row>
    <row r="50" spans="1:29" ht="15.75" customHeight="1">
      <c r="A50" s="526" t="s">
        <v>337</v>
      </c>
      <c r="B50" s="62" t="s">
        <v>35</v>
      </c>
      <c r="C50" s="521" t="s">
        <v>40</v>
      </c>
      <c r="D50" s="522"/>
      <c r="E50" s="62">
        <v>36.14</v>
      </c>
      <c r="F50" s="80">
        <v>1500</v>
      </c>
      <c r="G50" s="136">
        <f t="shared" si="31"/>
        <v>54210</v>
      </c>
      <c r="H50" s="90" t="s">
        <v>5</v>
      </c>
      <c r="I50" s="143">
        <v>9</v>
      </c>
      <c r="J50" s="63">
        <v>3000</v>
      </c>
      <c r="K50" s="64">
        <f t="shared" si="1"/>
        <v>333.33333333333331</v>
      </c>
      <c r="L50" s="143">
        <v>9</v>
      </c>
      <c r="M50" s="65">
        <f t="shared" si="32"/>
        <v>2903.2258064516154</v>
      </c>
      <c r="N50" s="65">
        <f t="shared" si="3"/>
        <v>322.58064516129059</v>
      </c>
      <c r="O50" s="66">
        <f t="shared" si="4"/>
        <v>0</v>
      </c>
      <c r="P50" s="67">
        <f t="shared" si="5"/>
        <v>-10.752688172042724</v>
      </c>
      <c r="Q50" s="139">
        <f t="shared" si="6"/>
        <v>0.96774193548387177</v>
      </c>
      <c r="R50" s="529"/>
      <c r="S50" s="68">
        <v>0.32847222222222222</v>
      </c>
      <c r="T50" s="68">
        <v>0.35</v>
      </c>
      <c r="U50" s="136">
        <f t="shared" si="34"/>
        <v>5.9999999999999787</v>
      </c>
      <c r="V50" s="144">
        <f t="shared" si="33"/>
        <v>30.999999999999972</v>
      </c>
      <c r="W50" s="69"/>
      <c r="X50" s="69"/>
      <c r="Y50" s="517"/>
      <c r="Z50" s="518"/>
      <c r="AA50" s="66">
        <f t="shared" si="8"/>
        <v>-96.774193548384574</v>
      </c>
      <c r="AB50" s="139">
        <f t="shared" si="9"/>
        <v>0.96774193548387177</v>
      </c>
      <c r="AC50" s="529"/>
    </row>
    <row r="51" spans="1:29" ht="15.75" customHeight="1">
      <c r="A51" s="526" t="s">
        <v>337</v>
      </c>
      <c r="B51" s="62" t="s">
        <v>35</v>
      </c>
      <c r="C51" s="521" t="s">
        <v>74</v>
      </c>
      <c r="D51" s="522"/>
      <c r="E51" s="62">
        <v>34.36</v>
      </c>
      <c r="F51" s="80">
        <v>2993</v>
      </c>
      <c r="G51" s="136">
        <f t="shared" si="31"/>
        <v>102839.48</v>
      </c>
      <c r="H51" s="90" t="s">
        <v>5</v>
      </c>
      <c r="I51" s="143">
        <v>10</v>
      </c>
      <c r="J51" s="63">
        <v>3000</v>
      </c>
      <c r="K51" s="64">
        <f t="shared" si="1"/>
        <v>300</v>
      </c>
      <c r="L51" s="143">
        <v>10</v>
      </c>
      <c r="M51" s="65">
        <f t="shared" si="32"/>
        <v>2896.4516129032249</v>
      </c>
      <c r="N51" s="65">
        <f t="shared" si="3"/>
        <v>289.64516129032251</v>
      </c>
      <c r="O51" s="66">
        <f t="shared" si="4"/>
        <v>0</v>
      </c>
      <c r="P51" s="67">
        <f t="shared" si="5"/>
        <v>-10.354838709677495</v>
      </c>
      <c r="Q51" s="139">
        <f t="shared" si="6"/>
        <v>0.96548387096774169</v>
      </c>
      <c r="R51" s="529"/>
      <c r="S51" s="68">
        <v>0.35416666666666663</v>
      </c>
      <c r="T51" s="68">
        <v>0.3972222222222222</v>
      </c>
      <c r="U51" s="136">
        <f t="shared" si="34"/>
        <v>5.9999999999999787</v>
      </c>
      <c r="V51" s="144">
        <f t="shared" si="33"/>
        <v>62.000000000000021</v>
      </c>
      <c r="W51" s="69"/>
      <c r="X51" s="69"/>
      <c r="Y51" s="517"/>
      <c r="Z51" s="518"/>
      <c r="AA51" s="66">
        <f t="shared" si="8"/>
        <v>-103.54838709677506</v>
      </c>
      <c r="AB51" s="139">
        <f t="shared" si="9"/>
        <v>0.96548387096774169</v>
      </c>
      <c r="AC51" s="529"/>
    </row>
    <row r="52" spans="1:29" ht="15.75" customHeight="1">
      <c r="A52" s="526" t="s">
        <v>337</v>
      </c>
      <c r="B52" s="62" t="s">
        <v>35</v>
      </c>
      <c r="C52" s="521" t="s">
        <v>84</v>
      </c>
      <c r="D52" s="522"/>
      <c r="E52" s="62">
        <v>31</v>
      </c>
      <c r="F52" s="80">
        <v>4200</v>
      </c>
      <c r="G52" s="136">
        <f t="shared" si="31"/>
        <v>130200</v>
      </c>
      <c r="H52" s="90">
        <v>2</v>
      </c>
      <c r="I52" s="143">
        <v>13</v>
      </c>
      <c r="J52" s="63">
        <v>2000</v>
      </c>
      <c r="K52" s="64">
        <f t="shared" si="1"/>
        <v>153.84615384615384</v>
      </c>
      <c r="L52" s="143">
        <v>13</v>
      </c>
      <c r="M52" s="65">
        <f t="shared" si="32"/>
        <v>1909.090909090909</v>
      </c>
      <c r="N52" s="65">
        <f t="shared" si="3"/>
        <v>146.85314685314685</v>
      </c>
      <c r="O52" s="66">
        <f t="shared" si="4"/>
        <v>0</v>
      </c>
      <c r="P52" s="67">
        <f t="shared" si="5"/>
        <v>-6.9930069930069862</v>
      </c>
      <c r="Q52" s="139">
        <f t="shared" si="6"/>
        <v>0.95454545454545459</v>
      </c>
      <c r="R52" s="529"/>
      <c r="S52" s="68">
        <v>0.40208333333333329</v>
      </c>
      <c r="T52" s="68">
        <v>0.49374999999999997</v>
      </c>
      <c r="U52" s="136">
        <f t="shared" si="34"/>
        <v>6.9999999999999751</v>
      </c>
      <c r="V52" s="144">
        <f t="shared" si="33"/>
        <v>132</v>
      </c>
      <c r="W52" s="69">
        <f>T52</f>
        <v>0.49374999999999997</v>
      </c>
      <c r="X52" s="69">
        <f>S53</f>
        <v>0.5347222222222221</v>
      </c>
      <c r="Y52" s="517"/>
      <c r="Z52" s="518"/>
      <c r="AA52" s="66">
        <f t="shared" si="8"/>
        <v>-90.909090909090992</v>
      </c>
      <c r="AB52" s="139">
        <f t="shared" si="9"/>
        <v>0.95454545454545447</v>
      </c>
      <c r="AC52" s="529"/>
    </row>
    <row r="53" spans="1:29" ht="15.75" customHeight="1">
      <c r="A53" s="526" t="s">
        <v>337</v>
      </c>
      <c r="B53" s="62" t="s">
        <v>35</v>
      </c>
      <c r="C53" s="521" t="s">
        <v>84</v>
      </c>
      <c r="D53" s="522"/>
      <c r="E53" s="62">
        <v>31</v>
      </c>
      <c r="F53" s="80">
        <v>3957</v>
      </c>
      <c r="G53" s="136">
        <f t="shared" si="31"/>
        <v>122667</v>
      </c>
      <c r="H53" s="90" t="s">
        <v>5</v>
      </c>
      <c r="I53" s="143">
        <v>13</v>
      </c>
      <c r="J53" s="63">
        <v>2000</v>
      </c>
      <c r="K53" s="64">
        <f t="shared" si="1"/>
        <v>153.84615384615384</v>
      </c>
      <c r="L53" s="143">
        <v>13</v>
      </c>
      <c r="M53" s="65">
        <f t="shared" si="32"/>
        <v>1914.6774193548381</v>
      </c>
      <c r="N53" s="65">
        <f t="shared" si="3"/>
        <v>147.28287841191062</v>
      </c>
      <c r="O53" s="66">
        <f t="shared" si="4"/>
        <v>0</v>
      </c>
      <c r="P53" s="67">
        <f t="shared" si="5"/>
        <v>-6.5632754342432236</v>
      </c>
      <c r="Q53" s="139">
        <f t="shared" si="6"/>
        <v>0.95733870967741908</v>
      </c>
      <c r="R53" s="529"/>
      <c r="S53" s="68">
        <v>0.5347222222222221</v>
      </c>
      <c r="T53" s="68">
        <v>0.62083333333333324</v>
      </c>
      <c r="U53" s="136">
        <f t="shared" si="34"/>
        <v>58.999999999999872</v>
      </c>
      <c r="V53" s="144">
        <f t="shared" si="33"/>
        <v>124.00000000000004</v>
      </c>
      <c r="W53" s="69"/>
      <c r="X53" s="69"/>
      <c r="Y53" s="517"/>
      <c r="Z53" s="518"/>
      <c r="AA53" s="66">
        <f t="shared" si="8"/>
        <v>-85.322580645161906</v>
      </c>
      <c r="AB53" s="139">
        <f t="shared" si="9"/>
        <v>0.95733870967741908</v>
      </c>
      <c r="AC53" s="529"/>
    </row>
    <row r="54" spans="1:29" ht="15.75" customHeight="1">
      <c r="A54" s="526" t="s">
        <v>337</v>
      </c>
      <c r="B54" s="62" t="s">
        <v>35</v>
      </c>
      <c r="C54" s="521" t="s">
        <v>37</v>
      </c>
      <c r="D54" s="522"/>
      <c r="E54" s="62">
        <v>27.17</v>
      </c>
      <c r="F54" s="80">
        <v>3559</v>
      </c>
      <c r="G54" s="136">
        <f t="shared" si="31"/>
        <v>96698.03</v>
      </c>
      <c r="H54" s="90" t="s">
        <v>5</v>
      </c>
      <c r="I54" s="143">
        <v>10</v>
      </c>
      <c r="J54" s="63">
        <v>3000</v>
      </c>
      <c r="K54" s="64">
        <f t="shared" si="1"/>
        <v>300</v>
      </c>
      <c r="L54" s="143">
        <v>10</v>
      </c>
      <c r="M54" s="65">
        <f t="shared" si="32"/>
        <v>2885.6756756756736</v>
      </c>
      <c r="N54" s="65">
        <f t="shared" si="3"/>
        <v>288.56756756756738</v>
      </c>
      <c r="O54" s="66">
        <f t="shared" si="4"/>
        <v>0</v>
      </c>
      <c r="P54" s="67">
        <f t="shared" si="5"/>
        <v>-11.43243243243262</v>
      </c>
      <c r="Q54" s="139">
        <f t="shared" si="6"/>
        <v>0.96189189189189128</v>
      </c>
      <c r="R54" s="529"/>
      <c r="S54" s="68">
        <v>0.62430555555555545</v>
      </c>
      <c r="T54" s="68">
        <v>0.67569444444444438</v>
      </c>
      <c r="U54" s="136">
        <f t="shared" si="34"/>
        <v>4.9999999999999822</v>
      </c>
      <c r="V54" s="144">
        <f t="shared" si="33"/>
        <v>74.000000000000057</v>
      </c>
      <c r="W54" s="69"/>
      <c r="X54" s="69"/>
      <c r="Y54" s="517"/>
      <c r="Z54" s="518"/>
      <c r="AA54" s="66">
        <f t="shared" si="8"/>
        <v>-114.32432432432643</v>
      </c>
      <c r="AB54" s="139">
        <f t="shared" si="9"/>
        <v>0.96189189189189117</v>
      </c>
      <c r="AC54" s="529"/>
    </row>
    <row r="55" spans="1:29" ht="15.75" customHeight="1">
      <c r="A55" s="526" t="s">
        <v>337</v>
      </c>
      <c r="B55" s="62" t="s">
        <v>35</v>
      </c>
      <c r="C55" s="521" t="s">
        <v>36</v>
      </c>
      <c r="D55" s="522"/>
      <c r="E55" s="62">
        <v>21.13</v>
      </c>
      <c r="F55" s="80">
        <v>1947</v>
      </c>
      <c r="G55" s="136">
        <f t="shared" si="31"/>
        <v>41140.11</v>
      </c>
      <c r="H55" s="90" t="s">
        <v>5</v>
      </c>
      <c r="I55" s="143">
        <v>10</v>
      </c>
      <c r="J55" s="63">
        <v>3000</v>
      </c>
      <c r="K55" s="64">
        <f t="shared" si="1"/>
        <v>300</v>
      </c>
      <c r="L55" s="143">
        <v>10</v>
      </c>
      <c r="M55" s="65">
        <f t="shared" si="32"/>
        <v>2920.4999999999991</v>
      </c>
      <c r="N55" s="65">
        <f t="shared" si="3"/>
        <v>292.0499999999999</v>
      </c>
      <c r="O55" s="66">
        <f t="shared" si="4"/>
        <v>0</v>
      </c>
      <c r="P55" s="67">
        <f t="shared" si="5"/>
        <v>-7.9500000000001023</v>
      </c>
      <c r="Q55" s="139">
        <f t="shared" si="6"/>
        <v>0.9734999999999997</v>
      </c>
      <c r="R55" s="529"/>
      <c r="S55" s="68">
        <v>0.68124999999999991</v>
      </c>
      <c r="T55" s="68">
        <v>0.7090277777777777</v>
      </c>
      <c r="U55" s="136">
        <f t="shared" si="34"/>
        <v>7.9999999999999716</v>
      </c>
      <c r="V55" s="144">
        <f t="shared" si="33"/>
        <v>40.000000000000014</v>
      </c>
      <c r="W55" s="69"/>
      <c r="X55" s="69"/>
      <c r="Y55" s="517"/>
      <c r="Z55" s="518"/>
      <c r="AA55" s="66">
        <f t="shared" si="8"/>
        <v>-79.500000000000909</v>
      </c>
      <c r="AB55" s="139">
        <f t="shared" si="9"/>
        <v>0.9734999999999997</v>
      </c>
      <c r="AC55" s="529"/>
    </row>
    <row r="56" spans="1:29" ht="15.75" customHeight="1">
      <c r="A56" s="526" t="s">
        <v>337</v>
      </c>
      <c r="B56" s="62" t="s">
        <v>35</v>
      </c>
      <c r="C56" s="521" t="s">
        <v>38</v>
      </c>
      <c r="D56" s="522"/>
      <c r="E56" s="62">
        <v>35.119999999999997</v>
      </c>
      <c r="F56" s="80">
        <v>1827</v>
      </c>
      <c r="G56" s="136">
        <f t="shared" si="31"/>
        <v>64164.24</v>
      </c>
      <c r="H56" s="90" t="s">
        <v>5</v>
      </c>
      <c r="I56" s="143">
        <v>10</v>
      </c>
      <c r="J56" s="63">
        <v>3000</v>
      </c>
      <c r="K56" s="64">
        <f t="shared" si="1"/>
        <v>300</v>
      </c>
      <c r="L56" s="143">
        <v>10</v>
      </c>
      <c r="M56" s="65">
        <f t="shared" si="32"/>
        <v>2884.7368421052611</v>
      </c>
      <c r="N56" s="65">
        <f t="shared" si="3"/>
        <v>288.47368421052613</v>
      </c>
      <c r="O56" s="66">
        <f t="shared" si="4"/>
        <v>0</v>
      </c>
      <c r="P56" s="67">
        <f t="shared" si="5"/>
        <v>-11.52631578947387</v>
      </c>
      <c r="Q56" s="139">
        <f t="shared" si="6"/>
        <v>0.96157894736842042</v>
      </c>
      <c r="R56" s="529"/>
      <c r="S56" s="68">
        <v>0.71458333333333324</v>
      </c>
      <c r="T56" s="68">
        <v>0.74097222222222214</v>
      </c>
      <c r="U56" s="136">
        <f t="shared" si="34"/>
        <v>7.9999999999999716</v>
      </c>
      <c r="V56" s="144">
        <f t="shared" si="33"/>
        <v>38.000000000000028</v>
      </c>
      <c r="W56" s="69"/>
      <c r="X56" s="69"/>
      <c r="Y56" s="517"/>
      <c r="Z56" s="518"/>
      <c r="AA56" s="66">
        <f t="shared" si="8"/>
        <v>-115.26315789473892</v>
      </c>
      <c r="AB56" s="139">
        <f t="shared" si="9"/>
        <v>0.96157894736842031</v>
      </c>
      <c r="AC56" s="529"/>
    </row>
    <row r="57" spans="1:29" ht="15.75" customHeight="1">
      <c r="A57" s="527" t="s">
        <v>337</v>
      </c>
      <c r="B57" s="62" t="s">
        <v>79</v>
      </c>
      <c r="C57" s="508"/>
      <c r="D57" s="509"/>
      <c r="E57" s="135"/>
      <c r="F57" s="80"/>
      <c r="G57" s="136"/>
      <c r="H57" s="80"/>
      <c r="I57" s="72">
        <v>10.363636363636363</v>
      </c>
      <c r="J57" s="63">
        <v>2818.181818181818</v>
      </c>
      <c r="K57" s="64">
        <f t="shared" si="1"/>
        <v>271.92982456140351</v>
      </c>
      <c r="L57" s="72">
        <v>10.363636363636363</v>
      </c>
      <c r="M57" s="65">
        <f>AVERAGE(M46:M56)</f>
        <v>2710.8006989109963</v>
      </c>
      <c r="N57" s="64">
        <f t="shared" si="3"/>
        <v>261.56848849141193</v>
      </c>
      <c r="O57" s="66">
        <f t="shared" si="4"/>
        <v>0</v>
      </c>
      <c r="P57" s="67">
        <f t="shared" si="5"/>
        <v>-10.36133606999158</v>
      </c>
      <c r="Q57" s="139">
        <f t="shared" si="6"/>
        <v>0.96189702219422446</v>
      </c>
      <c r="R57" s="530"/>
      <c r="S57" s="68"/>
      <c r="T57" s="68"/>
      <c r="U57" s="136"/>
      <c r="V57" s="144"/>
      <c r="W57" s="69"/>
      <c r="X57" s="69"/>
      <c r="Y57" s="517"/>
      <c r="Z57" s="518"/>
      <c r="AA57" s="66">
        <f t="shared" si="8"/>
        <v>-107.38111927082173</v>
      </c>
      <c r="AB57" s="139">
        <f t="shared" si="9"/>
        <v>0.96189702219422457</v>
      </c>
      <c r="AC57" s="530"/>
    </row>
    <row r="58" spans="1:29" ht="15.75" customHeight="1">
      <c r="A58" s="523" t="s">
        <v>80</v>
      </c>
      <c r="B58" s="62" t="s">
        <v>10</v>
      </c>
      <c r="C58" s="512" t="s">
        <v>41</v>
      </c>
      <c r="D58" s="512"/>
      <c r="E58" s="62">
        <v>46</v>
      </c>
      <c r="F58" s="74">
        <v>2694</v>
      </c>
      <c r="G58" s="136">
        <f t="shared" ref="G58:G63" si="35">E58*F58</f>
        <v>123924</v>
      </c>
      <c r="H58" s="90" t="s">
        <v>5</v>
      </c>
      <c r="I58" s="143">
        <v>17</v>
      </c>
      <c r="J58" s="63">
        <v>2000</v>
      </c>
      <c r="K58" s="64">
        <f t="shared" si="1"/>
        <v>117.64705882352941</v>
      </c>
      <c r="L58" s="143">
        <v>17</v>
      </c>
      <c r="M58" s="65">
        <f t="shared" ref="M58:M63" si="36">F58/V58*60</f>
        <v>1924.2857142857147</v>
      </c>
      <c r="N58" s="65">
        <f t="shared" si="3"/>
        <v>113.19327731092439</v>
      </c>
      <c r="O58" s="66">
        <f t="shared" si="4"/>
        <v>0</v>
      </c>
      <c r="P58" s="67">
        <f t="shared" si="5"/>
        <v>-4.4537815126050191</v>
      </c>
      <c r="Q58" s="139">
        <f t="shared" si="6"/>
        <v>0.9621428571428573</v>
      </c>
      <c r="R58" s="511">
        <f>Q64</f>
        <v>0.95933603035352755</v>
      </c>
      <c r="S58" s="68">
        <v>0.20833333333333334</v>
      </c>
      <c r="T58" s="68">
        <v>0.26666666666666666</v>
      </c>
      <c r="U58" s="73"/>
      <c r="V58" s="144">
        <f t="shared" ref="V58:V63" si="37">(T58-S58)*24*60</f>
        <v>83.999999999999986</v>
      </c>
      <c r="W58" s="73"/>
      <c r="X58" s="73"/>
      <c r="Y58" s="510"/>
      <c r="Z58" s="510"/>
      <c r="AA58" s="66">
        <f t="shared" si="8"/>
        <v>-75.714285714285325</v>
      </c>
      <c r="AB58" s="139">
        <f t="shared" si="9"/>
        <v>0.9621428571428573</v>
      </c>
      <c r="AC58" s="511">
        <f>AB64</f>
        <v>0.95933603035352755</v>
      </c>
    </row>
    <row r="59" spans="1:29" ht="15.75" customHeight="1">
      <c r="A59" s="523" t="s">
        <v>80</v>
      </c>
      <c r="B59" s="62" t="s">
        <v>10</v>
      </c>
      <c r="C59" s="512" t="s">
        <v>42</v>
      </c>
      <c r="D59" s="512"/>
      <c r="E59" s="62">
        <v>46</v>
      </c>
      <c r="F59" s="74">
        <v>2814</v>
      </c>
      <c r="G59" s="136">
        <f t="shared" si="35"/>
        <v>129444</v>
      </c>
      <c r="H59" s="90" t="s">
        <v>5</v>
      </c>
      <c r="I59" s="143">
        <v>17</v>
      </c>
      <c r="J59" s="63">
        <v>2000</v>
      </c>
      <c r="K59" s="64">
        <f t="shared" si="1"/>
        <v>117.64705882352941</v>
      </c>
      <c r="L59" s="143">
        <v>17</v>
      </c>
      <c r="M59" s="65">
        <f t="shared" si="36"/>
        <v>1918.6363636363635</v>
      </c>
      <c r="N59" s="65">
        <f t="shared" si="3"/>
        <v>112.86096256684492</v>
      </c>
      <c r="O59" s="66">
        <f t="shared" si="4"/>
        <v>0</v>
      </c>
      <c r="P59" s="67">
        <f t="shared" si="5"/>
        <v>-4.7860962566844876</v>
      </c>
      <c r="Q59" s="139">
        <f t="shared" si="6"/>
        <v>0.95931818181818185</v>
      </c>
      <c r="R59" s="511"/>
      <c r="S59" s="68">
        <v>0.27083333333333331</v>
      </c>
      <c r="T59" s="68">
        <v>0.33194444444444443</v>
      </c>
      <c r="U59" s="136">
        <f t="shared" ref="U59:U63" si="38">IF(S59=TIME(17,0,0),"",(S59-T58)*24*60)</f>
        <v>5.9999999999999787</v>
      </c>
      <c r="V59" s="144">
        <f t="shared" si="37"/>
        <v>88</v>
      </c>
      <c r="W59" s="69"/>
      <c r="X59" s="69"/>
      <c r="Y59" s="510"/>
      <c r="Z59" s="510"/>
      <c r="AA59" s="66">
        <f t="shared" si="8"/>
        <v>-81.363636363636488</v>
      </c>
      <c r="AB59" s="139">
        <f t="shared" si="9"/>
        <v>0.95931818181818174</v>
      </c>
      <c r="AC59" s="511"/>
    </row>
    <row r="60" spans="1:29" ht="15.75" customHeight="1">
      <c r="A60" s="523" t="s">
        <v>80</v>
      </c>
      <c r="B60" s="62" t="s">
        <v>6</v>
      </c>
      <c r="C60" s="521" t="s">
        <v>43</v>
      </c>
      <c r="D60" s="522"/>
      <c r="E60" s="62">
        <v>55.56</v>
      </c>
      <c r="F60" s="74">
        <v>2245</v>
      </c>
      <c r="G60" s="136">
        <f t="shared" si="35"/>
        <v>124732.20000000001</v>
      </c>
      <c r="H60" s="90" t="s">
        <v>5</v>
      </c>
      <c r="I60" s="143">
        <v>17</v>
      </c>
      <c r="J60" s="63">
        <v>2000</v>
      </c>
      <c r="K60" s="64">
        <f t="shared" si="1"/>
        <v>117.64705882352941</v>
      </c>
      <c r="L60" s="143">
        <v>17</v>
      </c>
      <c r="M60" s="65">
        <f t="shared" si="36"/>
        <v>1924.2857142857124</v>
      </c>
      <c r="N60" s="65">
        <f t="shared" si="3"/>
        <v>113.19327731092426</v>
      </c>
      <c r="O60" s="66">
        <f t="shared" si="4"/>
        <v>0</v>
      </c>
      <c r="P60" s="67">
        <f t="shared" si="5"/>
        <v>-4.453781512605147</v>
      </c>
      <c r="Q60" s="139">
        <f t="shared" si="6"/>
        <v>0.9621428571428563</v>
      </c>
      <c r="R60" s="511"/>
      <c r="S60" s="68">
        <v>0.70833333333333337</v>
      </c>
      <c r="T60" s="68">
        <v>0.75694444444444453</v>
      </c>
      <c r="U60" s="136" t="str">
        <f t="shared" si="38"/>
        <v/>
      </c>
      <c r="V60" s="144">
        <f t="shared" si="37"/>
        <v>70.000000000000071</v>
      </c>
      <c r="W60" s="69"/>
      <c r="X60" s="69"/>
      <c r="Y60" s="137"/>
      <c r="Z60" s="138"/>
      <c r="AA60" s="66">
        <f t="shared" si="8"/>
        <v>-75.714285714287598</v>
      </c>
      <c r="AB60" s="139">
        <f t="shared" si="9"/>
        <v>0.96214285714285619</v>
      </c>
      <c r="AC60" s="511"/>
    </row>
    <row r="61" spans="1:29" ht="15.75" customHeight="1">
      <c r="A61" s="523" t="s">
        <v>80</v>
      </c>
      <c r="B61" s="62" t="s">
        <v>6</v>
      </c>
      <c r="C61" s="141" t="s">
        <v>44</v>
      </c>
      <c r="D61" s="142"/>
      <c r="E61" s="62">
        <v>55.32</v>
      </c>
      <c r="F61" s="74">
        <v>1762</v>
      </c>
      <c r="G61" s="136">
        <f t="shared" si="35"/>
        <v>97473.84</v>
      </c>
      <c r="H61" s="90" t="s">
        <v>5</v>
      </c>
      <c r="I61" s="143">
        <v>15</v>
      </c>
      <c r="J61" s="63">
        <v>2000</v>
      </c>
      <c r="K61" s="64">
        <f t="shared" si="1"/>
        <v>133.33333333333334</v>
      </c>
      <c r="L61" s="143">
        <v>15</v>
      </c>
      <c r="M61" s="65">
        <f t="shared" si="36"/>
        <v>1922.1818181818196</v>
      </c>
      <c r="N61" s="65">
        <f t="shared" si="3"/>
        <v>128.14545454545464</v>
      </c>
      <c r="O61" s="66">
        <f t="shared" si="4"/>
        <v>0</v>
      </c>
      <c r="P61" s="67">
        <f t="shared" si="5"/>
        <v>-5.1878787878787023</v>
      </c>
      <c r="Q61" s="139">
        <f t="shared" si="6"/>
        <v>0.96109090909090977</v>
      </c>
      <c r="R61" s="511"/>
      <c r="S61" s="68">
        <v>0.76111111111111118</v>
      </c>
      <c r="T61" s="68">
        <v>0.7993055555555556</v>
      </c>
      <c r="U61" s="136">
        <f t="shared" si="38"/>
        <v>5.9999999999999787</v>
      </c>
      <c r="V61" s="144">
        <f t="shared" si="37"/>
        <v>54.999999999999964</v>
      </c>
      <c r="W61" s="69"/>
      <c r="X61" s="69"/>
      <c r="Y61" s="137"/>
      <c r="Z61" s="138"/>
      <c r="AA61" s="66">
        <f t="shared" si="8"/>
        <v>-77.818181818180392</v>
      </c>
      <c r="AB61" s="139">
        <f t="shared" si="9"/>
        <v>0.96109090909090977</v>
      </c>
      <c r="AC61" s="511"/>
    </row>
    <row r="62" spans="1:29" ht="15.75" customHeight="1">
      <c r="A62" s="523" t="s">
        <v>80</v>
      </c>
      <c r="B62" s="62" t="s">
        <v>6</v>
      </c>
      <c r="C62" s="141" t="s">
        <v>20</v>
      </c>
      <c r="D62" s="142"/>
      <c r="E62" s="62">
        <v>50.92</v>
      </c>
      <c r="F62" s="74">
        <v>1300</v>
      </c>
      <c r="G62" s="136">
        <f t="shared" si="35"/>
        <v>66196</v>
      </c>
      <c r="H62" s="90">
        <v>2</v>
      </c>
      <c r="I62" s="143">
        <v>15</v>
      </c>
      <c r="J62" s="63">
        <v>2000</v>
      </c>
      <c r="K62" s="64">
        <f t="shared" si="1"/>
        <v>133.33333333333334</v>
      </c>
      <c r="L62" s="143">
        <v>15</v>
      </c>
      <c r="M62" s="65">
        <f t="shared" si="36"/>
        <v>1902.4390243902433</v>
      </c>
      <c r="N62" s="65">
        <f t="shared" si="3"/>
        <v>126.82926829268288</v>
      </c>
      <c r="O62" s="66">
        <f t="shared" si="4"/>
        <v>0</v>
      </c>
      <c r="P62" s="67">
        <f t="shared" si="5"/>
        <v>-6.5040650406504597</v>
      </c>
      <c r="Q62" s="139">
        <f t="shared" si="6"/>
        <v>0.95121951219512157</v>
      </c>
      <c r="R62" s="511"/>
      <c r="S62" s="68">
        <v>0.80277777777777781</v>
      </c>
      <c r="T62" s="68">
        <v>0.83125000000000004</v>
      </c>
      <c r="U62" s="136">
        <f t="shared" si="38"/>
        <v>4.9999999999999822</v>
      </c>
      <c r="V62" s="144">
        <f t="shared" si="37"/>
        <v>41.000000000000014</v>
      </c>
      <c r="W62" s="69">
        <f>T62</f>
        <v>0.83125000000000004</v>
      </c>
      <c r="X62" s="69">
        <f>S63</f>
        <v>0.87013888888888891</v>
      </c>
      <c r="Y62" s="137"/>
      <c r="Z62" s="138"/>
      <c r="AA62" s="66">
        <f t="shared" si="8"/>
        <v>-97.560975609756724</v>
      </c>
      <c r="AB62" s="139">
        <f t="shared" si="9"/>
        <v>0.95121951219512169</v>
      </c>
      <c r="AC62" s="511"/>
    </row>
    <row r="63" spans="1:29" ht="15.75" customHeight="1">
      <c r="A63" s="523" t="s">
        <v>80</v>
      </c>
      <c r="B63" s="62" t="s">
        <v>6</v>
      </c>
      <c r="C63" s="521" t="s">
        <v>82</v>
      </c>
      <c r="D63" s="522"/>
      <c r="E63" s="62">
        <v>57.73</v>
      </c>
      <c r="F63" s="74">
        <v>2689</v>
      </c>
      <c r="G63" s="136">
        <f t="shared" si="35"/>
        <v>155235.97</v>
      </c>
      <c r="H63" s="90" t="s">
        <v>5</v>
      </c>
      <c r="I63" s="143">
        <v>16</v>
      </c>
      <c r="J63" s="63">
        <v>1500</v>
      </c>
      <c r="K63" s="64">
        <f t="shared" si="1"/>
        <v>93.75</v>
      </c>
      <c r="L63" s="143">
        <v>16</v>
      </c>
      <c r="M63" s="65">
        <f t="shared" si="36"/>
        <v>1440.5357142857131</v>
      </c>
      <c r="N63" s="65">
        <f t="shared" si="3"/>
        <v>90.033482142857068</v>
      </c>
      <c r="O63" s="66">
        <f t="shared" si="4"/>
        <v>0</v>
      </c>
      <c r="P63" s="67">
        <f t="shared" si="5"/>
        <v>-3.7165178571429323</v>
      </c>
      <c r="Q63" s="139">
        <f t="shared" si="6"/>
        <v>0.96035714285714202</v>
      </c>
      <c r="R63" s="511"/>
      <c r="S63" s="68">
        <v>0.87013888888888891</v>
      </c>
      <c r="T63" s="68">
        <v>0.94791666666666674</v>
      </c>
      <c r="U63" s="136">
        <f t="shared" si="38"/>
        <v>55.999999999999957</v>
      </c>
      <c r="V63" s="144">
        <f t="shared" si="37"/>
        <v>112.00000000000009</v>
      </c>
      <c r="W63" s="69"/>
      <c r="X63" s="69"/>
      <c r="Y63" s="517"/>
      <c r="Z63" s="518"/>
      <c r="AA63" s="66">
        <f t="shared" si="8"/>
        <v>-59.464285714286916</v>
      </c>
      <c r="AB63" s="139">
        <f t="shared" si="9"/>
        <v>0.96035714285714202</v>
      </c>
      <c r="AC63" s="511"/>
    </row>
    <row r="64" spans="1:29">
      <c r="A64" s="524" t="s">
        <v>80</v>
      </c>
      <c r="B64" s="62" t="s">
        <v>79</v>
      </c>
      <c r="C64" s="513"/>
      <c r="D64" s="513"/>
      <c r="E64" s="140"/>
      <c r="F64" s="71"/>
      <c r="G64" s="64"/>
      <c r="H64" s="80"/>
      <c r="I64" s="72">
        <v>16.166666666666668</v>
      </c>
      <c r="J64" s="63">
        <v>1916.6666666666667</v>
      </c>
      <c r="K64" s="64">
        <f t="shared" si="1"/>
        <v>118.55670103092783</v>
      </c>
      <c r="L64" s="72">
        <v>16.166666666666668</v>
      </c>
      <c r="M64" s="65">
        <f>AVERAGE(M58:M63)</f>
        <v>1838.7273915109279</v>
      </c>
      <c r="N64" s="64">
        <f t="shared" si="3"/>
        <v>113.73571493882027</v>
      </c>
      <c r="O64" s="66">
        <f t="shared" si="4"/>
        <v>0</v>
      </c>
      <c r="P64" s="67">
        <f t="shared" si="5"/>
        <v>-4.8209860921075602</v>
      </c>
      <c r="Q64" s="139">
        <f t="shared" si="6"/>
        <v>0.95933603035352755</v>
      </c>
      <c r="R64" s="511"/>
      <c r="S64" s="75"/>
      <c r="T64" s="68"/>
      <c r="U64" s="64"/>
      <c r="V64" s="144"/>
      <c r="W64" s="64"/>
      <c r="X64" s="64"/>
      <c r="Y64" s="510"/>
      <c r="Z64" s="510"/>
      <c r="AA64" s="66">
        <f t="shared" si="8"/>
        <v>-77.939275155738869</v>
      </c>
      <c r="AB64" s="139">
        <f t="shared" si="9"/>
        <v>0.95933603035352755</v>
      </c>
      <c r="AC64" s="511"/>
    </row>
    <row r="65" spans="1:29" ht="15.75" customHeight="1">
      <c r="A65" s="519" t="s">
        <v>253</v>
      </c>
      <c r="B65" s="80" t="s">
        <v>10</v>
      </c>
      <c r="C65" s="512" t="s">
        <v>46</v>
      </c>
      <c r="D65" s="512"/>
      <c r="E65" s="62">
        <v>26.97</v>
      </c>
      <c r="F65" s="74">
        <v>3264</v>
      </c>
      <c r="G65" s="136">
        <f t="shared" ref="G65:G68" si="39">E65*F65</f>
        <v>88030.080000000002</v>
      </c>
      <c r="H65" s="90" t="s">
        <v>5</v>
      </c>
      <c r="I65" s="143">
        <v>8</v>
      </c>
      <c r="J65" s="63">
        <v>1500</v>
      </c>
      <c r="K65" s="64">
        <f t="shared" si="1"/>
        <v>187.5</v>
      </c>
      <c r="L65" s="143">
        <v>8</v>
      </c>
      <c r="M65" s="65">
        <f t="shared" ref="M65:M68" si="40">F65/V65*60</f>
        <v>1429.4890510948899</v>
      </c>
      <c r="N65" s="64">
        <f t="shared" si="3"/>
        <v>178.68613138686123</v>
      </c>
      <c r="O65" s="66">
        <f t="shared" si="4"/>
        <v>0</v>
      </c>
      <c r="P65" s="67">
        <f t="shared" si="5"/>
        <v>-8.8138686131387658</v>
      </c>
      <c r="Q65" s="139">
        <f t="shared" si="6"/>
        <v>0.95299270072992659</v>
      </c>
      <c r="R65" s="511">
        <f>Q69</f>
        <v>0.95753960972578656</v>
      </c>
      <c r="S65" s="68">
        <v>0.20833333333333334</v>
      </c>
      <c r="T65" s="68">
        <v>0.30347222222222225</v>
      </c>
      <c r="U65" s="136"/>
      <c r="V65" s="144">
        <f t="shared" ref="V65:V68" si="41">(T65-S65)*24*60</f>
        <v>137.00000000000006</v>
      </c>
      <c r="W65" s="73"/>
      <c r="X65" s="73"/>
      <c r="Y65" s="510"/>
      <c r="Z65" s="510"/>
      <c r="AA65" s="66">
        <f t="shared" si="8"/>
        <v>-70.510948905110126</v>
      </c>
      <c r="AB65" s="139">
        <f t="shared" si="9"/>
        <v>0.95299270072992659</v>
      </c>
      <c r="AC65" s="511">
        <f>AB69</f>
        <v>0.95753960972578667</v>
      </c>
    </row>
    <row r="66" spans="1:29" ht="15.75" customHeight="1">
      <c r="A66" s="519" t="s">
        <v>253</v>
      </c>
      <c r="B66" s="80" t="s">
        <v>35</v>
      </c>
      <c r="C66" s="512" t="s">
        <v>45</v>
      </c>
      <c r="D66" s="512"/>
      <c r="E66" s="62">
        <v>26.78</v>
      </c>
      <c r="F66" s="74">
        <v>2837</v>
      </c>
      <c r="G66" s="136">
        <f t="shared" si="39"/>
        <v>75974.86</v>
      </c>
      <c r="H66" s="90" t="s">
        <v>5</v>
      </c>
      <c r="I66" s="143">
        <v>10</v>
      </c>
      <c r="J66" s="63">
        <v>3000</v>
      </c>
      <c r="K66" s="64">
        <f t="shared" si="1"/>
        <v>300</v>
      </c>
      <c r="L66" s="143">
        <v>10</v>
      </c>
      <c r="M66" s="65">
        <f t="shared" si="40"/>
        <v>2885.0847457627106</v>
      </c>
      <c r="N66" s="64">
        <f t="shared" si="3"/>
        <v>288.50847457627106</v>
      </c>
      <c r="O66" s="66">
        <f t="shared" si="4"/>
        <v>0</v>
      </c>
      <c r="P66" s="67">
        <f t="shared" si="5"/>
        <v>-11.491525423728945</v>
      </c>
      <c r="Q66" s="139">
        <f t="shared" si="6"/>
        <v>0.96169491525423689</v>
      </c>
      <c r="R66" s="511"/>
      <c r="S66" s="68">
        <v>0.30763888888888891</v>
      </c>
      <c r="T66" s="68">
        <v>0.34861111111111115</v>
      </c>
      <c r="U66" s="136">
        <f t="shared" ref="U66:U68" si="42">(S66-T65)*24*60</f>
        <v>5.9999999999999787</v>
      </c>
      <c r="V66" s="144">
        <f t="shared" si="41"/>
        <v>59.000000000000028</v>
      </c>
      <c r="W66" s="136"/>
      <c r="X66" s="136"/>
      <c r="Y66" s="510"/>
      <c r="Z66" s="510"/>
      <c r="AA66" s="66">
        <f t="shared" si="8"/>
        <v>-114.91525423728945</v>
      </c>
      <c r="AB66" s="139">
        <f t="shared" si="9"/>
        <v>0.96169491525423689</v>
      </c>
      <c r="AC66" s="511"/>
    </row>
    <row r="67" spans="1:29" ht="15.75" customHeight="1">
      <c r="A67" s="519" t="s">
        <v>253</v>
      </c>
      <c r="B67" s="80" t="s">
        <v>35</v>
      </c>
      <c r="C67" s="512" t="s">
        <v>75</v>
      </c>
      <c r="D67" s="512"/>
      <c r="E67" s="62">
        <v>37.880000000000003</v>
      </c>
      <c r="F67" s="74">
        <v>3644</v>
      </c>
      <c r="G67" s="136">
        <f t="shared" si="39"/>
        <v>138034.72</v>
      </c>
      <c r="H67" s="90" t="s">
        <v>5</v>
      </c>
      <c r="I67" s="143">
        <v>10</v>
      </c>
      <c r="J67" s="63">
        <v>3000</v>
      </c>
      <c r="K67" s="64">
        <f t="shared" si="1"/>
        <v>300</v>
      </c>
      <c r="L67" s="143">
        <v>10</v>
      </c>
      <c r="M67" s="65">
        <f t="shared" si="40"/>
        <v>2876.8421052631593</v>
      </c>
      <c r="N67" s="64">
        <f t="shared" si="3"/>
        <v>287.68421052631595</v>
      </c>
      <c r="O67" s="66">
        <f t="shared" si="4"/>
        <v>0</v>
      </c>
      <c r="P67" s="67">
        <f t="shared" si="5"/>
        <v>-12.315789473684049</v>
      </c>
      <c r="Q67" s="139">
        <f t="shared" si="6"/>
        <v>0.95894736842105321</v>
      </c>
      <c r="R67" s="511"/>
      <c r="S67" s="68">
        <v>0.35347222222222224</v>
      </c>
      <c r="T67" s="68">
        <v>0.40625</v>
      </c>
      <c r="U67" s="136">
        <f t="shared" si="42"/>
        <v>6.9999999999999751</v>
      </c>
      <c r="V67" s="144">
        <f t="shared" si="41"/>
        <v>75.999999999999972</v>
      </c>
      <c r="W67" s="136"/>
      <c r="X67" s="136"/>
      <c r="Y67" s="510"/>
      <c r="Z67" s="510"/>
      <c r="AA67" s="66">
        <f t="shared" si="8"/>
        <v>-123.15789473684072</v>
      </c>
      <c r="AB67" s="139">
        <f t="shared" si="9"/>
        <v>0.9589473684210531</v>
      </c>
      <c r="AC67" s="511"/>
    </row>
    <row r="68" spans="1:29" ht="15.75" customHeight="1">
      <c r="A68" s="519" t="s">
        <v>573</v>
      </c>
      <c r="B68" s="80" t="s">
        <v>35</v>
      </c>
      <c r="C68" s="512" t="s">
        <v>85</v>
      </c>
      <c r="D68" s="512"/>
      <c r="E68" s="62">
        <v>40.51</v>
      </c>
      <c r="F68" s="74">
        <v>3817</v>
      </c>
      <c r="G68" s="136">
        <f t="shared" si="39"/>
        <v>154626.66999999998</v>
      </c>
      <c r="H68" s="90" t="s">
        <v>5</v>
      </c>
      <c r="I68" s="143">
        <v>8</v>
      </c>
      <c r="J68" s="63">
        <v>3000</v>
      </c>
      <c r="K68" s="64">
        <f t="shared" si="1"/>
        <v>375</v>
      </c>
      <c r="L68" s="143">
        <v>8</v>
      </c>
      <c r="M68" s="65">
        <f t="shared" si="40"/>
        <v>2862.7499999999991</v>
      </c>
      <c r="N68" s="64">
        <f t="shared" si="3"/>
        <v>357.84374999999989</v>
      </c>
      <c r="O68" s="66">
        <f t="shared" si="4"/>
        <v>0</v>
      </c>
      <c r="P68" s="67">
        <f t="shared" si="5"/>
        <v>-17.156250000000114</v>
      </c>
      <c r="Q68" s="139">
        <f t="shared" si="6"/>
        <v>0.95424999999999971</v>
      </c>
      <c r="R68" s="511"/>
      <c r="S68" s="68">
        <v>0.40972222222222221</v>
      </c>
      <c r="T68" s="68">
        <v>0.46527777777777779</v>
      </c>
      <c r="U68" s="136">
        <f t="shared" si="42"/>
        <v>4.9999999999999822</v>
      </c>
      <c r="V68" s="144">
        <f t="shared" si="41"/>
        <v>80.000000000000028</v>
      </c>
      <c r="W68" s="136"/>
      <c r="X68" s="136"/>
      <c r="Y68" s="510"/>
      <c r="Z68" s="510"/>
      <c r="AA68" s="66">
        <f t="shared" si="8"/>
        <v>-137.25000000000091</v>
      </c>
      <c r="AB68" s="139">
        <f t="shared" si="9"/>
        <v>0.95424999999999971</v>
      </c>
      <c r="AC68" s="511"/>
    </row>
    <row r="69" spans="1:29">
      <c r="A69" s="520" t="s">
        <v>573</v>
      </c>
      <c r="B69" s="62" t="s">
        <v>79</v>
      </c>
      <c r="C69" s="513"/>
      <c r="D69" s="513"/>
      <c r="E69" s="140"/>
      <c r="F69" s="71"/>
      <c r="G69" s="64"/>
      <c r="H69" s="80"/>
      <c r="I69" s="72">
        <v>9</v>
      </c>
      <c r="J69" s="63">
        <v>2625</v>
      </c>
      <c r="K69" s="64">
        <f t="shared" ref="K69:K80" si="43">J69/I69</f>
        <v>291.66666666666669</v>
      </c>
      <c r="L69" s="72">
        <v>9</v>
      </c>
      <c r="M69" s="65">
        <f>AVERAGE(M65:M68)</f>
        <v>2513.5414755301899</v>
      </c>
      <c r="N69" s="64">
        <f t="shared" ref="N69:N80" si="44">M69/L69</f>
        <v>279.28238617002108</v>
      </c>
      <c r="O69" s="66">
        <f t="shared" ref="O69:O80" si="45">L69-I69</f>
        <v>0</v>
      </c>
      <c r="P69" s="67">
        <f t="shared" ref="P69:P80" si="46">N69-K69</f>
        <v>-12.384280496645601</v>
      </c>
      <c r="Q69" s="139">
        <f t="shared" ref="Q69:Q80" si="47">N69/K69</f>
        <v>0.95753960972578656</v>
      </c>
      <c r="R69" s="511"/>
      <c r="S69" s="68"/>
      <c r="T69" s="68"/>
      <c r="U69" s="64"/>
      <c r="V69" s="144"/>
      <c r="W69" s="64"/>
      <c r="X69" s="64"/>
      <c r="Y69" s="510"/>
      <c r="Z69" s="510"/>
      <c r="AA69" s="66">
        <f t="shared" ref="AA69:AA80" si="48">M69-J69</f>
        <v>-111.45852446981007</v>
      </c>
      <c r="AB69" s="139">
        <f t="shared" ref="AB69:AB80" si="49">M69/J69</f>
        <v>0.95753960972578667</v>
      </c>
      <c r="AC69" s="511"/>
    </row>
    <row r="70" spans="1:29" ht="15.75" customHeight="1">
      <c r="A70" s="514" t="s">
        <v>574</v>
      </c>
      <c r="B70" s="80" t="s">
        <v>16</v>
      </c>
      <c r="C70" s="512" t="s">
        <v>48</v>
      </c>
      <c r="D70" s="512"/>
      <c r="E70" s="62">
        <v>20.2</v>
      </c>
      <c r="F70" s="80">
        <v>2565</v>
      </c>
      <c r="G70" s="136">
        <f t="shared" ref="G70:G79" si="50">E70*F70</f>
        <v>51813</v>
      </c>
      <c r="H70" s="90" t="s">
        <v>5</v>
      </c>
      <c r="I70" s="143">
        <v>19</v>
      </c>
      <c r="J70" s="63">
        <v>2400</v>
      </c>
      <c r="K70" s="64">
        <f t="shared" si="43"/>
        <v>126.31578947368421</v>
      </c>
      <c r="L70" s="143">
        <v>19</v>
      </c>
      <c r="M70" s="65">
        <f t="shared" ref="M70:M79" si="51">F70/V70*60</f>
        <v>2297.0149253731342</v>
      </c>
      <c r="N70" s="64">
        <f t="shared" si="44"/>
        <v>120.8955223880597</v>
      </c>
      <c r="O70" s="66">
        <f t="shared" si="45"/>
        <v>0</v>
      </c>
      <c r="P70" s="67">
        <f t="shared" si="46"/>
        <v>-5.4202670856245021</v>
      </c>
      <c r="Q70" s="139">
        <f t="shared" si="47"/>
        <v>0.95708955223880599</v>
      </c>
      <c r="R70" s="511">
        <f>Q80</f>
        <v>0.9591862879637062</v>
      </c>
      <c r="S70" s="68">
        <v>0.125</v>
      </c>
      <c r="T70" s="68">
        <v>0.17152777777777778</v>
      </c>
      <c r="U70" s="73"/>
      <c r="V70" s="144">
        <f t="shared" ref="V70:V79" si="52">(T70-S70)*24*60</f>
        <v>67</v>
      </c>
      <c r="W70" s="69">
        <f>T70</f>
        <v>0.17152777777777778</v>
      </c>
      <c r="X70" s="69">
        <f>S71</f>
        <v>0.1902777777777778</v>
      </c>
      <c r="Y70" s="510"/>
      <c r="Z70" s="510"/>
      <c r="AA70" s="66">
        <f t="shared" si="48"/>
        <v>-102.98507462686575</v>
      </c>
      <c r="AB70" s="139">
        <f t="shared" si="49"/>
        <v>0.95708955223880599</v>
      </c>
      <c r="AC70" s="511">
        <f>AB80</f>
        <v>0.95918628796370631</v>
      </c>
    </row>
    <row r="71" spans="1:29" ht="15.75" customHeight="1">
      <c r="A71" s="515" t="s">
        <v>163</v>
      </c>
      <c r="B71" s="80" t="s">
        <v>16</v>
      </c>
      <c r="C71" s="512" t="s">
        <v>27</v>
      </c>
      <c r="D71" s="512"/>
      <c r="E71" s="62">
        <v>25.98</v>
      </c>
      <c r="F71" s="80">
        <v>1345</v>
      </c>
      <c r="G71" s="136">
        <f t="shared" si="50"/>
        <v>34943.1</v>
      </c>
      <c r="H71" s="90" t="s">
        <v>5</v>
      </c>
      <c r="I71" s="143">
        <v>17</v>
      </c>
      <c r="J71" s="63">
        <v>2400</v>
      </c>
      <c r="K71" s="64">
        <f t="shared" si="43"/>
        <v>141.1764705882353</v>
      </c>
      <c r="L71" s="143">
        <v>17</v>
      </c>
      <c r="M71" s="65">
        <f t="shared" si="51"/>
        <v>2305.7142857142862</v>
      </c>
      <c r="N71" s="64">
        <f t="shared" si="44"/>
        <v>135.63025210084038</v>
      </c>
      <c r="O71" s="66">
        <f t="shared" si="45"/>
        <v>0</v>
      </c>
      <c r="P71" s="67">
        <f t="shared" si="46"/>
        <v>-5.5462184873949241</v>
      </c>
      <c r="Q71" s="139">
        <f t="shared" si="47"/>
        <v>0.96071428571428596</v>
      </c>
      <c r="R71" s="511"/>
      <c r="S71" s="68">
        <v>0.1902777777777778</v>
      </c>
      <c r="T71" s="68">
        <v>0.21458333333333335</v>
      </c>
      <c r="U71" s="136">
        <f t="shared" ref="U71:U79" si="53">(S71-T70)*24*60</f>
        <v>27.000000000000025</v>
      </c>
      <c r="V71" s="144">
        <f t="shared" si="52"/>
        <v>34.999999999999993</v>
      </c>
      <c r="W71" s="69"/>
      <c r="X71" s="69"/>
      <c r="Y71" s="510"/>
      <c r="Z71" s="510"/>
      <c r="AA71" s="66">
        <f t="shared" si="48"/>
        <v>-94.285714285713766</v>
      </c>
      <c r="AB71" s="139">
        <f t="shared" si="49"/>
        <v>0.96071428571428596</v>
      </c>
      <c r="AC71" s="511"/>
    </row>
    <row r="72" spans="1:29" ht="15.75" customHeight="1">
      <c r="A72" s="515" t="s">
        <v>163</v>
      </c>
      <c r="B72" s="80" t="s">
        <v>16</v>
      </c>
      <c r="C72" s="512" t="s">
        <v>51</v>
      </c>
      <c r="D72" s="512"/>
      <c r="E72" s="62">
        <v>24.25</v>
      </c>
      <c r="F72" s="80">
        <v>2756</v>
      </c>
      <c r="G72" s="136">
        <f t="shared" si="50"/>
        <v>66833</v>
      </c>
      <c r="H72" s="90" t="s">
        <v>5</v>
      </c>
      <c r="I72" s="143">
        <v>17</v>
      </c>
      <c r="J72" s="63">
        <v>2400</v>
      </c>
      <c r="K72" s="64">
        <f t="shared" si="43"/>
        <v>141.1764705882353</v>
      </c>
      <c r="L72" s="143">
        <v>17</v>
      </c>
      <c r="M72" s="65">
        <f t="shared" si="51"/>
        <v>2296.6666666666661</v>
      </c>
      <c r="N72" s="64">
        <f t="shared" si="44"/>
        <v>135.09803921568624</v>
      </c>
      <c r="O72" s="66">
        <f t="shared" si="45"/>
        <v>0</v>
      </c>
      <c r="P72" s="67">
        <f t="shared" si="46"/>
        <v>-6.078431372549062</v>
      </c>
      <c r="Q72" s="139">
        <f t="shared" si="47"/>
        <v>0.95694444444444415</v>
      </c>
      <c r="R72" s="511"/>
      <c r="S72" s="68">
        <v>0.22013888888888891</v>
      </c>
      <c r="T72" s="68">
        <v>0.27013888888888893</v>
      </c>
      <c r="U72" s="136">
        <f t="shared" si="53"/>
        <v>8.0000000000000107</v>
      </c>
      <c r="V72" s="144">
        <f t="shared" si="52"/>
        <v>72.000000000000028</v>
      </c>
      <c r="W72" s="69"/>
      <c r="X72" s="69"/>
      <c r="Y72" s="510"/>
      <c r="Z72" s="510"/>
      <c r="AA72" s="66">
        <f t="shared" si="48"/>
        <v>-103.33333333333394</v>
      </c>
      <c r="AB72" s="139">
        <f t="shared" si="49"/>
        <v>0.95694444444444415</v>
      </c>
      <c r="AC72" s="511"/>
    </row>
    <row r="73" spans="1:29" ht="15.75" customHeight="1">
      <c r="A73" s="515" t="s">
        <v>254</v>
      </c>
      <c r="B73" s="80" t="s">
        <v>16</v>
      </c>
      <c r="C73" s="512" t="s">
        <v>17</v>
      </c>
      <c r="D73" s="512"/>
      <c r="E73" s="62">
        <v>24.45</v>
      </c>
      <c r="F73" s="80">
        <v>2439</v>
      </c>
      <c r="G73" s="136">
        <f t="shared" si="50"/>
        <v>59633.549999999996</v>
      </c>
      <c r="H73" s="90" t="s">
        <v>5</v>
      </c>
      <c r="I73" s="143">
        <v>20</v>
      </c>
      <c r="J73" s="63">
        <v>2400</v>
      </c>
      <c r="K73" s="64">
        <f t="shared" si="43"/>
        <v>120</v>
      </c>
      <c r="L73" s="143">
        <v>20</v>
      </c>
      <c r="M73" s="65">
        <f t="shared" si="51"/>
        <v>2286.5624999999995</v>
      </c>
      <c r="N73" s="64">
        <f t="shared" si="44"/>
        <v>114.32812499999997</v>
      </c>
      <c r="O73" s="66">
        <f t="shared" si="45"/>
        <v>0</v>
      </c>
      <c r="P73" s="67">
        <f t="shared" si="46"/>
        <v>-5.6718750000000284</v>
      </c>
      <c r="Q73" s="139">
        <f t="shared" si="47"/>
        <v>0.9527343749999998</v>
      </c>
      <c r="R73" s="511"/>
      <c r="S73" s="68">
        <v>0.27430555555555558</v>
      </c>
      <c r="T73" s="68">
        <v>0.31875000000000003</v>
      </c>
      <c r="U73" s="136">
        <f t="shared" si="53"/>
        <v>5.9999999999999787</v>
      </c>
      <c r="V73" s="144">
        <f t="shared" si="52"/>
        <v>64.000000000000014</v>
      </c>
      <c r="W73" s="69"/>
      <c r="X73" s="69"/>
      <c r="Y73" s="510"/>
      <c r="Z73" s="510"/>
      <c r="AA73" s="66">
        <f t="shared" si="48"/>
        <v>-113.43750000000045</v>
      </c>
      <c r="AB73" s="139">
        <f t="shared" si="49"/>
        <v>0.9527343749999998</v>
      </c>
      <c r="AC73" s="511"/>
    </row>
    <row r="74" spans="1:29" ht="15.75" customHeight="1">
      <c r="A74" s="515" t="s">
        <v>163</v>
      </c>
      <c r="B74" s="80" t="s">
        <v>16</v>
      </c>
      <c r="C74" s="512" t="s">
        <v>34</v>
      </c>
      <c r="D74" s="512"/>
      <c r="E74" s="62">
        <v>24.25</v>
      </c>
      <c r="F74" s="80">
        <v>2800</v>
      </c>
      <c r="G74" s="136">
        <f t="shared" si="50"/>
        <v>67900</v>
      </c>
      <c r="H74" s="90">
        <v>2</v>
      </c>
      <c r="I74" s="143">
        <v>13</v>
      </c>
      <c r="J74" s="63">
        <v>2400</v>
      </c>
      <c r="K74" s="64">
        <f t="shared" si="43"/>
        <v>184.61538461538461</v>
      </c>
      <c r="L74" s="143">
        <v>13</v>
      </c>
      <c r="M74" s="65">
        <f t="shared" si="51"/>
        <v>2301.3698630136987</v>
      </c>
      <c r="N74" s="64">
        <f t="shared" si="44"/>
        <v>177.02845100105375</v>
      </c>
      <c r="O74" s="66">
        <f t="shared" si="45"/>
        <v>0</v>
      </c>
      <c r="P74" s="67">
        <f t="shared" si="46"/>
        <v>-7.5869336143308601</v>
      </c>
      <c r="Q74" s="139">
        <f t="shared" si="47"/>
        <v>0.95890410958904115</v>
      </c>
      <c r="R74" s="511"/>
      <c r="S74" s="68">
        <v>0.32361111111111113</v>
      </c>
      <c r="T74" s="68">
        <v>0.37430555555555556</v>
      </c>
      <c r="U74" s="136">
        <f t="shared" si="53"/>
        <v>6.9999999999999751</v>
      </c>
      <c r="V74" s="144">
        <f t="shared" si="52"/>
        <v>72.999999999999986</v>
      </c>
      <c r="W74" s="69"/>
      <c r="X74" s="69"/>
      <c r="Y74" s="510"/>
      <c r="Z74" s="510"/>
      <c r="AA74" s="66">
        <f t="shared" si="48"/>
        <v>-98.630136986301295</v>
      </c>
      <c r="AB74" s="139">
        <f t="shared" si="49"/>
        <v>0.95890410958904115</v>
      </c>
      <c r="AC74" s="511"/>
    </row>
    <row r="75" spans="1:29" ht="15.75" customHeight="1">
      <c r="A75" s="515" t="s">
        <v>163</v>
      </c>
      <c r="B75" s="80" t="s">
        <v>16</v>
      </c>
      <c r="C75" s="512" t="s">
        <v>26</v>
      </c>
      <c r="D75" s="512"/>
      <c r="E75" s="62">
        <v>20.52</v>
      </c>
      <c r="F75" s="80">
        <v>2300</v>
      </c>
      <c r="G75" s="136">
        <f t="shared" si="50"/>
        <v>47196</v>
      </c>
      <c r="H75" s="90">
        <v>2</v>
      </c>
      <c r="I75" s="143">
        <v>18</v>
      </c>
      <c r="J75" s="63">
        <v>2400</v>
      </c>
      <c r="K75" s="64">
        <f t="shared" si="43"/>
        <v>133.33333333333334</v>
      </c>
      <c r="L75" s="143">
        <v>18</v>
      </c>
      <c r="M75" s="65">
        <f t="shared" si="51"/>
        <v>2299.9999999999991</v>
      </c>
      <c r="N75" s="64">
        <f t="shared" si="44"/>
        <v>127.77777777777773</v>
      </c>
      <c r="O75" s="66">
        <f t="shared" si="45"/>
        <v>0</v>
      </c>
      <c r="P75" s="67">
        <f t="shared" si="46"/>
        <v>-5.555555555555614</v>
      </c>
      <c r="Q75" s="139">
        <f t="shared" si="47"/>
        <v>0.95833333333333293</v>
      </c>
      <c r="R75" s="511"/>
      <c r="S75" s="68">
        <v>0.37986111111111109</v>
      </c>
      <c r="T75" s="68">
        <v>0.42152777777777778</v>
      </c>
      <c r="U75" s="136">
        <f t="shared" si="53"/>
        <v>7.9999999999999716</v>
      </c>
      <c r="V75" s="144">
        <f t="shared" si="52"/>
        <v>60.000000000000028</v>
      </c>
      <c r="W75" s="69"/>
      <c r="X75" s="69"/>
      <c r="Y75" s="510"/>
      <c r="Z75" s="510"/>
      <c r="AA75" s="66">
        <f t="shared" si="48"/>
        <v>-100.00000000000091</v>
      </c>
      <c r="AB75" s="139">
        <f t="shared" si="49"/>
        <v>0.95833333333333293</v>
      </c>
      <c r="AC75" s="511"/>
    </row>
    <row r="76" spans="1:29" ht="15.75" customHeight="1">
      <c r="A76" s="515" t="s">
        <v>163</v>
      </c>
      <c r="B76" s="80" t="s">
        <v>16</v>
      </c>
      <c r="C76" s="512" t="s">
        <v>49</v>
      </c>
      <c r="D76" s="512"/>
      <c r="E76" s="62">
        <v>19.02</v>
      </c>
      <c r="F76" s="80">
        <v>4500</v>
      </c>
      <c r="G76" s="136">
        <f t="shared" si="50"/>
        <v>85590</v>
      </c>
      <c r="H76" s="90">
        <v>2</v>
      </c>
      <c r="I76" s="143">
        <v>15</v>
      </c>
      <c r="J76" s="63">
        <v>2400</v>
      </c>
      <c r="K76" s="64">
        <f t="shared" si="43"/>
        <v>160</v>
      </c>
      <c r="L76" s="143">
        <v>15</v>
      </c>
      <c r="M76" s="65">
        <f t="shared" si="51"/>
        <v>2288.1355932203396</v>
      </c>
      <c r="N76" s="64">
        <f t="shared" si="44"/>
        <v>152.54237288135599</v>
      </c>
      <c r="O76" s="66">
        <f t="shared" si="45"/>
        <v>0</v>
      </c>
      <c r="P76" s="67">
        <f t="shared" si="46"/>
        <v>-7.4576271186440124</v>
      </c>
      <c r="Q76" s="139">
        <f t="shared" si="47"/>
        <v>0.95338983050847492</v>
      </c>
      <c r="R76" s="511"/>
      <c r="S76" s="68">
        <v>0.42638888888888887</v>
      </c>
      <c r="T76" s="68">
        <v>0.5083333333333333</v>
      </c>
      <c r="U76" s="136">
        <f t="shared" si="53"/>
        <v>6.9999999999999751</v>
      </c>
      <c r="V76" s="144">
        <f t="shared" si="52"/>
        <v>117.99999999999999</v>
      </c>
      <c r="W76" s="69">
        <f>T76</f>
        <v>0.5083333333333333</v>
      </c>
      <c r="X76" s="69">
        <f>S77</f>
        <v>0.55069444444444438</v>
      </c>
      <c r="Y76" s="517"/>
      <c r="Z76" s="518"/>
      <c r="AA76" s="66">
        <f t="shared" si="48"/>
        <v>-111.86440677966038</v>
      </c>
      <c r="AB76" s="139">
        <f t="shared" si="49"/>
        <v>0.95338983050847481</v>
      </c>
      <c r="AC76" s="511"/>
    </row>
    <row r="77" spans="1:29" ht="15.75" customHeight="1">
      <c r="A77" s="515" t="s">
        <v>575</v>
      </c>
      <c r="B77" s="80" t="s">
        <v>16</v>
      </c>
      <c r="C77" s="512" t="s">
        <v>49</v>
      </c>
      <c r="D77" s="512"/>
      <c r="E77" s="62">
        <v>19.02</v>
      </c>
      <c r="F77" s="80">
        <v>5998</v>
      </c>
      <c r="G77" s="136">
        <f t="shared" si="50"/>
        <v>114081.95999999999</v>
      </c>
      <c r="H77" s="90" t="s">
        <v>5</v>
      </c>
      <c r="I77" s="143">
        <v>15</v>
      </c>
      <c r="J77" s="63">
        <v>2400</v>
      </c>
      <c r="K77" s="64">
        <f t="shared" si="43"/>
        <v>160</v>
      </c>
      <c r="L77" s="143">
        <v>15</v>
      </c>
      <c r="M77" s="65">
        <f t="shared" si="51"/>
        <v>2292.2292993630585</v>
      </c>
      <c r="N77" s="64">
        <f t="shared" si="44"/>
        <v>152.81528662420391</v>
      </c>
      <c r="O77" s="66">
        <f t="shared" si="45"/>
        <v>0</v>
      </c>
      <c r="P77" s="67">
        <f t="shared" si="46"/>
        <v>-7.1847133757960933</v>
      </c>
      <c r="Q77" s="139">
        <f t="shared" si="47"/>
        <v>0.95509554140127439</v>
      </c>
      <c r="R77" s="511"/>
      <c r="S77" s="68">
        <v>0.55069444444444438</v>
      </c>
      <c r="T77" s="68">
        <v>0.6597222222222221</v>
      </c>
      <c r="U77" s="136">
        <f t="shared" si="53"/>
        <v>60.999999999999943</v>
      </c>
      <c r="V77" s="144">
        <f t="shared" si="52"/>
        <v>156.99999999999991</v>
      </c>
      <c r="W77" s="69"/>
      <c r="X77" s="69"/>
      <c r="Y77" s="517"/>
      <c r="Z77" s="518"/>
      <c r="AA77" s="66">
        <f t="shared" si="48"/>
        <v>-107.77070063694146</v>
      </c>
      <c r="AB77" s="139">
        <f t="shared" si="49"/>
        <v>0.95509554140127439</v>
      </c>
      <c r="AC77" s="511"/>
    </row>
    <row r="78" spans="1:29" ht="15.75" customHeight="1">
      <c r="A78" s="515" t="s">
        <v>163</v>
      </c>
      <c r="B78" s="80" t="s">
        <v>16</v>
      </c>
      <c r="C78" s="512" t="s">
        <v>34</v>
      </c>
      <c r="D78" s="512"/>
      <c r="E78" s="62">
        <v>24.25</v>
      </c>
      <c r="F78" s="80">
        <v>1099</v>
      </c>
      <c r="G78" s="136">
        <f t="shared" si="50"/>
        <v>26650.75</v>
      </c>
      <c r="H78" s="90" t="s">
        <v>5</v>
      </c>
      <c r="I78" s="143">
        <v>13</v>
      </c>
      <c r="J78" s="63">
        <v>2400</v>
      </c>
      <c r="K78" s="64">
        <f t="shared" si="43"/>
        <v>184.61538461538461</v>
      </c>
      <c r="L78" s="143">
        <v>13</v>
      </c>
      <c r="M78" s="65">
        <f t="shared" si="51"/>
        <v>2354.999999999995</v>
      </c>
      <c r="N78" s="64">
        <f t="shared" si="44"/>
        <v>181.15384615384576</v>
      </c>
      <c r="O78" s="66">
        <f t="shared" si="45"/>
        <v>0</v>
      </c>
      <c r="P78" s="67">
        <f t="shared" si="46"/>
        <v>-3.4615384615388507</v>
      </c>
      <c r="Q78" s="139">
        <f t="shared" si="47"/>
        <v>0.98124999999999785</v>
      </c>
      <c r="R78" s="511"/>
      <c r="S78" s="68">
        <v>0.66458333333333319</v>
      </c>
      <c r="T78" s="68">
        <v>0.68402777777777768</v>
      </c>
      <c r="U78" s="136">
        <f t="shared" si="53"/>
        <v>6.9999999999999751</v>
      </c>
      <c r="V78" s="144">
        <f t="shared" si="52"/>
        <v>28.00000000000006</v>
      </c>
      <c r="W78" s="69"/>
      <c r="X78" s="69"/>
      <c r="Y78" s="517"/>
      <c r="Z78" s="518"/>
      <c r="AA78" s="66">
        <f t="shared" si="48"/>
        <v>-45.000000000005002</v>
      </c>
      <c r="AB78" s="139">
        <f t="shared" si="49"/>
        <v>0.98124999999999796</v>
      </c>
      <c r="AC78" s="511"/>
    </row>
    <row r="79" spans="1:29" ht="15.75" customHeight="1">
      <c r="A79" s="515" t="s">
        <v>163</v>
      </c>
      <c r="B79" s="80" t="s">
        <v>16</v>
      </c>
      <c r="C79" s="512" t="s">
        <v>26</v>
      </c>
      <c r="D79" s="512"/>
      <c r="E79" s="62">
        <v>20.52</v>
      </c>
      <c r="F79" s="80">
        <v>1034</v>
      </c>
      <c r="G79" s="136">
        <f t="shared" si="50"/>
        <v>21217.68</v>
      </c>
      <c r="H79" s="90" t="s">
        <v>5</v>
      </c>
      <c r="I79" s="143">
        <v>18</v>
      </c>
      <c r="J79" s="63">
        <v>2400</v>
      </c>
      <c r="K79" s="64">
        <f t="shared" si="43"/>
        <v>133.33333333333334</v>
      </c>
      <c r="L79" s="143">
        <v>18</v>
      </c>
      <c r="M79" s="65">
        <f t="shared" si="51"/>
        <v>2297.7777777777724</v>
      </c>
      <c r="N79" s="64">
        <f t="shared" si="44"/>
        <v>127.65432098765402</v>
      </c>
      <c r="O79" s="66">
        <f t="shared" si="45"/>
        <v>0</v>
      </c>
      <c r="P79" s="67">
        <f t="shared" si="46"/>
        <v>-5.6790123456793253</v>
      </c>
      <c r="Q79" s="139">
        <f t="shared" si="47"/>
        <v>0.95740740740740504</v>
      </c>
      <c r="R79" s="511"/>
      <c r="S79" s="68">
        <v>0.68749999999999989</v>
      </c>
      <c r="T79" s="68">
        <v>0.70624999999999993</v>
      </c>
      <c r="U79" s="136">
        <f t="shared" si="53"/>
        <v>4.9999999999999822</v>
      </c>
      <c r="V79" s="144">
        <f t="shared" si="52"/>
        <v>27.000000000000064</v>
      </c>
      <c r="W79" s="69"/>
      <c r="X79" s="69"/>
      <c r="Y79" s="517"/>
      <c r="Z79" s="518"/>
      <c r="AA79" s="66">
        <f t="shared" si="48"/>
        <v>-102.22222222222763</v>
      </c>
      <c r="AB79" s="139">
        <f t="shared" si="49"/>
        <v>0.95740740740740515</v>
      </c>
      <c r="AC79" s="511"/>
    </row>
    <row r="80" spans="1:29" ht="16.5" customHeight="1">
      <c r="A80" s="516" t="s">
        <v>163</v>
      </c>
      <c r="B80" s="62" t="s">
        <v>79</v>
      </c>
      <c r="C80" s="508"/>
      <c r="D80" s="509"/>
      <c r="E80" s="140"/>
      <c r="F80" s="71"/>
      <c r="G80" s="64"/>
      <c r="H80" s="80"/>
      <c r="I80" s="72">
        <v>16.5</v>
      </c>
      <c r="J80" s="63">
        <v>2400</v>
      </c>
      <c r="K80" s="64">
        <f t="shared" si="43"/>
        <v>145.45454545454547</v>
      </c>
      <c r="L80" s="72">
        <v>16.5</v>
      </c>
      <c r="M80" s="65">
        <f>AVERAGE(M70:M79)</f>
        <v>2302.047091112895</v>
      </c>
      <c r="N80" s="64">
        <f t="shared" si="44"/>
        <v>139.51800552199364</v>
      </c>
      <c r="O80" s="66">
        <f t="shared" si="45"/>
        <v>0</v>
      </c>
      <c r="P80" s="67">
        <f t="shared" si="46"/>
        <v>-5.936539932551824</v>
      </c>
      <c r="Q80" s="139">
        <f t="shared" si="47"/>
        <v>0.9591862879637062</v>
      </c>
      <c r="R80" s="511"/>
      <c r="S80" s="68"/>
      <c r="T80" s="68"/>
      <c r="U80" s="64"/>
      <c r="V80" s="144"/>
      <c r="W80" s="64"/>
      <c r="X80" s="64"/>
      <c r="Y80" s="510"/>
      <c r="Z80" s="510"/>
      <c r="AA80" s="66">
        <f t="shared" si="48"/>
        <v>-97.952908887104968</v>
      </c>
      <c r="AB80" s="139">
        <f t="shared" si="49"/>
        <v>0.95918628796370631</v>
      </c>
      <c r="AC80" s="511"/>
    </row>
    <row r="81" spans="4:5">
      <c r="D81" s="76"/>
      <c r="E81" s="76"/>
    </row>
  </sheetData>
  <mergeCells count="207">
    <mergeCell ref="AC70:AC80"/>
    <mergeCell ref="C71:D71"/>
    <mergeCell ref="Y71:Z71"/>
    <mergeCell ref="C72:D72"/>
    <mergeCell ref="Y72:Z72"/>
    <mergeCell ref="C73:D73"/>
    <mergeCell ref="C80:D80"/>
    <mergeCell ref="Y80:Z80"/>
    <mergeCell ref="C77:D77"/>
    <mergeCell ref="Y77:Z77"/>
    <mergeCell ref="C78:D78"/>
    <mergeCell ref="Y78:Z78"/>
    <mergeCell ref="C79:D79"/>
    <mergeCell ref="Y79:Z79"/>
    <mergeCell ref="Y73:Z73"/>
    <mergeCell ref="C74:D74"/>
    <mergeCell ref="Y74:Z74"/>
    <mergeCell ref="C75:D75"/>
    <mergeCell ref="Y75:Z75"/>
    <mergeCell ref="C76:D76"/>
    <mergeCell ref="A65:A69"/>
    <mergeCell ref="C65:D65"/>
    <mergeCell ref="R65:R69"/>
    <mergeCell ref="Y65:Z65"/>
    <mergeCell ref="A58:A64"/>
    <mergeCell ref="C58:D58"/>
    <mergeCell ref="R58:R64"/>
    <mergeCell ref="Y58:Z58"/>
    <mergeCell ref="Y76:Z76"/>
    <mergeCell ref="A70:A80"/>
    <mergeCell ref="C70:D70"/>
    <mergeCell ref="R70:R80"/>
    <mergeCell ref="Y70:Z70"/>
    <mergeCell ref="AC65:AC69"/>
    <mergeCell ref="C66:D66"/>
    <mergeCell ref="Y66:Z66"/>
    <mergeCell ref="C67:D67"/>
    <mergeCell ref="Y67:Z67"/>
    <mergeCell ref="C68:D68"/>
    <mergeCell ref="Y68:Z68"/>
    <mergeCell ref="C69:D69"/>
    <mergeCell ref="Y69:Z69"/>
    <mergeCell ref="AC58:AC64"/>
    <mergeCell ref="C59:D59"/>
    <mergeCell ref="Y59:Z59"/>
    <mergeCell ref="C60:D60"/>
    <mergeCell ref="C63:D63"/>
    <mergeCell ref="Y63:Z63"/>
    <mergeCell ref="C55:D55"/>
    <mergeCell ref="Y55:Z55"/>
    <mergeCell ref="C56:D56"/>
    <mergeCell ref="Y56:Z56"/>
    <mergeCell ref="C57:D57"/>
    <mergeCell ref="Y57:Z57"/>
    <mergeCell ref="C64:D64"/>
    <mergeCell ref="Y64:Z64"/>
    <mergeCell ref="AC46:AC57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A46:A57"/>
    <mergeCell ref="C46:D46"/>
    <mergeCell ref="R46:R57"/>
    <mergeCell ref="Y46:Z46"/>
    <mergeCell ref="Y51:Z51"/>
    <mergeCell ref="C52:D52"/>
    <mergeCell ref="Y52:Z52"/>
    <mergeCell ref="C53:D53"/>
    <mergeCell ref="Y53:Z53"/>
    <mergeCell ref="C54:D54"/>
    <mergeCell ref="Y54:Z54"/>
    <mergeCell ref="AC37:AC45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Y43:Z43"/>
    <mergeCell ref="C44:D44"/>
    <mergeCell ref="Y44:Z44"/>
    <mergeCell ref="C45:D45"/>
    <mergeCell ref="Y45:Z45"/>
    <mergeCell ref="A28:A36"/>
    <mergeCell ref="C28:D28"/>
    <mergeCell ref="R28:R36"/>
    <mergeCell ref="Y28:Z28"/>
    <mergeCell ref="C35:D35"/>
    <mergeCell ref="Y35:Z35"/>
    <mergeCell ref="C36:D36"/>
    <mergeCell ref="Y36:Z36"/>
    <mergeCell ref="A37:A45"/>
    <mergeCell ref="C37:D37"/>
    <mergeCell ref="R37:R45"/>
    <mergeCell ref="Y37:Z37"/>
    <mergeCell ref="Y42:Z42"/>
    <mergeCell ref="C43:D43"/>
    <mergeCell ref="AC28:AC36"/>
    <mergeCell ref="C29:D29"/>
    <mergeCell ref="Y29:Z29"/>
    <mergeCell ref="C30:D30"/>
    <mergeCell ref="Y30:Z30"/>
    <mergeCell ref="C31:D31"/>
    <mergeCell ref="Y24:Z24"/>
    <mergeCell ref="C25:D25"/>
    <mergeCell ref="Y25:Z25"/>
    <mergeCell ref="C26:D26"/>
    <mergeCell ref="Y26:Z26"/>
    <mergeCell ref="C27:D27"/>
    <mergeCell ref="Y27:Z27"/>
    <mergeCell ref="Y31:Z31"/>
    <mergeCell ref="C32:D32"/>
    <mergeCell ref="Y32:Z32"/>
    <mergeCell ref="C33:D33"/>
    <mergeCell ref="Y33:Z33"/>
    <mergeCell ref="C34:D34"/>
    <mergeCell ref="Y34:Z34"/>
    <mergeCell ref="A21:A27"/>
    <mergeCell ref="C21:D21"/>
    <mergeCell ref="R21:R27"/>
    <mergeCell ref="Y21:Z21"/>
    <mergeCell ref="AC21:AC27"/>
    <mergeCell ref="C22:D22"/>
    <mergeCell ref="Y22:Z22"/>
    <mergeCell ref="C23:D23"/>
    <mergeCell ref="Y23:Z23"/>
    <mergeCell ref="C24:D24"/>
    <mergeCell ref="AC10:AC12"/>
    <mergeCell ref="C11:D11"/>
    <mergeCell ref="Y11:Z11"/>
    <mergeCell ref="C12:D12"/>
    <mergeCell ref="Y12:Z12"/>
    <mergeCell ref="A13:A20"/>
    <mergeCell ref="C13:D13"/>
    <mergeCell ref="R13:R20"/>
    <mergeCell ref="Y13:Z13"/>
    <mergeCell ref="AC13:AC20"/>
    <mergeCell ref="C17:D17"/>
    <mergeCell ref="Y17:Z17"/>
    <mergeCell ref="C18:D18"/>
    <mergeCell ref="Y18:Z18"/>
    <mergeCell ref="Y19:Z19"/>
    <mergeCell ref="C20:D20"/>
    <mergeCell ref="Y20:Z20"/>
    <mergeCell ref="C14:D14"/>
    <mergeCell ref="Y14:Z14"/>
    <mergeCell ref="C15:D15"/>
    <mergeCell ref="Y15:Z15"/>
    <mergeCell ref="C16:D16"/>
    <mergeCell ref="Y16:Z16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8:O75 O80 O5:O10 O12:O14 O57:O65 O20:O51">
    <cfRule type="cellIs" dxfId="605" priority="91" operator="greaterThan">
      <formula>0</formula>
    </cfRule>
  </conditionalFormatting>
  <conditionalFormatting sqref="P5:P8 P68 AA68 P70:P75 P28:P35 P65 P10 P12:P14 P21:P26 P58:P63 P37:P51 AA5:AA65 AA70:AA80">
    <cfRule type="cellIs" dxfId="604" priority="95" operator="lessThan">
      <formula>0</formula>
    </cfRule>
  </conditionalFormatting>
  <conditionalFormatting sqref="AB68 Q68:Q75 Q80 Q5:Q10 Q12:Q14 Q57:Q65 Q20:Q51 AB5:AB65 AB70:AB80">
    <cfRule type="cellIs" dxfId="603" priority="92" operator="greaterThan">
      <formula>1</formula>
    </cfRule>
    <cfRule type="cellIs" dxfId="602" priority="93" operator="lessThan">
      <formula>0.8</formula>
    </cfRule>
  </conditionalFormatting>
  <conditionalFormatting sqref="AC13:AC14 R13:R14 AC68 R68:R75 R80 AC5:AC10 R5:R10 R20:R51 AC20:AC51 AC57:AC65 R57:R65">
    <cfRule type="cellIs" dxfId="601" priority="97" operator="lessThan">
      <formula>0.8</formula>
    </cfRule>
  </conditionalFormatting>
  <conditionalFormatting sqref="AC46">
    <cfRule type="cellIs" dxfId="600" priority="99" operator="lessThan">
      <formula>0.8</formula>
    </cfRule>
  </conditionalFormatting>
  <conditionalFormatting sqref="AC21:AC26">
    <cfRule type="cellIs" dxfId="599" priority="96" operator="lessThan">
      <formula>0.8</formula>
    </cfRule>
  </conditionalFormatting>
  <conditionalFormatting sqref="AC28">
    <cfRule type="cellIs" dxfId="598" priority="98" operator="lessThan">
      <formula>0.8</formula>
    </cfRule>
  </conditionalFormatting>
  <conditionalFormatting sqref="AC37:AC44">
    <cfRule type="cellIs" dxfId="597" priority="94" operator="lessThan">
      <formula>0.8</formula>
    </cfRule>
  </conditionalFormatting>
  <conditionalFormatting sqref="AA69">
    <cfRule type="cellIs" dxfId="596" priority="90" operator="lessThan">
      <formula>0</formula>
    </cfRule>
  </conditionalFormatting>
  <conditionalFormatting sqref="AB69">
    <cfRule type="cellIs" dxfId="595" priority="88" operator="greaterThan">
      <formula>1</formula>
    </cfRule>
    <cfRule type="cellIs" dxfId="594" priority="89" operator="lessThan">
      <formula>0.8</formula>
    </cfRule>
  </conditionalFormatting>
  <conditionalFormatting sqref="O15:O16">
    <cfRule type="cellIs" dxfId="593" priority="83" operator="greaterThan">
      <formula>0</formula>
    </cfRule>
  </conditionalFormatting>
  <conditionalFormatting sqref="P15:P16">
    <cfRule type="cellIs" dxfId="592" priority="86" operator="lessThan">
      <formula>0</formula>
    </cfRule>
  </conditionalFormatting>
  <conditionalFormatting sqref="Q15:Q16">
    <cfRule type="cellIs" dxfId="591" priority="84" operator="greaterThan">
      <formula>1</formula>
    </cfRule>
    <cfRule type="cellIs" dxfId="590" priority="85" operator="lessThan">
      <formula>0.8</formula>
    </cfRule>
  </conditionalFormatting>
  <conditionalFormatting sqref="R15:R16 AC15:AC16">
    <cfRule type="cellIs" dxfId="589" priority="87" operator="lessThan">
      <formula>0.8</formula>
    </cfRule>
  </conditionalFormatting>
  <conditionalFormatting sqref="O11">
    <cfRule type="cellIs" dxfId="588" priority="79" operator="greaterThan">
      <formula>0</formula>
    </cfRule>
  </conditionalFormatting>
  <conditionalFormatting sqref="P11">
    <cfRule type="cellIs" dxfId="587" priority="82" operator="lessThan">
      <formula>0</formula>
    </cfRule>
  </conditionalFormatting>
  <conditionalFormatting sqref="Q11">
    <cfRule type="cellIs" dxfId="586" priority="80" operator="greaterThan">
      <formula>1</formula>
    </cfRule>
    <cfRule type="cellIs" dxfId="585" priority="81" operator="lessThan">
      <formula>0.8</formula>
    </cfRule>
  </conditionalFormatting>
  <conditionalFormatting sqref="O67">
    <cfRule type="cellIs" dxfId="584" priority="74" operator="greaterThan">
      <formula>0</formula>
    </cfRule>
  </conditionalFormatting>
  <conditionalFormatting sqref="P67 AA67">
    <cfRule type="cellIs" dxfId="583" priority="77" operator="lessThan">
      <formula>0</formula>
    </cfRule>
  </conditionalFormatting>
  <conditionalFormatting sqref="Q67 AB67">
    <cfRule type="cellIs" dxfId="582" priority="75" operator="greaterThan">
      <formula>1</formula>
    </cfRule>
    <cfRule type="cellIs" dxfId="581" priority="76" operator="lessThan">
      <formula>0.8</formula>
    </cfRule>
  </conditionalFormatting>
  <conditionalFormatting sqref="R67 AC67">
    <cfRule type="cellIs" dxfId="580" priority="78" operator="lessThan">
      <formula>0.8</formula>
    </cfRule>
  </conditionalFormatting>
  <conditionalFormatting sqref="O76">
    <cfRule type="cellIs" dxfId="579" priority="69" operator="greaterThan">
      <formula>0</formula>
    </cfRule>
  </conditionalFormatting>
  <conditionalFormatting sqref="P76">
    <cfRule type="cellIs" dxfId="578" priority="72" operator="lessThan">
      <formula>0</formula>
    </cfRule>
  </conditionalFormatting>
  <conditionalFormatting sqref="Q76">
    <cfRule type="cellIs" dxfId="577" priority="70" operator="greaterThan">
      <formula>1</formula>
    </cfRule>
    <cfRule type="cellIs" dxfId="576" priority="71" operator="lessThan">
      <formula>0.8</formula>
    </cfRule>
  </conditionalFormatting>
  <conditionalFormatting sqref="R76">
    <cfRule type="cellIs" dxfId="575" priority="73" operator="lessThan">
      <formula>0.8</formula>
    </cfRule>
  </conditionalFormatting>
  <conditionalFormatting sqref="O17:O18">
    <cfRule type="cellIs" dxfId="574" priority="64" operator="greaterThan">
      <formula>0</formula>
    </cfRule>
  </conditionalFormatting>
  <conditionalFormatting sqref="P17:P18">
    <cfRule type="cellIs" dxfId="573" priority="67" operator="lessThan">
      <formula>0</formula>
    </cfRule>
  </conditionalFormatting>
  <conditionalFormatting sqref="Q17:Q18">
    <cfRule type="cellIs" dxfId="572" priority="65" operator="greaterThan">
      <formula>1</formula>
    </cfRule>
    <cfRule type="cellIs" dxfId="571" priority="66" operator="lessThan">
      <formula>0.8</formula>
    </cfRule>
  </conditionalFormatting>
  <conditionalFormatting sqref="R17:R18 AC17:AC18">
    <cfRule type="cellIs" dxfId="570" priority="68" operator="lessThan">
      <formula>0.8</formula>
    </cfRule>
  </conditionalFormatting>
  <conditionalFormatting sqref="O52">
    <cfRule type="cellIs" dxfId="569" priority="58" operator="greaterThan">
      <formula>0</formula>
    </cfRule>
  </conditionalFormatting>
  <conditionalFormatting sqref="P52">
    <cfRule type="cellIs" dxfId="568" priority="62" operator="lessThan">
      <formula>0</formula>
    </cfRule>
  </conditionalFormatting>
  <conditionalFormatting sqref="Q52">
    <cfRule type="cellIs" dxfId="567" priority="59" operator="greaterThan">
      <formula>1</formula>
    </cfRule>
    <cfRule type="cellIs" dxfId="566" priority="60" operator="lessThan">
      <formula>0.8</formula>
    </cfRule>
  </conditionalFormatting>
  <conditionalFormatting sqref="R52 AC52">
    <cfRule type="cellIs" dxfId="565" priority="63" operator="lessThan">
      <formula>0.8</formula>
    </cfRule>
  </conditionalFormatting>
  <conditionalFormatting sqref="AC52">
    <cfRule type="cellIs" dxfId="564" priority="61" operator="lessThan">
      <formula>0.8</formula>
    </cfRule>
  </conditionalFormatting>
  <conditionalFormatting sqref="O53">
    <cfRule type="cellIs" dxfId="563" priority="52" operator="greaterThan">
      <formula>0</formula>
    </cfRule>
  </conditionalFormatting>
  <conditionalFormatting sqref="P53">
    <cfRule type="cellIs" dxfId="562" priority="56" operator="lessThan">
      <formula>0</formula>
    </cfRule>
  </conditionalFormatting>
  <conditionalFormatting sqref="Q53">
    <cfRule type="cellIs" dxfId="561" priority="53" operator="greaterThan">
      <formula>1</formula>
    </cfRule>
    <cfRule type="cellIs" dxfId="560" priority="54" operator="lessThan">
      <formula>0.8</formula>
    </cfRule>
  </conditionalFormatting>
  <conditionalFormatting sqref="R53 AC53">
    <cfRule type="cellIs" dxfId="559" priority="57" operator="lessThan">
      <formula>0.8</formula>
    </cfRule>
  </conditionalFormatting>
  <conditionalFormatting sqref="AC53">
    <cfRule type="cellIs" dxfId="558" priority="55" operator="lessThan">
      <formula>0.8</formula>
    </cfRule>
  </conditionalFormatting>
  <conditionalFormatting sqref="O54">
    <cfRule type="cellIs" dxfId="557" priority="46" operator="greaterThan">
      <formula>0</formula>
    </cfRule>
  </conditionalFormatting>
  <conditionalFormatting sqref="P54">
    <cfRule type="cellIs" dxfId="556" priority="50" operator="lessThan">
      <formula>0</formula>
    </cfRule>
  </conditionalFormatting>
  <conditionalFormatting sqref="Q54">
    <cfRule type="cellIs" dxfId="555" priority="47" operator="greaterThan">
      <formula>1</formula>
    </cfRule>
    <cfRule type="cellIs" dxfId="554" priority="48" operator="lessThan">
      <formula>0.8</formula>
    </cfRule>
  </conditionalFormatting>
  <conditionalFormatting sqref="R54 AC54">
    <cfRule type="cellIs" dxfId="553" priority="51" operator="lessThan">
      <formula>0.8</formula>
    </cfRule>
  </conditionalFormatting>
  <conditionalFormatting sqref="AC54">
    <cfRule type="cellIs" dxfId="552" priority="49" operator="lessThan">
      <formula>0.8</formula>
    </cfRule>
  </conditionalFormatting>
  <conditionalFormatting sqref="O55">
    <cfRule type="cellIs" dxfId="551" priority="40" operator="greaterThan">
      <formula>0</formula>
    </cfRule>
  </conditionalFormatting>
  <conditionalFormatting sqref="P55">
    <cfRule type="cellIs" dxfId="550" priority="44" operator="lessThan">
      <formula>0</formula>
    </cfRule>
  </conditionalFormatting>
  <conditionalFormatting sqref="Q55">
    <cfRule type="cellIs" dxfId="549" priority="41" operator="greaterThan">
      <formula>1</formula>
    </cfRule>
    <cfRule type="cellIs" dxfId="548" priority="42" operator="lessThan">
      <formula>0.8</formula>
    </cfRule>
  </conditionalFormatting>
  <conditionalFormatting sqref="R55 AC55">
    <cfRule type="cellIs" dxfId="547" priority="45" operator="lessThan">
      <formula>0.8</formula>
    </cfRule>
  </conditionalFormatting>
  <conditionalFormatting sqref="AC55">
    <cfRule type="cellIs" dxfId="546" priority="43" operator="lessThan">
      <formula>0.8</formula>
    </cfRule>
  </conditionalFormatting>
  <conditionalFormatting sqref="O56">
    <cfRule type="cellIs" dxfId="545" priority="34" operator="greaterThan">
      <formula>0</formula>
    </cfRule>
  </conditionalFormatting>
  <conditionalFormatting sqref="P56">
    <cfRule type="cellIs" dxfId="544" priority="38" operator="lessThan">
      <formula>0</formula>
    </cfRule>
  </conditionalFormatting>
  <conditionalFormatting sqref="Q56">
    <cfRule type="cellIs" dxfId="543" priority="35" operator="greaterThan">
      <formula>1</formula>
    </cfRule>
    <cfRule type="cellIs" dxfId="542" priority="36" operator="lessThan">
      <formula>0.8</formula>
    </cfRule>
  </conditionalFormatting>
  <conditionalFormatting sqref="R56 AC56">
    <cfRule type="cellIs" dxfId="541" priority="39" operator="lessThan">
      <formula>0.8</formula>
    </cfRule>
  </conditionalFormatting>
  <conditionalFormatting sqref="AC56">
    <cfRule type="cellIs" dxfId="540" priority="37" operator="lessThan">
      <formula>0.8</formula>
    </cfRule>
  </conditionalFormatting>
  <conditionalFormatting sqref="O66">
    <cfRule type="cellIs" dxfId="539" priority="29" operator="greaterThan">
      <formula>0</formula>
    </cfRule>
  </conditionalFormatting>
  <conditionalFormatting sqref="P66 AA66">
    <cfRule type="cellIs" dxfId="538" priority="32" operator="lessThan">
      <formula>0</formula>
    </cfRule>
  </conditionalFormatting>
  <conditionalFormatting sqref="Q66 AB66">
    <cfRule type="cellIs" dxfId="537" priority="30" operator="greaterThan">
      <formula>1</formula>
    </cfRule>
    <cfRule type="cellIs" dxfId="536" priority="31" operator="lessThan">
      <formula>0.8</formula>
    </cfRule>
  </conditionalFormatting>
  <conditionalFormatting sqref="R66 AC66">
    <cfRule type="cellIs" dxfId="535" priority="33" operator="lessThan">
      <formula>0.8</formula>
    </cfRule>
  </conditionalFormatting>
  <conditionalFormatting sqref="O19">
    <cfRule type="cellIs" dxfId="534" priority="24" operator="greaterThan">
      <formula>0</formula>
    </cfRule>
  </conditionalFormatting>
  <conditionalFormatting sqref="P19">
    <cfRule type="cellIs" dxfId="533" priority="27" operator="lessThan">
      <formula>0</formula>
    </cfRule>
  </conditionalFormatting>
  <conditionalFormatting sqref="Q19">
    <cfRule type="cellIs" dxfId="532" priority="25" operator="greaterThan">
      <formula>1</formula>
    </cfRule>
    <cfRule type="cellIs" dxfId="531" priority="26" operator="lessThan">
      <formula>0.8</formula>
    </cfRule>
  </conditionalFormatting>
  <conditionalFormatting sqref="AC19 R19">
    <cfRule type="cellIs" dxfId="530" priority="28" operator="lessThan">
      <formula>0.8</formula>
    </cfRule>
  </conditionalFormatting>
  <conditionalFormatting sqref="P9">
    <cfRule type="cellIs" dxfId="529" priority="23" operator="lessThan">
      <formula>0</formula>
    </cfRule>
  </conditionalFormatting>
  <conditionalFormatting sqref="P20">
    <cfRule type="cellIs" dxfId="528" priority="22" operator="lessThan">
      <formula>0</formula>
    </cfRule>
  </conditionalFormatting>
  <conditionalFormatting sqref="P27">
    <cfRule type="cellIs" dxfId="527" priority="21" operator="lessThan">
      <formula>0</formula>
    </cfRule>
  </conditionalFormatting>
  <conditionalFormatting sqref="P36">
    <cfRule type="cellIs" dxfId="526" priority="20" operator="lessThan">
      <formula>0</formula>
    </cfRule>
  </conditionalFormatting>
  <conditionalFormatting sqref="P57">
    <cfRule type="cellIs" dxfId="525" priority="19" operator="lessThan">
      <formula>0</formula>
    </cfRule>
  </conditionalFormatting>
  <conditionalFormatting sqref="P64">
    <cfRule type="cellIs" dxfId="524" priority="18" operator="lessThan">
      <formula>0</formula>
    </cfRule>
  </conditionalFormatting>
  <conditionalFormatting sqref="P69">
    <cfRule type="cellIs" dxfId="523" priority="17" operator="lessThan">
      <formula>0</formula>
    </cfRule>
  </conditionalFormatting>
  <conditionalFormatting sqref="P80">
    <cfRule type="cellIs" dxfId="522" priority="16" operator="lessThan">
      <formula>0</formula>
    </cfRule>
  </conditionalFormatting>
  <conditionalFormatting sqref="O77">
    <cfRule type="cellIs" dxfId="521" priority="11" operator="greaterThan">
      <formula>0</formula>
    </cfRule>
  </conditionalFormatting>
  <conditionalFormatting sqref="P77">
    <cfRule type="cellIs" dxfId="520" priority="14" operator="lessThan">
      <formula>0</formula>
    </cfRule>
  </conditionalFormatting>
  <conditionalFormatting sqref="Q77">
    <cfRule type="cellIs" dxfId="519" priority="12" operator="greaterThan">
      <formula>1</formula>
    </cfRule>
    <cfRule type="cellIs" dxfId="518" priority="13" operator="lessThan">
      <formula>0.8</formula>
    </cfRule>
  </conditionalFormatting>
  <conditionalFormatting sqref="R77">
    <cfRule type="cellIs" dxfId="517" priority="15" operator="lessThan">
      <formula>0.8</formula>
    </cfRule>
  </conditionalFormatting>
  <conditionalFormatting sqref="O78">
    <cfRule type="cellIs" dxfId="516" priority="6" operator="greaterThan">
      <formula>0</formula>
    </cfRule>
  </conditionalFormatting>
  <conditionalFormatting sqref="P78">
    <cfRule type="cellIs" dxfId="515" priority="9" operator="lessThan">
      <formula>0</formula>
    </cfRule>
  </conditionalFormatting>
  <conditionalFormatting sqref="Q78">
    <cfRule type="cellIs" dxfId="514" priority="7" operator="greaterThan">
      <formula>1</formula>
    </cfRule>
    <cfRule type="cellIs" dxfId="513" priority="8" operator="lessThan">
      <formula>0.8</formula>
    </cfRule>
  </conditionalFormatting>
  <conditionalFormatting sqref="R78">
    <cfRule type="cellIs" dxfId="512" priority="10" operator="lessThan">
      <formula>0.8</formula>
    </cfRule>
  </conditionalFormatting>
  <conditionalFormatting sqref="O79">
    <cfRule type="cellIs" dxfId="511" priority="1" operator="greaterThan">
      <formula>0</formula>
    </cfRule>
  </conditionalFormatting>
  <conditionalFormatting sqref="P79">
    <cfRule type="cellIs" dxfId="510" priority="4" operator="lessThan">
      <formula>0</formula>
    </cfRule>
  </conditionalFormatting>
  <conditionalFormatting sqref="Q79">
    <cfRule type="cellIs" dxfId="509" priority="2" operator="greaterThan">
      <formula>1</formula>
    </cfRule>
    <cfRule type="cellIs" dxfId="508" priority="3" operator="lessThan">
      <formula>0.8</formula>
    </cfRule>
  </conditionalFormatting>
  <conditionalFormatting sqref="R79">
    <cfRule type="cellIs" dxfId="507" priority="5" operator="lessThan">
      <formula>0.8</formula>
    </cfRule>
  </conditionalFormatting>
  <dataValidations count="1">
    <dataValidation type="list" allowBlank="1" showInputMessage="1" showErrorMessage="1" sqref="Z9 Y5:Z8 Y9:Y68 Z11:Z65 Y69:Z8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54" sqref="C54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421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422</v>
      </c>
      <c r="C3" s="497" t="str">
        <f>TEXT('1105 4度C'!A2,"yyyy.mm.ddaaaa")</f>
        <v>2025.11.05星期三</v>
      </c>
      <c r="D3" s="498"/>
      <c r="E3" s="4" t="s">
        <v>423</v>
      </c>
      <c r="F3" s="499">
        <f>'1105 4度C'!D1</f>
        <v>188411</v>
      </c>
      <c r="G3" s="500"/>
      <c r="H3" s="4" t="s">
        <v>424</v>
      </c>
      <c r="I3" s="501">
        <f>'1105 4度C'!F1</f>
        <v>6180435.7599999988</v>
      </c>
      <c r="J3" s="502"/>
      <c r="K3" s="5"/>
      <c r="L3" s="6"/>
      <c r="M3" s="7"/>
      <c r="N3" s="7"/>
    </row>
    <row r="4" spans="2:17" ht="28.5" customHeight="1">
      <c r="B4" s="503" t="s">
        <v>425</v>
      </c>
      <c r="C4" s="485" t="s">
        <v>426</v>
      </c>
      <c r="D4" s="486"/>
      <c r="E4" s="506" t="s">
        <v>427</v>
      </c>
      <c r="F4" s="507"/>
      <c r="G4" s="506" t="s">
        <v>428</v>
      </c>
      <c r="H4" s="507"/>
      <c r="I4" s="506" t="s">
        <v>429</v>
      </c>
      <c r="J4" s="507"/>
      <c r="L4" s="7"/>
      <c r="M4" s="7"/>
      <c r="N4" s="7"/>
    </row>
    <row r="5" spans="2:17" ht="28.5" customHeight="1">
      <c r="B5" s="504"/>
      <c r="C5" s="485" t="s">
        <v>430</v>
      </c>
      <c r="D5" s="486"/>
      <c r="E5" s="485" t="s">
        <v>431</v>
      </c>
      <c r="F5" s="486"/>
      <c r="G5" s="487" t="s">
        <v>432</v>
      </c>
      <c r="H5" s="488"/>
      <c r="I5" s="489" t="s">
        <v>433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151.86193935025719</v>
      </c>
      <c r="F6" s="492">
        <f>AVERAGE(D27:O27,D13:J13)</f>
        <v>156.68244426487962</v>
      </c>
      <c r="G6" s="493">
        <f>AVERAGE(D13:J13)</f>
        <v>156.68244426487962</v>
      </c>
      <c r="H6" s="494"/>
      <c r="I6" s="493">
        <f>AVERAGE(K13:M13)</f>
        <v>140.6140945494715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145.48745846682237</v>
      </c>
      <c r="F7" s="478">
        <f>AVERAGE(D28:O28,D14:J14)</f>
        <v>150.13562421383125</v>
      </c>
      <c r="G7" s="479">
        <f>AVERAGE(D14:J14)</f>
        <v>150.13562421383125</v>
      </c>
      <c r="H7" s="480"/>
      <c r="I7" s="479">
        <f>AVERAGE(K14:M14)</f>
        <v>134.64173839046842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0.95800270565610968</v>
      </c>
      <c r="F8" s="482">
        <f>AVERAGE(D15:J15,D29:O29)</f>
        <v>0.95822848399381666</v>
      </c>
      <c r="G8" s="483">
        <f>AVERAGE(D15:J15)</f>
        <v>0.95822848399381666</v>
      </c>
      <c r="H8" s="484"/>
      <c r="I8" s="483">
        <f>AVERAGE(K15:M15)</f>
        <v>0.95747588953479335</v>
      </c>
      <c r="J8" s="484"/>
      <c r="K8" s="8" t="s">
        <v>434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435</v>
      </c>
      <c r="C10" s="459"/>
      <c r="D10" s="460" t="s">
        <v>436</v>
      </c>
      <c r="E10" s="461"/>
      <c r="F10" s="461"/>
      <c r="G10" s="461"/>
      <c r="H10" s="461"/>
      <c r="I10" s="461"/>
      <c r="J10" s="462"/>
      <c r="K10" s="463" t="s">
        <v>437</v>
      </c>
      <c r="L10" s="464"/>
      <c r="M10" s="465"/>
      <c r="P10" s="11"/>
      <c r="Q10" s="11"/>
    </row>
    <row r="11" spans="2:17" ht="17.25" customHeight="1">
      <c r="B11" s="466" t="s">
        <v>438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439</v>
      </c>
      <c r="C13" s="18" t="s">
        <v>440</v>
      </c>
      <c r="D13" s="19">
        <f>SUMIFS('1105 4度C'!$K:$K,'1105 4度C'!$A:$A,"新豐6線",'1105 4度C'!$B:$B,"平均")</f>
        <v>125</v>
      </c>
      <c r="E13" s="20">
        <f>SUMIFS('1105 4度C'!$K:$K,'1105 4度C'!$A:$A,"新豐2線",'1105 4度C'!$B:$B,"平均")</f>
        <v>81.081081081081081</v>
      </c>
      <c r="F13" s="21">
        <f>SUMIFS('1105 4度C'!$K:$K,'1105 4度C'!$A:$A,"新豐5線",'1105 4度C'!$B:$B,"平均")</f>
        <v>91.397849462365585</v>
      </c>
      <c r="G13" s="21">
        <f>SUMIFS('1105 4度C'!$K:$K,'1105 4度C'!$A:$A,"新豐7線",'1105 4度C'!$B:$B,"平均")</f>
        <v>123.4567901234568</v>
      </c>
      <c r="H13" s="21">
        <f>SUMIFS('1105 4度C'!$K:$K,'1105 4度C'!$A:$A,"新豐3線",'1105 4度C'!$B:$B,"平均")</f>
        <v>271.92982456140351</v>
      </c>
      <c r="I13" s="21">
        <f>SUMIFS('1105 4度C'!$K:$K,'1105 4度C'!$A:$A,"新豐1線",'1105 4度C'!$B:$B,"平均")</f>
        <v>112.24489795918367</v>
      </c>
      <c r="J13" s="22">
        <f>SUMIFS('1105 4度C'!$K:$K,'1105 4度C'!$A:$A,"新豐10線",'1105 4度C'!$B:$B,"平均")</f>
        <v>291.66666666666669</v>
      </c>
      <c r="K13" s="23">
        <f>SUMIFS('1105 4度C'!$K:$K,'1105 4度C'!$A:$A,"新豐8線",'1105 4度C'!$B:$B,"平均")</f>
        <v>135.21126760563379</v>
      </c>
      <c r="L13" s="24">
        <f>SUMIFS('1105 4度C'!$K:$K,'1105 4度C'!$A:$A,"新豐9線",'1105 4度C'!$B:$B,"平均")</f>
        <v>141.1764705882353</v>
      </c>
      <c r="M13" s="22">
        <f>SUMIFS('1105 4度C'!$K:$K,'1105 4度C'!$A:$A,"新豐4線",'1105 4度C'!$B:$B,"平均")</f>
        <v>145.45454545454547</v>
      </c>
    </row>
    <row r="14" spans="2:17" ht="39.6" customHeight="1">
      <c r="B14" s="471"/>
      <c r="C14" s="25" t="s">
        <v>441</v>
      </c>
      <c r="D14" s="26">
        <f>SUMIFS('1105 4度C'!$N:$N,'1105 4度C'!$A:$A,"新豐6線",'1105 4度C'!$B:$B,"平均")</f>
        <v>120.41416040100241</v>
      </c>
      <c r="E14" s="27">
        <f>SUMIFS('1105 4度C'!$N:$N,'1105 4度C'!$A:$A,"新豐2線",'1105 4度C'!$B:$B,"平均")</f>
        <v>77.264462496204061</v>
      </c>
      <c r="F14" s="27">
        <f>SUMIFS('1105 4度C'!$N:$N,'1105 4度C'!$A:$A,"新豐5線",'1105 4度C'!$B:$B,"平均")</f>
        <v>87.482889801378562</v>
      </c>
      <c r="G14" s="27">
        <f>SUMIFS('1105 4度C'!$N:$N,'1105 4度C'!$A:$A,"新豐7線",'1105 4度C'!$B:$B,"平均")</f>
        <v>118.60390946502055</v>
      </c>
      <c r="H14" s="27">
        <f>SUMIFS('1105 4度C'!$N:$N,'1105 4度C'!$A:$A,"新豐3線",'1105 4度C'!$B:$B,"平均")</f>
        <v>260.4499448213918</v>
      </c>
      <c r="I14" s="27">
        <f>SUMIFS('1105 4度C'!$N:$N,'1105 4度C'!$A:$A,"新豐1線",'1105 4度C'!$B:$B,"平均")</f>
        <v>107.61233755230505</v>
      </c>
      <c r="J14" s="28">
        <f>SUMIFS('1105 4度C'!$N:$N,'1105 4度C'!$A:$A,"新豐10線",'1105 4度C'!$B:$B,"平均")</f>
        <v>279.12166495951612</v>
      </c>
      <c r="K14" s="29">
        <f>SUMIFS('1105 4度C'!$N:$N,'1105 4度C'!$A:$A,"新豐8線",'1105 4度C'!$B:$B,"平均")</f>
        <v>129.2439523620954</v>
      </c>
      <c r="L14" s="30">
        <f>SUMIFS('1105 4度C'!$N:$N,'1105 4度C'!$A:$A,"新豐9線",'1105 4度C'!$B:$B,"平均")</f>
        <v>135.01082773941295</v>
      </c>
      <c r="M14" s="28">
        <f>SUMIFS('1105 4度C'!$N:$N,'1105 4度C'!$A:$A,"新豐4線",'1105 4度C'!$B:$B,"平均")</f>
        <v>139.67043506989694</v>
      </c>
    </row>
    <row r="15" spans="2:17" ht="40.15" customHeight="1">
      <c r="B15" s="472"/>
      <c r="C15" s="31" t="s">
        <v>442</v>
      </c>
      <c r="D15" s="32">
        <f t="shared" ref="D15:M15" si="0">D14/D13</f>
        <v>0.96331328320801923</v>
      </c>
      <c r="E15" s="33">
        <f t="shared" si="0"/>
        <v>0.95292837078651671</v>
      </c>
      <c r="F15" s="33">
        <f t="shared" si="0"/>
        <v>0.95716573547390671</v>
      </c>
      <c r="G15" s="33">
        <f t="shared" si="0"/>
        <v>0.96069166666666639</v>
      </c>
      <c r="H15" s="33">
        <f t="shared" si="0"/>
        <v>0.95778366805286019</v>
      </c>
      <c r="I15" s="33">
        <f t="shared" si="0"/>
        <v>0.95872809819326321</v>
      </c>
      <c r="J15" s="34">
        <f t="shared" si="0"/>
        <v>0.95698856557548384</v>
      </c>
      <c r="K15" s="32">
        <f t="shared" si="0"/>
        <v>0.95586673101133057</v>
      </c>
      <c r="L15" s="33">
        <f t="shared" si="0"/>
        <v>0.95632669648750834</v>
      </c>
      <c r="M15" s="34">
        <f t="shared" si="0"/>
        <v>0.96023424110554134</v>
      </c>
    </row>
    <row r="16" spans="2:17" ht="17.25" customHeight="1">
      <c r="B16" s="473" t="s">
        <v>443</v>
      </c>
      <c r="C16" s="35" t="s">
        <v>444</v>
      </c>
      <c r="D16" s="49">
        <f>VLOOKUP("新豐6線",'1105 4度C'!$A:$T,19,0)</f>
        <v>0.70833333333333337</v>
      </c>
      <c r="E16" s="50">
        <f>VLOOKUP("新豐2線",'1105 4度C'!$A:$T,19,0)</f>
        <v>0.20833333333333334</v>
      </c>
      <c r="F16" s="50">
        <f>VLOOKUP("新豐5線",'1105 4度C'!$A:$T,19,0)</f>
        <v>0.125</v>
      </c>
      <c r="G16" s="50">
        <f>VLOOKUP("新豐7線",'1105 4度C'!$A:$T,19,0)</f>
        <v>0.20833333333333334</v>
      </c>
      <c r="H16" s="50">
        <f>VLOOKUP("新豐3線",'1105 4度C'!$A:$T,19,0)</f>
        <v>0.125</v>
      </c>
      <c r="I16" s="50">
        <f>VLOOKUP("新豐1線",'1105 4度C'!$A:$T,19,0)</f>
        <v>0.20833333333333334</v>
      </c>
      <c r="J16" s="51">
        <f>VLOOKUP("新豐10線",'1105 4度C'!$A:$T,19,0)</f>
        <v>0.20833333333333334</v>
      </c>
      <c r="K16" s="36">
        <f>VLOOKUP("新豐8線",'1105 4度C'!$A:$T,19,0)</f>
        <v>0.125</v>
      </c>
      <c r="L16" s="37">
        <f>VLOOKUP("新豐9線",'1105 4度C'!$A:$T,19,0)</f>
        <v>0.125</v>
      </c>
      <c r="M16" s="38">
        <f>VLOOKUP("新豐4線",'1105 4度C'!$A:$T,19,0)</f>
        <v>0.125</v>
      </c>
    </row>
    <row r="17" spans="2:13" ht="17.25" customHeight="1">
      <c r="B17" s="474"/>
      <c r="C17" s="35" t="s">
        <v>445</v>
      </c>
      <c r="D17" s="36">
        <f>LOOKUP(2,1/(('1105 4度C'!$A:$A="新豐6線")*('1105 4度C'!$T:$T&lt;&gt;"")),'1105 4度C'!$T:$T)</f>
        <v>0.82708333333333339</v>
      </c>
      <c r="E17" s="50">
        <f>LOOKUP(2,1/(('1105 4度C'!$A:$A="新豐2線")*('1105 4度C'!$T:$T&lt;&gt;"")),'1105 4度C'!$T:$T)</f>
        <v>0.47569444444444442</v>
      </c>
      <c r="F17" s="50">
        <f>LOOKUP(2,1/(('1105 4度C'!$A:$A="新豐5線")*('1105 4度C'!$T:$T&lt;&gt;"")),'1105 4度C'!$T:$T)</f>
        <v>0.84166666666666667</v>
      </c>
      <c r="G17" s="50">
        <f>LOOKUP(2,1/(('1105 4度C'!$A:$A="新豐7線")*('1105 4度C'!$T:$T&lt;&gt;"")),'1105 4度C'!$T:$T)</f>
        <v>0.81875000000000009</v>
      </c>
      <c r="H17" s="50">
        <f>LOOKUP(2,1/(('1105 4度C'!$A:$A="新豐3線")*('1105 4度C'!$T:$T&lt;&gt;"")),'1105 4度C'!$T:$T)</f>
        <v>0.76388888888888873</v>
      </c>
      <c r="I17" s="50">
        <f>LOOKUP(2,1/(('1105 4度C'!$A:$A="新豐1線")*('1105 4度C'!$T:$T&lt;&gt;"")),'1105 4度C'!$T:$T)</f>
        <v>0.92638888888888893</v>
      </c>
      <c r="J17" s="51">
        <f>LOOKUP(2,1/(('1105 4度C'!$A:$A="新豐10線")*('1105 4度C'!$T:$T&lt;&gt;"")),'1105 4度C'!$T:$T)</f>
        <v>0.46041666666666664</v>
      </c>
      <c r="K17" s="49">
        <f>LOOKUP(2,1/(('1105 4度C'!$A:$A="新豐8線")*('1105 4度C'!$T:$T&lt;&gt;"")),'1105 4度C'!$T:$T)</f>
        <v>0.75694444444444431</v>
      </c>
      <c r="L17" s="50">
        <f>LOOKUP(2,1/(('1105 4度C'!$A:$A="新豐9線")*('1105 4度C'!$T:$T&lt;&gt;"")),'1105 4度C'!$T:$T)</f>
        <v>0.76597222222222217</v>
      </c>
      <c r="M17" s="51">
        <f>LOOKUP(2,1/(('1105 4度C'!$A:$A="新豐4線")*('1105 4度C'!$T:$T&lt;&gt;"")),'1105 4度C'!$T:$T)</f>
        <v>0.72499999999999998</v>
      </c>
    </row>
    <row r="18" spans="2:13" ht="17.25" customHeight="1">
      <c r="B18" s="452" t="s">
        <v>446</v>
      </c>
      <c r="C18" s="453"/>
      <c r="D18" s="39">
        <f>SUMIFS('1105 4度C'!$I:$I,'1105 4度C'!$A:$A,"新豐6線",'1105 4度C'!$B:$B,"平均")</f>
        <v>16</v>
      </c>
      <c r="E18" s="40">
        <f>SUMIFS('1105 4度C'!$I:$I,'1105 4度C'!$A:$A,"新豐2線",'1105 4度C'!$B:$B,"平均")</f>
        <v>18.5</v>
      </c>
      <c r="F18" s="40">
        <f>SUMIFS('1105 4度C'!$I:$I,'1105 4度C'!$A:$A,"新豐5線",'1105 4度C'!$B:$B,"平均")</f>
        <v>18.600000000000001</v>
      </c>
      <c r="G18" s="40">
        <f>SUMIFS('1105 4度C'!$I:$I,'1105 4度C'!$A:$A,"新豐7線",'1105 4度C'!$B:$B,"平均")</f>
        <v>16.2</v>
      </c>
      <c r="H18" s="40">
        <f>SUMIFS('1105 4度C'!$I:$I,'1105 4度C'!$A:$A,"新豐3線",'1105 4度C'!$B:$B,"平均")</f>
        <v>10.363636363636363</v>
      </c>
      <c r="I18" s="40">
        <f>SUMIFS('1105 4度C'!$I:$I,'1105 4度C'!$A:$A,"新豐1線",'1105 4度C'!$B:$B,"平均")</f>
        <v>16.333333333333332</v>
      </c>
      <c r="J18" s="41">
        <f>SUMIFS('1105 4度C'!$I:$I,'1105 4度C'!$A:$A,"新豐10線",'1105 4度C'!$B:$B,"平均")</f>
        <v>9</v>
      </c>
      <c r="K18" s="39">
        <f>SUMIFS('1105 4度C'!$I:$I,'1105 4度C'!$A:$A,"新豐8線",'1105 4度C'!$B:$B,"平均")</f>
        <v>17.75</v>
      </c>
      <c r="L18" s="40">
        <f>SUMIFS('1105 4度C'!$I:$I,'1105 4度C'!$A:$A,"新豐9線",'1105 4度C'!$B:$B,"平均")</f>
        <v>17</v>
      </c>
      <c r="M18" s="41">
        <f>SUMIFS('1105 4度C'!$I:$I,'1105 4度C'!$A:$A,"新豐4線",'1105 4度C'!$B:$B,"平均")</f>
        <v>16.5</v>
      </c>
    </row>
    <row r="19" spans="2:13" ht="17.25" customHeight="1">
      <c r="B19" s="452" t="s">
        <v>447</v>
      </c>
      <c r="C19" s="453"/>
      <c r="D19" s="42" t="s">
        <v>65</v>
      </c>
      <c r="E19" s="43" t="s">
        <v>66</v>
      </c>
      <c r="F19" s="43" t="s">
        <v>448</v>
      </c>
      <c r="G19" s="43" t="s">
        <v>448</v>
      </c>
      <c r="H19" s="43" t="s">
        <v>67</v>
      </c>
      <c r="I19" s="43" t="s">
        <v>65</v>
      </c>
      <c r="J19" s="44" t="s">
        <v>67</v>
      </c>
      <c r="K19" s="42" t="s">
        <v>449</v>
      </c>
      <c r="L19" s="43" t="s">
        <v>449</v>
      </c>
      <c r="M19" s="44" t="s">
        <v>449</v>
      </c>
    </row>
    <row r="20" spans="2:13" ht="17.25" customHeight="1">
      <c r="B20" s="452" t="s">
        <v>450</v>
      </c>
      <c r="C20" s="453"/>
      <c r="D20" s="42"/>
      <c r="E20" s="43"/>
      <c r="F20" s="43" t="s">
        <v>451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452</v>
      </c>
      <c r="C21" s="455"/>
      <c r="D21" s="45"/>
      <c r="E21" s="46" t="s">
        <v>453</v>
      </c>
      <c r="F21" s="456" t="s">
        <v>454</v>
      </c>
      <c r="G21" s="457"/>
      <c r="H21" s="46" t="s">
        <v>455</v>
      </c>
      <c r="I21" s="46" t="s">
        <v>456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5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7"/>
  <sheetViews>
    <sheetView zoomScale="80" zoomScaleNormal="80" workbookViewId="0">
      <pane ySplit="4" topLeftCell="A5" activePane="bottomLeft" state="frozen"/>
      <selection activeCell="B6" sqref="B6"/>
      <selection pane="bottomLeft" activeCell="C54" sqref="C54:D5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120</v>
      </c>
      <c r="B1" s="52"/>
      <c r="C1" s="53" t="s">
        <v>121</v>
      </c>
      <c r="D1" s="54">
        <f>SUM(F5:F76)</f>
        <v>188411</v>
      </c>
      <c r="E1" s="125" t="s">
        <v>73</v>
      </c>
      <c r="F1" s="52">
        <f>SUM(G5:G76)</f>
        <v>6180435.7599999988</v>
      </c>
      <c r="G1" s="52" t="s">
        <v>122</v>
      </c>
      <c r="H1" s="55">
        <f>L8+L11+L53+L60+L17+L65+L32+L41+L23+L76</f>
        <v>156.24696969696967</v>
      </c>
      <c r="I1" s="556" t="s">
        <v>123</v>
      </c>
      <c r="J1" s="556"/>
      <c r="K1" s="556"/>
      <c r="L1" s="556" t="s">
        <v>382</v>
      </c>
      <c r="M1" s="556"/>
      <c r="N1" s="556"/>
      <c r="O1" s="556" t="s">
        <v>457</v>
      </c>
      <c r="P1" s="556"/>
      <c r="Q1" s="556"/>
      <c r="R1" s="556"/>
      <c r="S1" s="556" t="s">
        <v>458</v>
      </c>
      <c r="T1" s="556"/>
      <c r="U1" s="556"/>
      <c r="V1" s="556"/>
      <c r="W1" s="556"/>
      <c r="X1" s="556"/>
      <c r="Y1" s="556" t="s">
        <v>459</v>
      </c>
      <c r="Z1" s="556"/>
      <c r="AA1" s="556" t="s">
        <v>212</v>
      </c>
      <c r="AB1" s="557"/>
      <c r="AC1" s="557"/>
    </row>
    <row r="2" spans="1:29" ht="26.25" customHeight="1">
      <c r="A2" s="57">
        <v>45966</v>
      </c>
      <c r="B2" s="58" t="s">
        <v>460</v>
      </c>
      <c r="C2" s="53" t="s">
        <v>78</v>
      </c>
      <c r="D2" s="59">
        <f>AVERAGE(N8,N11,N53,N60,N17,N65,N23,N32,N41,N76)</f>
        <v>145.48745846682237</v>
      </c>
      <c r="E2" s="60" t="s">
        <v>0</v>
      </c>
      <c r="F2" s="61">
        <f>F1/D1</f>
        <v>32.802945475582632</v>
      </c>
      <c r="G2" s="52" t="s">
        <v>461</v>
      </c>
      <c r="H2" s="134">
        <f>COUNT(H5:H76)</f>
        <v>14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216</v>
      </c>
      <c r="B3" s="510" t="s">
        <v>132</v>
      </c>
      <c r="C3" s="510" t="s">
        <v>462</v>
      </c>
      <c r="D3" s="510"/>
      <c r="E3" s="554" t="s">
        <v>463</v>
      </c>
      <c r="F3" s="510" t="s">
        <v>219</v>
      </c>
      <c r="G3" s="554" t="s">
        <v>464</v>
      </c>
      <c r="H3" s="547" t="s">
        <v>465</v>
      </c>
      <c r="I3" s="545" t="s">
        <v>140</v>
      </c>
      <c r="J3" s="550" t="s">
        <v>466</v>
      </c>
      <c r="K3" s="552" t="s">
        <v>78</v>
      </c>
      <c r="L3" s="545" t="s">
        <v>140</v>
      </c>
      <c r="M3" s="550" t="s">
        <v>398</v>
      </c>
      <c r="N3" s="552" t="s">
        <v>78</v>
      </c>
      <c r="O3" s="545" t="s">
        <v>467</v>
      </c>
      <c r="P3" s="552" t="s">
        <v>468</v>
      </c>
      <c r="Q3" s="551" t="s">
        <v>469</v>
      </c>
      <c r="R3" s="523" t="s">
        <v>315</v>
      </c>
      <c r="S3" s="510" t="s">
        <v>1</v>
      </c>
      <c r="T3" s="510"/>
      <c r="U3" s="547" t="s">
        <v>2</v>
      </c>
      <c r="V3" s="547" t="s">
        <v>143</v>
      </c>
      <c r="W3" s="510" t="s">
        <v>470</v>
      </c>
      <c r="X3" s="510"/>
      <c r="Y3" s="548" t="s">
        <v>471</v>
      </c>
      <c r="Z3" s="549"/>
      <c r="AA3" s="550" t="s">
        <v>472</v>
      </c>
      <c r="AB3" s="551" t="s">
        <v>473</v>
      </c>
      <c r="AC3" s="523" t="s">
        <v>474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25" t="s">
        <v>3</v>
      </c>
      <c r="T4" s="125" t="s">
        <v>4</v>
      </c>
      <c r="U4" s="547"/>
      <c r="V4" s="547"/>
      <c r="W4" s="125" t="s">
        <v>146</v>
      </c>
      <c r="X4" s="125" t="s">
        <v>475</v>
      </c>
      <c r="Y4" s="549"/>
      <c r="Z4" s="549"/>
      <c r="AA4" s="550"/>
      <c r="AB4" s="551"/>
      <c r="AC4" s="523"/>
    </row>
    <row r="5" spans="1:29">
      <c r="A5" s="544" t="s">
        <v>476</v>
      </c>
      <c r="B5" s="62" t="s">
        <v>6</v>
      </c>
      <c r="C5" s="546" t="s">
        <v>7</v>
      </c>
      <c r="D5" s="546"/>
      <c r="E5" s="62">
        <v>46.93</v>
      </c>
      <c r="F5" s="80">
        <v>963</v>
      </c>
      <c r="G5" s="125">
        <f t="shared" ref="G5:G7" si="0">E5*F5</f>
        <v>45193.59</v>
      </c>
      <c r="H5" s="90" t="s">
        <v>5</v>
      </c>
      <c r="I5" s="132">
        <v>16</v>
      </c>
      <c r="J5" s="63">
        <v>2000</v>
      </c>
      <c r="K5" s="64">
        <f t="shared" ref="K5:K68" si="1">J5/I5</f>
        <v>125</v>
      </c>
      <c r="L5" s="132">
        <v>16</v>
      </c>
      <c r="M5" s="65">
        <f t="shared" ref="M5:M7" si="2">F5/V5*60</f>
        <v>1925.9999999999966</v>
      </c>
      <c r="N5" s="64">
        <f t="shared" ref="N5:N68" si="3">M5/L5</f>
        <v>120.37499999999979</v>
      </c>
      <c r="O5" s="66">
        <f t="shared" ref="O5:O68" si="4">L5-I5</f>
        <v>0</v>
      </c>
      <c r="P5" s="67">
        <f t="shared" ref="P5:P68" si="5">N5-K5</f>
        <v>-4.6250000000002132</v>
      </c>
      <c r="Q5" s="128">
        <f t="shared" ref="Q5:Q68" si="6">N5/K5</f>
        <v>0.9629999999999983</v>
      </c>
      <c r="R5" s="511">
        <f>Q8</f>
        <v>0.96331328320801923</v>
      </c>
      <c r="S5" s="68">
        <v>0.70833333333333337</v>
      </c>
      <c r="T5" s="68">
        <v>0.72916666666666674</v>
      </c>
      <c r="U5" s="125"/>
      <c r="V5" s="133">
        <f t="shared" ref="V5:V7" si="7">(T5-S5)*24*60</f>
        <v>30.000000000000053</v>
      </c>
      <c r="W5" s="69"/>
      <c r="X5" s="70"/>
      <c r="Y5" s="510"/>
      <c r="Z5" s="510"/>
      <c r="AA5" s="66">
        <f t="shared" ref="AA5:AA68" si="8">M5-J5</f>
        <v>-74.000000000003411</v>
      </c>
      <c r="AB5" s="128">
        <f t="shared" ref="AB5:AB68" si="9">M5/J5</f>
        <v>0.9629999999999983</v>
      </c>
      <c r="AC5" s="511">
        <f>AB8</f>
        <v>0.96331328320801923</v>
      </c>
    </row>
    <row r="6" spans="1:29">
      <c r="A6" s="545" t="s">
        <v>477</v>
      </c>
      <c r="B6" s="62" t="s">
        <v>6</v>
      </c>
      <c r="C6" s="546" t="s">
        <v>8</v>
      </c>
      <c r="D6" s="546"/>
      <c r="E6" s="62">
        <v>50.49</v>
      </c>
      <c r="F6" s="80">
        <v>2239</v>
      </c>
      <c r="G6" s="125">
        <f t="shared" si="0"/>
        <v>113047.11</v>
      </c>
      <c r="H6" s="90" t="s">
        <v>5</v>
      </c>
      <c r="I6" s="132">
        <v>15</v>
      </c>
      <c r="J6" s="63">
        <v>2000</v>
      </c>
      <c r="K6" s="64">
        <f t="shared" si="1"/>
        <v>133.33333333333334</v>
      </c>
      <c r="L6" s="132">
        <v>15</v>
      </c>
      <c r="M6" s="65">
        <f t="shared" si="2"/>
        <v>1919.1428571428551</v>
      </c>
      <c r="N6" s="64">
        <f t="shared" si="3"/>
        <v>127.94285714285701</v>
      </c>
      <c r="O6" s="66">
        <f t="shared" si="4"/>
        <v>0</v>
      </c>
      <c r="P6" s="67">
        <f t="shared" si="5"/>
        <v>-5.3904761904763348</v>
      </c>
      <c r="Q6" s="128">
        <f t="shared" si="6"/>
        <v>0.95957142857142752</v>
      </c>
      <c r="R6" s="511"/>
      <c r="S6" s="68">
        <v>0.73472222222222228</v>
      </c>
      <c r="T6" s="68">
        <v>0.78333333333333344</v>
      </c>
      <c r="U6" s="125">
        <f t="shared" ref="U6:U7" si="10">IF(S6=TIME(17,0,0),"",(S6-T5)*24*60)</f>
        <v>7.9999999999999716</v>
      </c>
      <c r="V6" s="133">
        <f t="shared" si="7"/>
        <v>70.000000000000071</v>
      </c>
      <c r="W6" s="69"/>
      <c r="X6" s="69"/>
      <c r="Y6" s="510"/>
      <c r="Z6" s="510"/>
      <c r="AA6" s="66">
        <f t="shared" si="8"/>
        <v>-80.857142857144936</v>
      </c>
      <c r="AB6" s="128">
        <f t="shared" si="9"/>
        <v>0.95957142857142752</v>
      </c>
      <c r="AC6" s="511"/>
    </row>
    <row r="7" spans="1:29">
      <c r="A7" s="545" t="s">
        <v>476</v>
      </c>
      <c r="B7" s="62" t="s">
        <v>6</v>
      </c>
      <c r="C7" s="539" t="s">
        <v>9</v>
      </c>
      <c r="D7" s="540"/>
      <c r="E7" s="62">
        <v>50.67</v>
      </c>
      <c r="F7" s="80">
        <v>1838</v>
      </c>
      <c r="G7" s="125">
        <f t="shared" si="0"/>
        <v>93131.46</v>
      </c>
      <c r="H7" s="90" t="s">
        <v>5</v>
      </c>
      <c r="I7" s="132">
        <v>17</v>
      </c>
      <c r="J7" s="63">
        <v>2000</v>
      </c>
      <c r="K7" s="64">
        <f t="shared" si="1"/>
        <v>117.64705882352941</v>
      </c>
      <c r="L7" s="132">
        <v>17</v>
      </c>
      <c r="M7" s="65">
        <f t="shared" si="2"/>
        <v>1934.7368421052645</v>
      </c>
      <c r="N7" s="64">
        <f t="shared" si="3"/>
        <v>113.8080495356038</v>
      </c>
      <c r="O7" s="66">
        <f t="shared" si="4"/>
        <v>0</v>
      </c>
      <c r="P7" s="67">
        <f t="shared" si="5"/>
        <v>-3.8390092879256059</v>
      </c>
      <c r="Q7" s="128">
        <f t="shared" si="6"/>
        <v>0.96736842105263232</v>
      </c>
      <c r="R7" s="511"/>
      <c r="S7" s="68">
        <v>0.78750000000000009</v>
      </c>
      <c r="T7" s="68">
        <v>0.82708333333333339</v>
      </c>
      <c r="U7" s="125">
        <f t="shared" si="10"/>
        <v>5.9999999999999787</v>
      </c>
      <c r="V7" s="133">
        <f t="shared" si="7"/>
        <v>56.999999999999957</v>
      </c>
      <c r="W7" s="69"/>
      <c r="X7" s="69"/>
      <c r="Y7" s="517"/>
      <c r="Z7" s="518"/>
      <c r="AA7" s="66">
        <f t="shared" si="8"/>
        <v>-65.263157894735514</v>
      </c>
      <c r="AB7" s="128">
        <f t="shared" si="9"/>
        <v>0.96736842105263221</v>
      </c>
      <c r="AC7" s="511"/>
    </row>
    <row r="8" spans="1:29">
      <c r="A8" s="545" t="s">
        <v>477</v>
      </c>
      <c r="B8" s="62" t="s">
        <v>79</v>
      </c>
      <c r="C8" s="513"/>
      <c r="D8" s="513"/>
      <c r="E8" s="129"/>
      <c r="F8" s="71"/>
      <c r="G8" s="64"/>
      <c r="H8" s="80"/>
      <c r="I8" s="72">
        <v>16</v>
      </c>
      <c r="J8" s="63">
        <v>2000</v>
      </c>
      <c r="K8" s="64">
        <f t="shared" si="1"/>
        <v>125</v>
      </c>
      <c r="L8" s="72">
        <v>16</v>
      </c>
      <c r="M8" s="65">
        <f>AVERAGE(M5:M7)</f>
        <v>1926.6265664160385</v>
      </c>
      <c r="N8" s="64">
        <f t="shared" si="3"/>
        <v>120.41416040100241</v>
      </c>
      <c r="O8" s="66">
        <f t="shared" si="4"/>
        <v>0</v>
      </c>
      <c r="P8" s="67">
        <f t="shared" si="5"/>
        <v>-4.5858395989975946</v>
      </c>
      <c r="Q8" s="128">
        <f t="shared" si="6"/>
        <v>0.96331328320801923</v>
      </c>
      <c r="R8" s="511"/>
      <c r="S8" s="68"/>
      <c r="T8" s="68"/>
      <c r="U8" s="125"/>
      <c r="V8" s="133"/>
      <c r="W8" s="64"/>
      <c r="X8" s="64"/>
      <c r="Y8" s="510"/>
      <c r="Z8" s="510"/>
      <c r="AA8" s="66">
        <f t="shared" si="8"/>
        <v>-73.373433583961514</v>
      </c>
      <c r="AB8" s="128">
        <f t="shared" si="9"/>
        <v>0.96331328320801923</v>
      </c>
      <c r="AC8" s="511"/>
    </row>
    <row r="9" spans="1:29" ht="15.75" customHeight="1">
      <c r="A9" s="543" t="s">
        <v>478</v>
      </c>
      <c r="B9" s="62" t="s">
        <v>10</v>
      </c>
      <c r="C9" s="539" t="s">
        <v>12</v>
      </c>
      <c r="D9" s="540"/>
      <c r="E9" s="62">
        <v>39.36</v>
      </c>
      <c r="F9" s="80">
        <v>2124</v>
      </c>
      <c r="G9" s="125">
        <f t="shared" ref="G9:G10" si="11">E9*F9</f>
        <v>83600.639999999999</v>
      </c>
      <c r="H9" s="90" t="s">
        <v>5</v>
      </c>
      <c r="I9" s="132">
        <v>20</v>
      </c>
      <c r="J9" s="63">
        <v>1500</v>
      </c>
      <c r="K9" s="64">
        <f t="shared" si="1"/>
        <v>75</v>
      </c>
      <c r="L9" s="132">
        <v>20</v>
      </c>
      <c r="M9" s="65">
        <f t="shared" ref="M9:M10" si="12">F9/V9*60</f>
        <v>1431.9101123595499</v>
      </c>
      <c r="N9" s="64">
        <f t="shared" si="3"/>
        <v>71.595505617977494</v>
      </c>
      <c r="O9" s="66">
        <f t="shared" si="4"/>
        <v>0</v>
      </c>
      <c r="P9" s="67">
        <f t="shared" si="5"/>
        <v>-3.4044943820225058</v>
      </c>
      <c r="Q9" s="128">
        <f t="shared" si="6"/>
        <v>0.95460674157303327</v>
      </c>
      <c r="R9" s="511">
        <f>Q11</f>
        <v>0.95292837078651671</v>
      </c>
      <c r="S9" s="68">
        <v>0.20833333333333334</v>
      </c>
      <c r="T9" s="68">
        <v>0.27013888888888893</v>
      </c>
      <c r="U9" s="125"/>
      <c r="V9" s="133">
        <f t="shared" ref="V9:V10" si="13">(T9-S9)*24*60</f>
        <v>89.000000000000043</v>
      </c>
      <c r="W9" s="69"/>
      <c r="X9" s="69"/>
      <c r="Y9" s="510"/>
      <c r="Z9" s="510"/>
      <c r="AA9" s="66">
        <f t="shared" si="8"/>
        <v>-68.089887640450115</v>
      </c>
      <c r="AB9" s="128">
        <f t="shared" si="9"/>
        <v>0.95460674157303327</v>
      </c>
      <c r="AC9" s="511">
        <f>AB11</f>
        <v>0.95292837078651671</v>
      </c>
    </row>
    <row r="10" spans="1:29" ht="15.75" customHeight="1">
      <c r="A10" s="543" t="s">
        <v>478</v>
      </c>
      <c r="B10" s="62" t="s">
        <v>10</v>
      </c>
      <c r="C10" s="539" t="s">
        <v>11</v>
      </c>
      <c r="D10" s="540"/>
      <c r="E10" s="62">
        <v>39.799999999999997</v>
      </c>
      <c r="F10" s="80">
        <v>6849</v>
      </c>
      <c r="G10" s="125">
        <f t="shared" si="11"/>
        <v>272590.19999999995</v>
      </c>
      <c r="H10" s="90" t="s">
        <v>5</v>
      </c>
      <c r="I10" s="132">
        <v>17</v>
      </c>
      <c r="J10" s="63">
        <v>1500</v>
      </c>
      <c r="K10" s="64">
        <f t="shared" si="1"/>
        <v>88.235294117647058</v>
      </c>
      <c r="L10" s="132">
        <v>17</v>
      </c>
      <c r="M10" s="65">
        <f t="shared" si="12"/>
        <v>1426.8750000000002</v>
      </c>
      <c r="N10" s="64">
        <f t="shared" si="3"/>
        <v>83.933823529411782</v>
      </c>
      <c r="O10" s="66">
        <f t="shared" si="4"/>
        <v>0</v>
      </c>
      <c r="P10" s="67">
        <f t="shared" si="5"/>
        <v>-4.3014705882352757</v>
      </c>
      <c r="Q10" s="128">
        <f t="shared" si="6"/>
        <v>0.95125000000000026</v>
      </c>
      <c r="R10" s="511"/>
      <c r="S10" s="68">
        <v>0.27569444444444446</v>
      </c>
      <c r="T10" s="68">
        <v>0.47569444444444442</v>
      </c>
      <c r="U10" s="125">
        <f t="shared" ref="U10" si="14">IF(S10=TIME(17,0,0),"",(S10-T9)*24*60)</f>
        <v>7.9999999999999716</v>
      </c>
      <c r="V10" s="133">
        <f t="shared" si="13"/>
        <v>287.99999999999994</v>
      </c>
      <c r="W10" s="69"/>
      <c r="X10" s="69"/>
      <c r="Y10" s="510"/>
      <c r="Z10" s="510"/>
      <c r="AA10" s="66">
        <f t="shared" si="8"/>
        <v>-73.124999999999773</v>
      </c>
      <c r="AB10" s="128">
        <f t="shared" si="9"/>
        <v>0.95125000000000015</v>
      </c>
      <c r="AC10" s="511"/>
    </row>
    <row r="11" spans="1:29" ht="16.5" customHeight="1">
      <c r="A11" s="543" t="s">
        <v>151</v>
      </c>
      <c r="B11" s="62" t="s">
        <v>479</v>
      </c>
      <c r="C11" s="513"/>
      <c r="D11" s="513"/>
      <c r="E11" s="129"/>
      <c r="F11" s="63"/>
      <c r="G11" s="65"/>
      <c r="H11" s="80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1429.3925561797751</v>
      </c>
      <c r="N11" s="64">
        <f t="shared" si="3"/>
        <v>77.264462496204061</v>
      </c>
      <c r="O11" s="66">
        <f t="shared" si="4"/>
        <v>0</v>
      </c>
      <c r="P11" s="67">
        <f t="shared" si="5"/>
        <v>-3.8166185848770198</v>
      </c>
      <c r="Q11" s="128">
        <f t="shared" si="6"/>
        <v>0.95292837078651671</v>
      </c>
      <c r="R11" s="511"/>
      <c r="S11" s="68"/>
      <c r="T11" s="68"/>
      <c r="U11" s="64"/>
      <c r="V11" s="133"/>
      <c r="W11" s="64"/>
      <c r="X11" s="64"/>
      <c r="Y11" s="510"/>
      <c r="Z11" s="510"/>
      <c r="AA11" s="66">
        <f t="shared" si="8"/>
        <v>-70.607443820224944</v>
      </c>
      <c r="AB11" s="128">
        <f t="shared" si="9"/>
        <v>0.95292837078651671</v>
      </c>
      <c r="AC11" s="511"/>
    </row>
    <row r="12" spans="1:29" ht="16.5" customHeight="1">
      <c r="A12" s="541" t="s">
        <v>154</v>
      </c>
      <c r="B12" s="80" t="s">
        <v>13</v>
      </c>
      <c r="C12" s="533" t="s">
        <v>14</v>
      </c>
      <c r="D12" s="533"/>
      <c r="E12" s="62">
        <v>41</v>
      </c>
      <c r="F12" s="80">
        <v>2869</v>
      </c>
      <c r="G12" s="125">
        <f t="shared" ref="G12:G16" si="15">E12*F12</f>
        <v>117629</v>
      </c>
      <c r="H12" s="90" t="s">
        <v>5</v>
      </c>
      <c r="I12" s="132">
        <v>26</v>
      </c>
      <c r="J12" s="63">
        <v>1500</v>
      </c>
      <c r="K12" s="64">
        <f t="shared" si="1"/>
        <v>57.692307692307693</v>
      </c>
      <c r="L12" s="132">
        <v>26</v>
      </c>
      <c r="M12" s="65">
        <f t="shared" ref="M12:M16" si="16">F12/V12*60</f>
        <v>1434.5000000000002</v>
      </c>
      <c r="N12" s="64">
        <f t="shared" si="3"/>
        <v>55.173076923076934</v>
      </c>
      <c r="O12" s="66">
        <f t="shared" si="4"/>
        <v>0</v>
      </c>
      <c r="P12" s="67">
        <f t="shared" si="5"/>
        <v>-2.5192307692307594</v>
      </c>
      <c r="Q12" s="128">
        <f t="shared" si="6"/>
        <v>0.95633333333333348</v>
      </c>
      <c r="R12" s="511">
        <f>Q17</f>
        <v>0.95716573547390671</v>
      </c>
      <c r="S12" s="68">
        <v>0.125</v>
      </c>
      <c r="T12" s="68">
        <v>0.20833333333333331</v>
      </c>
      <c r="U12" s="125"/>
      <c r="V12" s="133">
        <f t="shared" ref="V12:V16" si="17">(T12-S12)*24*60</f>
        <v>119.99999999999997</v>
      </c>
      <c r="W12" s="69">
        <f>T12</f>
        <v>0.20833333333333331</v>
      </c>
      <c r="X12" s="69">
        <f>S13</f>
        <v>0.22638888888888886</v>
      </c>
      <c r="Y12" s="510"/>
      <c r="Z12" s="510"/>
      <c r="AA12" s="66">
        <f t="shared" si="8"/>
        <v>-65.499999999999773</v>
      </c>
      <c r="AB12" s="128">
        <f t="shared" si="9"/>
        <v>0.95633333333333348</v>
      </c>
      <c r="AC12" s="511">
        <f>AB17</f>
        <v>0.95716573547390671</v>
      </c>
    </row>
    <row r="13" spans="1:29" ht="16.5" customHeight="1">
      <c r="A13" s="542" t="s">
        <v>480</v>
      </c>
      <c r="B13" s="80" t="s">
        <v>10</v>
      </c>
      <c r="C13" s="533" t="s">
        <v>15</v>
      </c>
      <c r="D13" s="533"/>
      <c r="E13" s="62">
        <v>39.619999999999997</v>
      </c>
      <c r="F13" s="80">
        <v>4586</v>
      </c>
      <c r="G13" s="125">
        <f t="shared" si="15"/>
        <v>181697.31999999998</v>
      </c>
      <c r="H13" s="90" t="s">
        <v>5</v>
      </c>
      <c r="I13" s="132">
        <v>19</v>
      </c>
      <c r="J13" s="63">
        <v>1500</v>
      </c>
      <c r="K13" s="64">
        <f t="shared" si="1"/>
        <v>78.94736842105263</v>
      </c>
      <c r="L13" s="132">
        <v>19</v>
      </c>
      <c r="M13" s="65">
        <f t="shared" si="16"/>
        <v>1425.6994818652854</v>
      </c>
      <c r="N13" s="64">
        <f t="shared" si="3"/>
        <v>75.036814835015022</v>
      </c>
      <c r="O13" s="66">
        <f t="shared" si="4"/>
        <v>0</v>
      </c>
      <c r="P13" s="67">
        <f t="shared" si="5"/>
        <v>-3.9105535860376079</v>
      </c>
      <c r="Q13" s="128">
        <f t="shared" si="6"/>
        <v>0.95046632124352359</v>
      </c>
      <c r="R13" s="511"/>
      <c r="S13" s="68">
        <v>0.22638888888888886</v>
      </c>
      <c r="T13" s="68">
        <v>0.36041666666666661</v>
      </c>
      <c r="U13" s="125">
        <f t="shared" ref="U13:U16" si="18">IF(S13=TIME(17,0,0),"",(S13-T12)*24*60)</f>
        <v>25.999999999999986</v>
      </c>
      <c r="V13" s="133">
        <f t="shared" si="17"/>
        <v>192.99999999999994</v>
      </c>
      <c r="W13" s="69"/>
      <c r="X13" s="69"/>
      <c r="Y13" s="510"/>
      <c r="Z13" s="510"/>
      <c r="AA13" s="66">
        <f t="shared" si="8"/>
        <v>-74.300518134714594</v>
      </c>
      <c r="AB13" s="128">
        <f t="shared" si="9"/>
        <v>0.95046632124352359</v>
      </c>
      <c r="AC13" s="511"/>
    </row>
    <row r="14" spans="1:29" ht="16.5" customHeight="1">
      <c r="A14" s="542" t="s">
        <v>480</v>
      </c>
      <c r="B14" s="80" t="s">
        <v>77</v>
      </c>
      <c r="C14" s="533" t="s">
        <v>76</v>
      </c>
      <c r="D14" s="533"/>
      <c r="E14" s="62">
        <v>57.3</v>
      </c>
      <c r="F14" s="80">
        <v>1416</v>
      </c>
      <c r="G14" s="125">
        <f t="shared" si="15"/>
        <v>81136.800000000003</v>
      </c>
      <c r="H14" s="90" t="s">
        <v>5</v>
      </c>
      <c r="I14" s="132">
        <v>17</v>
      </c>
      <c r="J14" s="63">
        <v>1500</v>
      </c>
      <c r="K14" s="64">
        <f t="shared" si="1"/>
        <v>88.235294117647058</v>
      </c>
      <c r="L14" s="132">
        <v>17</v>
      </c>
      <c r="M14" s="65">
        <f t="shared" si="16"/>
        <v>1439.9999999999993</v>
      </c>
      <c r="N14" s="64">
        <f t="shared" si="3"/>
        <v>84.705882352941131</v>
      </c>
      <c r="O14" s="66">
        <f t="shared" si="4"/>
        <v>0</v>
      </c>
      <c r="P14" s="67">
        <f t="shared" si="5"/>
        <v>-3.5294117647059267</v>
      </c>
      <c r="Q14" s="128">
        <f t="shared" si="6"/>
        <v>0.95999999999999952</v>
      </c>
      <c r="R14" s="511"/>
      <c r="S14" s="68">
        <v>0.3652777777777777</v>
      </c>
      <c r="T14" s="68">
        <v>0.40624999999999994</v>
      </c>
      <c r="U14" s="125">
        <f t="shared" si="18"/>
        <v>6.9999999999999751</v>
      </c>
      <c r="V14" s="133">
        <f t="shared" si="17"/>
        <v>59.000000000000028</v>
      </c>
      <c r="W14" s="69"/>
      <c r="X14" s="69"/>
      <c r="Y14" s="510"/>
      <c r="Z14" s="510"/>
      <c r="AA14" s="66">
        <f t="shared" si="8"/>
        <v>-60.000000000000682</v>
      </c>
      <c r="AB14" s="128">
        <f t="shared" si="9"/>
        <v>0.95999999999999952</v>
      </c>
      <c r="AC14" s="511"/>
    </row>
    <row r="15" spans="1:29" ht="16.5" customHeight="1">
      <c r="A15" s="542" t="s">
        <v>481</v>
      </c>
      <c r="B15" s="80" t="s">
        <v>6</v>
      </c>
      <c r="C15" s="533" t="s">
        <v>19</v>
      </c>
      <c r="D15" s="533"/>
      <c r="E15" s="62">
        <v>50.98</v>
      </c>
      <c r="F15" s="80">
        <v>2837</v>
      </c>
      <c r="G15" s="125">
        <f t="shared" si="15"/>
        <v>144630.25999999998</v>
      </c>
      <c r="H15" s="90" t="s">
        <v>5</v>
      </c>
      <c r="I15" s="132">
        <v>16</v>
      </c>
      <c r="J15" s="63">
        <v>2000</v>
      </c>
      <c r="K15" s="64">
        <f t="shared" si="1"/>
        <v>125</v>
      </c>
      <c r="L15" s="132">
        <v>16</v>
      </c>
      <c r="M15" s="65">
        <f t="shared" si="16"/>
        <v>1912.5842696629213</v>
      </c>
      <c r="N15" s="64">
        <f t="shared" si="3"/>
        <v>119.53651685393258</v>
      </c>
      <c r="O15" s="66">
        <f t="shared" si="4"/>
        <v>0</v>
      </c>
      <c r="P15" s="67">
        <f t="shared" si="5"/>
        <v>-5.4634831460674178</v>
      </c>
      <c r="Q15" s="128">
        <f t="shared" si="6"/>
        <v>0.95629213483146069</v>
      </c>
      <c r="R15" s="511"/>
      <c r="S15" s="68">
        <v>0.70833333333333337</v>
      </c>
      <c r="T15" s="68">
        <v>0.77013888888888893</v>
      </c>
      <c r="U15" s="125" t="str">
        <f t="shared" si="18"/>
        <v/>
      </c>
      <c r="V15" s="133">
        <f t="shared" si="17"/>
        <v>89</v>
      </c>
      <c r="W15" s="69"/>
      <c r="X15" s="69"/>
      <c r="Y15" s="510"/>
      <c r="Z15" s="510"/>
      <c r="AA15" s="66">
        <f t="shared" si="8"/>
        <v>-87.415730337078685</v>
      </c>
      <c r="AB15" s="128">
        <f t="shared" si="9"/>
        <v>0.95629213483146069</v>
      </c>
      <c r="AC15" s="511"/>
    </row>
    <row r="16" spans="1:29" ht="16.5" customHeight="1">
      <c r="A16" s="542" t="s">
        <v>480</v>
      </c>
      <c r="B16" s="80" t="s">
        <v>6</v>
      </c>
      <c r="C16" s="533" t="s">
        <v>20</v>
      </c>
      <c r="D16" s="533"/>
      <c r="E16" s="62">
        <v>50.92</v>
      </c>
      <c r="F16" s="80">
        <v>3077</v>
      </c>
      <c r="G16" s="125">
        <f t="shared" si="15"/>
        <v>156680.84</v>
      </c>
      <c r="H16" s="90" t="s">
        <v>5</v>
      </c>
      <c r="I16" s="132">
        <v>15</v>
      </c>
      <c r="J16" s="63">
        <v>2000</v>
      </c>
      <c r="K16" s="64">
        <f t="shared" si="1"/>
        <v>133.33333333333334</v>
      </c>
      <c r="L16" s="132">
        <v>15</v>
      </c>
      <c r="M16" s="65">
        <f t="shared" si="16"/>
        <v>1923.1250000000005</v>
      </c>
      <c r="N16" s="64">
        <f t="shared" si="3"/>
        <v>128.20833333333337</v>
      </c>
      <c r="O16" s="66">
        <f t="shared" si="4"/>
        <v>0</v>
      </c>
      <c r="P16" s="67">
        <f t="shared" si="5"/>
        <v>-5.1249999999999716</v>
      </c>
      <c r="Q16" s="128">
        <f t="shared" si="6"/>
        <v>0.96156250000000021</v>
      </c>
      <c r="R16" s="511"/>
      <c r="S16" s="68">
        <v>0.77500000000000002</v>
      </c>
      <c r="T16" s="68">
        <v>0.84166666666666667</v>
      </c>
      <c r="U16" s="125">
        <f t="shared" si="18"/>
        <v>6.9999999999999751</v>
      </c>
      <c r="V16" s="133">
        <f t="shared" si="17"/>
        <v>95.999999999999972</v>
      </c>
      <c r="W16" s="69"/>
      <c r="X16" s="69"/>
      <c r="Y16" s="510"/>
      <c r="Z16" s="510"/>
      <c r="AA16" s="66">
        <f t="shared" si="8"/>
        <v>-76.874999999999545</v>
      </c>
      <c r="AB16" s="128">
        <f t="shared" si="9"/>
        <v>0.96156250000000021</v>
      </c>
      <c r="AC16" s="511"/>
    </row>
    <row r="17" spans="1:29" ht="16.5" customHeight="1">
      <c r="A17" s="542" t="s">
        <v>480</v>
      </c>
      <c r="B17" s="62" t="s">
        <v>482</v>
      </c>
      <c r="C17" s="513"/>
      <c r="D17" s="513"/>
      <c r="E17" s="129"/>
      <c r="F17" s="71"/>
      <c r="G17" s="64"/>
      <c r="H17" s="80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1627.1817503056413</v>
      </c>
      <c r="N17" s="64">
        <f t="shared" si="3"/>
        <v>87.482889801378562</v>
      </c>
      <c r="O17" s="66">
        <f t="shared" si="4"/>
        <v>0</v>
      </c>
      <c r="P17" s="67">
        <f t="shared" si="5"/>
        <v>-3.914959660987023</v>
      </c>
      <c r="Q17" s="128">
        <f t="shared" si="6"/>
        <v>0.95716573547390671</v>
      </c>
      <c r="R17" s="511"/>
      <c r="S17" s="68"/>
      <c r="T17" s="68"/>
      <c r="U17" s="125"/>
      <c r="V17" s="133"/>
      <c r="W17" s="64"/>
      <c r="X17" s="64"/>
      <c r="Y17" s="510"/>
      <c r="Z17" s="510"/>
      <c r="AA17" s="66">
        <f t="shared" si="8"/>
        <v>-72.818249694358656</v>
      </c>
      <c r="AB17" s="128">
        <f t="shared" si="9"/>
        <v>0.95716573547390671</v>
      </c>
      <c r="AC17" s="511"/>
    </row>
    <row r="18" spans="1:29" ht="15.75" customHeight="1">
      <c r="A18" s="537" t="s">
        <v>484</v>
      </c>
      <c r="B18" s="62" t="s">
        <v>13</v>
      </c>
      <c r="C18" s="533" t="s">
        <v>21</v>
      </c>
      <c r="D18" s="533"/>
      <c r="E18" s="62">
        <v>43.14</v>
      </c>
      <c r="F18" s="80">
        <v>1449</v>
      </c>
      <c r="G18" s="125">
        <f t="shared" ref="G18:G22" si="19">E18*F18</f>
        <v>62509.86</v>
      </c>
      <c r="H18" s="90" t="s">
        <v>5</v>
      </c>
      <c r="I18" s="132">
        <v>17</v>
      </c>
      <c r="J18" s="63">
        <v>2000</v>
      </c>
      <c r="K18" s="64">
        <f t="shared" si="1"/>
        <v>117.64705882352941</v>
      </c>
      <c r="L18" s="132">
        <v>17</v>
      </c>
      <c r="M18" s="65">
        <f t="shared" ref="M18:M22" si="20">F18/V18*60</f>
        <v>1932.0000000000002</v>
      </c>
      <c r="N18" s="64">
        <f t="shared" si="3"/>
        <v>113.64705882352942</v>
      </c>
      <c r="O18" s="66">
        <f t="shared" si="4"/>
        <v>0</v>
      </c>
      <c r="P18" s="67">
        <f t="shared" si="5"/>
        <v>-3.9999999999999858</v>
      </c>
      <c r="Q18" s="128">
        <f t="shared" si="6"/>
        <v>0.96600000000000008</v>
      </c>
      <c r="R18" s="511">
        <f>Q23</f>
        <v>0.96069166666666639</v>
      </c>
      <c r="S18" s="68">
        <v>0.20833333333333334</v>
      </c>
      <c r="T18" s="68">
        <v>0.23958333333333334</v>
      </c>
      <c r="U18" s="125"/>
      <c r="V18" s="133">
        <f t="shared" ref="V18:V22" si="21">(T18-S18)*24*60</f>
        <v>45</v>
      </c>
      <c r="W18" s="73"/>
      <c r="X18" s="73"/>
      <c r="Y18" s="510"/>
      <c r="Z18" s="510"/>
      <c r="AA18" s="66">
        <f t="shared" si="8"/>
        <v>-67.999999999999773</v>
      </c>
      <c r="AB18" s="128">
        <f t="shared" si="9"/>
        <v>0.96600000000000008</v>
      </c>
      <c r="AC18" s="511">
        <f>AB23</f>
        <v>0.96069166666666639</v>
      </c>
    </row>
    <row r="19" spans="1:29" ht="15.75" customHeight="1">
      <c r="A19" s="538" t="s">
        <v>485</v>
      </c>
      <c r="B19" s="62" t="s">
        <v>6</v>
      </c>
      <c r="C19" s="533" t="s">
        <v>23</v>
      </c>
      <c r="D19" s="533"/>
      <c r="E19" s="62">
        <v>53.68</v>
      </c>
      <c r="F19" s="80">
        <v>1932</v>
      </c>
      <c r="G19" s="125">
        <f t="shared" si="19"/>
        <v>103709.75999999999</v>
      </c>
      <c r="H19" s="90" t="s">
        <v>5</v>
      </c>
      <c r="I19" s="132">
        <v>16</v>
      </c>
      <c r="J19" s="63">
        <v>2000</v>
      </c>
      <c r="K19" s="64">
        <f t="shared" si="1"/>
        <v>125</v>
      </c>
      <c r="L19" s="132">
        <v>16</v>
      </c>
      <c r="M19" s="65">
        <f t="shared" si="20"/>
        <v>1931.9999999999989</v>
      </c>
      <c r="N19" s="64">
        <f t="shared" si="3"/>
        <v>120.74999999999993</v>
      </c>
      <c r="O19" s="66">
        <f t="shared" si="4"/>
        <v>0</v>
      </c>
      <c r="P19" s="67">
        <f t="shared" si="5"/>
        <v>-4.2500000000000711</v>
      </c>
      <c r="Q19" s="128">
        <f t="shared" si="6"/>
        <v>0.96599999999999941</v>
      </c>
      <c r="R19" s="511"/>
      <c r="S19" s="68">
        <v>0.24513888888888891</v>
      </c>
      <c r="T19" s="68">
        <v>0.28680555555555559</v>
      </c>
      <c r="U19" s="125">
        <f t="shared" ref="U19:U22" si="22">IF(S19=TIME(17,0,0),"",(S19-T18)*24*60)</f>
        <v>8.0000000000000107</v>
      </c>
      <c r="V19" s="133">
        <f t="shared" si="21"/>
        <v>60.000000000000028</v>
      </c>
      <c r="W19" s="69"/>
      <c r="X19" s="125"/>
      <c r="Y19" s="510"/>
      <c r="Z19" s="510"/>
      <c r="AA19" s="66">
        <f t="shared" si="8"/>
        <v>-68.000000000001137</v>
      </c>
      <c r="AB19" s="128">
        <f t="shared" si="9"/>
        <v>0.96599999999999941</v>
      </c>
      <c r="AC19" s="511"/>
    </row>
    <row r="20" spans="1:29" ht="15.75" customHeight="1">
      <c r="A20" s="538" t="s">
        <v>484</v>
      </c>
      <c r="B20" s="62" t="s">
        <v>6</v>
      </c>
      <c r="C20" s="533" t="s">
        <v>22</v>
      </c>
      <c r="D20" s="533"/>
      <c r="E20" s="62">
        <v>57.73</v>
      </c>
      <c r="F20" s="80">
        <v>3066</v>
      </c>
      <c r="G20" s="125">
        <f t="shared" si="19"/>
        <v>177000.18</v>
      </c>
      <c r="H20" s="90" t="s">
        <v>5</v>
      </c>
      <c r="I20" s="132">
        <v>14</v>
      </c>
      <c r="J20" s="63">
        <v>2000</v>
      </c>
      <c r="K20" s="64">
        <f t="shared" si="1"/>
        <v>142.85714285714286</v>
      </c>
      <c r="L20" s="132">
        <v>14</v>
      </c>
      <c r="M20" s="65">
        <f t="shared" si="20"/>
        <v>1916.2500000000007</v>
      </c>
      <c r="N20" s="64">
        <f t="shared" si="3"/>
        <v>136.87500000000006</v>
      </c>
      <c r="O20" s="66">
        <f t="shared" si="4"/>
        <v>0</v>
      </c>
      <c r="P20" s="67">
        <f t="shared" si="5"/>
        <v>-5.9821428571428044</v>
      </c>
      <c r="Q20" s="128">
        <f t="shared" si="6"/>
        <v>0.95812500000000034</v>
      </c>
      <c r="R20" s="511"/>
      <c r="S20" s="68">
        <v>0.29097222222222224</v>
      </c>
      <c r="T20" s="68">
        <v>0.3576388888888889</v>
      </c>
      <c r="U20" s="125">
        <f t="shared" si="22"/>
        <v>5.9999999999999787</v>
      </c>
      <c r="V20" s="133">
        <f t="shared" si="21"/>
        <v>95.999999999999972</v>
      </c>
      <c r="W20" s="69"/>
      <c r="X20" s="125"/>
      <c r="Y20" s="510"/>
      <c r="Z20" s="510"/>
      <c r="AA20" s="66">
        <f t="shared" si="8"/>
        <v>-83.749999999999318</v>
      </c>
      <c r="AB20" s="128">
        <f t="shared" si="9"/>
        <v>0.95812500000000034</v>
      </c>
      <c r="AC20" s="511"/>
    </row>
    <row r="21" spans="1:29" ht="15.75" customHeight="1">
      <c r="A21" s="538" t="s">
        <v>483</v>
      </c>
      <c r="B21" s="62" t="s">
        <v>6</v>
      </c>
      <c r="C21" s="533" t="s">
        <v>24</v>
      </c>
      <c r="D21" s="533"/>
      <c r="E21" s="62">
        <v>54.09</v>
      </c>
      <c r="F21" s="80">
        <v>2288</v>
      </c>
      <c r="G21" s="125">
        <f t="shared" si="19"/>
        <v>123757.92000000001</v>
      </c>
      <c r="H21" s="90" t="s">
        <v>5</v>
      </c>
      <c r="I21" s="132">
        <v>19</v>
      </c>
      <c r="J21" s="63">
        <v>2000</v>
      </c>
      <c r="K21" s="64">
        <f t="shared" si="1"/>
        <v>105.26315789473684</v>
      </c>
      <c r="L21" s="132">
        <v>19</v>
      </c>
      <c r="M21" s="65">
        <f t="shared" si="20"/>
        <v>1906.6666666666652</v>
      </c>
      <c r="N21" s="64">
        <f t="shared" si="3"/>
        <v>100.35087719298238</v>
      </c>
      <c r="O21" s="66">
        <f t="shared" si="4"/>
        <v>0</v>
      </c>
      <c r="P21" s="67">
        <f t="shared" si="5"/>
        <v>-4.9122807017544545</v>
      </c>
      <c r="Q21" s="128">
        <f t="shared" si="6"/>
        <v>0.9533333333333327</v>
      </c>
      <c r="R21" s="511"/>
      <c r="S21" s="68">
        <v>0.70833333333333337</v>
      </c>
      <c r="T21" s="68">
        <v>0.75833333333333341</v>
      </c>
      <c r="U21" s="125" t="str">
        <f t="shared" si="22"/>
        <v/>
      </c>
      <c r="V21" s="133">
        <f t="shared" si="21"/>
        <v>72.000000000000057</v>
      </c>
      <c r="W21" s="69"/>
      <c r="X21" s="125"/>
      <c r="Y21" s="510"/>
      <c r="Z21" s="510"/>
      <c r="AA21" s="66">
        <f t="shared" si="8"/>
        <v>-93.333333333334849</v>
      </c>
      <c r="AB21" s="128">
        <f t="shared" si="9"/>
        <v>0.95333333333333259</v>
      </c>
      <c r="AC21" s="511"/>
    </row>
    <row r="22" spans="1:29" ht="15.75" customHeight="1">
      <c r="A22" s="538" t="s">
        <v>484</v>
      </c>
      <c r="B22" s="62" t="s">
        <v>6</v>
      </c>
      <c r="C22" s="533" t="s">
        <v>81</v>
      </c>
      <c r="D22" s="533"/>
      <c r="E22" s="62">
        <v>50.67</v>
      </c>
      <c r="F22" s="80">
        <v>2592</v>
      </c>
      <c r="G22" s="125">
        <f t="shared" si="19"/>
        <v>131336.64000000001</v>
      </c>
      <c r="H22" s="90" t="s">
        <v>5</v>
      </c>
      <c r="I22" s="132">
        <v>15</v>
      </c>
      <c r="J22" s="63">
        <v>2000</v>
      </c>
      <c r="K22" s="64">
        <f t="shared" si="1"/>
        <v>133.33333333333334</v>
      </c>
      <c r="L22" s="132">
        <v>15</v>
      </c>
      <c r="M22" s="65">
        <f t="shared" si="20"/>
        <v>1919.9999999999993</v>
      </c>
      <c r="N22" s="64">
        <f t="shared" si="3"/>
        <v>127.99999999999996</v>
      </c>
      <c r="O22" s="66">
        <f t="shared" si="4"/>
        <v>0</v>
      </c>
      <c r="P22" s="67">
        <f t="shared" si="5"/>
        <v>-5.3333333333333854</v>
      </c>
      <c r="Q22" s="128">
        <f t="shared" si="6"/>
        <v>0.95999999999999963</v>
      </c>
      <c r="R22" s="511"/>
      <c r="S22" s="68">
        <v>0.76250000000000007</v>
      </c>
      <c r="T22" s="68">
        <v>0.81875000000000009</v>
      </c>
      <c r="U22" s="125">
        <f t="shared" si="22"/>
        <v>5.9999999999999787</v>
      </c>
      <c r="V22" s="133">
        <f t="shared" si="21"/>
        <v>81.000000000000028</v>
      </c>
      <c r="W22" s="69"/>
      <c r="X22" s="125"/>
      <c r="Y22" s="510"/>
      <c r="Z22" s="510"/>
      <c r="AA22" s="66">
        <f t="shared" si="8"/>
        <v>-80.000000000000682</v>
      </c>
      <c r="AB22" s="128">
        <f t="shared" si="9"/>
        <v>0.95999999999999963</v>
      </c>
      <c r="AC22" s="511"/>
    </row>
    <row r="23" spans="1:29" ht="15.75" customHeight="1">
      <c r="A23" s="538" t="s">
        <v>485</v>
      </c>
      <c r="B23" s="62" t="s">
        <v>482</v>
      </c>
      <c r="C23" s="513"/>
      <c r="D23" s="513"/>
      <c r="E23" s="129"/>
      <c r="F23" s="80"/>
      <c r="G23" s="125"/>
      <c r="H23" s="80"/>
      <c r="I23" s="72">
        <v>16.2</v>
      </c>
      <c r="J23" s="63">
        <v>2000</v>
      </c>
      <c r="K23" s="64">
        <f t="shared" si="1"/>
        <v>123.4567901234568</v>
      </c>
      <c r="L23" s="72">
        <v>16.2</v>
      </c>
      <c r="M23" s="65">
        <f>AVERAGE(M18:M22)</f>
        <v>1921.3833333333328</v>
      </c>
      <c r="N23" s="64">
        <f t="shared" si="3"/>
        <v>118.60390946502055</v>
      </c>
      <c r="O23" s="66">
        <f t="shared" si="4"/>
        <v>0</v>
      </c>
      <c r="P23" s="67">
        <f t="shared" si="5"/>
        <v>-4.8528806584362485</v>
      </c>
      <c r="Q23" s="128">
        <f t="shared" si="6"/>
        <v>0.96069166666666639</v>
      </c>
      <c r="R23" s="511"/>
      <c r="S23" s="68"/>
      <c r="T23" s="68"/>
      <c r="U23" s="64"/>
      <c r="V23" s="133"/>
      <c r="W23" s="64"/>
      <c r="X23" s="64"/>
      <c r="Y23" s="510"/>
      <c r="Z23" s="510"/>
      <c r="AA23" s="66">
        <f t="shared" si="8"/>
        <v>-78.616666666667243</v>
      </c>
      <c r="AB23" s="128">
        <f t="shared" si="9"/>
        <v>0.96069166666666639</v>
      </c>
      <c r="AC23" s="511"/>
    </row>
    <row r="24" spans="1:29" ht="15.75" customHeight="1">
      <c r="A24" s="536" t="s">
        <v>486</v>
      </c>
      <c r="B24" s="62" t="s">
        <v>16</v>
      </c>
      <c r="C24" s="533" t="s">
        <v>30</v>
      </c>
      <c r="D24" s="533"/>
      <c r="E24" s="62">
        <v>31.29</v>
      </c>
      <c r="F24" s="80">
        <v>4500</v>
      </c>
      <c r="G24" s="125">
        <f t="shared" ref="G24:G31" si="23">E24*F24</f>
        <v>140805</v>
      </c>
      <c r="H24" s="90">
        <v>2</v>
      </c>
      <c r="I24" s="132">
        <v>18</v>
      </c>
      <c r="J24" s="63">
        <v>2400</v>
      </c>
      <c r="K24" s="64">
        <f t="shared" si="1"/>
        <v>133.33333333333334</v>
      </c>
      <c r="L24" s="132">
        <v>18</v>
      </c>
      <c r="M24" s="65">
        <f t="shared" ref="M24:M31" si="24">F24/V24*60</f>
        <v>2288.1355932203396</v>
      </c>
      <c r="N24" s="64">
        <f t="shared" si="3"/>
        <v>127.11864406779665</v>
      </c>
      <c r="O24" s="66">
        <f t="shared" si="4"/>
        <v>0</v>
      </c>
      <c r="P24" s="67">
        <f t="shared" si="5"/>
        <v>-6.2146892655366912</v>
      </c>
      <c r="Q24" s="128">
        <f t="shared" si="6"/>
        <v>0.95338983050847481</v>
      </c>
      <c r="R24" s="511">
        <f>Q32</f>
        <v>0.95586673101133057</v>
      </c>
      <c r="S24" s="68">
        <v>0.125</v>
      </c>
      <c r="T24" s="68">
        <v>0.20694444444444443</v>
      </c>
      <c r="U24" s="125"/>
      <c r="V24" s="133">
        <f t="shared" ref="V24:V31" si="25">(T24-S24)*24*60</f>
        <v>117.99999999999999</v>
      </c>
      <c r="W24" s="69">
        <f>T24</f>
        <v>0.20694444444444443</v>
      </c>
      <c r="X24" s="69">
        <f>S25</f>
        <v>0.22708333333333333</v>
      </c>
      <c r="Y24" s="510"/>
      <c r="Z24" s="510"/>
      <c r="AA24" s="66">
        <f t="shared" si="8"/>
        <v>-111.86440677966038</v>
      </c>
      <c r="AB24" s="128">
        <f t="shared" si="9"/>
        <v>0.95338983050847481</v>
      </c>
      <c r="AC24" s="511">
        <f>AB32</f>
        <v>0.95586673101133068</v>
      </c>
    </row>
    <row r="25" spans="1:29" ht="15.75" customHeight="1">
      <c r="A25" s="536" t="s">
        <v>159</v>
      </c>
      <c r="B25" s="62" t="s">
        <v>16</v>
      </c>
      <c r="C25" s="533" t="s">
        <v>28</v>
      </c>
      <c r="D25" s="533"/>
      <c r="E25" s="62">
        <v>26.18</v>
      </c>
      <c r="F25" s="80">
        <v>3668</v>
      </c>
      <c r="G25" s="125">
        <f t="shared" si="23"/>
        <v>96028.24</v>
      </c>
      <c r="H25" s="90" t="s">
        <v>5</v>
      </c>
      <c r="I25" s="132">
        <v>19</v>
      </c>
      <c r="J25" s="63">
        <v>2400</v>
      </c>
      <c r="K25" s="64">
        <f t="shared" si="1"/>
        <v>126.31578947368421</v>
      </c>
      <c r="L25" s="132">
        <v>19</v>
      </c>
      <c r="M25" s="65">
        <f t="shared" si="24"/>
        <v>2292.4999999999995</v>
      </c>
      <c r="N25" s="64">
        <f t="shared" si="3"/>
        <v>120.65789473684208</v>
      </c>
      <c r="O25" s="66">
        <f t="shared" si="4"/>
        <v>0</v>
      </c>
      <c r="P25" s="67">
        <f t="shared" si="5"/>
        <v>-5.657894736842124</v>
      </c>
      <c r="Q25" s="128">
        <f t="shared" si="6"/>
        <v>0.95520833333333321</v>
      </c>
      <c r="R25" s="511"/>
      <c r="S25" s="68">
        <v>0.22708333333333333</v>
      </c>
      <c r="T25" s="68">
        <v>0.29375000000000001</v>
      </c>
      <c r="U25" s="125">
        <f t="shared" ref="U25:U31" si="26">(S25-T24)*24*60</f>
        <v>29.000000000000018</v>
      </c>
      <c r="V25" s="133">
        <f t="shared" si="25"/>
        <v>96.000000000000014</v>
      </c>
      <c r="W25" s="69"/>
      <c r="X25" s="69"/>
      <c r="Y25" s="510"/>
      <c r="Z25" s="510"/>
      <c r="AA25" s="66">
        <f t="shared" si="8"/>
        <v>-107.50000000000045</v>
      </c>
      <c r="AB25" s="128">
        <f t="shared" si="9"/>
        <v>0.9552083333333331</v>
      </c>
      <c r="AC25" s="511"/>
    </row>
    <row r="26" spans="1:29" ht="15.75" customHeight="1">
      <c r="A26" s="536" t="s">
        <v>159</v>
      </c>
      <c r="B26" s="62" t="s">
        <v>16</v>
      </c>
      <c r="C26" s="533" t="s">
        <v>29</v>
      </c>
      <c r="D26" s="533"/>
      <c r="E26" s="62">
        <v>26.2</v>
      </c>
      <c r="F26" s="80">
        <v>4879</v>
      </c>
      <c r="G26" s="125">
        <f t="shared" si="23"/>
        <v>127829.8</v>
      </c>
      <c r="H26" s="90" t="s">
        <v>5</v>
      </c>
      <c r="I26" s="132">
        <v>19</v>
      </c>
      <c r="J26" s="63">
        <v>2400</v>
      </c>
      <c r="K26" s="64">
        <f t="shared" si="1"/>
        <v>126.31578947368421</v>
      </c>
      <c r="L26" s="132">
        <v>19</v>
      </c>
      <c r="M26" s="65">
        <f t="shared" si="24"/>
        <v>2287.0312499999995</v>
      </c>
      <c r="N26" s="64">
        <f t="shared" si="3"/>
        <v>120.37006578947366</v>
      </c>
      <c r="O26" s="66">
        <f t="shared" si="4"/>
        <v>0</v>
      </c>
      <c r="P26" s="67">
        <f t="shared" si="5"/>
        <v>-5.9457236842105488</v>
      </c>
      <c r="Q26" s="128">
        <f t="shared" si="6"/>
        <v>0.95292968749999984</v>
      </c>
      <c r="R26" s="511"/>
      <c r="S26" s="68">
        <v>0.29722222222222222</v>
      </c>
      <c r="T26" s="68">
        <v>0.38611111111111113</v>
      </c>
      <c r="U26" s="125">
        <f t="shared" si="26"/>
        <v>4.9999999999999822</v>
      </c>
      <c r="V26" s="133">
        <f t="shared" si="25"/>
        <v>128.00000000000003</v>
      </c>
      <c r="W26" s="69"/>
      <c r="X26" s="69"/>
      <c r="Y26" s="510"/>
      <c r="Z26" s="510"/>
      <c r="AA26" s="66">
        <f t="shared" si="8"/>
        <v>-112.96875000000045</v>
      </c>
      <c r="AB26" s="128">
        <f t="shared" si="9"/>
        <v>0.95292968749999984</v>
      </c>
      <c r="AC26" s="511"/>
    </row>
    <row r="27" spans="1:29" ht="15.75" customHeight="1">
      <c r="A27" s="536" t="s">
        <v>159</v>
      </c>
      <c r="B27" s="62" t="s">
        <v>16</v>
      </c>
      <c r="C27" s="533" t="s">
        <v>25</v>
      </c>
      <c r="D27" s="533"/>
      <c r="E27" s="62">
        <v>26.2</v>
      </c>
      <c r="F27" s="80">
        <v>3300</v>
      </c>
      <c r="G27" s="125">
        <f t="shared" si="23"/>
        <v>86460</v>
      </c>
      <c r="H27" s="90">
        <v>2</v>
      </c>
      <c r="I27" s="132">
        <v>20</v>
      </c>
      <c r="J27" s="63">
        <v>2400</v>
      </c>
      <c r="K27" s="64">
        <f t="shared" si="1"/>
        <v>120</v>
      </c>
      <c r="L27" s="132">
        <v>20</v>
      </c>
      <c r="M27" s="65">
        <f t="shared" si="24"/>
        <v>2302.3255813953483</v>
      </c>
      <c r="N27" s="64">
        <f t="shared" si="3"/>
        <v>115.11627906976742</v>
      </c>
      <c r="O27" s="66">
        <f t="shared" si="4"/>
        <v>0</v>
      </c>
      <c r="P27" s="67">
        <f t="shared" si="5"/>
        <v>-4.8837209302325846</v>
      </c>
      <c r="Q27" s="128">
        <f t="shared" si="6"/>
        <v>0.95930232558139517</v>
      </c>
      <c r="R27" s="511"/>
      <c r="S27" s="68">
        <v>0.39166666666666666</v>
      </c>
      <c r="T27" s="68">
        <v>0.4513888888888889</v>
      </c>
      <c r="U27" s="125">
        <f t="shared" si="26"/>
        <v>7.9999999999999716</v>
      </c>
      <c r="V27" s="133">
        <f t="shared" si="25"/>
        <v>86.000000000000014</v>
      </c>
      <c r="W27" s="69"/>
      <c r="X27" s="69"/>
      <c r="Y27" s="510"/>
      <c r="Z27" s="510"/>
      <c r="AA27" s="66">
        <f t="shared" si="8"/>
        <v>-97.674418604651692</v>
      </c>
      <c r="AB27" s="128">
        <f t="shared" si="9"/>
        <v>0.95930232558139517</v>
      </c>
      <c r="AC27" s="511"/>
    </row>
    <row r="28" spans="1:29" ht="15.75" customHeight="1">
      <c r="A28" s="536" t="s">
        <v>159</v>
      </c>
      <c r="B28" s="62" t="s">
        <v>16</v>
      </c>
      <c r="C28" s="533" t="s">
        <v>83</v>
      </c>
      <c r="D28" s="533"/>
      <c r="E28" s="62">
        <v>25.99</v>
      </c>
      <c r="F28" s="80">
        <v>3800</v>
      </c>
      <c r="G28" s="125">
        <f t="shared" si="23"/>
        <v>98762</v>
      </c>
      <c r="H28" s="90">
        <v>2</v>
      </c>
      <c r="I28" s="132">
        <v>14</v>
      </c>
      <c r="J28" s="63">
        <v>2400</v>
      </c>
      <c r="K28" s="64">
        <f t="shared" si="1"/>
        <v>171.42857142857142</v>
      </c>
      <c r="L28" s="132">
        <v>14</v>
      </c>
      <c r="M28" s="65">
        <f t="shared" si="24"/>
        <v>2303.0303030303021</v>
      </c>
      <c r="N28" s="64">
        <f t="shared" si="3"/>
        <v>164.50216450216445</v>
      </c>
      <c r="O28" s="66">
        <f t="shared" si="4"/>
        <v>0</v>
      </c>
      <c r="P28" s="67">
        <f t="shared" si="5"/>
        <v>-6.926406926406969</v>
      </c>
      <c r="Q28" s="128">
        <f t="shared" si="6"/>
        <v>0.95959595959595934</v>
      </c>
      <c r="R28" s="511"/>
      <c r="S28" s="68">
        <v>0.45624999999999999</v>
      </c>
      <c r="T28" s="68">
        <v>0.52500000000000002</v>
      </c>
      <c r="U28" s="125">
        <f t="shared" si="26"/>
        <v>6.9999999999999751</v>
      </c>
      <c r="V28" s="133">
        <f t="shared" si="25"/>
        <v>99.000000000000043</v>
      </c>
      <c r="W28" s="69">
        <f>T28</f>
        <v>0.52500000000000002</v>
      </c>
      <c r="X28" s="69">
        <f>S29</f>
        <v>0.56388888888888888</v>
      </c>
      <c r="Y28" s="510"/>
      <c r="Z28" s="510"/>
      <c r="AA28" s="66">
        <f t="shared" si="8"/>
        <v>-96.969696969697907</v>
      </c>
      <c r="AB28" s="128">
        <f t="shared" si="9"/>
        <v>0.95959595959595922</v>
      </c>
      <c r="AC28" s="511"/>
    </row>
    <row r="29" spans="1:29" ht="15.75" customHeight="1">
      <c r="A29" s="536" t="s">
        <v>487</v>
      </c>
      <c r="B29" s="62" t="s">
        <v>16</v>
      </c>
      <c r="C29" s="533" t="s">
        <v>30</v>
      </c>
      <c r="D29" s="533"/>
      <c r="E29" s="62">
        <v>31.29</v>
      </c>
      <c r="F29" s="80">
        <v>5576</v>
      </c>
      <c r="G29" s="125">
        <f t="shared" si="23"/>
        <v>174473.04</v>
      </c>
      <c r="H29" s="90" t="s">
        <v>5</v>
      </c>
      <c r="I29" s="132">
        <v>18</v>
      </c>
      <c r="J29" s="63">
        <v>2400</v>
      </c>
      <c r="K29" s="64">
        <f t="shared" si="1"/>
        <v>133.33333333333334</v>
      </c>
      <c r="L29" s="132">
        <v>18</v>
      </c>
      <c r="M29" s="65">
        <f t="shared" si="24"/>
        <v>2291.5068493150688</v>
      </c>
      <c r="N29" s="64">
        <f t="shared" si="3"/>
        <v>127.30593607305939</v>
      </c>
      <c r="O29" s="66">
        <f t="shared" si="4"/>
        <v>0</v>
      </c>
      <c r="P29" s="67">
        <f t="shared" si="5"/>
        <v>-6.0273972602739576</v>
      </c>
      <c r="Q29" s="128">
        <f t="shared" si="6"/>
        <v>0.95479452054794534</v>
      </c>
      <c r="R29" s="511"/>
      <c r="S29" s="68">
        <v>0.56388888888888888</v>
      </c>
      <c r="T29" s="68">
        <v>0.66527777777777775</v>
      </c>
      <c r="U29" s="125">
        <f t="shared" si="26"/>
        <v>55.999999999999957</v>
      </c>
      <c r="V29" s="133">
        <f t="shared" si="25"/>
        <v>145.99999999999997</v>
      </c>
      <c r="W29" s="69"/>
      <c r="X29" s="69"/>
      <c r="Y29" s="510"/>
      <c r="Z29" s="510"/>
      <c r="AA29" s="66">
        <f t="shared" si="8"/>
        <v>-108.49315068493115</v>
      </c>
      <c r="AB29" s="128">
        <f t="shared" si="9"/>
        <v>0.95479452054794534</v>
      </c>
      <c r="AC29" s="511"/>
    </row>
    <row r="30" spans="1:29" ht="15.75" customHeight="1">
      <c r="A30" s="536" t="s">
        <v>487</v>
      </c>
      <c r="B30" s="62" t="s">
        <v>16</v>
      </c>
      <c r="C30" s="533" t="s">
        <v>83</v>
      </c>
      <c r="D30" s="533"/>
      <c r="E30" s="62">
        <v>25.99</v>
      </c>
      <c r="F30" s="80">
        <v>2417</v>
      </c>
      <c r="G30" s="125">
        <f t="shared" si="23"/>
        <v>62817.829999999994</v>
      </c>
      <c r="H30" s="90" t="s">
        <v>5</v>
      </c>
      <c r="I30" s="132">
        <v>14</v>
      </c>
      <c r="J30" s="63">
        <v>2400</v>
      </c>
      <c r="K30" s="64">
        <f t="shared" si="1"/>
        <v>171.42857142857142</v>
      </c>
      <c r="L30" s="132">
        <v>14</v>
      </c>
      <c r="M30" s="65">
        <f t="shared" si="24"/>
        <v>2301.9047619047642</v>
      </c>
      <c r="N30" s="64">
        <f t="shared" si="3"/>
        <v>164.42176870748315</v>
      </c>
      <c r="O30" s="66">
        <f t="shared" si="4"/>
        <v>0</v>
      </c>
      <c r="P30" s="67">
        <f t="shared" si="5"/>
        <v>-7.0068027210882633</v>
      </c>
      <c r="Q30" s="128">
        <f t="shared" si="6"/>
        <v>0.95912698412698516</v>
      </c>
      <c r="R30" s="511"/>
      <c r="S30" s="68">
        <v>0.6694444444444444</v>
      </c>
      <c r="T30" s="68">
        <v>0.71319444444444435</v>
      </c>
      <c r="U30" s="125">
        <f t="shared" si="26"/>
        <v>5.9999999999999787</v>
      </c>
      <c r="V30" s="133">
        <f t="shared" si="25"/>
        <v>62.999999999999936</v>
      </c>
      <c r="W30" s="69"/>
      <c r="X30" s="69"/>
      <c r="Y30" s="510"/>
      <c r="Z30" s="510"/>
      <c r="AA30" s="66">
        <f t="shared" si="8"/>
        <v>-98.0952380952358</v>
      </c>
      <c r="AB30" s="128">
        <f t="shared" si="9"/>
        <v>0.95912698412698505</v>
      </c>
      <c r="AC30" s="511"/>
    </row>
    <row r="31" spans="1:29" ht="15.75" customHeight="1">
      <c r="A31" s="536" t="s">
        <v>487</v>
      </c>
      <c r="B31" s="62" t="s">
        <v>16</v>
      </c>
      <c r="C31" s="533" t="s">
        <v>25</v>
      </c>
      <c r="D31" s="533"/>
      <c r="E31" s="62">
        <v>26.2</v>
      </c>
      <c r="F31" s="80">
        <v>2210</v>
      </c>
      <c r="G31" s="125">
        <f t="shared" si="23"/>
        <v>57902</v>
      </c>
      <c r="H31" s="90" t="s">
        <v>5</v>
      </c>
      <c r="I31" s="132">
        <v>20</v>
      </c>
      <c r="J31" s="63">
        <v>2400</v>
      </c>
      <c r="K31" s="64">
        <f t="shared" si="1"/>
        <v>120</v>
      </c>
      <c r="L31" s="132">
        <v>20</v>
      </c>
      <c r="M31" s="65">
        <f t="shared" si="24"/>
        <v>2286.206896551726</v>
      </c>
      <c r="N31" s="64">
        <f t="shared" si="3"/>
        <v>114.31034482758631</v>
      </c>
      <c r="O31" s="66">
        <f t="shared" si="4"/>
        <v>0</v>
      </c>
      <c r="P31" s="67">
        <f t="shared" si="5"/>
        <v>-5.6896551724136941</v>
      </c>
      <c r="Q31" s="128">
        <f t="shared" si="6"/>
        <v>0.9525862068965526</v>
      </c>
      <c r="R31" s="511"/>
      <c r="S31" s="68">
        <v>0.71666666666666656</v>
      </c>
      <c r="T31" s="68">
        <v>0.75694444444444431</v>
      </c>
      <c r="U31" s="125">
        <f t="shared" si="26"/>
        <v>4.9999999999999822</v>
      </c>
      <c r="V31" s="133">
        <f t="shared" si="25"/>
        <v>57.999999999999957</v>
      </c>
      <c r="W31" s="69"/>
      <c r="X31" s="69"/>
      <c r="Y31" s="510"/>
      <c r="Z31" s="510"/>
      <c r="AA31" s="66">
        <f t="shared" si="8"/>
        <v>-113.793103448274</v>
      </c>
      <c r="AB31" s="128">
        <f t="shared" si="9"/>
        <v>0.95258620689655249</v>
      </c>
      <c r="AC31" s="511"/>
    </row>
    <row r="32" spans="1:29" ht="15.75" customHeight="1">
      <c r="A32" s="536" t="s">
        <v>159</v>
      </c>
      <c r="B32" s="62" t="s">
        <v>482</v>
      </c>
      <c r="C32" s="513"/>
      <c r="D32" s="513"/>
      <c r="E32" s="129"/>
      <c r="F32" s="80"/>
      <c r="G32" s="125"/>
      <c r="H32" s="80"/>
      <c r="I32" s="72">
        <v>17.75</v>
      </c>
      <c r="J32" s="63">
        <v>2400</v>
      </c>
      <c r="K32" s="64">
        <f t="shared" si="1"/>
        <v>135.21126760563379</v>
      </c>
      <c r="L32" s="72">
        <v>17.75</v>
      </c>
      <c r="M32" s="65">
        <f>AVERAGE(M24:M31)</f>
        <v>2294.0801544271935</v>
      </c>
      <c r="N32" s="64">
        <f t="shared" si="3"/>
        <v>129.2439523620954</v>
      </c>
      <c r="O32" s="66">
        <f t="shared" si="4"/>
        <v>0</v>
      </c>
      <c r="P32" s="67">
        <f t="shared" si="5"/>
        <v>-5.967315243538394</v>
      </c>
      <c r="Q32" s="128">
        <f t="shared" si="6"/>
        <v>0.95586673101133057</v>
      </c>
      <c r="R32" s="511"/>
      <c r="S32" s="68"/>
      <c r="T32" s="68"/>
      <c r="U32" s="125"/>
      <c r="V32" s="133"/>
      <c r="W32" s="125"/>
      <c r="X32" s="125"/>
      <c r="Y32" s="510"/>
      <c r="Z32" s="510"/>
      <c r="AA32" s="66">
        <f t="shared" si="8"/>
        <v>-105.91984557280648</v>
      </c>
      <c r="AB32" s="128">
        <f t="shared" si="9"/>
        <v>0.95586673101133068</v>
      </c>
      <c r="AC32" s="511"/>
    </row>
    <row r="33" spans="1:29" ht="15.75" customHeight="1">
      <c r="A33" s="531" t="s">
        <v>416</v>
      </c>
      <c r="B33" s="62" t="s">
        <v>16</v>
      </c>
      <c r="C33" s="512" t="s">
        <v>31</v>
      </c>
      <c r="D33" s="512"/>
      <c r="E33" s="62">
        <v>26.2</v>
      </c>
      <c r="F33" s="80">
        <v>4400</v>
      </c>
      <c r="G33" s="125">
        <f t="shared" ref="G33:G40" si="27">E33*F33</f>
        <v>115280</v>
      </c>
      <c r="H33" s="90">
        <v>2</v>
      </c>
      <c r="I33" s="132">
        <v>18</v>
      </c>
      <c r="J33" s="63">
        <v>2400</v>
      </c>
      <c r="K33" s="64">
        <f t="shared" si="1"/>
        <v>133.33333333333334</v>
      </c>
      <c r="L33" s="132">
        <v>18</v>
      </c>
      <c r="M33" s="65">
        <f t="shared" ref="M33:M40" si="28">F33/V33*60</f>
        <v>2295.652173913044</v>
      </c>
      <c r="N33" s="64">
        <f t="shared" si="3"/>
        <v>127.536231884058</v>
      </c>
      <c r="O33" s="66">
        <f t="shared" si="4"/>
        <v>0</v>
      </c>
      <c r="P33" s="67">
        <f t="shared" si="5"/>
        <v>-5.7971014492753454</v>
      </c>
      <c r="Q33" s="128">
        <f t="shared" si="6"/>
        <v>0.95652173913043492</v>
      </c>
      <c r="R33" s="511">
        <f>Q41</f>
        <v>0.95632669648750834</v>
      </c>
      <c r="S33" s="68">
        <v>0.125</v>
      </c>
      <c r="T33" s="68">
        <v>0.2048611111111111</v>
      </c>
      <c r="U33" s="125"/>
      <c r="V33" s="133">
        <f t="shared" ref="V33:V40" si="29">(T33-S33)*24*60</f>
        <v>114.99999999999999</v>
      </c>
      <c r="W33" s="73">
        <f>T33</f>
        <v>0.2048611111111111</v>
      </c>
      <c r="X33" s="73">
        <f>S34</f>
        <v>0.22500000000000001</v>
      </c>
      <c r="Y33" s="510"/>
      <c r="Z33" s="510"/>
      <c r="AA33" s="66">
        <f t="shared" si="8"/>
        <v>-104.34782608695605</v>
      </c>
      <c r="AB33" s="128">
        <f t="shared" si="9"/>
        <v>0.95652173913043503</v>
      </c>
      <c r="AC33" s="511">
        <f>AB41</f>
        <v>0.95632669648750834</v>
      </c>
    </row>
    <row r="34" spans="1:29" ht="15.75" customHeight="1">
      <c r="A34" s="531" t="s">
        <v>488</v>
      </c>
      <c r="B34" s="62" t="s">
        <v>16</v>
      </c>
      <c r="C34" s="512" t="s">
        <v>32</v>
      </c>
      <c r="D34" s="512"/>
      <c r="E34" s="62">
        <v>26.39</v>
      </c>
      <c r="F34" s="80">
        <v>4300</v>
      </c>
      <c r="G34" s="125">
        <f t="shared" si="27"/>
        <v>113477</v>
      </c>
      <c r="H34" s="90">
        <v>2</v>
      </c>
      <c r="I34" s="132">
        <v>19</v>
      </c>
      <c r="J34" s="63">
        <v>2400</v>
      </c>
      <c r="K34" s="64">
        <f t="shared" si="1"/>
        <v>126.31578947368421</v>
      </c>
      <c r="L34" s="132">
        <v>19</v>
      </c>
      <c r="M34" s="65">
        <f t="shared" si="28"/>
        <v>2283.1858407079635</v>
      </c>
      <c r="N34" s="64">
        <f t="shared" si="3"/>
        <v>120.16767582673492</v>
      </c>
      <c r="O34" s="66">
        <f t="shared" si="4"/>
        <v>0</v>
      </c>
      <c r="P34" s="67">
        <f t="shared" si="5"/>
        <v>-6.1481136469492839</v>
      </c>
      <c r="Q34" s="128">
        <f t="shared" si="6"/>
        <v>0.95132743362831818</v>
      </c>
      <c r="R34" s="511"/>
      <c r="S34" s="68">
        <v>0.22500000000000001</v>
      </c>
      <c r="T34" s="68">
        <v>0.30347222222222225</v>
      </c>
      <c r="U34" s="125">
        <f t="shared" ref="U34:U40" si="30">(S34-T33)*24*60</f>
        <v>29.000000000000018</v>
      </c>
      <c r="V34" s="133">
        <f t="shared" si="29"/>
        <v>113.00000000000004</v>
      </c>
      <c r="W34" s="125"/>
      <c r="X34" s="125"/>
      <c r="Y34" s="510"/>
      <c r="Z34" s="510"/>
      <c r="AA34" s="66">
        <f t="shared" si="8"/>
        <v>-116.81415929203649</v>
      </c>
      <c r="AB34" s="128">
        <f t="shared" si="9"/>
        <v>0.95132743362831818</v>
      </c>
      <c r="AC34" s="511"/>
    </row>
    <row r="35" spans="1:29">
      <c r="A35" s="532" t="s">
        <v>489</v>
      </c>
      <c r="B35" s="62" t="s">
        <v>16</v>
      </c>
      <c r="C35" s="512" t="s">
        <v>50</v>
      </c>
      <c r="D35" s="512"/>
      <c r="E35" s="62">
        <v>20.52</v>
      </c>
      <c r="F35" s="80">
        <v>5190</v>
      </c>
      <c r="G35" s="125">
        <f t="shared" si="27"/>
        <v>106498.8</v>
      </c>
      <c r="H35" s="90" t="s">
        <v>5</v>
      </c>
      <c r="I35" s="132">
        <v>18</v>
      </c>
      <c r="J35" s="63">
        <v>2400</v>
      </c>
      <c r="K35" s="64">
        <f t="shared" si="1"/>
        <v>133.33333333333334</v>
      </c>
      <c r="L35" s="132">
        <v>18</v>
      </c>
      <c r="M35" s="65">
        <f t="shared" si="28"/>
        <v>2289.7058823529414</v>
      </c>
      <c r="N35" s="64">
        <f t="shared" si="3"/>
        <v>127.20588235294119</v>
      </c>
      <c r="O35" s="66">
        <f t="shared" si="4"/>
        <v>0</v>
      </c>
      <c r="P35" s="67">
        <f t="shared" si="5"/>
        <v>-6.1274509803921546</v>
      </c>
      <c r="Q35" s="128">
        <f t="shared" si="6"/>
        <v>0.95404411764705888</v>
      </c>
      <c r="R35" s="511"/>
      <c r="S35" s="68">
        <v>0.30763888888888891</v>
      </c>
      <c r="T35" s="68">
        <v>0.40208333333333335</v>
      </c>
      <c r="U35" s="125">
        <f t="shared" si="30"/>
        <v>5.9999999999999787</v>
      </c>
      <c r="V35" s="133">
        <f t="shared" si="29"/>
        <v>136</v>
      </c>
      <c r="W35" s="125"/>
      <c r="X35" s="125"/>
      <c r="Y35" s="510"/>
      <c r="Z35" s="510"/>
      <c r="AA35" s="66">
        <f t="shared" si="8"/>
        <v>-110.29411764705856</v>
      </c>
      <c r="AB35" s="128">
        <f t="shared" si="9"/>
        <v>0.95404411764705899</v>
      </c>
      <c r="AC35" s="511"/>
    </row>
    <row r="36" spans="1:29">
      <c r="A36" s="532" t="s">
        <v>488</v>
      </c>
      <c r="B36" s="62" t="s">
        <v>16</v>
      </c>
      <c r="C36" s="512" t="s">
        <v>18</v>
      </c>
      <c r="D36" s="512"/>
      <c r="E36" s="62">
        <v>22.35</v>
      </c>
      <c r="F36" s="80">
        <v>1992</v>
      </c>
      <c r="G36" s="125">
        <f t="shared" si="27"/>
        <v>44521.200000000004</v>
      </c>
      <c r="H36" s="90" t="s">
        <v>5</v>
      </c>
      <c r="I36" s="132">
        <v>16</v>
      </c>
      <c r="J36" s="63">
        <v>2400</v>
      </c>
      <c r="K36" s="64">
        <f t="shared" si="1"/>
        <v>150</v>
      </c>
      <c r="L36" s="132">
        <v>16</v>
      </c>
      <c r="M36" s="65">
        <f t="shared" si="28"/>
        <v>2298.4615384615395</v>
      </c>
      <c r="N36" s="64">
        <f t="shared" si="3"/>
        <v>143.65384615384622</v>
      </c>
      <c r="O36" s="66">
        <f t="shared" si="4"/>
        <v>0</v>
      </c>
      <c r="P36" s="67">
        <f t="shared" si="5"/>
        <v>-6.3461538461537828</v>
      </c>
      <c r="Q36" s="128">
        <f t="shared" si="6"/>
        <v>0.95769230769230806</v>
      </c>
      <c r="R36" s="511"/>
      <c r="S36" s="68">
        <v>0.40763888888888888</v>
      </c>
      <c r="T36" s="68">
        <v>0.44374999999999998</v>
      </c>
      <c r="U36" s="125">
        <f t="shared" si="30"/>
        <v>7.9999999999999716</v>
      </c>
      <c r="V36" s="133">
        <f t="shared" si="29"/>
        <v>51.999999999999972</v>
      </c>
      <c r="W36" s="69"/>
      <c r="X36" s="69"/>
      <c r="Y36" s="510"/>
      <c r="Z36" s="510"/>
      <c r="AA36" s="66">
        <f t="shared" si="8"/>
        <v>-101.53846153846052</v>
      </c>
      <c r="AB36" s="128">
        <f t="shared" si="9"/>
        <v>0.95769230769230806</v>
      </c>
      <c r="AC36" s="511"/>
    </row>
    <row r="37" spans="1:29">
      <c r="A37" s="532" t="s">
        <v>416</v>
      </c>
      <c r="B37" s="62" t="s">
        <v>16</v>
      </c>
      <c r="C37" s="512" t="s">
        <v>33</v>
      </c>
      <c r="D37" s="512"/>
      <c r="E37" s="62">
        <v>24.43</v>
      </c>
      <c r="F37" s="80">
        <v>3800</v>
      </c>
      <c r="G37" s="125">
        <f t="shared" si="27"/>
        <v>92834</v>
      </c>
      <c r="H37" s="90">
        <v>2</v>
      </c>
      <c r="I37" s="132">
        <v>14</v>
      </c>
      <c r="J37" s="63">
        <v>2400</v>
      </c>
      <c r="K37" s="64">
        <f t="shared" si="1"/>
        <v>171.42857142857142</v>
      </c>
      <c r="L37" s="132">
        <v>14</v>
      </c>
      <c r="M37" s="65">
        <f t="shared" si="28"/>
        <v>2303.0303030303039</v>
      </c>
      <c r="N37" s="64">
        <f t="shared" si="3"/>
        <v>164.50216450216456</v>
      </c>
      <c r="O37" s="66">
        <f t="shared" si="4"/>
        <v>0</v>
      </c>
      <c r="P37" s="67">
        <f t="shared" si="5"/>
        <v>-6.9264069264068553</v>
      </c>
      <c r="Q37" s="128">
        <f t="shared" si="6"/>
        <v>0.95959595959596</v>
      </c>
      <c r="R37" s="511"/>
      <c r="S37" s="68">
        <v>0.44930555555555551</v>
      </c>
      <c r="T37" s="68">
        <v>0.51805555555555549</v>
      </c>
      <c r="U37" s="125">
        <f t="shared" si="30"/>
        <v>7.9999999999999716</v>
      </c>
      <c r="V37" s="133">
        <f t="shared" si="29"/>
        <v>98.999999999999972</v>
      </c>
      <c r="W37" s="73">
        <f>T37</f>
        <v>0.51805555555555549</v>
      </c>
      <c r="X37" s="73">
        <f>S38</f>
        <v>0.5576388888888888</v>
      </c>
      <c r="Y37" s="510"/>
      <c r="Z37" s="510"/>
      <c r="AA37" s="66">
        <f t="shared" si="8"/>
        <v>-96.969696969696088</v>
      </c>
      <c r="AB37" s="128">
        <f t="shared" si="9"/>
        <v>0.95959595959596</v>
      </c>
      <c r="AC37" s="511"/>
    </row>
    <row r="38" spans="1:29">
      <c r="A38" s="532" t="s">
        <v>488</v>
      </c>
      <c r="B38" s="62" t="s">
        <v>16</v>
      </c>
      <c r="C38" s="512" t="s">
        <v>33</v>
      </c>
      <c r="D38" s="512"/>
      <c r="E38" s="62">
        <v>24.43</v>
      </c>
      <c r="F38" s="80">
        <v>5159</v>
      </c>
      <c r="G38" s="125">
        <f t="shared" si="27"/>
        <v>126034.37</v>
      </c>
      <c r="H38" s="90" t="s">
        <v>5</v>
      </c>
      <c r="I38" s="132">
        <v>14</v>
      </c>
      <c r="J38" s="63">
        <v>2400</v>
      </c>
      <c r="K38" s="64">
        <f t="shared" si="1"/>
        <v>171.42857142857142</v>
      </c>
      <c r="L38" s="132">
        <v>14</v>
      </c>
      <c r="M38" s="65">
        <f t="shared" si="28"/>
        <v>2292.8888888888887</v>
      </c>
      <c r="N38" s="64">
        <f t="shared" si="3"/>
        <v>163.77777777777777</v>
      </c>
      <c r="O38" s="66">
        <f t="shared" si="4"/>
        <v>0</v>
      </c>
      <c r="P38" s="67">
        <f t="shared" si="5"/>
        <v>-7.6507936507936449</v>
      </c>
      <c r="Q38" s="128">
        <f t="shared" si="6"/>
        <v>0.95537037037037043</v>
      </c>
      <c r="R38" s="511"/>
      <c r="S38" s="68">
        <v>0.5576388888888888</v>
      </c>
      <c r="T38" s="68">
        <v>0.6513888888888888</v>
      </c>
      <c r="U38" s="125">
        <f t="shared" si="30"/>
        <v>56.999999999999957</v>
      </c>
      <c r="V38" s="133">
        <f t="shared" si="29"/>
        <v>135</v>
      </c>
      <c r="W38" s="69"/>
      <c r="X38" s="69"/>
      <c r="Y38" s="510"/>
      <c r="Z38" s="510"/>
      <c r="AA38" s="66">
        <f t="shared" si="8"/>
        <v>-107.11111111111131</v>
      </c>
      <c r="AB38" s="128">
        <f t="shared" si="9"/>
        <v>0.95537037037037031</v>
      </c>
      <c r="AC38" s="511"/>
    </row>
    <row r="39" spans="1:29">
      <c r="A39" s="532" t="s">
        <v>490</v>
      </c>
      <c r="B39" s="62" t="s">
        <v>16</v>
      </c>
      <c r="C39" s="512" t="s">
        <v>31</v>
      </c>
      <c r="D39" s="512"/>
      <c r="E39" s="62">
        <v>26.2</v>
      </c>
      <c r="F39" s="80">
        <v>3064</v>
      </c>
      <c r="G39" s="125">
        <f t="shared" si="27"/>
        <v>80276.800000000003</v>
      </c>
      <c r="H39" s="90" t="s">
        <v>5</v>
      </c>
      <c r="I39" s="132">
        <v>18</v>
      </c>
      <c r="J39" s="63">
        <v>2400</v>
      </c>
      <c r="K39" s="64">
        <f t="shared" si="1"/>
        <v>133.33333333333334</v>
      </c>
      <c r="L39" s="132">
        <v>18</v>
      </c>
      <c r="M39" s="65">
        <f t="shared" si="28"/>
        <v>2297.9999999999991</v>
      </c>
      <c r="N39" s="64">
        <f t="shared" si="3"/>
        <v>127.66666666666661</v>
      </c>
      <c r="O39" s="66">
        <f t="shared" si="4"/>
        <v>0</v>
      </c>
      <c r="P39" s="67">
        <f t="shared" si="5"/>
        <v>-5.6666666666667282</v>
      </c>
      <c r="Q39" s="128">
        <f t="shared" si="6"/>
        <v>0.95749999999999957</v>
      </c>
      <c r="R39" s="511"/>
      <c r="S39" s="68">
        <v>0.65486111111111101</v>
      </c>
      <c r="T39" s="68">
        <v>0.71041666666666659</v>
      </c>
      <c r="U39" s="125">
        <f t="shared" si="30"/>
        <v>4.9999999999999822</v>
      </c>
      <c r="V39" s="133">
        <f t="shared" si="29"/>
        <v>80.000000000000028</v>
      </c>
      <c r="W39" s="69"/>
      <c r="X39" s="69"/>
      <c r="Y39" s="517"/>
      <c r="Z39" s="518"/>
      <c r="AA39" s="66">
        <f t="shared" si="8"/>
        <v>-102.00000000000091</v>
      </c>
      <c r="AB39" s="128">
        <f t="shared" si="9"/>
        <v>0.95749999999999957</v>
      </c>
      <c r="AC39" s="511"/>
    </row>
    <row r="40" spans="1:29">
      <c r="A40" s="532" t="s">
        <v>488</v>
      </c>
      <c r="B40" s="62" t="s">
        <v>16</v>
      </c>
      <c r="C40" s="512" t="s">
        <v>32</v>
      </c>
      <c r="D40" s="512"/>
      <c r="E40" s="62">
        <v>26.39</v>
      </c>
      <c r="F40" s="80">
        <v>2799</v>
      </c>
      <c r="G40" s="125">
        <f t="shared" si="27"/>
        <v>73865.61</v>
      </c>
      <c r="H40" s="90" t="s">
        <v>5</v>
      </c>
      <c r="I40" s="132">
        <v>19</v>
      </c>
      <c r="J40" s="63">
        <v>2400</v>
      </c>
      <c r="K40" s="64">
        <f t="shared" si="1"/>
        <v>126.31578947368421</v>
      </c>
      <c r="L40" s="132">
        <v>19</v>
      </c>
      <c r="M40" s="65">
        <f t="shared" si="28"/>
        <v>2300.5479452054774</v>
      </c>
      <c r="N40" s="64">
        <f t="shared" si="3"/>
        <v>121.08147080028829</v>
      </c>
      <c r="O40" s="66">
        <f t="shared" si="4"/>
        <v>0</v>
      </c>
      <c r="P40" s="67">
        <f t="shared" si="5"/>
        <v>-5.2343186733959186</v>
      </c>
      <c r="Q40" s="128">
        <f t="shared" si="6"/>
        <v>0.9585616438356156</v>
      </c>
      <c r="R40" s="511"/>
      <c r="S40" s="68">
        <v>0.71527777777777768</v>
      </c>
      <c r="T40" s="68">
        <v>0.76597222222222217</v>
      </c>
      <c r="U40" s="125">
        <f t="shared" si="30"/>
        <v>6.9999999999999751</v>
      </c>
      <c r="V40" s="133">
        <f t="shared" si="29"/>
        <v>73.000000000000057</v>
      </c>
      <c r="W40" s="69"/>
      <c r="X40" s="69"/>
      <c r="Y40" s="517"/>
      <c r="Z40" s="518"/>
      <c r="AA40" s="66">
        <f t="shared" si="8"/>
        <v>-99.45205479452261</v>
      </c>
      <c r="AB40" s="128">
        <f t="shared" si="9"/>
        <v>0.9585616438356156</v>
      </c>
      <c r="AC40" s="511"/>
    </row>
    <row r="41" spans="1:29">
      <c r="A41" s="532" t="s">
        <v>416</v>
      </c>
      <c r="B41" s="71" t="s">
        <v>491</v>
      </c>
      <c r="C41" s="513"/>
      <c r="D41" s="513"/>
      <c r="E41" s="129"/>
      <c r="F41" s="71"/>
      <c r="G41" s="64"/>
      <c r="H41" s="80"/>
      <c r="I41" s="72">
        <v>17</v>
      </c>
      <c r="J41" s="63">
        <v>2400</v>
      </c>
      <c r="K41" s="64">
        <f t="shared" si="1"/>
        <v>141.1764705882353</v>
      </c>
      <c r="L41" s="72">
        <v>17</v>
      </c>
      <c r="M41" s="65">
        <f>AVERAGE(M33:M40)</f>
        <v>2295.18407157002</v>
      </c>
      <c r="N41" s="64">
        <f t="shared" si="3"/>
        <v>135.01082773941295</v>
      </c>
      <c r="O41" s="66">
        <f t="shared" si="4"/>
        <v>0</v>
      </c>
      <c r="P41" s="67">
        <f t="shared" si="5"/>
        <v>-6.1656428488223582</v>
      </c>
      <c r="Q41" s="128">
        <f t="shared" si="6"/>
        <v>0.95632669648750834</v>
      </c>
      <c r="R41" s="511"/>
      <c r="S41" s="68"/>
      <c r="T41" s="68"/>
      <c r="U41" s="64"/>
      <c r="V41" s="133"/>
      <c r="W41" s="64"/>
      <c r="X41" s="64"/>
      <c r="Y41" s="510"/>
      <c r="Z41" s="510"/>
      <c r="AA41" s="66">
        <f t="shared" si="8"/>
        <v>-104.81592842997998</v>
      </c>
      <c r="AB41" s="128">
        <f t="shared" si="9"/>
        <v>0.95632669648750834</v>
      </c>
      <c r="AC41" s="511"/>
    </row>
    <row r="42" spans="1:29" ht="15.75" customHeight="1">
      <c r="A42" s="525" t="s">
        <v>492</v>
      </c>
      <c r="B42" s="62" t="s">
        <v>35</v>
      </c>
      <c r="C42" s="521" t="s">
        <v>36</v>
      </c>
      <c r="D42" s="522"/>
      <c r="E42" s="62">
        <v>21.13</v>
      </c>
      <c r="F42" s="80">
        <v>3300</v>
      </c>
      <c r="G42" s="125">
        <f t="shared" ref="G42:G52" si="31">E42*F42</f>
        <v>69729</v>
      </c>
      <c r="H42" s="90">
        <v>2</v>
      </c>
      <c r="I42" s="132">
        <v>10</v>
      </c>
      <c r="J42" s="63">
        <v>3000</v>
      </c>
      <c r="K42" s="64">
        <f t="shared" si="1"/>
        <v>300</v>
      </c>
      <c r="L42" s="132">
        <v>10</v>
      </c>
      <c r="M42" s="65">
        <f t="shared" ref="M42:M52" si="32">F42/V42*60</f>
        <v>2869.5652173913045</v>
      </c>
      <c r="N42" s="65">
        <f t="shared" si="3"/>
        <v>286.95652173913044</v>
      </c>
      <c r="O42" s="66">
        <f t="shared" si="4"/>
        <v>0</v>
      </c>
      <c r="P42" s="67">
        <f t="shared" si="5"/>
        <v>-13.043478260869563</v>
      </c>
      <c r="Q42" s="128">
        <f t="shared" si="6"/>
        <v>0.95652173913043481</v>
      </c>
      <c r="R42" s="528">
        <f>Q53</f>
        <v>0.95778366805286019</v>
      </c>
      <c r="S42" s="68">
        <v>0.125</v>
      </c>
      <c r="T42" s="68">
        <v>0.17291666666666666</v>
      </c>
      <c r="U42" s="73"/>
      <c r="V42" s="133">
        <f t="shared" ref="V42:V52" si="33">(T42-S42)*24*60</f>
        <v>69</v>
      </c>
      <c r="W42" s="69">
        <f>T42</f>
        <v>0.17291666666666666</v>
      </c>
      <c r="X42" s="69">
        <f>S43</f>
        <v>0.19027777777777774</v>
      </c>
      <c r="Y42" s="517"/>
      <c r="Z42" s="518"/>
      <c r="AA42" s="66">
        <f t="shared" si="8"/>
        <v>-130.43478260869551</v>
      </c>
      <c r="AB42" s="128">
        <f t="shared" si="9"/>
        <v>0.95652173913043481</v>
      </c>
      <c r="AC42" s="528">
        <f>AB53</f>
        <v>0.95778366805286008</v>
      </c>
    </row>
    <row r="43" spans="1:29" ht="15.75" customHeight="1">
      <c r="A43" s="526" t="s">
        <v>492</v>
      </c>
      <c r="B43" s="62" t="s">
        <v>35</v>
      </c>
      <c r="C43" s="521" t="s">
        <v>37</v>
      </c>
      <c r="D43" s="522"/>
      <c r="E43" s="62">
        <v>27.17</v>
      </c>
      <c r="F43" s="80">
        <v>4100</v>
      </c>
      <c r="G43" s="125">
        <f t="shared" si="31"/>
        <v>111397</v>
      </c>
      <c r="H43" s="90">
        <v>2</v>
      </c>
      <c r="I43" s="132">
        <v>10</v>
      </c>
      <c r="J43" s="63">
        <v>3000</v>
      </c>
      <c r="K43" s="64">
        <f t="shared" si="1"/>
        <v>300</v>
      </c>
      <c r="L43" s="132">
        <v>10</v>
      </c>
      <c r="M43" s="65">
        <f t="shared" si="32"/>
        <v>2860.4651162790692</v>
      </c>
      <c r="N43" s="65">
        <f t="shared" si="3"/>
        <v>286.04651162790691</v>
      </c>
      <c r="O43" s="66">
        <f t="shared" si="4"/>
        <v>0</v>
      </c>
      <c r="P43" s="67">
        <f t="shared" si="5"/>
        <v>-13.953488372093091</v>
      </c>
      <c r="Q43" s="128">
        <f t="shared" si="6"/>
        <v>0.95348837209302306</v>
      </c>
      <c r="R43" s="529"/>
      <c r="S43" s="68">
        <v>0.19027777777777774</v>
      </c>
      <c r="T43" s="68">
        <v>0.24999999999999997</v>
      </c>
      <c r="U43" s="125">
        <f t="shared" ref="U43:U52" si="34">(S43-T42)*24*60</f>
        <v>24.99999999999995</v>
      </c>
      <c r="V43" s="133">
        <f t="shared" si="33"/>
        <v>86.000000000000014</v>
      </c>
      <c r="W43" s="69"/>
      <c r="X43" s="69"/>
      <c r="Y43" s="517"/>
      <c r="Z43" s="518"/>
      <c r="AA43" s="66">
        <f t="shared" si="8"/>
        <v>-139.53488372093079</v>
      </c>
      <c r="AB43" s="128">
        <f t="shared" si="9"/>
        <v>0.95348837209302306</v>
      </c>
      <c r="AC43" s="529"/>
    </row>
    <row r="44" spans="1:29" ht="15.75" customHeight="1">
      <c r="A44" s="526" t="s">
        <v>161</v>
      </c>
      <c r="B44" s="62" t="s">
        <v>35</v>
      </c>
      <c r="C44" s="521" t="s">
        <v>38</v>
      </c>
      <c r="D44" s="522"/>
      <c r="E44" s="62">
        <v>35.119999999999997</v>
      </c>
      <c r="F44" s="80">
        <v>3000</v>
      </c>
      <c r="G44" s="125">
        <f t="shared" si="31"/>
        <v>105359.99999999999</v>
      </c>
      <c r="H44" s="90">
        <v>2</v>
      </c>
      <c r="I44" s="132">
        <v>10</v>
      </c>
      <c r="J44" s="63">
        <v>3000</v>
      </c>
      <c r="K44" s="64">
        <f t="shared" si="1"/>
        <v>300</v>
      </c>
      <c r="L44" s="132">
        <v>10</v>
      </c>
      <c r="M44" s="65">
        <f t="shared" si="32"/>
        <v>2857.1428571428564</v>
      </c>
      <c r="N44" s="65">
        <f t="shared" si="3"/>
        <v>285.71428571428567</v>
      </c>
      <c r="O44" s="66">
        <f t="shared" si="4"/>
        <v>0</v>
      </c>
      <c r="P44" s="67">
        <f t="shared" si="5"/>
        <v>-14.285714285714334</v>
      </c>
      <c r="Q44" s="128">
        <f t="shared" si="6"/>
        <v>0.95238095238095222</v>
      </c>
      <c r="R44" s="529"/>
      <c r="S44" s="68">
        <v>0.25347222222222221</v>
      </c>
      <c r="T44" s="68">
        <v>0.29722222222222222</v>
      </c>
      <c r="U44" s="125">
        <f t="shared" si="34"/>
        <v>5.0000000000000222</v>
      </c>
      <c r="V44" s="133">
        <f t="shared" si="33"/>
        <v>63.000000000000014</v>
      </c>
      <c r="W44" s="69"/>
      <c r="X44" s="69"/>
      <c r="Y44" s="517"/>
      <c r="Z44" s="518"/>
      <c r="AA44" s="66">
        <f t="shared" si="8"/>
        <v>-142.85714285714357</v>
      </c>
      <c r="AB44" s="128">
        <f t="shared" si="9"/>
        <v>0.95238095238095211</v>
      </c>
      <c r="AC44" s="529"/>
    </row>
    <row r="45" spans="1:29" ht="15.75" customHeight="1">
      <c r="A45" s="526" t="s">
        <v>493</v>
      </c>
      <c r="B45" s="62" t="s">
        <v>35</v>
      </c>
      <c r="C45" s="521" t="s">
        <v>39</v>
      </c>
      <c r="D45" s="522"/>
      <c r="E45" s="62">
        <v>35.869999999999997</v>
      </c>
      <c r="F45" s="80">
        <v>3004</v>
      </c>
      <c r="G45" s="125">
        <f t="shared" si="31"/>
        <v>107753.48</v>
      </c>
      <c r="H45" s="90" t="s">
        <v>5</v>
      </c>
      <c r="I45" s="132">
        <v>9</v>
      </c>
      <c r="J45" s="63">
        <v>3000</v>
      </c>
      <c r="K45" s="64">
        <f t="shared" si="1"/>
        <v>333.33333333333331</v>
      </c>
      <c r="L45" s="132">
        <v>9</v>
      </c>
      <c r="M45" s="65">
        <f t="shared" si="32"/>
        <v>2860.9523809523803</v>
      </c>
      <c r="N45" s="65">
        <f t="shared" si="3"/>
        <v>317.88359788359782</v>
      </c>
      <c r="O45" s="66">
        <f t="shared" si="4"/>
        <v>0</v>
      </c>
      <c r="P45" s="67">
        <f t="shared" si="5"/>
        <v>-15.449735449735499</v>
      </c>
      <c r="Q45" s="128">
        <f t="shared" si="6"/>
        <v>0.95365079365079353</v>
      </c>
      <c r="R45" s="529"/>
      <c r="S45" s="68">
        <v>0.30208333333333331</v>
      </c>
      <c r="T45" s="68">
        <v>0.34583333333333333</v>
      </c>
      <c r="U45" s="125">
        <f t="shared" si="34"/>
        <v>6.9999999999999751</v>
      </c>
      <c r="V45" s="133">
        <f t="shared" si="33"/>
        <v>63.000000000000014</v>
      </c>
      <c r="W45" s="69"/>
      <c r="X45" s="69"/>
      <c r="Y45" s="517"/>
      <c r="Z45" s="518"/>
      <c r="AA45" s="66">
        <f t="shared" si="8"/>
        <v>-139.04761904761972</v>
      </c>
      <c r="AB45" s="128">
        <f t="shared" si="9"/>
        <v>0.95365079365079342</v>
      </c>
      <c r="AC45" s="529"/>
    </row>
    <row r="46" spans="1:29" ht="15.75" customHeight="1">
      <c r="A46" s="526" t="s">
        <v>492</v>
      </c>
      <c r="B46" s="62" t="s">
        <v>35</v>
      </c>
      <c r="C46" s="521" t="s">
        <v>40</v>
      </c>
      <c r="D46" s="522"/>
      <c r="E46" s="62">
        <v>36.14</v>
      </c>
      <c r="F46" s="80">
        <v>1589</v>
      </c>
      <c r="G46" s="125">
        <f t="shared" si="31"/>
        <v>57426.46</v>
      </c>
      <c r="H46" s="90" t="s">
        <v>5</v>
      </c>
      <c r="I46" s="132">
        <v>9</v>
      </c>
      <c r="J46" s="63">
        <v>3000</v>
      </c>
      <c r="K46" s="64">
        <f t="shared" si="1"/>
        <v>333.33333333333331</v>
      </c>
      <c r="L46" s="132">
        <v>9</v>
      </c>
      <c r="M46" s="65">
        <f t="shared" si="32"/>
        <v>2889.0909090909054</v>
      </c>
      <c r="N46" s="65">
        <f t="shared" si="3"/>
        <v>321.01010101010058</v>
      </c>
      <c r="O46" s="66">
        <f t="shared" si="4"/>
        <v>0</v>
      </c>
      <c r="P46" s="67">
        <f t="shared" si="5"/>
        <v>-12.32323232323273</v>
      </c>
      <c r="Q46" s="128">
        <f t="shared" si="6"/>
        <v>0.96303030303030179</v>
      </c>
      <c r="R46" s="529"/>
      <c r="S46" s="68">
        <v>0.35138888888888886</v>
      </c>
      <c r="T46" s="68">
        <v>0.37430555555555556</v>
      </c>
      <c r="U46" s="125">
        <f t="shared" si="34"/>
        <v>7.9999999999999716</v>
      </c>
      <c r="V46" s="133">
        <f t="shared" si="33"/>
        <v>33.000000000000043</v>
      </c>
      <c r="W46" s="69"/>
      <c r="X46" s="69"/>
      <c r="Y46" s="517"/>
      <c r="Z46" s="518"/>
      <c r="AA46" s="66">
        <f t="shared" si="8"/>
        <v>-110.90909090909463</v>
      </c>
      <c r="AB46" s="128">
        <f t="shared" si="9"/>
        <v>0.96303030303030179</v>
      </c>
      <c r="AC46" s="529"/>
    </row>
    <row r="47" spans="1:29" ht="15.75" customHeight="1">
      <c r="A47" s="526" t="s">
        <v>493</v>
      </c>
      <c r="B47" s="62" t="s">
        <v>35</v>
      </c>
      <c r="C47" s="521" t="s">
        <v>74</v>
      </c>
      <c r="D47" s="522"/>
      <c r="E47" s="62">
        <v>34.36</v>
      </c>
      <c r="F47" s="80">
        <v>3123</v>
      </c>
      <c r="G47" s="125">
        <f t="shared" si="31"/>
        <v>107306.28</v>
      </c>
      <c r="H47" s="90" t="s">
        <v>5</v>
      </c>
      <c r="I47" s="132">
        <v>10</v>
      </c>
      <c r="J47" s="63">
        <v>3000</v>
      </c>
      <c r="K47" s="64">
        <f t="shared" si="1"/>
        <v>300</v>
      </c>
      <c r="L47" s="132">
        <v>10</v>
      </c>
      <c r="M47" s="65">
        <f t="shared" si="32"/>
        <v>2882.76923076923</v>
      </c>
      <c r="N47" s="65">
        <f t="shared" si="3"/>
        <v>288.27692307692303</v>
      </c>
      <c r="O47" s="66">
        <f t="shared" si="4"/>
        <v>0</v>
      </c>
      <c r="P47" s="67">
        <f t="shared" si="5"/>
        <v>-11.723076923076974</v>
      </c>
      <c r="Q47" s="128">
        <f t="shared" si="6"/>
        <v>0.96092307692307677</v>
      </c>
      <c r="R47" s="529"/>
      <c r="S47" s="68">
        <v>0.37986111111111109</v>
      </c>
      <c r="T47" s="68">
        <v>0.42499999999999999</v>
      </c>
      <c r="U47" s="125">
        <f t="shared" si="34"/>
        <v>7.9999999999999716</v>
      </c>
      <c r="V47" s="133">
        <f t="shared" si="33"/>
        <v>65.000000000000014</v>
      </c>
      <c r="W47" s="69"/>
      <c r="X47" s="69"/>
      <c r="Y47" s="517"/>
      <c r="Z47" s="518"/>
      <c r="AA47" s="66">
        <f t="shared" si="8"/>
        <v>-117.23076923076997</v>
      </c>
      <c r="AB47" s="128">
        <f t="shared" si="9"/>
        <v>0.96092307692307666</v>
      </c>
      <c r="AC47" s="529"/>
    </row>
    <row r="48" spans="1:29" ht="15.75" customHeight="1">
      <c r="A48" s="526" t="s">
        <v>161</v>
      </c>
      <c r="B48" s="62" t="s">
        <v>35</v>
      </c>
      <c r="C48" s="521" t="s">
        <v>84</v>
      </c>
      <c r="D48" s="522"/>
      <c r="E48" s="62">
        <v>31</v>
      </c>
      <c r="F48" s="80">
        <v>4000</v>
      </c>
      <c r="G48" s="125">
        <f t="shared" si="31"/>
        <v>124000</v>
      </c>
      <c r="H48" s="90">
        <v>2</v>
      </c>
      <c r="I48" s="132">
        <v>13</v>
      </c>
      <c r="J48" s="63">
        <v>2000</v>
      </c>
      <c r="K48" s="64">
        <f t="shared" si="1"/>
        <v>153.84615384615384</v>
      </c>
      <c r="L48" s="132">
        <v>13</v>
      </c>
      <c r="M48" s="65">
        <f t="shared" si="32"/>
        <v>1904.7619047619055</v>
      </c>
      <c r="N48" s="65">
        <f t="shared" si="3"/>
        <v>146.52014652014657</v>
      </c>
      <c r="O48" s="66">
        <f t="shared" si="4"/>
        <v>0</v>
      </c>
      <c r="P48" s="67">
        <f t="shared" si="5"/>
        <v>-7.3260073260072716</v>
      </c>
      <c r="Q48" s="128">
        <f t="shared" si="6"/>
        <v>0.95238095238095277</v>
      </c>
      <c r="R48" s="529"/>
      <c r="S48" s="68">
        <v>0.42986111111111108</v>
      </c>
      <c r="T48" s="68">
        <v>0.51736111111111105</v>
      </c>
      <c r="U48" s="125">
        <f t="shared" si="34"/>
        <v>6.9999999999999751</v>
      </c>
      <c r="V48" s="133">
        <f t="shared" si="33"/>
        <v>125.99999999999996</v>
      </c>
      <c r="W48" s="69">
        <f>T48</f>
        <v>0.51736111111111105</v>
      </c>
      <c r="X48" s="69">
        <f>S49</f>
        <v>0.55694444444444435</v>
      </c>
      <c r="Y48" s="517"/>
      <c r="Z48" s="518"/>
      <c r="AA48" s="66">
        <f t="shared" si="8"/>
        <v>-95.238095238094502</v>
      </c>
      <c r="AB48" s="128">
        <f t="shared" si="9"/>
        <v>0.95238095238095277</v>
      </c>
      <c r="AC48" s="529"/>
    </row>
    <row r="49" spans="1:29" ht="15.75" customHeight="1">
      <c r="A49" s="526" t="s">
        <v>161</v>
      </c>
      <c r="B49" s="62" t="s">
        <v>35</v>
      </c>
      <c r="C49" s="521" t="s">
        <v>84</v>
      </c>
      <c r="D49" s="522"/>
      <c r="E49" s="62">
        <v>31</v>
      </c>
      <c r="F49" s="80">
        <v>4215</v>
      </c>
      <c r="G49" s="125">
        <f t="shared" si="31"/>
        <v>130665</v>
      </c>
      <c r="H49" s="90" t="s">
        <v>5</v>
      </c>
      <c r="I49" s="132">
        <v>13</v>
      </c>
      <c r="J49" s="63">
        <v>2000</v>
      </c>
      <c r="K49" s="64">
        <f t="shared" si="1"/>
        <v>153.84615384615384</v>
      </c>
      <c r="L49" s="132">
        <v>13</v>
      </c>
      <c r="M49" s="65">
        <f t="shared" si="32"/>
        <v>1915.909090909091</v>
      </c>
      <c r="N49" s="65">
        <f t="shared" si="3"/>
        <v>147.37762237762237</v>
      </c>
      <c r="O49" s="66">
        <f t="shared" si="4"/>
        <v>0</v>
      </c>
      <c r="P49" s="67">
        <f t="shared" si="5"/>
        <v>-6.4685314685314665</v>
      </c>
      <c r="Q49" s="128">
        <f t="shared" si="6"/>
        <v>0.9579545454545455</v>
      </c>
      <c r="R49" s="529"/>
      <c r="S49" s="68">
        <v>0.55694444444444435</v>
      </c>
      <c r="T49" s="68">
        <v>0.64861111111111103</v>
      </c>
      <c r="U49" s="125">
        <f t="shared" si="34"/>
        <v>56.999999999999957</v>
      </c>
      <c r="V49" s="133">
        <f t="shared" si="33"/>
        <v>132</v>
      </c>
      <c r="W49" s="69"/>
      <c r="X49" s="69"/>
      <c r="Y49" s="517"/>
      <c r="Z49" s="518"/>
      <c r="AA49" s="66">
        <f t="shared" si="8"/>
        <v>-84.090909090909008</v>
      </c>
      <c r="AB49" s="128">
        <f t="shared" si="9"/>
        <v>0.9579545454545455</v>
      </c>
      <c r="AC49" s="529"/>
    </row>
    <row r="50" spans="1:29" ht="15.75" customHeight="1">
      <c r="A50" s="526" t="s">
        <v>161</v>
      </c>
      <c r="B50" s="62" t="s">
        <v>35</v>
      </c>
      <c r="C50" s="521" t="s">
        <v>37</v>
      </c>
      <c r="D50" s="522"/>
      <c r="E50" s="62">
        <v>27.17</v>
      </c>
      <c r="F50" s="80">
        <v>2924</v>
      </c>
      <c r="G50" s="125">
        <f t="shared" si="31"/>
        <v>79445.08</v>
      </c>
      <c r="H50" s="90" t="s">
        <v>5</v>
      </c>
      <c r="I50" s="132">
        <v>10</v>
      </c>
      <c r="J50" s="63">
        <v>3000</v>
      </c>
      <c r="K50" s="64">
        <f t="shared" si="1"/>
        <v>300</v>
      </c>
      <c r="L50" s="132">
        <v>10</v>
      </c>
      <c r="M50" s="65">
        <f t="shared" si="32"/>
        <v>2876.0655737704942</v>
      </c>
      <c r="N50" s="65">
        <f t="shared" si="3"/>
        <v>287.6065573770494</v>
      </c>
      <c r="O50" s="66">
        <f t="shared" si="4"/>
        <v>0</v>
      </c>
      <c r="P50" s="67">
        <f t="shared" si="5"/>
        <v>-12.393442622950602</v>
      </c>
      <c r="Q50" s="128">
        <f t="shared" si="6"/>
        <v>0.95868852459016463</v>
      </c>
      <c r="R50" s="529"/>
      <c r="S50" s="68">
        <v>0.65347222222222212</v>
      </c>
      <c r="T50" s="68">
        <v>0.69583333333333319</v>
      </c>
      <c r="U50" s="125">
        <f t="shared" si="34"/>
        <v>6.9999999999999751</v>
      </c>
      <c r="V50" s="133">
        <f t="shared" si="33"/>
        <v>60.999999999999943</v>
      </c>
      <c r="W50" s="69"/>
      <c r="X50" s="69"/>
      <c r="Y50" s="517"/>
      <c r="Z50" s="518"/>
      <c r="AA50" s="66">
        <f t="shared" si="8"/>
        <v>-123.93442622950579</v>
      </c>
      <c r="AB50" s="128">
        <f t="shared" si="9"/>
        <v>0.95868852459016474</v>
      </c>
      <c r="AC50" s="529"/>
    </row>
    <row r="51" spans="1:29" ht="15.75" customHeight="1">
      <c r="A51" s="526" t="s">
        <v>493</v>
      </c>
      <c r="B51" s="62" t="s">
        <v>35</v>
      </c>
      <c r="C51" s="521" t="s">
        <v>36</v>
      </c>
      <c r="D51" s="522"/>
      <c r="E51" s="62">
        <v>21.13</v>
      </c>
      <c r="F51" s="80">
        <v>2385</v>
      </c>
      <c r="G51" s="125">
        <f t="shared" si="31"/>
        <v>50395.049999999996</v>
      </c>
      <c r="H51" s="90" t="s">
        <v>5</v>
      </c>
      <c r="I51" s="132">
        <v>10</v>
      </c>
      <c r="J51" s="63">
        <v>3000</v>
      </c>
      <c r="K51" s="64">
        <f t="shared" si="1"/>
        <v>300</v>
      </c>
      <c r="L51" s="132">
        <v>10</v>
      </c>
      <c r="M51" s="65">
        <f t="shared" si="32"/>
        <v>2862.0000000000009</v>
      </c>
      <c r="N51" s="65">
        <f t="shared" si="3"/>
        <v>286.2000000000001</v>
      </c>
      <c r="O51" s="66">
        <f t="shared" si="4"/>
        <v>0</v>
      </c>
      <c r="P51" s="67">
        <f t="shared" si="5"/>
        <v>-13.799999999999898</v>
      </c>
      <c r="Q51" s="128">
        <f t="shared" si="6"/>
        <v>0.95400000000000029</v>
      </c>
      <c r="R51" s="529"/>
      <c r="S51" s="68">
        <v>0.70138888888888873</v>
      </c>
      <c r="T51" s="68">
        <v>0.73611111111111094</v>
      </c>
      <c r="U51" s="125">
        <f t="shared" si="34"/>
        <v>7.9999999999999716</v>
      </c>
      <c r="V51" s="133">
        <f t="shared" si="33"/>
        <v>49.999999999999986</v>
      </c>
      <c r="W51" s="69"/>
      <c r="X51" s="69"/>
      <c r="Y51" s="517"/>
      <c r="Z51" s="518"/>
      <c r="AA51" s="66">
        <f t="shared" si="8"/>
        <v>-137.99999999999909</v>
      </c>
      <c r="AB51" s="128">
        <f t="shared" si="9"/>
        <v>0.95400000000000029</v>
      </c>
      <c r="AC51" s="529"/>
    </row>
    <row r="52" spans="1:29" ht="15.75" customHeight="1">
      <c r="A52" s="526" t="s">
        <v>161</v>
      </c>
      <c r="B52" s="62" t="s">
        <v>35</v>
      </c>
      <c r="C52" s="521" t="s">
        <v>38</v>
      </c>
      <c r="D52" s="522"/>
      <c r="E52" s="62">
        <v>35.119999999999997</v>
      </c>
      <c r="F52" s="80">
        <v>1699</v>
      </c>
      <c r="G52" s="125">
        <f t="shared" si="31"/>
        <v>59668.88</v>
      </c>
      <c r="H52" s="90" t="s">
        <v>5</v>
      </c>
      <c r="I52" s="132">
        <v>10</v>
      </c>
      <c r="J52" s="63">
        <v>3000</v>
      </c>
      <c r="K52" s="64">
        <f t="shared" si="1"/>
        <v>300</v>
      </c>
      <c r="L52" s="132">
        <v>10</v>
      </c>
      <c r="M52" s="65">
        <f t="shared" si="32"/>
        <v>2912.5714285714257</v>
      </c>
      <c r="N52" s="65">
        <f t="shared" si="3"/>
        <v>291.25714285714258</v>
      </c>
      <c r="O52" s="66">
        <f t="shared" si="4"/>
        <v>0</v>
      </c>
      <c r="P52" s="67">
        <f t="shared" si="5"/>
        <v>-8.7428571428574173</v>
      </c>
      <c r="Q52" s="128">
        <f t="shared" si="6"/>
        <v>0.97085714285714197</v>
      </c>
      <c r="R52" s="529"/>
      <c r="S52" s="68">
        <v>0.73958333333333315</v>
      </c>
      <c r="T52" s="68">
        <v>0.76388888888888873</v>
      </c>
      <c r="U52" s="125">
        <f t="shared" si="34"/>
        <v>4.9999999999999822</v>
      </c>
      <c r="V52" s="133">
        <f t="shared" si="33"/>
        <v>35.000000000000036</v>
      </c>
      <c r="W52" s="69"/>
      <c r="X52" s="69"/>
      <c r="Y52" s="517"/>
      <c r="Z52" s="518"/>
      <c r="AA52" s="66">
        <f t="shared" si="8"/>
        <v>-87.428571428574287</v>
      </c>
      <c r="AB52" s="128">
        <f t="shared" si="9"/>
        <v>0.97085714285714186</v>
      </c>
      <c r="AC52" s="529"/>
    </row>
    <row r="53" spans="1:29" ht="15.75" customHeight="1">
      <c r="A53" s="527" t="s">
        <v>161</v>
      </c>
      <c r="B53" s="62" t="s">
        <v>482</v>
      </c>
      <c r="C53" s="508"/>
      <c r="D53" s="509"/>
      <c r="E53" s="124"/>
      <c r="F53" s="80"/>
      <c r="G53" s="125"/>
      <c r="H53" s="80"/>
      <c r="I53" s="72">
        <v>10.363636363636363</v>
      </c>
      <c r="J53" s="63">
        <v>2818.181818181818</v>
      </c>
      <c r="K53" s="64">
        <f t="shared" si="1"/>
        <v>271.92982456140351</v>
      </c>
      <c r="L53" s="72">
        <v>10.363636363636363</v>
      </c>
      <c r="M53" s="65">
        <f>AVERAGE(M42:M52)</f>
        <v>2699.2085190580601</v>
      </c>
      <c r="N53" s="64">
        <f t="shared" si="3"/>
        <v>260.4499448213918</v>
      </c>
      <c r="O53" s="66">
        <f t="shared" si="4"/>
        <v>0</v>
      </c>
      <c r="P53" s="67">
        <f t="shared" si="5"/>
        <v>-11.479879740011711</v>
      </c>
      <c r="Q53" s="128">
        <f t="shared" si="6"/>
        <v>0.95778366805286019</v>
      </c>
      <c r="R53" s="530"/>
      <c r="S53" s="68"/>
      <c r="T53" s="68"/>
      <c r="U53" s="125"/>
      <c r="V53" s="133"/>
      <c r="W53" s="69"/>
      <c r="X53" s="69"/>
      <c r="Y53" s="517"/>
      <c r="Z53" s="518"/>
      <c r="AA53" s="66">
        <f t="shared" si="8"/>
        <v>-118.9732991237579</v>
      </c>
      <c r="AB53" s="128">
        <f t="shared" si="9"/>
        <v>0.95778366805286008</v>
      </c>
      <c r="AC53" s="530"/>
    </row>
    <row r="54" spans="1:29" ht="15.75" customHeight="1">
      <c r="A54" s="523" t="s">
        <v>339</v>
      </c>
      <c r="B54" s="62" t="s">
        <v>10</v>
      </c>
      <c r="C54" s="512" t="s">
        <v>41</v>
      </c>
      <c r="D54" s="512"/>
      <c r="E54" s="62">
        <v>46</v>
      </c>
      <c r="F54" s="74">
        <v>2803</v>
      </c>
      <c r="G54" s="125">
        <f t="shared" ref="G54:G59" si="35">E54*F54</f>
        <v>128938</v>
      </c>
      <c r="H54" s="90" t="s">
        <v>5</v>
      </c>
      <c r="I54" s="132">
        <v>17</v>
      </c>
      <c r="J54" s="63">
        <v>2000</v>
      </c>
      <c r="K54" s="64">
        <f t="shared" si="1"/>
        <v>117.64705882352941</v>
      </c>
      <c r="L54" s="132">
        <v>17</v>
      </c>
      <c r="M54" s="65">
        <f t="shared" ref="M54:M59" si="36">F54/V54*60</f>
        <v>1911.1363636363642</v>
      </c>
      <c r="N54" s="65">
        <f t="shared" si="3"/>
        <v>112.41978609625671</v>
      </c>
      <c r="O54" s="66">
        <f t="shared" si="4"/>
        <v>0</v>
      </c>
      <c r="P54" s="67">
        <f t="shared" si="5"/>
        <v>-5.2272727272726911</v>
      </c>
      <c r="Q54" s="128">
        <f t="shared" si="6"/>
        <v>0.95556818181818215</v>
      </c>
      <c r="R54" s="511">
        <f>Q60</f>
        <v>0.95872809819326321</v>
      </c>
      <c r="S54" s="68">
        <v>0.20833333333333334</v>
      </c>
      <c r="T54" s="68">
        <v>0.26944444444444443</v>
      </c>
      <c r="U54" s="73"/>
      <c r="V54" s="133">
        <f t="shared" ref="V54:V59" si="37">(T54-S54)*24*60</f>
        <v>87.999999999999972</v>
      </c>
      <c r="W54" s="73"/>
      <c r="X54" s="73"/>
      <c r="Y54" s="510"/>
      <c r="Z54" s="510"/>
      <c r="AA54" s="66">
        <f t="shared" si="8"/>
        <v>-88.863636363635806</v>
      </c>
      <c r="AB54" s="128">
        <f t="shared" si="9"/>
        <v>0.95556818181818215</v>
      </c>
      <c r="AC54" s="511">
        <f>AB60</f>
        <v>0.95872809819326321</v>
      </c>
    </row>
    <row r="55" spans="1:29" ht="15.75" customHeight="1">
      <c r="A55" s="523" t="s">
        <v>339</v>
      </c>
      <c r="B55" s="62" t="s">
        <v>10</v>
      </c>
      <c r="C55" s="512" t="s">
        <v>42</v>
      </c>
      <c r="D55" s="512"/>
      <c r="E55" s="62">
        <v>46</v>
      </c>
      <c r="F55" s="74">
        <v>2987</v>
      </c>
      <c r="G55" s="125">
        <f t="shared" si="35"/>
        <v>137402</v>
      </c>
      <c r="H55" s="90" t="s">
        <v>5</v>
      </c>
      <c r="I55" s="132">
        <v>17</v>
      </c>
      <c r="J55" s="63">
        <v>2000</v>
      </c>
      <c r="K55" s="64">
        <f t="shared" si="1"/>
        <v>117.64705882352941</v>
      </c>
      <c r="L55" s="132">
        <v>17</v>
      </c>
      <c r="M55" s="65">
        <f t="shared" si="36"/>
        <v>1906.5957446808513</v>
      </c>
      <c r="N55" s="65">
        <f t="shared" si="3"/>
        <v>112.15269086357949</v>
      </c>
      <c r="O55" s="66">
        <f t="shared" si="4"/>
        <v>0</v>
      </c>
      <c r="P55" s="67">
        <f t="shared" si="5"/>
        <v>-5.494367959949912</v>
      </c>
      <c r="Q55" s="128">
        <f t="shared" si="6"/>
        <v>0.95329787234042573</v>
      </c>
      <c r="R55" s="511"/>
      <c r="S55" s="68">
        <v>0.27361111111111108</v>
      </c>
      <c r="T55" s="68">
        <v>0.33888888888888885</v>
      </c>
      <c r="U55" s="125">
        <f t="shared" ref="U55:U59" si="38">IF(S55=TIME(17,0,0),"",(S55-T54)*24*60)</f>
        <v>5.9999999999999787</v>
      </c>
      <c r="V55" s="133">
        <f t="shared" si="37"/>
        <v>93.999999999999986</v>
      </c>
      <c r="W55" s="69"/>
      <c r="X55" s="69"/>
      <c r="Y55" s="510"/>
      <c r="Z55" s="510"/>
      <c r="AA55" s="66">
        <f t="shared" si="8"/>
        <v>-93.40425531914866</v>
      </c>
      <c r="AB55" s="128">
        <f t="shared" si="9"/>
        <v>0.95329787234042562</v>
      </c>
      <c r="AC55" s="511"/>
    </row>
    <row r="56" spans="1:29" ht="15.75" customHeight="1">
      <c r="A56" s="523" t="s">
        <v>494</v>
      </c>
      <c r="B56" s="62" t="s">
        <v>6</v>
      </c>
      <c r="C56" s="521" t="s">
        <v>43</v>
      </c>
      <c r="D56" s="522"/>
      <c r="E56" s="62">
        <v>55.56</v>
      </c>
      <c r="F56" s="74">
        <v>2236</v>
      </c>
      <c r="G56" s="125">
        <f t="shared" si="35"/>
        <v>124232.16</v>
      </c>
      <c r="H56" s="90" t="s">
        <v>5</v>
      </c>
      <c r="I56" s="132">
        <v>17</v>
      </c>
      <c r="J56" s="63">
        <v>2000</v>
      </c>
      <c r="K56" s="64">
        <f t="shared" si="1"/>
        <v>117.64705882352941</v>
      </c>
      <c r="L56" s="132">
        <v>17</v>
      </c>
      <c r="M56" s="65">
        <f t="shared" si="36"/>
        <v>1916.5714285714266</v>
      </c>
      <c r="N56" s="65">
        <f t="shared" si="3"/>
        <v>112.73949579831921</v>
      </c>
      <c r="O56" s="66">
        <f t="shared" si="4"/>
        <v>0</v>
      </c>
      <c r="P56" s="67">
        <f t="shared" si="5"/>
        <v>-4.9075630252101945</v>
      </c>
      <c r="Q56" s="128">
        <f t="shared" si="6"/>
        <v>0.9582857142857133</v>
      </c>
      <c r="R56" s="511"/>
      <c r="S56" s="68">
        <v>0.70833333333333337</v>
      </c>
      <c r="T56" s="68">
        <v>0.75694444444444453</v>
      </c>
      <c r="U56" s="125" t="str">
        <f t="shared" si="38"/>
        <v/>
      </c>
      <c r="V56" s="133">
        <f t="shared" si="37"/>
        <v>70.000000000000071</v>
      </c>
      <c r="W56" s="69"/>
      <c r="X56" s="69"/>
      <c r="Y56" s="126"/>
      <c r="Z56" s="127"/>
      <c r="AA56" s="66">
        <f t="shared" si="8"/>
        <v>-83.428571428573377</v>
      </c>
      <c r="AB56" s="128">
        <f t="shared" si="9"/>
        <v>0.9582857142857133</v>
      </c>
      <c r="AC56" s="511"/>
    </row>
    <row r="57" spans="1:29" ht="15.75" customHeight="1">
      <c r="A57" s="523" t="s">
        <v>339</v>
      </c>
      <c r="B57" s="62" t="s">
        <v>6</v>
      </c>
      <c r="C57" s="130" t="s">
        <v>44</v>
      </c>
      <c r="D57" s="131"/>
      <c r="E57" s="62">
        <v>55.32</v>
      </c>
      <c r="F57" s="74">
        <v>1750</v>
      </c>
      <c r="G57" s="125">
        <f t="shared" si="35"/>
        <v>96810</v>
      </c>
      <c r="H57" s="90" t="s">
        <v>5</v>
      </c>
      <c r="I57" s="132">
        <v>15</v>
      </c>
      <c r="J57" s="63">
        <v>2000</v>
      </c>
      <c r="K57" s="64">
        <f t="shared" si="1"/>
        <v>133.33333333333334</v>
      </c>
      <c r="L57" s="132">
        <v>15</v>
      </c>
      <c r="M57" s="65">
        <f t="shared" si="36"/>
        <v>1909.0909090909104</v>
      </c>
      <c r="N57" s="65">
        <f t="shared" si="3"/>
        <v>127.27272727272735</v>
      </c>
      <c r="O57" s="66">
        <f t="shared" si="4"/>
        <v>0</v>
      </c>
      <c r="P57" s="67">
        <f t="shared" si="5"/>
        <v>-6.0606060606059913</v>
      </c>
      <c r="Q57" s="128">
        <f t="shared" si="6"/>
        <v>0.95454545454545503</v>
      </c>
      <c r="R57" s="511"/>
      <c r="S57" s="68">
        <v>0.76041666666666674</v>
      </c>
      <c r="T57" s="68">
        <v>0.79861111111111116</v>
      </c>
      <c r="U57" s="125">
        <f t="shared" si="38"/>
        <v>4.9999999999999822</v>
      </c>
      <c r="V57" s="133">
        <f t="shared" si="37"/>
        <v>54.999999999999964</v>
      </c>
      <c r="W57" s="69"/>
      <c r="X57" s="69"/>
      <c r="Y57" s="126"/>
      <c r="Z57" s="127"/>
      <c r="AA57" s="66">
        <f t="shared" si="8"/>
        <v>-90.909090909089628</v>
      </c>
      <c r="AB57" s="128">
        <f t="shared" si="9"/>
        <v>0.95454545454545514</v>
      </c>
      <c r="AC57" s="511"/>
    </row>
    <row r="58" spans="1:29" ht="15.75" customHeight="1">
      <c r="A58" s="523" t="s">
        <v>339</v>
      </c>
      <c r="B58" s="62" t="s">
        <v>6</v>
      </c>
      <c r="C58" s="130" t="s">
        <v>82</v>
      </c>
      <c r="D58" s="131"/>
      <c r="E58" s="62">
        <v>57.73</v>
      </c>
      <c r="F58" s="74">
        <v>1000</v>
      </c>
      <c r="G58" s="125">
        <f t="shared" si="35"/>
        <v>57730</v>
      </c>
      <c r="H58" s="90">
        <v>2</v>
      </c>
      <c r="I58" s="132">
        <v>16</v>
      </c>
      <c r="J58" s="63">
        <v>1500</v>
      </c>
      <c r="K58" s="64">
        <f t="shared" si="1"/>
        <v>93.75</v>
      </c>
      <c r="L58" s="132">
        <v>16</v>
      </c>
      <c r="M58" s="65">
        <f t="shared" si="36"/>
        <v>1463.4146341463411</v>
      </c>
      <c r="N58" s="65">
        <f t="shared" si="3"/>
        <v>91.463414634146318</v>
      </c>
      <c r="O58" s="66">
        <f t="shared" si="4"/>
        <v>0</v>
      </c>
      <c r="P58" s="67">
        <f t="shared" si="5"/>
        <v>-2.2865853658536821</v>
      </c>
      <c r="Q58" s="128">
        <f t="shared" si="6"/>
        <v>0.97560975609756073</v>
      </c>
      <c r="R58" s="511"/>
      <c r="S58" s="68">
        <v>0.80347222222222225</v>
      </c>
      <c r="T58" s="68">
        <v>0.83194444444444449</v>
      </c>
      <c r="U58" s="125">
        <f t="shared" si="38"/>
        <v>6.9999999999999751</v>
      </c>
      <c r="V58" s="133">
        <f t="shared" si="37"/>
        <v>41.000000000000014</v>
      </c>
      <c r="W58" s="69">
        <f>T58</f>
        <v>0.83194444444444449</v>
      </c>
      <c r="X58" s="69">
        <f>S59</f>
        <v>0.87430555555555556</v>
      </c>
      <c r="Y58" s="126"/>
      <c r="Z58" s="127"/>
      <c r="AA58" s="66">
        <f t="shared" si="8"/>
        <v>-36.585365853658914</v>
      </c>
      <c r="AB58" s="128">
        <f t="shared" si="9"/>
        <v>0.97560975609756073</v>
      </c>
      <c r="AC58" s="511"/>
    </row>
    <row r="59" spans="1:29" ht="15.75" customHeight="1">
      <c r="A59" s="523" t="s">
        <v>495</v>
      </c>
      <c r="B59" s="62" t="s">
        <v>6</v>
      </c>
      <c r="C59" s="521" t="s">
        <v>82</v>
      </c>
      <c r="D59" s="522"/>
      <c r="E59" s="62">
        <v>57.73</v>
      </c>
      <c r="F59" s="74">
        <v>1799</v>
      </c>
      <c r="G59" s="125">
        <f t="shared" si="35"/>
        <v>103856.26999999999</v>
      </c>
      <c r="H59" s="90" t="s">
        <v>5</v>
      </c>
      <c r="I59" s="132">
        <v>16</v>
      </c>
      <c r="J59" s="63">
        <v>1500</v>
      </c>
      <c r="K59" s="64">
        <f t="shared" si="1"/>
        <v>93.75</v>
      </c>
      <c r="L59" s="132">
        <v>16</v>
      </c>
      <c r="M59" s="65">
        <f t="shared" si="36"/>
        <v>1439.1999999999989</v>
      </c>
      <c r="N59" s="65">
        <f t="shared" si="3"/>
        <v>89.949999999999932</v>
      </c>
      <c r="O59" s="66">
        <f t="shared" si="4"/>
        <v>0</v>
      </c>
      <c r="P59" s="67">
        <f t="shared" si="5"/>
        <v>-3.8000000000000682</v>
      </c>
      <c r="Q59" s="128">
        <f t="shared" si="6"/>
        <v>0.95946666666666591</v>
      </c>
      <c r="R59" s="511"/>
      <c r="S59" s="68">
        <v>0.87430555555555556</v>
      </c>
      <c r="T59" s="68">
        <v>0.92638888888888893</v>
      </c>
      <c r="U59" s="125">
        <f t="shared" si="38"/>
        <v>60.999999999999943</v>
      </c>
      <c r="V59" s="133">
        <f t="shared" si="37"/>
        <v>75.000000000000057</v>
      </c>
      <c r="W59" s="69"/>
      <c r="X59" s="69"/>
      <c r="Y59" s="517"/>
      <c r="Z59" s="518"/>
      <c r="AA59" s="66">
        <f t="shared" si="8"/>
        <v>-60.800000000001091</v>
      </c>
      <c r="AB59" s="128">
        <f t="shared" si="9"/>
        <v>0.95946666666666591</v>
      </c>
      <c r="AC59" s="511"/>
    </row>
    <row r="60" spans="1:29">
      <c r="A60" s="524" t="s">
        <v>496</v>
      </c>
      <c r="B60" s="62" t="s">
        <v>79</v>
      </c>
      <c r="C60" s="513"/>
      <c r="D60" s="513"/>
      <c r="E60" s="129"/>
      <c r="F60" s="71"/>
      <c r="G60" s="64"/>
      <c r="H60" s="80"/>
      <c r="I60" s="72">
        <v>16.333333333333332</v>
      </c>
      <c r="J60" s="63">
        <v>1833.3333333333333</v>
      </c>
      <c r="K60" s="64">
        <f t="shared" si="1"/>
        <v>112.24489795918367</v>
      </c>
      <c r="L60" s="72">
        <v>16.333333333333332</v>
      </c>
      <c r="M60" s="65">
        <f>AVERAGE(M54:M59)</f>
        <v>1757.6681800209824</v>
      </c>
      <c r="N60" s="64">
        <f t="shared" si="3"/>
        <v>107.61233755230505</v>
      </c>
      <c r="O60" s="66">
        <f t="shared" si="4"/>
        <v>0</v>
      </c>
      <c r="P60" s="67">
        <f t="shared" si="5"/>
        <v>-4.6325604068786248</v>
      </c>
      <c r="Q60" s="128">
        <f t="shared" si="6"/>
        <v>0.95872809819326321</v>
      </c>
      <c r="R60" s="511"/>
      <c r="S60" s="75"/>
      <c r="T60" s="68"/>
      <c r="U60" s="64"/>
      <c r="V60" s="133"/>
      <c r="W60" s="64"/>
      <c r="X60" s="64"/>
      <c r="Y60" s="510"/>
      <c r="Z60" s="510"/>
      <c r="AA60" s="66">
        <f t="shared" si="8"/>
        <v>-75.665153312350867</v>
      </c>
      <c r="AB60" s="128">
        <f t="shared" si="9"/>
        <v>0.95872809819326321</v>
      </c>
      <c r="AC60" s="511"/>
    </row>
    <row r="61" spans="1:29" ht="15.75" customHeight="1">
      <c r="A61" s="519" t="s">
        <v>497</v>
      </c>
      <c r="B61" s="80" t="s">
        <v>10</v>
      </c>
      <c r="C61" s="512" t="s">
        <v>46</v>
      </c>
      <c r="D61" s="512"/>
      <c r="E61" s="62">
        <v>26.97</v>
      </c>
      <c r="F61" s="74">
        <v>3259</v>
      </c>
      <c r="G61" s="125">
        <f t="shared" ref="G61:G64" si="39">E61*F61</f>
        <v>87895.23</v>
      </c>
      <c r="H61" s="90" t="s">
        <v>5</v>
      </c>
      <c r="I61" s="132">
        <v>8</v>
      </c>
      <c r="J61" s="63">
        <v>1500</v>
      </c>
      <c r="K61" s="64">
        <f t="shared" si="1"/>
        <v>187.5</v>
      </c>
      <c r="L61" s="132">
        <v>8</v>
      </c>
      <c r="M61" s="65">
        <f t="shared" ref="M61:M64" si="40">F61/V61*60</f>
        <v>1437.7941176470583</v>
      </c>
      <c r="N61" s="64">
        <f t="shared" si="3"/>
        <v>179.72426470588229</v>
      </c>
      <c r="O61" s="66">
        <f t="shared" si="4"/>
        <v>0</v>
      </c>
      <c r="P61" s="67">
        <f t="shared" si="5"/>
        <v>-7.7757352941177089</v>
      </c>
      <c r="Q61" s="128">
        <f t="shared" si="6"/>
        <v>0.95852941176470552</v>
      </c>
      <c r="R61" s="511">
        <f>Q65</f>
        <v>0.95698856557548384</v>
      </c>
      <c r="S61" s="68">
        <v>0.20833333333333334</v>
      </c>
      <c r="T61" s="68">
        <v>0.30277777777777781</v>
      </c>
      <c r="U61" s="125"/>
      <c r="V61" s="133">
        <f t="shared" ref="V61:V64" si="41">(T61-S61)*24*60</f>
        <v>136.00000000000006</v>
      </c>
      <c r="W61" s="73"/>
      <c r="X61" s="73"/>
      <c r="Y61" s="510"/>
      <c r="Z61" s="510"/>
      <c r="AA61" s="66">
        <f t="shared" si="8"/>
        <v>-62.205882352941671</v>
      </c>
      <c r="AB61" s="128">
        <f t="shared" si="9"/>
        <v>0.95852941176470552</v>
      </c>
      <c r="AC61" s="511">
        <f>AB65</f>
        <v>0.95698856557548395</v>
      </c>
    </row>
    <row r="62" spans="1:29" ht="15.75" customHeight="1">
      <c r="A62" s="519" t="s">
        <v>498</v>
      </c>
      <c r="B62" s="80" t="s">
        <v>35</v>
      </c>
      <c r="C62" s="512" t="s">
        <v>45</v>
      </c>
      <c r="D62" s="512"/>
      <c r="E62" s="62">
        <v>26.78</v>
      </c>
      <c r="F62" s="74">
        <v>2881</v>
      </c>
      <c r="G62" s="125">
        <f t="shared" si="39"/>
        <v>77153.180000000008</v>
      </c>
      <c r="H62" s="90" t="s">
        <v>5</v>
      </c>
      <c r="I62" s="132">
        <v>10</v>
      </c>
      <c r="J62" s="63">
        <v>3000</v>
      </c>
      <c r="K62" s="64">
        <f t="shared" si="1"/>
        <v>300</v>
      </c>
      <c r="L62" s="132">
        <v>10</v>
      </c>
      <c r="M62" s="65">
        <f t="shared" si="40"/>
        <v>2880.9999999999986</v>
      </c>
      <c r="N62" s="64">
        <f t="shared" si="3"/>
        <v>288.09999999999985</v>
      </c>
      <c r="O62" s="66">
        <f t="shared" si="4"/>
        <v>0</v>
      </c>
      <c r="P62" s="67">
        <f t="shared" si="5"/>
        <v>-11.900000000000148</v>
      </c>
      <c r="Q62" s="128">
        <f t="shared" si="6"/>
        <v>0.96033333333333282</v>
      </c>
      <c r="R62" s="511"/>
      <c r="S62" s="68">
        <v>0.30763888888888891</v>
      </c>
      <c r="T62" s="68">
        <v>0.34930555555555559</v>
      </c>
      <c r="U62" s="125">
        <f t="shared" ref="U62:U64" si="42">(S62-T61)*24*60</f>
        <v>6.9999999999999751</v>
      </c>
      <c r="V62" s="133">
        <f t="shared" si="41"/>
        <v>60.000000000000028</v>
      </c>
      <c r="W62" s="125"/>
      <c r="X62" s="125"/>
      <c r="Y62" s="510"/>
      <c r="Z62" s="510"/>
      <c r="AA62" s="66">
        <f t="shared" si="8"/>
        <v>-119.00000000000136</v>
      </c>
      <c r="AB62" s="128">
        <f t="shared" si="9"/>
        <v>0.96033333333333293</v>
      </c>
      <c r="AC62" s="511"/>
    </row>
    <row r="63" spans="1:29" ht="15.75" customHeight="1">
      <c r="A63" s="519" t="s">
        <v>499</v>
      </c>
      <c r="B63" s="80" t="s">
        <v>35</v>
      </c>
      <c r="C63" s="512" t="s">
        <v>75</v>
      </c>
      <c r="D63" s="512"/>
      <c r="E63" s="62">
        <v>37.880000000000003</v>
      </c>
      <c r="F63" s="74">
        <v>3809</v>
      </c>
      <c r="G63" s="125">
        <f t="shared" si="39"/>
        <v>144284.92000000001</v>
      </c>
      <c r="H63" s="90" t="s">
        <v>5</v>
      </c>
      <c r="I63" s="132">
        <v>10</v>
      </c>
      <c r="J63" s="63">
        <v>3000</v>
      </c>
      <c r="K63" s="64">
        <f t="shared" si="1"/>
        <v>300</v>
      </c>
      <c r="L63" s="132">
        <v>10</v>
      </c>
      <c r="M63" s="65">
        <f t="shared" si="40"/>
        <v>2856.7500000000014</v>
      </c>
      <c r="N63" s="64">
        <f t="shared" si="3"/>
        <v>285.67500000000013</v>
      </c>
      <c r="O63" s="66">
        <f t="shared" si="4"/>
        <v>0</v>
      </c>
      <c r="P63" s="67">
        <f t="shared" si="5"/>
        <v>-14.324999999999875</v>
      </c>
      <c r="Q63" s="128">
        <f t="shared" si="6"/>
        <v>0.95225000000000037</v>
      </c>
      <c r="R63" s="511"/>
      <c r="S63" s="68">
        <v>0.35416666666666669</v>
      </c>
      <c r="T63" s="68">
        <v>0.40972222222222221</v>
      </c>
      <c r="U63" s="125">
        <f t="shared" si="42"/>
        <v>6.9999999999999751</v>
      </c>
      <c r="V63" s="133">
        <f t="shared" si="41"/>
        <v>79.999999999999957</v>
      </c>
      <c r="W63" s="125"/>
      <c r="X63" s="125"/>
      <c r="Y63" s="510"/>
      <c r="Z63" s="510"/>
      <c r="AA63" s="66">
        <f t="shared" si="8"/>
        <v>-143.24999999999864</v>
      </c>
      <c r="AB63" s="128">
        <f t="shared" si="9"/>
        <v>0.95225000000000048</v>
      </c>
      <c r="AC63" s="511"/>
    </row>
    <row r="64" spans="1:29" ht="15.75" customHeight="1">
      <c r="A64" s="519" t="s">
        <v>500</v>
      </c>
      <c r="B64" s="80" t="s">
        <v>35</v>
      </c>
      <c r="C64" s="512" t="s">
        <v>85</v>
      </c>
      <c r="D64" s="512"/>
      <c r="E64" s="62">
        <v>40.51</v>
      </c>
      <c r="F64" s="74">
        <v>3208</v>
      </c>
      <c r="G64" s="125">
        <f t="shared" si="39"/>
        <v>129956.07999999999</v>
      </c>
      <c r="H64" s="90" t="s">
        <v>5</v>
      </c>
      <c r="I64" s="132">
        <v>8</v>
      </c>
      <c r="J64" s="63">
        <v>3000</v>
      </c>
      <c r="K64" s="64">
        <f t="shared" si="1"/>
        <v>375</v>
      </c>
      <c r="L64" s="132">
        <v>8</v>
      </c>
      <c r="M64" s="65">
        <f t="shared" si="40"/>
        <v>2872.8358208955224</v>
      </c>
      <c r="N64" s="64">
        <f t="shared" si="3"/>
        <v>359.1044776119403</v>
      </c>
      <c r="O64" s="66">
        <f t="shared" si="4"/>
        <v>0</v>
      </c>
      <c r="P64" s="67">
        <f t="shared" si="5"/>
        <v>-15.895522388059703</v>
      </c>
      <c r="Q64" s="128">
        <f t="shared" si="6"/>
        <v>0.95761194029850749</v>
      </c>
      <c r="R64" s="511"/>
      <c r="S64" s="68">
        <v>0.41388888888888886</v>
      </c>
      <c r="T64" s="68">
        <v>0.46041666666666664</v>
      </c>
      <c r="U64" s="125">
        <f t="shared" si="42"/>
        <v>5.9999999999999787</v>
      </c>
      <c r="V64" s="133">
        <f t="shared" si="41"/>
        <v>67</v>
      </c>
      <c r="W64" s="125"/>
      <c r="X64" s="125"/>
      <c r="Y64" s="510"/>
      <c r="Z64" s="510"/>
      <c r="AA64" s="66">
        <f t="shared" si="8"/>
        <v>-127.16417910447763</v>
      </c>
      <c r="AB64" s="128">
        <f t="shared" si="9"/>
        <v>0.95761194029850749</v>
      </c>
      <c r="AC64" s="511"/>
    </row>
    <row r="65" spans="1:29">
      <c r="A65" s="520" t="s">
        <v>497</v>
      </c>
      <c r="B65" s="62" t="s">
        <v>491</v>
      </c>
      <c r="C65" s="513"/>
      <c r="D65" s="513"/>
      <c r="E65" s="129"/>
      <c r="F65" s="71"/>
      <c r="G65" s="64"/>
      <c r="H65" s="80"/>
      <c r="I65" s="72">
        <v>9</v>
      </c>
      <c r="J65" s="63">
        <v>2625</v>
      </c>
      <c r="K65" s="64">
        <f t="shared" si="1"/>
        <v>291.66666666666669</v>
      </c>
      <c r="L65" s="72">
        <v>9</v>
      </c>
      <c r="M65" s="65">
        <f>AVERAGE(M61:M64)</f>
        <v>2512.0949846356452</v>
      </c>
      <c r="N65" s="64">
        <f t="shared" si="3"/>
        <v>279.12166495951612</v>
      </c>
      <c r="O65" s="66">
        <f t="shared" si="4"/>
        <v>0</v>
      </c>
      <c r="P65" s="67">
        <f t="shared" si="5"/>
        <v>-12.545001707150561</v>
      </c>
      <c r="Q65" s="128">
        <f t="shared" si="6"/>
        <v>0.95698856557548384</v>
      </c>
      <c r="R65" s="511"/>
      <c r="S65" s="68"/>
      <c r="T65" s="68"/>
      <c r="U65" s="64"/>
      <c r="V65" s="133"/>
      <c r="W65" s="64"/>
      <c r="X65" s="64"/>
      <c r="Y65" s="510"/>
      <c r="Z65" s="510"/>
      <c r="AA65" s="66">
        <f t="shared" si="8"/>
        <v>-112.90501536435477</v>
      </c>
      <c r="AB65" s="128">
        <f t="shared" si="9"/>
        <v>0.95698856557548395</v>
      </c>
      <c r="AC65" s="511"/>
    </row>
    <row r="66" spans="1:29" ht="15.75" customHeight="1">
      <c r="A66" s="514" t="s">
        <v>501</v>
      </c>
      <c r="B66" s="80" t="s">
        <v>16</v>
      </c>
      <c r="C66" s="512" t="s">
        <v>48</v>
      </c>
      <c r="D66" s="512"/>
      <c r="E66" s="62">
        <v>20.2</v>
      </c>
      <c r="F66" s="80">
        <v>2620</v>
      </c>
      <c r="G66" s="125">
        <f t="shared" ref="G66:G75" si="43">E66*F66</f>
        <v>52924</v>
      </c>
      <c r="H66" s="90" t="s">
        <v>5</v>
      </c>
      <c r="I66" s="132">
        <v>19</v>
      </c>
      <c r="J66" s="63">
        <v>2400</v>
      </c>
      <c r="K66" s="64">
        <f t="shared" si="1"/>
        <v>126.31578947368421</v>
      </c>
      <c r="L66" s="132">
        <v>19</v>
      </c>
      <c r="M66" s="65">
        <f t="shared" ref="M66:M75" si="44">F66/V66*60</f>
        <v>2311.7647058823532</v>
      </c>
      <c r="N66" s="64">
        <f t="shared" si="3"/>
        <v>121.67182662538701</v>
      </c>
      <c r="O66" s="66">
        <f t="shared" si="4"/>
        <v>0</v>
      </c>
      <c r="P66" s="67">
        <f t="shared" si="5"/>
        <v>-4.6439628482971926</v>
      </c>
      <c r="Q66" s="128">
        <f t="shared" si="6"/>
        <v>0.96323529411764719</v>
      </c>
      <c r="R66" s="511">
        <f>Q76</f>
        <v>0.96023424110554134</v>
      </c>
      <c r="S66" s="68">
        <v>0.125</v>
      </c>
      <c r="T66" s="68">
        <v>0.17222222222222222</v>
      </c>
      <c r="U66" s="73"/>
      <c r="V66" s="133">
        <f t="shared" ref="V66:V75" si="45">(T66-S66)*24*60</f>
        <v>68</v>
      </c>
      <c r="W66" s="69">
        <f>T66</f>
        <v>0.17222222222222222</v>
      </c>
      <c r="X66" s="69">
        <f>S67</f>
        <v>0.19097222222222221</v>
      </c>
      <c r="Y66" s="510"/>
      <c r="Z66" s="510"/>
      <c r="AA66" s="66">
        <f t="shared" si="8"/>
        <v>-88.235294117646845</v>
      </c>
      <c r="AB66" s="128">
        <f t="shared" si="9"/>
        <v>0.96323529411764719</v>
      </c>
      <c r="AC66" s="511">
        <f>AB76</f>
        <v>0.96023424110554134</v>
      </c>
    </row>
    <row r="67" spans="1:29" ht="15.75" customHeight="1">
      <c r="A67" s="515" t="s">
        <v>502</v>
      </c>
      <c r="B67" s="80" t="s">
        <v>16</v>
      </c>
      <c r="C67" s="512" t="s">
        <v>27</v>
      </c>
      <c r="D67" s="512"/>
      <c r="E67" s="62">
        <v>25.98</v>
      </c>
      <c r="F67" s="80">
        <v>1397</v>
      </c>
      <c r="G67" s="125">
        <f t="shared" si="43"/>
        <v>36294.06</v>
      </c>
      <c r="H67" s="90" t="s">
        <v>5</v>
      </c>
      <c r="I67" s="132">
        <v>17</v>
      </c>
      <c r="J67" s="63">
        <v>2400</v>
      </c>
      <c r="K67" s="64">
        <f t="shared" si="1"/>
        <v>141.1764705882353</v>
      </c>
      <c r="L67" s="132">
        <v>17</v>
      </c>
      <c r="M67" s="65">
        <f t="shared" si="44"/>
        <v>2328.3333333333339</v>
      </c>
      <c r="N67" s="64">
        <f t="shared" si="3"/>
        <v>136.96078431372553</v>
      </c>
      <c r="O67" s="66">
        <f t="shared" si="4"/>
        <v>0</v>
      </c>
      <c r="P67" s="67">
        <f t="shared" si="5"/>
        <v>-4.2156862745097783</v>
      </c>
      <c r="Q67" s="128">
        <f t="shared" si="6"/>
        <v>0.97013888888888911</v>
      </c>
      <c r="R67" s="511"/>
      <c r="S67" s="68">
        <v>0.19097222222222221</v>
      </c>
      <c r="T67" s="68">
        <v>0.2159722222222222</v>
      </c>
      <c r="U67" s="125">
        <f t="shared" ref="U67:U75" si="46">(S67-T66)*24*60</f>
        <v>26.999999999999986</v>
      </c>
      <c r="V67" s="133">
        <f t="shared" si="45"/>
        <v>35.999999999999993</v>
      </c>
      <c r="W67" s="69"/>
      <c r="X67" s="69"/>
      <c r="Y67" s="510"/>
      <c r="Z67" s="510"/>
      <c r="AA67" s="66">
        <f t="shared" si="8"/>
        <v>-71.66666666666606</v>
      </c>
      <c r="AB67" s="128">
        <f t="shared" si="9"/>
        <v>0.97013888888888911</v>
      </c>
      <c r="AC67" s="511"/>
    </row>
    <row r="68" spans="1:29" ht="15.75" customHeight="1">
      <c r="A68" s="515" t="s">
        <v>502</v>
      </c>
      <c r="B68" s="80" t="s">
        <v>16</v>
      </c>
      <c r="C68" s="512" t="s">
        <v>51</v>
      </c>
      <c r="D68" s="512"/>
      <c r="E68" s="62">
        <v>24.25</v>
      </c>
      <c r="F68" s="80">
        <v>2785</v>
      </c>
      <c r="G68" s="125">
        <f t="shared" si="43"/>
        <v>67536.25</v>
      </c>
      <c r="H68" s="90" t="s">
        <v>5</v>
      </c>
      <c r="I68" s="132">
        <v>17</v>
      </c>
      <c r="J68" s="63">
        <v>2400</v>
      </c>
      <c r="K68" s="64">
        <f t="shared" si="1"/>
        <v>141.1764705882353</v>
      </c>
      <c r="L68" s="132">
        <v>17</v>
      </c>
      <c r="M68" s="65">
        <f t="shared" si="44"/>
        <v>2289.0410958904117</v>
      </c>
      <c r="N68" s="64">
        <f t="shared" si="3"/>
        <v>134.64947622884776</v>
      </c>
      <c r="O68" s="66">
        <f t="shared" si="4"/>
        <v>0</v>
      </c>
      <c r="P68" s="67">
        <f t="shared" si="5"/>
        <v>-6.5269943593875439</v>
      </c>
      <c r="Q68" s="128">
        <f t="shared" si="6"/>
        <v>0.95376712328767155</v>
      </c>
      <c r="R68" s="511"/>
      <c r="S68" s="68">
        <v>0.22013888888888888</v>
      </c>
      <c r="T68" s="68">
        <v>0.27083333333333331</v>
      </c>
      <c r="U68" s="125">
        <f t="shared" si="46"/>
        <v>6.0000000000000187</v>
      </c>
      <c r="V68" s="133">
        <f t="shared" si="45"/>
        <v>72.999999999999986</v>
      </c>
      <c r="W68" s="69"/>
      <c r="X68" s="69"/>
      <c r="Y68" s="510"/>
      <c r="Z68" s="510"/>
      <c r="AA68" s="66">
        <f t="shared" si="8"/>
        <v>-110.95890410958827</v>
      </c>
      <c r="AB68" s="128">
        <f t="shared" si="9"/>
        <v>0.95376712328767155</v>
      </c>
      <c r="AC68" s="511"/>
    </row>
    <row r="69" spans="1:29" ht="15.75" customHeight="1">
      <c r="A69" s="515" t="s">
        <v>503</v>
      </c>
      <c r="B69" s="80" t="s">
        <v>16</v>
      </c>
      <c r="C69" s="512" t="s">
        <v>17</v>
      </c>
      <c r="D69" s="512"/>
      <c r="E69" s="62">
        <v>24.45</v>
      </c>
      <c r="F69" s="80">
        <v>2564</v>
      </c>
      <c r="G69" s="125">
        <f t="shared" si="43"/>
        <v>62689.799999999996</v>
      </c>
      <c r="H69" s="90" t="s">
        <v>5</v>
      </c>
      <c r="I69" s="132">
        <v>20</v>
      </c>
      <c r="J69" s="63">
        <v>2400</v>
      </c>
      <c r="K69" s="64">
        <f t="shared" ref="K69:K76" si="47">J69/I69</f>
        <v>120</v>
      </c>
      <c r="L69" s="132">
        <v>20</v>
      </c>
      <c r="M69" s="65">
        <f t="shared" si="44"/>
        <v>2296.1194029850744</v>
      </c>
      <c r="N69" s="64">
        <f t="shared" ref="N69:N76" si="48">M69/L69</f>
        <v>114.80597014925372</v>
      </c>
      <c r="O69" s="66">
        <f t="shared" ref="O69:O76" si="49">L69-I69</f>
        <v>0</v>
      </c>
      <c r="P69" s="67">
        <f t="shared" ref="P69:P76" si="50">N69-K69</f>
        <v>-5.1940298507462757</v>
      </c>
      <c r="Q69" s="128">
        <f t="shared" ref="Q69:Q76" si="51">N69/K69</f>
        <v>0.9567164179104477</v>
      </c>
      <c r="R69" s="511"/>
      <c r="S69" s="68">
        <v>0.27430555555555552</v>
      </c>
      <c r="T69" s="68">
        <v>0.3208333333333333</v>
      </c>
      <c r="U69" s="125">
        <f t="shared" si="46"/>
        <v>4.9999999999999822</v>
      </c>
      <c r="V69" s="133">
        <f t="shared" si="45"/>
        <v>67</v>
      </c>
      <c r="W69" s="69"/>
      <c r="X69" s="69"/>
      <c r="Y69" s="510"/>
      <c r="Z69" s="510"/>
      <c r="AA69" s="66">
        <f t="shared" ref="AA69:AA76" si="52">M69-J69</f>
        <v>-103.88059701492557</v>
      </c>
      <c r="AB69" s="128">
        <f t="shared" ref="AB69:AB76" si="53">M69/J69</f>
        <v>0.9567164179104477</v>
      </c>
      <c r="AC69" s="511"/>
    </row>
    <row r="70" spans="1:29" ht="15.75" customHeight="1">
      <c r="A70" s="515" t="s">
        <v>342</v>
      </c>
      <c r="B70" s="80" t="s">
        <v>16</v>
      </c>
      <c r="C70" s="512" t="s">
        <v>34</v>
      </c>
      <c r="D70" s="512"/>
      <c r="E70" s="62">
        <v>24.25</v>
      </c>
      <c r="F70" s="80">
        <v>2800</v>
      </c>
      <c r="G70" s="125">
        <f t="shared" si="43"/>
        <v>67900</v>
      </c>
      <c r="H70" s="90">
        <v>2</v>
      </c>
      <c r="I70" s="132">
        <v>13</v>
      </c>
      <c r="J70" s="63">
        <v>2400</v>
      </c>
      <c r="K70" s="64">
        <f t="shared" si="47"/>
        <v>184.61538461538461</v>
      </c>
      <c r="L70" s="132">
        <v>13</v>
      </c>
      <c r="M70" s="65">
        <f t="shared" si="44"/>
        <v>2301.3698630136987</v>
      </c>
      <c r="N70" s="64">
        <f t="shared" si="48"/>
        <v>177.02845100105375</v>
      </c>
      <c r="O70" s="66">
        <f t="shared" si="49"/>
        <v>0</v>
      </c>
      <c r="P70" s="67">
        <f t="shared" si="50"/>
        <v>-7.5869336143308601</v>
      </c>
      <c r="Q70" s="128">
        <f t="shared" si="51"/>
        <v>0.95890410958904115</v>
      </c>
      <c r="R70" s="511"/>
      <c r="S70" s="68">
        <v>0.32499999999999996</v>
      </c>
      <c r="T70" s="68">
        <v>0.37569444444444439</v>
      </c>
      <c r="U70" s="125">
        <f t="shared" si="46"/>
        <v>5.9999999999999787</v>
      </c>
      <c r="V70" s="133">
        <f t="shared" si="45"/>
        <v>72.999999999999986</v>
      </c>
      <c r="W70" s="69"/>
      <c r="X70" s="69"/>
      <c r="Y70" s="510"/>
      <c r="Z70" s="510"/>
      <c r="AA70" s="66">
        <f t="shared" si="52"/>
        <v>-98.630136986301295</v>
      </c>
      <c r="AB70" s="128">
        <f t="shared" si="53"/>
        <v>0.95890410958904115</v>
      </c>
      <c r="AC70" s="511"/>
    </row>
    <row r="71" spans="1:29" ht="15.75" customHeight="1">
      <c r="A71" s="515" t="s">
        <v>504</v>
      </c>
      <c r="B71" s="80" t="s">
        <v>16</v>
      </c>
      <c r="C71" s="512" t="s">
        <v>26</v>
      </c>
      <c r="D71" s="512"/>
      <c r="E71" s="62">
        <v>20.52</v>
      </c>
      <c r="F71" s="80">
        <v>2300</v>
      </c>
      <c r="G71" s="125">
        <f t="shared" si="43"/>
        <v>47196</v>
      </c>
      <c r="H71" s="90">
        <v>2</v>
      </c>
      <c r="I71" s="132">
        <v>18</v>
      </c>
      <c r="J71" s="63">
        <v>2400</v>
      </c>
      <c r="K71" s="64">
        <f t="shared" si="47"/>
        <v>133.33333333333334</v>
      </c>
      <c r="L71" s="132">
        <v>18</v>
      </c>
      <c r="M71" s="65">
        <f t="shared" si="44"/>
        <v>2299.9999999999991</v>
      </c>
      <c r="N71" s="64">
        <f t="shared" si="48"/>
        <v>127.77777777777773</v>
      </c>
      <c r="O71" s="66">
        <f t="shared" si="49"/>
        <v>0</v>
      </c>
      <c r="P71" s="67">
        <f t="shared" si="50"/>
        <v>-5.555555555555614</v>
      </c>
      <c r="Q71" s="128">
        <f t="shared" si="51"/>
        <v>0.95833333333333293</v>
      </c>
      <c r="R71" s="511"/>
      <c r="S71" s="68">
        <v>0.38055555555555548</v>
      </c>
      <c r="T71" s="68">
        <v>0.42222222222222217</v>
      </c>
      <c r="U71" s="125">
        <f t="shared" si="46"/>
        <v>6.9999999999999751</v>
      </c>
      <c r="V71" s="133">
        <f t="shared" si="45"/>
        <v>60.000000000000028</v>
      </c>
      <c r="W71" s="69"/>
      <c r="X71" s="69"/>
      <c r="Y71" s="510"/>
      <c r="Z71" s="510"/>
      <c r="AA71" s="66">
        <f t="shared" si="52"/>
        <v>-100.00000000000091</v>
      </c>
      <c r="AB71" s="128">
        <f t="shared" si="53"/>
        <v>0.95833333333333293</v>
      </c>
      <c r="AC71" s="511"/>
    </row>
    <row r="72" spans="1:29" ht="15.75" customHeight="1">
      <c r="A72" s="515" t="s">
        <v>504</v>
      </c>
      <c r="B72" s="80" t="s">
        <v>16</v>
      </c>
      <c r="C72" s="512" t="s">
        <v>49</v>
      </c>
      <c r="D72" s="512"/>
      <c r="E72" s="62">
        <v>19.02</v>
      </c>
      <c r="F72" s="80">
        <v>4500</v>
      </c>
      <c r="G72" s="125">
        <f t="shared" si="43"/>
        <v>85590</v>
      </c>
      <c r="H72" s="90">
        <v>2</v>
      </c>
      <c r="I72" s="132">
        <v>15</v>
      </c>
      <c r="J72" s="63">
        <v>2400</v>
      </c>
      <c r="K72" s="64">
        <f t="shared" si="47"/>
        <v>160</v>
      </c>
      <c r="L72" s="132">
        <v>15</v>
      </c>
      <c r="M72" s="65">
        <f t="shared" si="44"/>
        <v>2288.1355932203378</v>
      </c>
      <c r="N72" s="64">
        <f t="shared" si="48"/>
        <v>152.54237288135585</v>
      </c>
      <c r="O72" s="66">
        <f t="shared" si="49"/>
        <v>0</v>
      </c>
      <c r="P72" s="67">
        <f t="shared" si="50"/>
        <v>-7.4576271186441545</v>
      </c>
      <c r="Q72" s="128">
        <f t="shared" si="51"/>
        <v>0.95338983050847403</v>
      </c>
      <c r="R72" s="511"/>
      <c r="S72" s="68">
        <v>0.42708333333333326</v>
      </c>
      <c r="T72" s="68">
        <v>0.50902777777777775</v>
      </c>
      <c r="U72" s="125">
        <f t="shared" si="46"/>
        <v>6.9999999999999751</v>
      </c>
      <c r="V72" s="133">
        <f t="shared" si="45"/>
        <v>118.00000000000006</v>
      </c>
      <c r="W72" s="69">
        <f>T72</f>
        <v>0.50902777777777775</v>
      </c>
      <c r="X72" s="69">
        <f>S73</f>
        <v>0.54861111111111105</v>
      </c>
      <c r="Y72" s="517"/>
      <c r="Z72" s="518"/>
      <c r="AA72" s="66">
        <f t="shared" si="52"/>
        <v>-111.8644067796622</v>
      </c>
      <c r="AB72" s="128">
        <f t="shared" si="53"/>
        <v>0.95338983050847403</v>
      </c>
      <c r="AC72" s="511"/>
    </row>
    <row r="73" spans="1:29" ht="15.75" customHeight="1">
      <c r="A73" s="515" t="s">
        <v>505</v>
      </c>
      <c r="B73" s="80" t="s">
        <v>16</v>
      </c>
      <c r="C73" s="512" t="s">
        <v>49</v>
      </c>
      <c r="D73" s="512"/>
      <c r="E73" s="62">
        <v>19.02</v>
      </c>
      <c r="F73" s="80">
        <v>6682</v>
      </c>
      <c r="G73" s="125">
        <f t="shared" si="43"/>
        <v>127091.64</v>
      </c>
      <c r="H73" s="90" t="s">
        <v>5</v>
      </c>
      <c r="I73" s="132">
        <v>15</v>
      </c>
      <c r="J73" s="63">
        <v>2400</v>
      </c>
      <c r="K73" s="64">
        <f t="shared" si="47"/>
        <v>160</v>
      </c>
      <c r="L73" s="132">
        <v>15</v>
      </c>
      <c r="M73" s="65">
        <f t="shared" si="44"/>
        <v>2290.9714285714281</v>
      </c>
      <c r="N73" s="64">
        <f t="shared" si="48"/>
        <v>152.73142857142855</v>
      </c>
      <c r="O73" s="66">
        <f t="shared" si="49"/>
        <v>0</v>
      </c>
      <c r="P73" s="67">
        <f t="shared" si="50"/>
        <v>-7.2685714285714482</v>
      </c>
      <c r="Q73" s="128">
        <f t="shared" si="51"/>
        <v>0.9545714285714284</v>
      </c>
      <c r="R73" s="511"/>
      <c r="S73" s="68">
        <v>0.54861111111111105</v>
      </c>
      <c r="T73" s="68">
        <v>0.67013888888888884</v>
      </c>
      <c r="U73" s="125">
        <f t="shared" si="46"/>
        <v>56.999999999999957</v>
      </c>
      <c r="V73" s="133">
        <f t="shared" si="45"/>
        <v>175.00000000000003</v>
      </c>
      <c r="W73" s="69"/>
      <c r="X73" s="69"/>
      <c r="Y73" s="517"/>
      <c r="Z73" s="518"/>
      <c r="AA73" s="66">
        <f t="shared" si="52"/>
        <v>-109.02857142857192</v>
      </c>
      <c r="AB73" s="128">
        <f t="shared" si="53"/>
        <v>0.9545714285714284</v>
      </c>
      <c r="AC73" s="511"/>
    </row>
    <row r="74" spans="1:29" ht="15.75" customHeight="1">
      <c r="A74" s="515" t="s">
        <v>342</v>
      </c>
      <c r="B74" s="80" t="s">
        <v>16</v>
      </c>
      <c r="C74" s="512" t="s">
        <v>34</v>
      </c>
      <c r="D74" s="512"/>
      <c r="E74" s="62">
        <v>24.25</v>
      </c>
      <c r="F74" s="80">
        <v>1267</v>
      </c>
      <c r="G74" s="125">
        <f t="shared" si="43"/>
        <v>30724.75</v>
      </c>
      <c r="H74" s="90" t="s">
        <v>5</v>
      </c>
      <c r="I74" s="132">
        <v>13</v>
      </c>
      <c r="J74" s="63">
        <v>2400</v>
      </c>
      <c r="K74" s="64">
        <f t="shared" si="47"/>
        <v>184.61538461538461</v>
      </c>
      <c r="L74" s="132">
        <v>13</v>
      </c>
      <c r="M74" s="65">
        <f t="shared" si="44"/>
        <v>2303.6363636363603</v>
      </c>
      <c r="N74" s="64">
        <f t="shared" si="48"/>
        <v>177.20279720279694</v>
      </c>
      <c r="O74" s="66">
        <f t="shared" si="49"/>
        <v>0</v>
      </c>
      <c r="P74" s="67">
        <f t="shared" si="50"/>
        <v>-7.4125874125876692</v>
      </c>
      <c r="Q74" s="128">
        <f t="shared" si="51"/>
        <v>0.95984848484848351</v>
      </c>
      <c r="R74" s="511"/>
      <c r="S74" s="68">
        <v>0.67569444444444438</v>
      </c>
      <c r="T74" s="68">
        <v>0.69861111111111107</v>
      </c>
      <c r="U74" s="125">
        <f t="shared" si="46"/>
        <v>7.9999999999999716</v>
      </c>
      <c r="V74" s="133">
        <f t="shared" si="45"/>
        <v>33.000000000000043</v>
      </c>
      <c r="W74" s="69"/>
      <c r="X74" s="69"/>
      <c r="Y74" s="517"/>
      <c r="Z74" s="518"/>
      <c r="AA74" s="66">
        <f t="shared" si="52"/>
        <v>-96.363636363639671</v>
      </c>
      <c r="AB74" s="128">
        <f t="shared" si="53"/>
        <v>0.95984848484848351</v>
      </c>
      <c r="AC74" s="511"/>
    </row>
    <row r="75" spans="1:29" ht="15.75" customHeight="1">
      <c r="A75" s="515" t="s">
        <v>504</v>
      </c>
      <c r="B75" s="80" t="s">
        <v>16</v>
      </c>
      <c r="C75" s="512" t="s">
        <v>26</v>
      </c>
      <c r="D75" s="512"/>
      <c r="E75" s="62">
        <v>20.52</v>
      </c>
      <c r="F75" s="80">
        <v>1246</v>
      </c>
      <c r="G75" s="125">
        <f t="shared" si="43"/>
        <v>25567.919999999998</v>
      </c>
      <c r="H75" s="90" t="s">
        <v>5</v>
      </c>
      <c r="I75" s="132">
        <v>18</v>
      </c>
      <c r="J75" s="63">
        <v>2400</v>
      </c>
      <c r="K75" s="64">
        <f t="shared" si="47"/>
        <v>133.33333333333334</v>
      </c>
      <c r="L75" s="132">
        <v>18</v>
      </c>
      <c r="M75" s="65">
        <f t="shared" si="44"/>
        <v>2336.2499999999968</v>
      </c>
      <c r="N75" s="64">
        <f t="shared" si="48"/>
        <v>129.79166666666649</v>
      </c>
      <c r="O75" s="66">
        <f t="shared" si="49"/>
        <v>0</v>
      </c>
      <c r="P75" s="67">
        <f t="shared" si="50"/>
        <v>-3.5416666666668561</v>
      </c>
      <c r="Q75" s="128">
        <f t="shared" si="51"/>
        <v>0.97343749999999862</v>
      </c>
      <c r="R75" s="511"/>
      <c r="S75" s="68">
        <v>0.70277777777777772</v>
      </c>
      <c r="T75" s="68">
        <v>0.72499999999999998</v>
      </c>
      <c r="U75" s="125">
        <f t="shared" si="46"/>
        <v>5.9999999999999787</v>
      </c>
      <c r="V75" s="133">
        <f t="shared" si="45"/>
        <v>32.000000000000043</v>
      </c>
      <c r="W75" s="69"/>
      <c r="X75" s="69"/>
      <c r="Y75" s="517"/>
      <c r="Z75" s="518"/>
      <c r="AA75" s="66">
        <f t="shared" si="52"/>
        <v>-63.750000000003183</v>
      </c>
      <c r="AB75" s="128">
        <f t="shared" si="53"/>
        <v>0.97343749999999862</v>
      </c>
      <c r="AC75" s="511"/>
    </row>
    <row r="76" spans="1:29" ht="16.5" customHeight="1">
      <c r="A76" s="516" t="s">
        <v>342</v>
      </c>
      <c r="B76" s="62" t="s">
        <v>482</v>
      </c>
      <c r="C76" s="508"/>
      <c r="D76" s="509"/>
      <c r="E76" s="129"/>
      <c r="F76" s="71"/>
      <c r="G76" s="64"/>
      <c r="H76" s="80"/>
      <c r="I76" s="72">
        <v>16.5</v>
      </c>
      <c r="J76" s="63">
        <v>2400</v>
      </c>
      <c r="K76" s="64">
        <f t="shared" si="47"/>
        <v>145.45454545454547</v>
      </c>
      <c r="L76" s="72">
        <v>16.5</v>
      </c>
      <c r="M76" s="65">
        <f>AVERAGE(M66:M75)</f>
        <v>2304.5621786532993</v>
      </c>
      <c r="N76" s="64">
        <f t="shared" si="48"/>
        <v>139.67043506989694</v>
      </c>
      <c r="O76" s="66">
        <f t="shared" si="49"/>
        <v>0</v>
      </c>
      <c r="P76" s="67">
        <f t="shared" si="50"/>
        <v>-5.7841103846485282</v>
      </c>
      <c r="Q76" s="128">
        <f t="shared" si="51"/>
        <v>0.96023424110554134</v>
      </c>
      <c r="R76" s="511"/>
      <c r="S76" s="68"/>
      <c r="T76" s="68"/>
      <c r="U76" s="64"/>
      <c r="V76" s="133"/>
      <c r="W76" s="64"/>
      <c r="X76" s="64"/>
      <c r="Y76" s="510"/>
      <c r="Z76" s="510"/>
      <c r="AA76" s="66">
        <f t="shared" si="52"/>
        <v>-95.43782134670073</v>
      </c>
      <c r="AB76" s="128">
        <f t="shared" si="53"/>
        <v>0.96023424110554134</v>
      </c>
      <c r="AC76" s="511"/>
    </row>
    <row r="77" spans="1:29">
      <c r="D77" s="76"/>
      <c r="E77" s="76"/>
    </row>
  </sheetData>
  <mergeCells count="20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3"/>
    <mergeCell ref="C18:D18"/>
    <mergeCell ref="R18:R23"/>
    <mergeCell ref="Y18:Z18"/>
    <mergeCell ref="Y23:Z23"/>
    <mergeCell ref="A12:A17"/>
    <mergeCell ref="AC24:AC32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42:A53"/>
    <mergeCell ref="C42:D42"/>
    <mergeCell ref="R42:R53"/>
    <mergeCell ref="Y42:Z42"/>
    <mergeCell ref="Y47:Z47"/>
    <mergeCell ref="C48:D48"/>
    <mergeCell ref="Y48:Z48"/>
    <mergeCell ref="C49:D49"/>
    <mergeCell ref="Y49:Z49"/>
    <mergeCell ref="C50:D50"/>
    <mergeCell ref="Y50:Z50"/>
    <mergeCell ref="AC54:AC60"/>
    <mergeCell ref="C55:D55"/>
    <mergeCell ref="Y55:Z55"/>
    <mergeCell ref="C56:D56"/>
    <mergeCell ref="C59:D59"/>
    <mergeCell ref="Y59:Z59"/>
    <mergeCell ref="C51:D51"/>
    <mergeCell ref="Y51:Z51"/>
    <mergeCell ref="C52:D52"/>
    <mergeCell ref="Y52:Z52"/>
    <mergeCell ref="C53:D53"/>
    <mergeCell ref="Y53:Z53"/>
    <mergeCell ref="C60:D60"/>
    <mergeCell ref="Y60:Z60"/>
    <mergeCell ref="AC42:AC53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C61:AC65"/>
    <mergeCell ref="C62:D62"/>
    <mergeCell ref="Y62:Z62"/>
    <mergeCell ref="C63:D63"/>
    <mergeCell ref="Y63:Z63"/>
    <mergeCell ref="C64:D64"/>
    <mergeCell ref="Y64:Z64"/>
    <mergeCell ref="C65:D65"/>
    <mergeCell ref="Y65:Z65"/>
    <mergeCell ref="A61:A65"/>
    <mergeCell ref="C61:D61"/>
    <mergeCell ref="R61:R65"/>
    <mergeCell ref="Y61:Z61"/>
    <mergeCell ref="A54:A60"/>
    <mergeCell ref="C54:D54"/>
    <mergeCell ref="R54:R60"/>
    <mergeCell ref="Y54:Z54"/>
    <mergeCell ref="Y72:Z72"/>
    <mergeCell ref="A66:A76"/>
    <mergeCell ref="C66:D66"/>
    <mergeCell ref="R66:R76"/>
    <mergeCell ref="Y66:Z66"/>
    <mergeCell ref="AC66:AC76"/>
    <mergeCell ref="C67:D67"/>
    <mergeCell ref="Y67:Z67"/>
    <mergeCell ref="C68:D68"/>
    <mergeCell ref="Y68:Z68"/>
    <mergeCell ref="C69:D69"/>
    <mergeCell ref="C76:D76"/>
    <mergeCell ref="Y76:Z76"/>
    <mergeCell ref="C73:D73"/>
    <mergeCell ref="Y73:Z73"/>
    <mergeCell ref="C74:D74"/>
    <mergeCell ref="Y74:Z74"/>
    <mergeCell ref="C75:D75"/>
    <mergeCell ref="Y75:Z75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64:O71 O76 O5:O9 O11:O13 O53:O61 O17:O47">
    <cfRule type="cellIs" dxfId="505" priority="86" operator="greaterThan">
      <formula>0</formula>
    </cfRule>
  </conditionalFormatting>
  <conditionalFormatting sqref="P5:P7 P64 AA64 P66:P71 P24:P31 P61 P9 P11:P13 P18:P22 P54:P59 P33:P47 AA5:AA61 AA66:AA76">
    <cfRule type="cellIs" dxfId="504" priority="90" operator="lessThan">
      <formula>0</formula>
    </cfRule>
  </conditionalFormatting>
  <conditionalFormatting sqref="AB64 Q64:Q71 Q76 Q5:Q9 Q11:Q13 Q53:Q61 Q17:Q47 AB5:AB61 AB66:AB76">
    <cfRule type="cellIs" dxfId="503" priority="87" operator="greaterThan">
      <formula>1</formula>
    </cfRule>
    <cfRule type="cellIs" dxfId="502" priority="88" operator="lessThan">
      <formula>0.8</formula>
    </cfRule>
  </conditionalFormatting>
  <conditionalFormatting sqref="AC12:AC13 R12:R13 AC64 R64:R71 R76 AC5:AC9 R5:R9 R17:R47 AC17:AC47 AC53:AC61 R53:R61">
    <cfRule type="cellIs" dxfId="501" priority="92" operator="lessThan">
      <formula>0.8</formula>
    </cfRule>
  </conditionalFormatting>
  <conditionalFormatting sqref="AC42">
    <cfRule type="cellIs" dxfId="500" priority="94" operator="lessThan">
      <formula>0.8</formula>
    </cfRule>
  </conditionalFormatting>
  <conditionalFormatting sqref="AC18:AC22">
    <cfRule type="cellIs" dxfId="499" priority="91" operator="lessThan">
      <formula>0.8</formula>
    </cfRule>
  </conditionalFormatting>
  <conditionalFormatting sqref="AC24">
    <cfRule type="cellIs" dxfId="498" priority="93" operator="lessThan">
      <formula>0.8</formula>
    </cfRule>
  </conditionalFormatting>
  <conditionalFormatting sqref="AC33:AC40">
    <cfRule type="cellIs" dxfId="497" priority="89" operator="lessThan">
      <formula>0.8</formula>
    </cfRule>
  </conditionalFormatting>
  <conditionalFormatting sqref="AA65">
    <cfRule type="cellIs" dxfId="496" priority="85" operator="lessThan">
      <formula>0</formula>
    </cfRule>
  </conditionalFormatting>
  <conditionalFormatting sqref="AB65">
    <cfRule type="cellIs" dxfId="495" priority="83" operator="greaterThan">
      <formula>1</formula>
    </cfRule>
    <cfRule type="cellIs" dxfId="494" priority="84" operator="lessThan">
      <formula>0.8</formula>
    </cfRule>
  </conditionalFormatting>
  <conditionalFormatting sqref="O14:O15">
    <cfRule type="cellIs" dxfId="493" priority="78" operator="greaterThan">
      <formula>0</formula>
    </cfRule>
  </conditionalFormatting>
  <conditionalFormatting sqref="P14:P15">
    <cfRule type="cellIs" dxfId="492" priority="81" operator="lessThan">
      <formula>0</formula>
    </cfRule>
  </conditionalFormatting>
  <conditionalFormatting sqref="Q14:Q15">
    <cfRule type="cellIs" dxfId="491" priority="79" operator="greaterThan">
      <formula>1</formula>
    </cfRule>
    <cfRule type="cellIs" dxfId="490" priority="80" operator="lessThan">
      <formula>0.8</formula>
    </cfRule>
  </conditionalFormatting>
  <conditionalFormatting sqref="R14:R15 AC14:AC15">
    <cfRule type="cellIs" dxfId="489" priority="82" operator="lessThan">
      <formula>0.8</formula>
    </cfRule>
  </conditionalFormatting>
  <conditionalFormatting sqref="O10">
    <cfRule type="cellIs" dxfId="488" priority="74" operator="greaterThan">
      <formula>0</formula>
    </cfRule>
  </conditionalFormatting>
  <conditionalFormatting sqref="P10">
    <cfRule type="cellIs" dxfId="487" priority="77" operator="lessThan">
      <formula>0</formula>
    </cfRule>
  </conditionalFormatting>
  <conditionalFormatting sqref="Q10">
    <cfRule type="cellIs" dxfId="486" priority="75" operator="greaterThan">
      <formula>1</formula>
    </cfRule>
    <cfRule type="cellIs" dxfId="485" priority="76" operator="lessThan">
      <formula>0.8</formula>
    </cfRule>
  </conditionalFormatting>
  <conditionalFormatting sqref="O63">
    <cfRule type="cellIs" dxfId="484" priority="69" operator="greaterThan">
      <formula>0</formula>
    </cfRule>
  </conditionalFormatting>
  <conditionalFormatting sqref="P63 AA63">
    <cfRule type="cellIs" dxfId="483" priority="72" operator="lessThan">
      <formula>0</formula>
    </cfRule>
  </conditionalFormatting>
  <conditionalFormatting sqref="Q63 AB63">
    <cfRule type="cellIs" dxfId="482" priority="70" operator="greaterThan">
      <formula>1</formula>
    </cfRule>
    <cfRule type="cellIs" dxfId="481" priority="71" operator="lessThan">
      <formula>0.8</formula>
    </cfRule>
  </conditionalFormatting>
  <conditionalFormatting sqref="R63 AC63">
    <cfRule type="cellIs" dxfId="480" priority="73" operator="lessThan">
      <formula>0.8</formula>
    </cfRule>
  </conditionalFormatting>
  <conditionalFormatting sqref="O72">
    <cfRule type="cellIs" dxfId="479" priority="64" operator="greaterThan">
      <formula>0</formula>
    </cfRule>
  </conditionalFormatting>
  <conditionalFormatting sqref="P72">
    <cfRule type="cellIs" dxfId="478" priority="67" operator="lessThan">
      <formula>0</formula>
    </cfRule>
  </conditionalFormatting>
  <conditionalFormatting sqref="Q72">
    <cfRule type="cellIs" dxfId="477" priority="65" operator="greaterThan">
      <formula>1</formula>
    </cfRule>
    <cfRule type="cellIs" dxfId="476" priority="66" operator="lessThan">
      <formula>0.8</formula>
    </cfRule>
  </conditionalFormatting>
  <conditionalFormatting sqref="R72">
    <cfRule type="cellIs" dxfId="475" priority="68" operator="lessThan">
      <formula>0.8</formula>
    </cfRule>
  </conditionalFormatting>
  <conditionalFormatting sqref="O16">
    <cfRule type="cellIs" dxfId="474" priority="59" operator="greaterThan">
      <formula>0</formula>
    </cfRule>
  </conditionalFormatting>
  <conditionalFormatting sqref="P16">
    <cfRule type="cellIs" dxfId="473" priority="62" operator="lessThan">
      <formula>0</formula>
    </cfRule>
  </conditionalFormatting>
  <conditionalFormatting sqref="Q16">
    <cfRule type="cellIs" dxfId="472" priority="60" operator="greaterThan">
      <formula>1</formula>
    </cfRule>
    <cfRule type="cellIs" dxfId="471" priority="61" operator="lessThan">
      <formula>0.8</formula>
    </cfRule>
  </conditionalFormatting>
  <conditionalFormatting sqref="R16 AC16">
    <cfRule type="cellIs" dxfId="470" priority="63" operator="lessThan">
      <formula>0.8</formula>
    </cfRule>
  </conditionalFormatting>
  <conditionalFormatting sqref="O48">
    <cfRule type="cellIs" dxfId="469" priority="53" operator="greaterThan">
      <formula>0</formula>
    </cfRule>
  </conditionalFormatting>
  <conditionalFormatting sqref="P48">
    <cfRule type="cellIs" dxfId="468" priority="57" operator="lessThan">
      <formula>0</formula>
    </cfRule>
  </conditionalFormatting>
  <conditionalFormatting sqref="Q48">
    <cfRule type="cellIs" dxfId="467" priority="54" operator="greaterThan">
      <formula>1</formula>
    </cfRule>
    <cfRule type="cellIs" dxfId="466" priority="55" operator="lessThan">
      <formula>0.8</formula>
    </cfRule>
  </conditionalFormatting>
  <conditionalFormatting sqref="R48 AC48">
    <cfRule type="cellIs" dxfId="465" priority="58" operator="lessThan">
      <formula>0.8</formula>
    </cfRule>
  </conditionalFormatting>
  <conditionalFormatting sqref="AC48">
    <cfRule type="cellIs" dxfId="464" priority="56" operator="lessThan">
      <formula>0.8</formula>
    </cfRule>
  </conditionalFormatting>
  <conditionalFormatting sqref="O49">
    <cfRule type="cellIs" dxfId="463" priority="47" operator="greaterThan">
      <formula>0</formula>
    </cfRule>
  </conditionalFormatting>
  <conditionalFormatting sqref="P49">
    <cfRule type="cellIs" dxfId="462" priority="51" operator="lessThan">
      <formula>0</formula>
    </cfRule>
  </conditionalFormatting>
  <conditionalFormatting sqref="Q49">
    <cfRule type="cellIs" dxfId="461" priority="48" operator="greaterThan">
      <formula>1</formula>
    </cfRule>
    <cfRule type="cellIs" dxfId="460" priority="49" operator="lessThan">
      <formula>0.8</formula>
    </cfRule>
  </conditionalFormatting>
  <conditionalFormatting sqref="R49 AC49">
    <cfRule type="cellIs" dxfId="459" priority="52" operator="lessThan">
      <formula>0.8</formula>
    </cfRule>
  </conditionalFormatting>
  <conditionalFormatting sqref="AC49">
    <cfRule type="cellIs" dxfId="458" priority="50" operator="lessThan">
      <formula>0.8</formula>
    </cfRule>
  </conditionalFormatting>
  <conditionalFormatting sqref="O50">
    <cfRule type="cellIs" dxfId="457" priority="41" operator="greaterThan">
      <formula>0</formula>
    </cfRule>
  </conditionalFormatting>
  <conditionalFormatting sqref="P50">
    <cfRule type="cellIs" dxfId="456" priority="45" operator="lessThan">
      <formula>0</formula>
    </cfRule>
  </conditionalFormatting>
  <conditionalFormatting sqref="Q50">
    <cfRule type="cellIs" dxfId="455" priority="42" operator="greaterThan">
      <formula>1</formula>
    </cfRule>
    <cfRule type="cellIs" dxfId="454" priority="43" operator="lessThan">
      <formula>0.8</formula>
    </cfRule>
  </conditionalFormatting>
  <conditionalFormatting sqref="R50 AC50">
    <cfRule type="cellIs" dxfId="453" priority="46" operator="lessThan">
      <formula>0.8</formula>
    </cfRule>
  </conditionalFormatting>
  <conditionalFormatting sqref="AC50">
    <cfRule type="cellIs" dxfId="452" priority="44" operator="lessThan">
      <formula>0.8</formula>
    </cfRule>
  </conditionalFormatting>
  <conditionalFormatting sqref="O51">
    <cfRule type="cellIs" dxfId="451" priority="35" operator="greaterThan">
      <formula>0</formula>
    </cfRule>
  </conditionalFormatting>
  <conditionalFormatting sqref="P51">
    <cfRule type="cellIs" dxfId="450" priority="39" operator="lessThan">
      <formula>0</formula>
    </cfRule>
  </conditionalFormatting>
  <conditionalFormatting sqref="Q51">
    <cfRule type="cellIs" dxfId="449" priority="36" operator="greaterThan">
      <formula>1</formula>
    </cfRule>
    <cfRule type="cellIs" dxfId="448" priority="37" operator="lessThan">
      <formula>0.8</formula>
    </cfRule>
  </conditionalFormatting>
  <conditionalFormatting sqref="R51 AC51">
    <cfRule type="cellIs" dxfId="447" priority="40" operator="lessThan">
      <formula>0.8</formula>
    </cfRule>
  </conditionalFormatting>
  <conditionalFormatting sqref="AC51">
    <cfRule type="cellIs" dxfId="446" priority="38" operator="lessThan">
      <formula>0.8</formula>
    </cfRule>
  </conditionalFormatting>
  <conditionalFormatting sqref="O52">
    <cfRule type="cellIs" dxfId="445" priority="29" operator="greaterThan">
      <formula>0</formula>
    </cfRule>
  </conditionalFormatting>
  <conditionalFormatting sqref="P52">
    <cfRule type="cellIs" dxfId="444" priority="33" operator="lessThan">
      <formula>0</formula>
    </cfRule>
  </conditionalFormatting>
  <conditionalFormatting sqref="Q52">
    <cfRule type="cellIs" dxfId="443" priority="30" operator="greaterThan">
      <formula>1</formula>
    </cfRule>
    <cfRule type="cellIs" dxfId="442" priority="31" operator="lessThan">
      <formula>0.8</formula>
    </cfRule>
  </conditionalFormatting>
  <conditionalFormatting sqref="R52 AC52">
    <cfRule type="cellIs" dxfId="441" priority="34" operator="lessThan">
      <formula>0.8</formula>
    </cfRule>
  </conditionalFormatting>
  <conditionalFormatting sqref="AC52">
    <cfRule type="cellIs" dxfId="440" priority="32" operator="lessThan">
      <formula>0.8</formula>
    </cfRule>
  </conditionalFormatting>
  <conditionalFormatting sqref="O62">
    <cfRule type="cellIs" dxfId="439" priority="24" operator="greaterThan">
      <formula>0</formula>
    </cfRule>
  </conditionalFormatting>
  <conditionalFormatting sqref="P62 AA62">
    <cfRule type="cellIs" dxfId="438" priority="27" operator="lessThan">
      <formula>0</formula>
    </cfRule>
  </conditionalFormatting>
  <conditionalFormatting sqref="Q62 AB62">
    <cfRule type="cellIs" dxfId="437" priority="25" operator="greaterThan">
      <formula>1</formula>
    </cfRule>
    <cfRule type="cellIs" dxfId="436" priority="26" operator="lessThan">
      <formula>0.8</formula>
    </cfRule>
  </conditionalFormatting>
  <conditionalFormatting sqref="R62 AC62">
    <cfRule type="cellIs" dxfId="435" priority="28" operator="lessThan">
      <formula>0.8</formula>
    </cfRule>
  </conditionalFormatting>
  <conditionalFormatting sqref="P8">
    <cfRule type="cellIs" dxfId="434" priority="23" operator="lessThan">
      <formula>0</formula>
    </cfRule>
  </conditionalFormatting>
  <conditionalFormatting sqref="P17">
    <cfRule type="cellIs" dxfId="433" priority="22" operator="lessThan">
      <formula>0</formula>
    </cfRule>
  </conditionalFormatting>
  <conditionalFormatting sqref="P23">
    <cfRule type="cellIs" dxfId="432" priority="21" operator="lessThan">
      <formula>0</formula>
    </cfRule>
  </conditionalFormatting>
  <conditionalFormatting sqref="P32">
    <cfRule type="cellIs" dxfId="431" priority="20" operator="lessThan">
      <formula>0</formula>
    </cfRule>
  </conditionalFormatting>
  <conditionalFormatting sqref="P53">
    <cfRule type="cellIs" dxfId="430" priority="19" operator="lessThan">
      <formula>0</formula>
    </cfRule>
  </conditionalFormatting>
  <conditionalFormatting sqref="P60">
    <cfRule type="cellIs" dxfId="429" priority="18" operator="lessThan">
      <formula>0</formula>
    </cfRule>
  </conditionalFormatting>
  <conditionalFormatting sqref="P65">
    <cfRule type="cellIs" dxfId="428" priority="17" operator="lessThan">
      <formula>0</formula>
    </cfRule>
  </conditionalFormatting>
  <conditionalFormatting sqref="P76">
    <cfRule type="cellIs" dxfId="427" priority="16" operator="lessThan">
      <formula>0</formula>
    </cfRule>
  </conditionalFormatting>
  <conditionalFormatting sqref="O73">
    <cfRule type="cellIs" dxfId="426" priority="11" operator="greaterThan">
      <formula>0</formula>
    </cfRule>
  </conditionalFormatting>
  <conditionalFormatting sqref="P73">
    <cfRule type="cellIs" dxfId="425" priority="14" operator="lessThan">
      <formula>0</formula>
    </cfRule>
  </conditionalFormatting>
  <conditionalFormatting sqref="Q73">
    <cfRule type="cellIs" dxfId="424" priority="12" operator="greaterThan">
      <formula>1</formula>
    </cfRule>
    <cfRule type="cellIs" dxfId="423" priority="13" operator="lessThan">
      <formula>0.8</formula>
    </cfRule>
  </conditionalFormatting>
  <conditionalFormatting sqref="R73">
    <cfRule type="cellIs" dxfId="422" priority="15" operator="lessThan">
      <formula>0.8</formula>
    </cfRule>
  </conditionalFormatting>
  <conditionalFormatting sqref="O74">
    <cfRule type="cellIs" dxfId="421" priority="6" operator="greaterThan">
      <formula>0</formula>
    </cfRule>
  </conditionalFormatting>
  <conditionalFormatting sqref="P74">
    <cfRule type="cellIs" dxfId="420" priority="9" operator="lessThan">
      <formula>0</formula>
    </cfRule>
  </conditionalFormatting>
  <conditionalFormatting sqref="Q74">
    <cfRule type="cellIs" dxfId="419" priority="7" operator="greaterThan">
      <formula>1</formula>
    </cfRule>
    <cfRule type="cellIs" dxfId="418" priority="8" operator="lessThan">
      <formula>0.8</formula>
    </cfRule>
  </conditionalFormatting>
  <conditionalFormatting sqref="R74">
    <cfRule type="cellIs" dxfId="417" priority="10" operator="lessThan">
      <formula>0.8</formula>
    </cfRule>
  </conditionalFormatting>
  <conditionalFormatting sqref="O75">
    <cfRule type="cellIs" dxfId="416" priority="1" operator="greaterThan">
      <formula>0</formula>
    </cfRule>
  </conditionalFormatting>
  <conditionalFormatting sqref="P75">
    <cfRule type="cellIs" dxfId="415" priority="4" operator="lessThan">
      <formula>0</formula>
    </cfRule>
  </conditionalFormatting>
  <conditionalFormatting sqref="Q75">
    <cfRule type="cellIs" dxfId="414" priority="2" operator="greaterThan">
      <formula>1</formula>
    </cfRule>
    <cfRule type="cellIs" dxfId="413" priority="3" operator="lessThan">
      <formula>0.8</formula>
    </cfRule>
  </conditionalFormatting>
  <conditionalFormatting sqref="R75">
    <cfRule type="cellIs" dxfId="412" priority="5" operator="lessThan">
      <formula>0.8</formula>
    </cfRule>
  </conditionalFormatting>
  <dataValidations count="1">
    <dataValidation type="list" allowBlank="1" showInputMessage="1" showErrorMessage="1" sqref="Z8 Y5:Z7 Y8:Y64 Z10:Z61 Y65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E25" sqref="E2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345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346</v>
      </c>
      <c r="C3" s="497" t="str">
        <f>TEXT('1104 4度C'!A2,"yyyy.mm.ddaaaa")</f>
        <v>2025.11.04星期二</v>
      </c>
      <c r="D3" s="498"/>
      <c r="E3" s="4" t="s">
        <v>347</v>
      </c>
      <c r="F3" s="499">
        <f>'1104 4度C'!D1</f>
        <v>190694</v>
      </c>
      <c r="G3" s="500"/>
      <c r="H3" s="4" t="s">
        <v>348</v>
      </c>
      <c r="I3" s="501">
        <f>'1104 4度C'!F1</f>
        <v>6282050.7599999998</v>
      </c>
      <c r="J3" s="502"/>
      <c r="K3" s="5"/>
      <c r="L3" s="6"/>
      <c r="M3" s="7"/>
      <c r="N3" s="7"/>
    </row>
    <row r="4" spans="2:17" ht="28.5" customHeight="1">
      <c r="B4" s="503" t="s">
        <v>349</v>
      </c>
      <c r="C4" s="485" t="s">
        <v>350</v>
      </c>
      <c r="D4" s="486"/>
      <c r="E4" s="506" t="s">
        <v>351</v>
      </c>
      <c r="F4" s="507"/>
      <c r="G4" s="506" t="s">
        <v>352</v>
      </c>
      <c r="H4" s="507"/>
      <c r="I4" s="506" t="s">
        <v>353</v>
      </c>
      <c r="J4" s="507"/>
      <c r="L4" s="7"/>
      <c r="M4" s="7"/>
      <c r="N4" s="7"/>
    </row>
    <row r="5" spans="2:17" ht="28.5" customHeight="1">
      <c r="B5" s="504"/>
      <c r="C5" s="485" t="s">
        <v>354</v>
      </c>
      <c r="D5" s="486"/>
      <c r="E5" s="485" t="s">
        <v>355</v>
      </c>
      <c r="F5" s="486"/>
      <c r="G5" s="487" t="s">
        <v>356</v>
      </c>
      <c r="H5" s="488"/>
      <c r="I5" s="489" t="s">
        <v>357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151.71138228913102</v>
      </c>
      <c r="F6" s="492">
        <f>AVERAGE(D27:O27,D13:J13)</f>
        <v>156.4673627489851</v>
      </c>
      <c r="G6" s="493">
        <f>AVERAGE(D13:J13)</f>
        <v>156.4673627489851</v>
      </c>
      <c r="H6" s="494"/>
      <c r="I6" s="493">
        <f>AVERAGE(K13:M13)</f>
        <v>140.6140945494715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145.42966723548403</v>
      </c>
      <c r="F7" s="478">
        <f>AVERAGE(D28:O28,D14:J14)</f>
        <v>150.05467782092427</v>
      </c>
      <c r="G7" s="479">
        <f>AVERAGE(D14:J14)</f>
        <v>150.05467782092427</v>
      </c>
      <c r="H7" s="480"/>
      <c r="I7" s="479">
        <f>AVERAGE(K14:M14)</f>
        <v>134.63797586945682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0.95876415708693996</v>
      </c>
      <c r="F8" s="482">
        <f>AVERAGE(D15:J15,D29:O29)</f>
        <v>0.95932183570966545</v>
      </c>
      <c r="G8" s="483">
        <f>AVERAGE(D15:J15)</f>
        <v>0.95932183570966545</v>
      </c>
      <c r="H8" s="484"/>
      <c r="I8" s="483">
        <f>AVERAGE(K15:M15)</f>
        <v>0.95746290696724723</v>
      </c>
      <c r="J8" s="484"/>
      <c r="K8" s="8" t="s">
        <v>68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358</v>
      </c>
      <c r="C10" s="459"/>
      <c r="D10" s="460" t="s">
        <v>359</v>
      </c>
      <c r="E10" s="461"/>
      <c r="F10" s="461"/>
      <c r="G10" s="461"/>
      <c r="H10" s="461"/>
      <c r="I10" s="461"/>
      <c r="J10" s="462"/>
      <c r="K10" s="463" t="s">
        <v>360</v>
      </c>
      <c r="L10" s="464"/>
      <c r="M10" s="465"/>
      <c r="P10" s="11"/>
      <c r="Q10" s="11"/>
    </row>
    <row r="11" spans="2:17" ht="17.25" customHeight="1">
      <c r="B11" s="466" t="s">
        <v>361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362</v>
      </c>
      <c r="C13" s="18" t="s">
        <v>104</v>
      </c>
      <c r="D13" s="19">
        <f>SUMIFS('1104 4度C'!$K:$K,'1104 4度C'!$A:$A,"新豐6線",'1104 4度C'!$B:$B,"平均")</f>
        <v>125</v>
      </c>
      <c r="E13" s="20">
        <f>SUMIFS('1104 4度C'!$K:$K,'1104 4度C'!$A:$A,"新豐2線",'1104 4度C'!$B:$B,"平均")</f>
        <v>81.081081081081081</v>
      </c>
      <c r="F13" s="21">
        <f>SUMIFS('1104 4度C'!$K:$K,'1104 4度C'!$A:$A,"新豐5線",'1104 4度C'!$B:$B,"平均")</f>
        <v>91.397849462365585</v>
      </c>
      <c r="G13" s="21">
        <f>SUMIFS('1104 4度C'!$K:$K,'1104 4度C'!$A:$A,"新豐7線",'1104 4度C'!$B:$B,"平均")</f>
        <v>121.95121951219514</v>
      </c>
      <c r="H13" s="21">
        <f>SUMIFS('1104 4度C'!$K:$K,'1104 4度C'!$A:$A,"新豐3線",'1104 4度C'!$B:$B,"平均")</f>
        <v>271.92982456140351</v>
      </c>
      <c r="I13" s="21">
        <f>SUMIFS('1104 4度C'!$K:$K,'1104 4度C'!$A:$A,"新豐1線",'1104 4度C'!$B:$B,"平均")</f>
        <v>112.24489795918367</v>
      </c>
      <c r="J13" s="22">
        <f>SUMIFS('1104 4度C'!$K:$K,'1104 4度C'!$A:$A,"新豐10線",'1104 4度C'!$B:$B,"平均")</f>
        <v>291.66666666666669</v>
      </c>
      <c r="K13" s="23">
        <f>SUMIFS('1104 4度C'!$K:$K,'1104 4度C'!$A:$A,"新豐8線",'1104 4度C'!$B:$B,"平均")</f>
        <v>135.21126760563379</v>
      </c>
      <c r="L13" s="24">
        <f>SUMIFS('1104 4度C'!$K:$K,'1104 4度C'!$A:$A,"新豐9線",'1104 4度C'!$B:$B,"平均")</f>
        <v>141.1764705882353</v>
      </c>
      <c r="M13" s="22">
        <f>SUMIFS('1104 4度C'!$K:$K,'1104 4度C'!$A:$A,"新豐4線",'1104 4度C'!$B:$B,"平均")</f>
        <v>145.45454545454547</v>
      </c>
    </row>
    <row r="14" spans="2:17" ht="39.6" customHeight="1">
      <c r="B14" s="471"/>
      <c r="C14" s="25" t="s">
        <v>363</v>
      </c>
      <c r="D14" s="26">
        <f>SUMIFS('1104 4度C'!$N:$N,'1104 4度C'!$A:$A,"新豐6線",'1104 4度C'!$B:$B,"平均")</f>
        <v>121.00908794401941</v>
      </c>
      <c r="E14" s="27">
        <f>SUMIFS('1104 4度C'!$N:$N,'1104 4度C'!$A:$A,"新豐2線",'1104 4度C'!$B:$B,"平均")</f>
        <v>77.528973192259201</v>
      </c>
      <c r="F14" s="27">
        <f>SUMIFS('1104 4度C'!$N:$N,'1104 4度C'!$A:$A,"新豐5線",'1104 4度C'!$B:$B,"平均")</f>
        <v>87.46924846929987</v>
      </c>
      <c r="G14" s="27">
        <f>SUMIFS('1104 4度C'!$N:$N,'1104 4度C'!$A:$A,"新豐7線",'1104 4度C'!$B:$B,"平均")</f>
        <v>116.72626632263426</v>
      </c>
      <c r="H14" s="27">
        <f>SUMIFS('1104 4度C'!$N:$N,'1104 4度C'!$A:$A,"新豐3線",'1104 4度C'!$B:$B,"平均")</f>
        <v>260.77772064836523</v>
      </c>
      <c r="I14" s="27">
        <f>SUMIFS('1104 4度C'!$N:$N,'1104 4度C'!$A:$A,"新豐1線",'1104 4度C'!$B:$B,"平均")</f>
        <v>107.91170090721835</v>
      </c>
      <c r="J14" s="28">
        <f>SUMIFS('1104 4度C'!$N:$N,'1104 4度C'!$A:$A,"新豐10線",'1104 4度C'!$B:$B,"平均")</f>
        <v>278.95974726267349</v>
      </c>
      <c r="K14" s="29">
        <f>SUMIFS('1104 4度C'!$N:$N,'1104 4度C'!$A:$A,"新豐8線",'1104 4度C'!$B:$B,"平均")</f>
        <v>129.32686966432306</v>
      </c>
      <c r="L14" s="30">
        <f>SUMIFS('1104 4度C'!$N:$N,'1104 4度C'!$A:$A,"新豐9線",'1104 4度C'!$B:$B,"平均")</f>
        <v>134.98907509132479</v>
      </c>
      <c r="M14" s="28">
        <f>SUMIFS('1104 4度C'!$N:$N,'1104 4度C'!$A:$A,"新豐4線",'1104 4度C'!$B:$B,"平均")</f>
        <v>139.59798285272271</v>
      </c>
    </row>
    <row r="15" spans="2:17" ht="40.15" customHeight="1">
      <c r="B15" s="472"/>
      <c r="C15" s="31" t="s">
        <v>364</v>
      </c>
      <c r="D15" s="32">
        <f t="shared" ref="D15:M15" si="0">D14/D13</f>
        <v>0.96807270355215536</v>
      </c>
      <c r="E15" s="33">
        <f t="shared" si="0"/>
        <v>0.95619066937119679</v>
      </c>
      <c r="F15" s="33">
        <f t="shared" si="0"/>
        <v>0.95701648325233979</v>
      </c>
      <c r="G15" s="33">
        <f t="shared" si="0"/>
        <v>0.95715538384560084</v>
      </c>
      <c r="H15" s="33">
        <f t="shared" si="0"/>
        <v>0.95898903722302054</v>
      </c>
      <c r="I15" s="33">
        <f t="shared" si="0"/>
        <v>0.9613951535370362</v>
      </c>
      <c r="J15" s="34">
        <f t="shared" si="0"/>
        <v>0.95643341918630909</v>
      </c>
      <c r="K15" s="32">
        <f t="shared" si="0"/>
        <v>0.95647997355905601</v>
      </c>
      <c r="L15" s="33">
        <f t="shared" si="0"/>
        <v>0.95617261523021724</v>
      </c>
      <c r="M15" s="34">
        <f t="shared" si="0"/>
        <v>0.95973613211246855</v>
      </c>
    </row>
    <row r="16" spans="2:17" ht="17.25" customHeight="1">
      <c r="B16" s="473" t="s">
        <v>365</v>
      </c>
      <c r="C16" s="35" t="s">
        <v>366</v>
      </c>
      <c r="D16" s="49">
        <f>VLOOKUP("新豐6線",'1104 4度C'!$A:$T,19,0)</f>
        <v>0.70833333333333337</v>
      </c>
      <c r="E16" s="50">
        <f>VLOOKUP("新豐2線",'1104 4度C'!$A:$T,19,0)</f>
        <v>0.20833333333333334</v>
      </c>
      <c r="F16" s="50">
        <f>VLOOKUP("新豐5線",'1104 4度C'!$A:$T,19,0)</f>
        <v>0.125</v>
      </c>
      <c r="G16" s="50">
        <f>VLOOKUP("新豐7線",'1104 4度C'!$A:$T,19,0)</f>
        <v>0.20833333333333334</v>
      </c>
      <c r="H16" s="50">
        <f>VLOOKUP("新豐3線",'1104 4度C'!$A:$T,19,0)</f>
        <v>0.125</v>
      </c>
      <c r="I16" s="50">
        <f>VLOOKUP("新豐1線",'1104 4度C'!$A:$T,19,0)</f>
        <v>0.20833333333333334</v>
      </c>
      <c r="J16" s="51">
        <f>VLOOKUP("新豐10線",'1104 4度C'!$A:$T,19,0)</f>
        <v>0.20833333333333334</v>
      </c>
      <c r="K16" s="36">
        <f>VLOOKUP("新豐8線",'1104 4度C'!$A:$T,19,0)</f>
        <v>0.125</v>
      </c>
      <c r="L16" s="37">
        <f>VLOOKUP("新豐9線",'1104 4度C'!$A:$T,19,0)</f>
        <v>0.125</v>
      </c>
      <c r="M16" s="38">
        <f>VLOOKUP("新豐4線",'1104 4度C'!$A:$T,19,0)</f>
        <v>0.125</v>
      </c>
    </row>
    <row r="17" spans="2:13" ht="17.25" customHeight="1">
      <c r="B17" s="474"/>
      <c r="C17" s="35" t="s">
        <v>367</v>
      </c>
      <c r="D17" s="36">
        <f>LOOKUP(2,1/(('1104 4度C'!$A:$A="新豐6線")*('1104 4度C'!$T:$T&lt;&gt;"")),'1104 4度C'!$T:$T)</f>
        <v>0.8354166666666667</v>
      </c>
      <c r="E17" s="50">
        <f>LOOKUP(2,1/(('1104 4度C'!$A:$A="新豐2線")*('1104 4度C'!$T:$T&lt;&gt;"")),'1104 4度C'!$T:$T)</f>
        <v>0.47361111111111109</v>
      </c>
      <c r="F17" s="50">
        <f>LOOKUP(2,1/(('1104 4度C'!$A:$A="新豐5線")*('1104 4度C'!$T:$T&lt;&gt;"")),'1104 4度C'!$T:$T)</f>
        <v>0.85347222222222219</v>
      </c>
      <c r="G17" s="50">
        <f>LOOKUP(2,1/(('1104 4度C'!$A:$A="新豐7線")*('1104 4度C'!$T:$T&lt;&gt;"")),'1104 4度C'!$T:$T)</f>
        <v>0.82083333333333341</v>
      </c>
      <c r="H17" s="50">
        <f>LOOKUP(2,1/(('1104 4度C'!$A:$A="新豐3線")*('1104 4度C'!$T:$T&lt;&gt;"")),'1104 4度C'!$T:$T)</f>
        <v>0.76805555555555538</v>
      </c>
      <c r="I17" s="50">
        <f>LOOKUP(2,1/(('1104 4度C'!$A:$A="新豐1線")*('1104 4度C'!$T:$T&lt;&gt;"")),'1104 4度C'!$T:$T)</f>
        <v>0.93958333333333333</v>
      </c>
      <c r="J17" s="51">
        <f>LOOKUP(2,1/(('1104 4度C'!$A:$A="新豐10線")*('1104 4度C'!$T:$T&lt;&gt;"")),'1104 4度C'!$T:$T)</f>
        <v>0.45694444444444443</v>
      </c>
      <c r="K17" s="49">
        <f>LOOKUP(2,1/(('1104 4度C'!$A:$A="新豐8線")*('1104 4度C'!$T:$T&lt;&gt;"")),'1104 4度C'!$T:$T)</f>
        <v>0.74930555555555545</v>
      </c>
      <c r="L17" s="50">
        <f>LOOKUP(2,1/(('1104 4度C'!$A:$A="新豐9線")*('1104 4度C'!$T:$T&lt;&gt;"")),'1104 4度C'!$T:$T)</f>
        <v>0.78541666666666654</v>
      </c>
      <c r="M17" s="51">
        <f>LOOKUP(2,1/(('1104 4度C'!$A:$A="新豐4線")*('1104 4度C'!$T:$T&lt;&gt;"")),'1104 4度C'!$T:$T)</f>
        <v>0.73055555555555551</v>
      </c>
    </row>
    <row r="18" spans="2:13" ht="17.25" customHeight="1">
      <c r="B18" s="452" t="s">
        <v>368</v>
      </c>
      <c r="C18" s="453"/>
      <c r="D18" s="39">
        <f>SUMIFS('1104 4度C'!$I:$I,'1104 4度C'!$A:$A,"新豐6線",'1104 4度C'!$B:$B,"平均")</f>
        <v>16</v>
      </c>
      <c r="E18" s="40">
        <f>SUMIFS('1104 4度C'!$I:$I,'1104 4度C'!$A:$A,"新豐2線",'1104 4度C'!$B:$B,"平均")</f>
        <v>18.5</v>
      </c>
      <c r="F18" s="40">
        <f>SUMIFS('1104 4度C'!$I:$I,'1104 4度C'!$A:$A,"新豐5線",'1104 4度C'!$B:$B,"平均")</f>
        <v>18.600000000000001</v>
      </c>
      <c r="G18" s="40">
        <f>SUMIFS('1104 4度C'!$I:$I,'1104 4度C'!$A:$A,"新豐7線",'1104 4度C'!$B:$B,"平均")</f>
        <v>16.399999999999999</v>
      </c>
      <c r="H18" s="40">
        <f>SUMIFS('1104 4度C'!$I:$I,'1104 4度C'!$A:$A,"新豐3線",'1104 4度C'!$B:$B,"平均")</f>
        <v>10.363636363636363</v>
      </c>
      <c r="I18" s="40">
        <f>SUMIFS('1104 4度C'!$I:$I,'1104 4度C'!$A:$A,"新豐1線",'1104 4度C'!$B:$B,"平均")</f>
        <v>16.333333333333332</v>
      </c>
      <c r="J18" s="41">
        <f>SUMIFS('1104 4度C'!$I:$I,'1104 4度C'!$A:$A,"新豐10線",'1104 4度C'!$B:$B,"平均")</f>
        <v>9</v>
      </c>
      <c r="K18" s="39">
        <f>SUMIFS('1104 4度C'!$I:$I,'1104 4度C'!$A:$A,"新豐8線",'1104 4度C'!$B:$B,"平均")</f>
        <v>17.75</v>
      </c>
      <c r="L18" s="40">
        <f>SUMIFS('1104 4度C'!$I:$I,'1104 4度C'!$A:$A,"新豐9線",'1104 4度C'!$B:$B,"平均")</f>
        <v>17</v>
      </c>
      <c r="M18" s="41">
        <f>SUMIFS('1104 4度C'!$I:$I,'1104 4度C'!$A:$A,"新豐4線",'1104 4度C'!$B:$B,"平均")</f>
        <v>16.5</v>
      </c>
    </row>
    <row r="19" spans="2:13" ht="17.25" customHeight="1">
      <c r="B19" s="452" t="s">
        <v>369</v>
      </c>
      <c r="C19" s="453"/>
      <c r="D19" s="42" t="s">
        <v>65</v>
      </c>
      <c r="E19" s="43" t="s">
        <v>66</v>
      </c>
      <c r="F19" s="43" t="s">
        <v>370</v>
      </c>
      <c r="G19" s="43" t="s">
        <v>370</v>
      </c>
      <c r="H19" s="43" t="s">
        <v>67</v>
      </c>
      <c r="I19" s="43" t="s">
        <v>65</v>
      </c>
      <c r="J19" s="44" t="s">
        <v>67</v>
      </c>
      <c r="K19" s="42" t="s">
        <v>371</v>
      </c>
      <c r="L19" s="43" t="s">
        <v>371</v>
      </c>
      <c r="M19" s="44" t="s">
        <v>371</v>
      </c>
    </row>
    <row r="20" spans="2:13" ht="17.25" customHeight="1">
      <c r="B20" s="452" t="s">
        <v>372</v>
      </c>
      <c r="C20" s="453"/>
      <c r="D20" s="42"/>
      <c r="E20" s="43"/>
      <c r="F20" s="43" t="s">
        <v>373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374</v>
      </c>
      <c r="F21" s="456" t="s">
        <v>375</v>
      </c>
      <c r="G21" s="457"/>
      <c r="H21" s="46" t="s">
        <v>376</v>
      </c>
      <c r="I21" s="46" t="s">
        <v>377</v>
      </c>
      <c r="J21" s="47" t="s">
        <v>376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4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7"/>
  <sheetViews>
    <sheetView zoomScale="80" zoomScaleNormal="80" workbookViewId="0">
      <pane ySplit="4" topLeftCell="A17" activePane="bottomLeft" state="frozen"/>
      <selection activeCell="A2" sqref="A2"/>
      <selection pane="bottomLeft" activeCell="A2" sqref="A2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378</v>
      </c>
      <c r="B1" s="52"/>
      <c r="C1" s="53" t="s">
        <v>379</v>
      </c>
      <c r="D1" s="54">
        <f>SUM(F5:F76)</f>
        <v>190694</v>
      </c>
      <c r="E1" s="114" t="s">
        <v>380</v>
      </c>
      <c r="F1" s="52">
        <f>SUM(G5:G76)</f>
        <v>6282050.7599999998</v>
      </c>
      <c r="G1" s="52" t="s">
        <v>206</v>
      </c>
      <c r="H1" s="55">
        <f>L8+L11+L53+L60+L17+L65+L32+L41+L23+L76</f>
        <v>156.44696969696969</v>
      </c>
      <c r="I1" s="556" t="s">
        <v>381</v>
      </c>
      <c r="J1" s="556"/>
      <c r="K1" s="556"/>
      <c r="L1" s="556" t="s">
        <v>382</v>
      </c>
      <c r="M1" s="556"/>
      <c r="N1" s="556"/>
      <c r="O1" s="556" t="s">
        <v>383</v>
      </c>
      <c r="P1" s="556"/>
      <c r="Q1" s="556"/>
      <c r="R1" s="556"/>
      <c r="S1" s="556" t="s">
        <v>384</v>
      </c>
      <c r="T1" s="556"/>
      <c r="U1" s="556"/>
      <c r="V1" s="556"/>
      <c r="W1" s="556"/>
      <c r="X1" s="556"/>
      <c r="Y1" s="556" t="s">
        <v>385</v>
      </c>
      <c r="Z1" s="556"/>
      <c r="AA1" s="556" t="s">
        <v>386</v>
      </c>
      <c r="AB1" s="557"/>
      <c r="AC1" s="557"/>
    </row>
    <row r="2" spans="1:29" ht="26.25" customHeight="1">
      <c r="A2" s="57">
        <v>45965</v>
      </c>
      <c r="B2" s="58" t="s">
        <v>387</v>
      </c>
      <c r="C2" s="53" t="s">
        <v>388</v>
      </c>
      <c r="D2" s="59">
        <f>AVERAGE(N8,N11,N53,N60,N17,N65,N23,N32,N41,N76)</f>
        <v>145.42966723548403</v>
      </c>
      <c r="E2" s="60" t="s">
        <v>0</v>
      </c>
      <c r="F2" s="61">
        <f>F1/D1</f>
        <v>32.94309605965578</v>
      </c>
      <c r="G2" s="52" t="s">
        <v>389</v>
      </c>
      <c r="H2" s="123">
        <f>COUNT(H5:H76)</f>
        <v>14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390</v>
      </c>
      <c r="B3" s="510" t="s">
        <v>391</v>
      </c>
      <c r="C3" s="510" t="s">
        <v>392</v>
      </c>
      <c r="D3" s="510"/>
      <c r="E3" s="554" t="s">
        <v>393</v>
      </c>
      <c r="F3" s="510" t="s">
        <v>394</v>
      </c>
      <c r="G3" s="554" t="s">
        <v>395</v>
      </c>
      <c r="H3" s="547" t="s">
        <v>396</v>
      </c>
      <c r="I3" s="545" t="s">
        <v>397</v>
      </c>
      <c r="J3" s="550" t="s">
        <v>398</v>
      </c>
      <c r="K3" s="552" t="s">
        <v>362</v>
      </c>
      <c r="L3" s="545" t="s">
        <v>397</v>
      </c>
      <c r="M3" s="550" t="s">
        <v>398</v>
      </c>
      <c r="N3" s="552" t="s">
        <v>362</v>
      </c>
      <c r="O3" s="545" t="s">
        <v>397</v>
      </c>
      <c r="P3" s="552" t="s">
        <v>362</v>
      </c>
      <c r="Q3" s="551" t="s">
        <v>399</v>
      </c>
      <c r="R3" s="523" t="s">
        <v>400</v>
      </c>
      <c r="S3" s="510" t="s">
        <v>1</v>
      </c>
      <c r="T3" s="510"/>
      <c r="U3" s="547" t="s">
        <v>2</v>
      </c>
      <c r="V3" s="547" t="s">
        <v>401</v>
      </c>
      <c r="W3" s="510" t="s">
        <v>402</v>
      </c>
      <c r="X3" s="510"/>
      <c r="Y3" s="548" t="s">
        <v>403</v>
      </c>
      <c r="Z3" s="549"/>
      <c r="AA3" s="550" t="s">
        <v>404</v>
      </c>
      <c r="AB3" s="551" t="s">
        <v>405</v>
      </c>
      <c r="AC3" s="523" t="s">
        <v>406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14" t="s">
        <v>3</v>
      </c>
      <c r="T4" s="114" t="s">
        <v>4</v>
      </c>
      <c r="U4" s="547"/>
      <c r="V4" s="547"/>
      <c r="W4" s="114" t="s">
        <v>407</v>
      </c>
      <c r="X4" s="114" t="s">
        <v>408</v>
      </c>
      <c r="Y4" s="549"/>
      <c r="Z4" s="549"/>
      <c r="AA4" s="550"/>
      <c r="AB4" s="551"/>
      <c r="AC4" s="523"/>
    </row>
    <row r="5" spans="1:29">
      <c r="A5" s="544" t="s">
        <v>409</v>
      </c>
      <c r="B5" s="62" t="s">
        <v>6</v>
      </c>
      <c r="C5" s="546" t="s">
        <v>7</v>
      </c>
      <c r="D5" s="546"/>
      <c r="E5" s="62">
        <v>46.93</v>
      </c>
      <c r="F5" s="80">
        <v>1077</v>
      </c>
      <c r="G5" s="114">
        <f t="shared" ref="G5:G7" si="0">E5*F5</f>
        <v>50543.61</v>
      </c>
      <c r="H5" s="90" t="s">
        <v>5</v>
      </c>
      <c r="I5" s="121">
        <v>16</v>
      </c>
      <c r="J5" s="63">
        <v>2000</v>
      </c>
      <c r="K5" s="64">
        <f t="shared" ref="K5:K68" si="1">J5/I5</f>
        <v>125</v>
      </c>
      <c r="L5" s="121">
        <v>16</v>
      </c>
      <c r="M5" s="65">
        <f t="shared" ref="M5:M7" si="2">F5/V5*60</f>
        <v>1958.1818181818157</v>
      </c>
      <c r="N5" s="64">
        <f t="shared" ref="N5:N68" si="3">M5/L5</f>
        <v>122.38636363636348</v>
      </c>
      <c r="O5" s="66">
        <f t="shared" ref="O5:O68" si="4">L5-I5</f>
        <v>0</v>
      </c>
      <c r="P5" s="67">
        <f t="shared" ref="P5:P68" si="5">N5-K5</f>
        <v>-2.6136363636365161</v>
      </c>
      <c r="Q5" s="117">
        <f t="shared" ref="Q5:Q68" si="6">N5/K5</f>
        <v>0.9790909090909079</v>
      </c>
      <c r="R5" s="511">
        <f>Q8</f>
        <v>0.96807270355215536</v>
      </c>
      <c r="S5" s="68">
        <v>0.70833333333333337</v>
      </c>
      <c r="T5" s="68">
        <v>0.73125000000000007</v>
      </c>
      <c r="U5" s="114"/>
      <c r="V5" s="122">
        <f t="shared" ref="V5:V7" si="7">(T5-S5)*24*60</f>
        <v>33.000000000000043</v>
      </c>
      <c r="W5" s="69"/>
      <c r="X5" s="70"/>
      <c r="Y5" s="510"/>
      <c r="Z5" s="510"/>
      <c r="AA5" s="66">
        <f t="shared" ref="AA5:AA68" si="8">M5-J5</f>
        <v>-41.818181818184257</v>
      </c>
      <c r="AB5" s="117">
        <f t="shared" ref="AB5:AB68" si="9">M5/J5</f>
        <v>0.9790909090909079</v>
      </c>
      <c r="AC5" s="511">
        <f>AB8</f>
        <v>0.96807270355215536</v>
      </c>
    </row>
    <row r="6" spans="1:29">
      <c r="A6" s="545" t="s">
        <v>410</v>
      </c>
      <c r="B6" s="62" t="s">
        <v>6</v>
      </c>
      <c r="C6" s="546" t="s">
        <v>8</v>
      </c>
      <c r="D6" s="546"/>
      <c r="E6" s="62">
        <v>50.49</v>
      </c>
      <c r="F6" s="80">
        <v>2345</v>
      </c>
      <c r="G6" s="114">
        <f t="shared" si="0"/>
        <v>118399.05</v>
      </c>
      <c r="H6" s="90" t="s">
        <v>5</v>
      </c>
      <c r="I6" s="121">
        <v>15</v>
      </c>
      <c r="J6" s="63">
        <v>2000</v>
      </c>
      <c r="K6" s="64">
        <f t="shared" si="1"/>
        <v>133.33333333333334</v>
      </c>
      <c r="L6" s="121">
        <v>15</v>
      </c>
      <c r="M6" s="65">
        <f t="shared" si="2"/>
        <v>1927.3972602739711</v>
      </c>
      <c r="N6" s="64">
        <f t="shared" si="3"/>
        <v>128.49315068493141</v>
      </c>
      <c r="O6" s="66">
        <f t="shared" si="4"/>
        <v>0</v>
      </c>
      <c r="P6" s="67">
        <f t="shared" si="5"/>
        <v>-4.8401826484019352</v>
      </c>
      <c r="Q6" s="117">
        <f t="shared" si="6"/>
        <v>0.96369863013698553</v>
      </c>
      <c r="R6" s="511"/>
      <c r="S6" s="68">
        <v>0.7368055555555556</v>
      </c>
      <c r="T6" s="68">
        <v>0.78750000000000009</v>
      </c>
      <c r="U6" s="114">
        <f t="shared" ref="U6:U7" si="10">IF(S6=TIME(17,0,0),"",(S6-T5)*24*60)</f>
        <v>7.9999999999999716</v>
      </c>
      <c r="V6" s="122">
        <f t="shared" si="7"/>
        <v>73.000000000000057</v>
      </c>
      <c r="W6" s="69"/>
      <c r="X6" s="69"/>
      <c r="Y6" s="510"/>
      <c r="Z6" s="510"/>
      <c r="AA6" s="66">
        <f t="shared" si="8"/>
        <v>-72.602739726028858</v>
      </c>
      <c r="AB6" s="117">
        <f t="shared" si="9"/>
        <v>0.96369863013698553</v>
      </c>
      <c r="AC6" s="511"/>
    </row>
    <row r="7" spans="1:29">
      <c r="A7" s="545" t="s">
        <v>410</v>
      </c>
      <c r="B7" s="62" t="s">
        <v>6</v>
      </c>
      <c r="C7" s="539" t="s">
        <v>9</v>
      </c>
      <c r="D7" s="540"/>
      <c r="E7" s="62">
        <v>50.67</v>
      </c>
      <c r="F7" s="80">
        <v>2019</v>
      </c>
      <c r="G7" s="114">
        <f t="shared" si="0"/>
        <v>102302.73000000001</v>
      </c>
      <c r="H7" s="90" t="s">
        <v>5</v>
      </c>
      <c r="I7" s="121">
        <v>17</v>
      </c>
      <c r="J7" s="63">
        <v>2000</v>
      </c>
      <c r="K7" s="64">
        <f t="shared" si="1"/>
        <v>117.64705882352941</v>
      </c>
      <c r="L7" s="121">
        <v>17</v>
      </c>
      <c r="M7" s="65">
        <f t="shared" si="2"/>
        <v>1922.8571428571447</v>
      </c>
      <c r="N7" s="64">
        <f t="shared" si="3"/>
        <v>113.1092436974791</v>
      </c>
      <c r="O7" s="66">
        <f t="shared" si="4"/>
        <v>0</v>
      </c>
      <c r="P7" s="67">
        <f t="shared" si="5"/>
        <v>-4.5378151260503046</v>
      </c>
      <c r="Q7" s="117">
        <f t="shared" si="6"/>
        <v>0.96142857142857241</v>
      </c>
      <c r="R7" s="511"/>
      <c r="S7" s="68">
        <v>0.79166666666666674</v>
      </c>
      <c r="T7" s="68">
        <v>0.8354166666666667</v>
      </c>
      <c r="U7" s="114">
        <f t="shared" si="10"/>
        <v>5.9999999999999787</v>
      </c>
      <c r="V7" s="122">
        <f t="shared" si="7"/>
        <v>62.999999999999936</v>
      </c>
      <c r="W7" s="69"/>
      <c r="X7" s="69"/>
      <c r="Y7" s="517"/>
      <c r="Z7" s="518"/>
      <c r="AA7" s="66">
        <f t="shared" si="8"/>
        <v>-77.142857142855291</v>
      </c>
      <c r="AB7" s="117">
        <f t="shared" si="9"/>
        <v>0.96142857142857241</v>
      </c>
      <c r="AC7" s="511"/>
    </row>
    <row r="8" spans="1:29">
      <c r="A8" s="545" t="s">
        <v>410</v>
      </c>
      <c r="B8" s="62" t="s">
        <v>411</v>
      </c>
      <c r="C8" s="513"/>
      <c r="D8" s="513"/>
      <c r="E8" s="118"/>
      <c r="F8" s="71"/>
      <c r="G8" s="64"/>
      <c r="H8" s="80"/>
      <c r="I8" s="72">
        <v>16</v>
      </c>
      <c r="J8" s="63">
        <v>2000</v>
      </c>
      <c r="K8" s="64">
        <f t="shared" si="1"/>
        <v>125</v>
      </c>
      <c r="L8" s="72">
        <v>16</v>
      </c>
      <c r="M8" s="65">
        <f>AVERAGE(M5:M7)</f>
        <v>1936.1454071043106</v>
      </c>
      <c r="N8" s="64">
        <f t="shared" si="3"/>
        <v>121.00908794401941</v>
      </c>
      <c r="O8" s="66">
        <f t="shared" si="4"/>
        <v>0</v>
      </c>
      <c r="P8" s="67">
        <f t="shared" si="5"/>
        <v>-3.9909120559805871</v>
      </c>
      <c r="Q8" s="117">
        <f t="shared" si="6"/>
        <v>0.96807270355215536</v>
      </c>
      <c r="R8" s="511"/>
      <c r="S8" s="68"/>
      <c r="T8" s="68"/>
      <c r="U8" s="114"/>
      <c r="V8" s="122"/>
      <c r="W8" s="64"/>
      <c r="X8" s="64"/>
      <c r="Y8" s="510"/>
      <c r="Z8" s="510"/>
      <c r="AA8" s="66">
        <f t="shared" si="8"/>
        <v>-63.854592895689393</v>
      </c>
      <c r="AB8" s="117">
        <f t="shared" si="9"/>
        <v>0.96807270355215536</v>
      </c>
      <c r="AC8" s="511"/>
    </row>
    <row r="9" spans="1:29" ht="15.75" customHeight="1">
      <c r="A9" s="543" t="s">
        <v>412</v>
      </c>
      <c r="B9" s="62" t="s">
        <v>10</v>
      </c>
      <c r="C9" s="539" t="s">
        <v>12</v>
      </c>
      <c r="D9" s="540"/>
      <c r="E9" s="62">
        <v>39.36</v>
      </c>
      <c r="F9" s="80">
        <v>2037</v>
      </c>
      <c r="G9" s="114">
        <f t="shared" ref="G9:G10" si="11">E9*F9</f>
        <v>80176.319999999992</v>
      </c>
      <c r="H9" s="90" t="s">
        <v>5</v>
      </c>
      <c r="I9" s="121">
        <v>20</v>
      </c>
      <c r="J9" s="63">
        <v>1500</v>
      </c>
      <c r="K9" s="64">
        <f t="shared" si="1"/>
        <v>75</v>
      </c>
      <c r="L9" s="121">
        <v>20</v>
      </c>
      <c r="M9" s="65">
        <f t="shared" ref="M9:M10" si="12">F9/V9*60</f>
        <v>1437.8823529411768</v>
      </c>
      <c r="N9" s="64">
        <f t="shared" si="3"/>
        <v>71.894117647058835</v>
      </c>
      <c r="O9" s="66">
        <f t="shared" si="4"/>
        <v>0</v>
      </c>
      <c r="P9" s="67">
        <f t="shared" si="5"/>
        <v>-3.1058823529411654</v>
      </c>
      <c r="Q9" s="117">
        <f t="shared" si="6"/>
        <v>0.95858823529411774</v>
      </c>
      <c r="R9" s="511">
        <f>Q11</f>
        <v>0.95619066937119679</v>
      </c>
      <c r="S9" s="68">
        <v>0.20833333333333334</v>
      </c>
      <c r="T9" s="68">
        <v>0.2673611111111111</v>
      </c>
      <c r="U9" s="114"/>
      <c r="V9" s="122">
        <f t="shared" ref="V9:V10" si="13">(T9-S9)*24*60</f>
        <v>84.999999999999972</v>
      </c>
      <c r="W9" s="69"/>
      <c r="X9" s="69"/>
      <c r="Y9" s="510"/>
      <c r="Z9" s="510"/>
      <c r="AA9" s="66">
        <f t="shared" si="8"/>
        <v>-62.117647058823195</v>
      </c>
      <c r="AB9" s="117">
        <f t="shared" si="9"/>
        <v>0.95858823529411785</v>
      </c>
      <c r="AC9" s="511">
        <f>AB11</f>
        <v>0.95619066937119679</v>
      </c>
    </row>
    <row r="10" spans="1:29" ht="15.75" customHeight="1">
      <c r="A10" s="543" t="s">
        <v>412</v>
      </c>
      <c r="B10" s="62" t="s">
        <v>10</v>
      </c>
      <c r="C10" s="539" t="s">
        <v>11</v>
      </c>
      <c r="D10" s="540"/>
      <c r="E10" s="62">
        <v>39.799999999999997</v>
      </c>
      <c r="F10" s="80">
        <v>6915</v>
      </c>
      <c r="G10" s="114">
        <f t="shared" si="11"/>
        <v>275217</v>
      </c>
      <c r="H10" s="90" t="s">
        <v>5</v>
      </c>
      <c r="I10" s="121">
        <v>17</v>
      </c>
      <c r="J10" s="63">
        <v>1500</v>
      </c>
      <c r="K10" s="64">
        <f t="shared" si="1"/>
        <v>88.235294117647058</v>
      </c>
      <c r="L10" s="121">
        <v>17</v>
      </c>
      <c r="M10" s="65">
        <f t="shared" si="12"/>
        <v>1430.6896551724135</v>
      </c>
      <c r="N10" s="64">
        <f t="shared" si="3"/>
        <v>84.158215010141973</v>
      </c>
      <c r="O10" s="66">
        <f t="shared" si="4"/>
        <v>0</v>
      </c>
      <c r="P10" s="67">
        <f t="shared" si="5"/>
        <v>-4.0770791075050852</v>
      </c>
      <c r="Q10" s="117">
        <f t="shared" si="6"/>
        <v>0.95379310344827573</v>
      </c>
      <c r="R10" s="511"/>
      <c r="S10" s="68">
        <v>0.2722222222222222</v>
      </c>
      <c r="T10" s="68">
        <v>0.47361111111111109</v>
      </c>
      <c r="U10" s="114">
        <f t="shared" ref="U10" si="14">IF(S10=TIME(17,0,0),"",(S10-T9)*24*60)</f>
        <v>6.9999999999999751</v>
      </c>
      <c r="V10" s="122">
        <f t="shared" si="13"/>
        <v>290.00000000000006</v>
      </c>
      <c r="W10" s="69"/>
      <c r="X10" s="69"/>
      <c r="Y10" s="510"/>
      <c r="Z10" s="510"/>
      <c r="AA10" s="66">
        <f t="shared" si="8"/>
        <v>-69.310344827586505</v>
      </c>
      <c r="AB10" s="117">
        <f t="shared" si="9"/>
        <v>0.95379310344827561</v>
      </c>
      <c r="AC10" s="511"/>
    </row>
    <row r="11" spans="1:29" ht="16.5" customHeight="1">
      <c r="A11" s="543" t="s">
        <v>412</v>
      </c>
      <c r="B11" s="62" t="s">
        <v>411</v>
      </c>
      <c r="C11" s="513"/>
      <c r="D11" s="513"/>
      <c r="E11" s="118"/>
      <c r="F11" s="63"/>
      <c r="G11" s="65"/>
      <c r="H11" s="80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1434.2860040567953</v>
      </c>
      <c r="N11" s="64">
        <f t="shared" si="3"/>
        <v>77.528973192259201</v>
      </c>
      <c r="O11" s="66">
        <f t="shared" si="4"/>
        <v>0</v>
      </c>
      <c r="P11" s="67">
        <f t="shared" si="5"/>
        <v>-3.5521078888218796</v>
      </c>
      <c r="Q11" s="117">
        <f t="shared" si="6"/>
        <v>0.95619066937119679</v>
      </c>
      <c r="R11" s="511"/>
      <c r="S11" s="68"/>
      <c r="T11" s="68"/>
      <c r="U11" s="64"/>
      <c r="V11" s="122"/>
      <c r="W11" s="64"/>
      <c r="X11" s="64"/>
      <c r="Y11" s="510"/>
      <c r="Z11" s="510"/>
      <c r="AA11" s="66">
        <f t="shared" si="8"/>
        <v>-65.713995943204736</v>
      </c>
      <c r="AB11" s="117">
        <f t="shared" si="9"/>
        <v>0.95619066937119679</v>
      </c>
      <c r="AC11" s="511"/>
    </row>
    <row r="12" spans="1:29" ht="16.5" customHeight="1">
      <c r="A12" s="541" t="s">
        <v>413</v>
      </c>
      <c r="B12" s="80" t="s">
        <v>13</v>
      </c>
      <c r="C12" s="533" t="s">
        <v>14</v>
      </c>
      <c r="D12" s="533"/>
      <c r="E12" s="62">
        <v>41</v>
      </c>
      <c r="F12" s="80">
        <v>2754</v>
      </c>
      <c r="G12" s="114">
        <f t="shared" ref="G12:G16" si="15">E12*F12</f>
        <v>112914</v>
      </c>
      <c r="H12" s="90" t="s">
        <v>5</v>
      </c>
      <c r="I12" s="121">
        <v>26</v>
      </c>
      <c r="J12" s="63">
        <v>1500</v>
      </c>
      <c r="K12" s="64">
        <f t="shared" si="1"/>
        <v>57.692307692307693</v>
      </c>
      <c r="L12" s="121">
        <v>26</v>
      </c>
      <c r="M12" s="65">
        <f t="shared" ref="M12:M16" si="16">F12/V12*60</f>
        <v>1436.8695652173915</v>
      </c>
      <c r="N12" s="64">
        <f t="shared" si="3"/>
        <v>55.264214046822751</v>
      </c>
      <c r="O12" s="66">
        <f t="shared" si="4"/>
        <v>0</v>
      </c>
      <c r="P12" s="67">
        <f t="shared" si="5"/>
        <v>-2.4280936454849424</v>
      </c>
      <c r="Q12" s="117">
        <f t="shared" si="6"/>
        <v>0.95791304347826101</v>
      </c>
      <c r="R12" s="511">
        <f>Q17</f>
        <v>0.95701648325233979</v>
      </c>
      <c r="S12" s="68">
        <v>0.125</v>
      </c>
      <c r="T12" s="68">
        <v>0.2048611111111111</v>
      </c>
      <c r="U12" s="114"/>
      <c r="V12" s="122">
        <f t="shared" ref="V12:V16" si="17">(T12-S12)*24*60</f>
        <v>114.99999999999999</v>
      </c>
      <c r="W12" s="69">
        <f>T12</f>
        <v>0.2048611111111111</v>
      </c>
      <c r="X12" s="69">
        <f>S13</f>
        <v>0.22500000000000001</v>
      </c>
      <c r="Y12" s="510"/>
      <c r="Z12" s="510"/>
      <c r="AA12" s="66">
        <f t="shared" si="8"/>
        <v>-63.130434782608518</v>
      </c>
      <c r="AB12" s="117">
        <f t="shared" si="9"/>
        <v>0.95791304347826101</v>
      </c>
      <c r="AC12" s="511">
        <f>AB17</f>
        <v>0.9570164832523399</v>
      </c>
    </row>
    <row r="13" spans="1:29" ht="16.5" customHeight="1">
      <c r="A13" s="542" t="s">
        <v>413</v>
      </c>
      <c r="B13" s="80" t="s">
        <v>10</v>
      </c>
      <c r="C13" s="533" t="s">
        <v>15</v>
      </c>
      <c r="D13" s="533"/>
      <c r="E13" s="62">
        <v>39.619999999999997</v>
      </c>
      <c r="F13" s="80">
        <v>4570</v>
      </c>
      <c r="G13" s="114">
        <f t="shared" si="15"/>
        <v>181063.4</v>
      </c>
      <c r="H13" s="90" t="s">
        <v>5</v>
      </c>
      <c r="I13" s="121">
        <v>19</v>
      </c>
      <c r="J13" s="63">
        <v>1500</v>
      </c>
      <c r="K13" s="64">
        <f t="shared" si="1"/>
        <v>78.94736842105263</v>
      </c>
      <c r="L13" s="121">
        <v>19</v>
      </c>
      <c r="M13" s="65">
        <f t="shared" si="16"/>
        <v>1428.125</v>
      </c>
      <c r="N13" s="64">
        <f t="shared" si="3"/>
        <v>75.16447368421052</v>
      </c>
      <c r="O13" s="66">
        <f t="shared" si="4"/>
        <v>0</v>
      </c>
      <c r="P13" s="67">
        <f t="shared" si="5"/>
        <v>-3.7828947368421098</v>
      </c>
      <c r="Q13" s="117">
        <f t="shared" si="6"/>
        <v>0.95208333333333328</v>
      </c>
      <c r="R13" s="511"/>
      <c r="S13" s="68">
        <v>0.22500000000000001</v>
      </c>
      <c r="T13" s="68">
        <v>0.35833333333333334</v>
      </c>
      <c r="U13" s="114">
        <f t="shared" ref="U13:U16" si="18">IF(S13=TIME(17,0,0),"",(S13-T12)*24*60)</f>
        <v>29.000000000000018</v>
      </c>
      <c r="V13" s="122">
        <f t="shared" si="17"/>
        <v>192</v>
      </c>
      <c r="W13" s="69"/>
      <c r="X13" s="69"/>
      <c r="Y13" s="510"/>
      <c r="Z13" s="510"/>
      <c r="AA13" s="66">
        <f t="shared" si="8"/>
        <v>-71.875</v>
      </c>
      <c r="AB13" s="117">
        <f t="shared" si="9"/>
        <v>0.95208333333333328</v>
      </c>
      <c r="AC13" s="511"/>
    </row>
    <row r="14" spans="1:29" ht="16.5" customHeight="1">
      <c r="A14" s="542" t="s">
        <v>413</v>
      </c>
      <c r="B14" s="80" t="s">
        <v>77</v>
      </c>
      <c r="C14" s="533" t="s">
        <v>76</v>
      </c>
      <c r="D14" s="533"/>
      <c r="E14" s="62">
        <v>57.3</v>
      </c>
      <c r="F14" s="80">
        <v>1376</v>
      </c>
      <c r="G14" s="114">
        <f t="shared" si="15"/>
        <v>78844.800000000003</v>
      </c>
      <c r="H14" s="90" t="s">
        <v>5</v>
      </c>
      <c r="I14" s="121">
        <v>17</v>
      </c>
      <c r="J14" s="63">
        <v>1500</v>
      </c>
      <c r="K14" s="64">
        <f t="shared" si="1"/>
        <v>88.235294117647058</v>
      </c>
      <c r="L14" s="121">
        <v>17</v>
      </c>
      <c r="M14" s="65">
        <f t="shared" si="16"/>
        <v>1448.421052631578</v>
      </c>
      <c r="N14" s="64">
        <f t="shared" si="3"/>
        <v>85.201238390092826</v>
      </c>
      <c r="O14" s="66">
        <f t="shared" si="4"/>
        <v>0</v>
      </c>
      <c r="P14" s="67">
        <f t="shared" si="5"/>
        <v>-3.0340557275542324</v>
      </c>
      <c r="Q14" s="117">
        <f t="shared" si="6"/>
        <v>0.9656140350877187</v>
      </c>
      <c r="R14" s="511"/>
      <c r="S14" s="68">
        <v>0.36319444444444443</v>
      </c>
      <c r="T14" s="68">
        <v>0.40277777777777779</v>
      </c>
      <c r="U14" s="114">
        <f t="shared" si="18"/>
        <v>6.9999999999999751</v>
      </c>
      <c r="V14" s="122">
        <f t="shared" si="17"/>
        <v>57.000000000000036</v>
      </c>
      <c r="W14" s="69"/>
      <c r="X14" s="69"/>
      <c r="Y14" s="510"/>
      <c r="Z14" s="510"/>
      <c r="AA14" s="66">
        <f t="shared" si="8"/>
        <v>-51.57894736842195</v>
      </c>
      <c r="AB14" s="117">
        <f t="shared" si="9"/>
        <v>0.9656140350877187</v>
      </c>
      <c r="AC14" s="511"/>
    </row>
    <row r="15" spans="1:29" ht="16.5" customHeight="1">
      <c r="A15" s="542" t="s">
        <v>413</v>
      </c>
      <c r="B15" s="80" t="s">
        <v>6</v>
      </c>
      <c r="C15" s="533" t="s">
        <v>19</v>
      </c>
      <c r="D15" s="533"/>
      <c r="E15" s="62">
        <v>50.98</v>
      </c>
      <c r="F15" s="80">
        <v>3110</v>
      </c>
      <c r="G15" s="114">
        <f t="shared" si="15"/>
        <v>158547.79999999999</v>
      </c>
      <c r="H15" s="90" t="s">
        <v>5</v>
      </c>
      <c r="I15" s="121">
        <v>16</v>
      </c>
      <c r="J15" s="63">
        <v>2000</v>
      </c>
      <c r="K15" s="64">
        <f t="shared" si="1"/>
        <v>125</v>
      </c>
      <c r="L15" s="121">
        <v>16</v>
      </c>
      <c r="M15" s="65">
        <f t="shared" si="16"/>
        <v>1904.0816326530619</v>
      </c>
      <c r="N15" s="64">
        <f t="shared" si="3"/>
        <v>119.00510204081637</v>
      </c>
      <c r="O15" s="66">
        <f t="shared" si="4"/>
        <v>0</v>
      </c>
      <c r="P15" s="67">
        <f t="shared" si="5"/>
        <v>-5.994897959183632</v>
      </c>
      <c r="Q15" s="117">
        <f t="shared" si="6"/>
        <v>0.95204081632653093</v>
      </c>
      <c r="R15" s="511"/>
      <c r="S15" s="68">
        <v>0.70833333333333337</v>
      </c>
      <c r="T15" s="68">
        <v>0.77638888888888891</v>
      </c>
      <c r="U15" s="114" t="str">
        <f t="shared" si="18"/>
        <v/>
      </c>
      <c r="V15" s="122">
        <f t="shared" si="17"/>
        <v>97.999999999999972</v>
      </c>
      <c r="W15" s="69"/>
      <c r="X15" s="69"/>
      <c r="Y15" s="510"/>
      <c r="Z15" s="510"/>
      <c r="AA15" s="66">
        <f t="shared" si="8"/>
        <v>-95.918367346938112</v>
      </c>
      <c r="AB15" s="117">
        <f t="shared" si="9"/>
        <v>0.95204081632653093</v>
      </c>
      <c r="AC15" s="511"/>
    </row>
    <row r="16" spans="1:29" ht="16.5" customHeight="1">
      <c r="A16" s="542" t="s">
        <v>413</v>
      </c>
      <c r="B16" s="80" t="s">
        <v>6</v>
      </c>
      <c r="C16" s="533" t="s">
        <v>20</v>
      </c>
      <c r="D16" s="533"/>
      <c r="E16" s="62">
        <v>50.92</v>
      </c>
      <c r="F16" s="80">
        <v>3355</v>
      </c>
      <c r="G16" s="114">
        <f t="shared" si="15"/>
        <v>170836.6</v>
      </c>
      <c r="H16" s="90" t="s">
        <v>5</v>
      </c>
      <c r="I16" s="121">
        <v>15</v>
      </c>
      <c r="J16" s="63">
        <v>2000</v>
      </c>
      <c r="K16" s="64">
        <f t="shared" si="1"/>
        <v>133.33333333333334</v>
      </c>
      <c r="L16" s="121">
        <v>15</v>
      </c>
      <c r="M16" s="65">
        <f t="shared" si="16"/>
        <v>1917.1428571428582</v>
      </c>
      <c r="N16" s="64">
        <f t="shared" si="3"/>
        <v>127.80952380952388</v>
      </c>
      <c r="O16" s="66">
        <f t="shared" si="4"/>
        <v>0</v>
      </c>
      <c r="P16" s="67">
        <f t="shared" si="5"/>
        <v>-5.5238095238094616</v>
      </c>
      <c r="Q16" s="117">
        <f t="shared" si="6"/>
        <v>0.95857142857142907</v>
      </c>
      <c r="R16" s="511"/>
      <c r="S16" s="68">
        <v>0.78055555555555556</v>
      </c>
      <c r="T16" s="68">
        <v>0.85347222222222219</v>
      </c>
      <c r="U16" s="114">
        <f t="shared" si="18"/>
        <v>5.9999999999999787</v>
      </c>
      <c r="V16" s="122">
        <f t="shared" si="17"/>
        <v>104.99999999999994</v>
      </c>
      <c r="W16" s="69"/>
      <c r="X16" s="69"/>
      <c r="Y16" s="510"/>
      <c r="Z16" s="510"/>
      <c r="AA16" s="66">
        <f t="shared" si="8"/>
        <v>-82.857142857141753</v>
      </c>
      <c r="AB16" s="117">
        <f t="shared" si="9"/>
        <v>0.95857142857142907</v>
      </c>
      <c r="AC16" s="511"/>
    </row>
    <row r="17" spans="1:29" ht="16.5" customHeight="1">
      <c r="A17" s="542" t="s">
        <v>413</v>
      </c>
      <c r="B17" s="62" t="s">
        <v>411</v>
      </c>
      <c r="C17" s="513"/>
      <c r="D17" s="513"/>
      <c r="E17" s="118"/>
      <c r="F17" s="71"/>
      <c r="G17" s="64"/>
      <c r="H17" s="80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1626.9280215289778</v>
      </c>
      <c r="N17" s="64">
        <f t="shared" si="3"/>
        <v>87.46924846929987</v>
      </c>
      <c r="O17" s="66">
        <f t="shared" si="4"/>
        <v>0</v>
      </c>
      <c r="P17" s="67">
        <f t="shared" si="5"/>
        <v>-3.9286009930657144</v>
      </c>
      <c r="Q17" s="117">
        <f t="shared" si="6"/>
        <v>0.95701648325233979</v>
      </c>
      <c r="R17" s="511"/>
      <c r="S17" s="68"/>
      <c r="T17" s="68"/>
      <c r="U17" s="114"/>
      <c r="V17" s="122"/>
      <c r="W17" s="64"/>
      <c r="X17" s="64"/>
      <c r="Y17" s="510"/>
      <c r="Z17" s="510"/>
      <c r="AA17" s="66">
        <f t="shared" si="8"/>
        <v>-73.071978471022248</v>
      </c>
      <c r="AB17" s="117">
        <f t="shared" si="9"/>
        <v>0.9570164832523399</v>
      </c>
      <c r="AC17" s="511"/>
    </row>
    <row r="18" spans="1:29" ht="15.75" customHeight="1">
      <c r="A18" s="537" t="s">
        <v>414</v>
      </c>
      <c r="B18" s="62" t="s">
        <v>13</v>
      </c>
      <c r="C18" s="533" t="s">
        <v>21</v>
      </c>
      <c r="D18" s="533"/>
      <c r="E18" s="62">
        <v>43.14</v>
      </c>
      <c r="F18" s="80">
        <v>1462</v>
      </c>
      <c r="G18" s="114">
        <f t="shared" ref="G18:G22" si="19">E18*F18</f>
        <v>63070.68</v>
      </c>
      <c r="H18" s="90" t="s">
        <v>5</v>
      </c>
      <c r="I18" s="121">
        <v>17</v>
      </c>
      <c r="J18" s="63">
        <v>2000</v>
      </c>
      <c r="K18" s="64">
        <f t="shared" si="1"/>
        <v>117.64705882352941</v>
      </c>
      <c r="L18" s="121">
        <v>17</v>
      </c>
      <c r="M18" s="65">
        <f t="shared" ref="M18:M22" si="20">F18/V18*60</f>
        <v>1906.9565217391305</v>
      </c>
      <c r="N18" s="64">
        <f t="shared" si="3"/>
        <v>112.17391304347827</v>
      </c>
      <c r="O18" s="66">
        <f t="shared" si="4"/>
        <v>0</v>
      </c>
      <c r="P18" s="67">
        <f t="shared" si="5"/>
        <v>-5.4731457800511407</v>
      </c>
      <c r="Q18" s="117">
        <f t="shared" si="6"/>
        <v>0.95347826086956533</v>
      </c>
      <c r="R18" s="511">
        <f>Q23</f>
        <v>0.95715538384560084</v>
      </c>
      <c r="S18" s="68">
        <v>0.20833333333333334</v>
      </c>
      <c r="T18" s="68">
        <v>0.24027777777777778</v>
      </c>
      <c r="U18" s="114"/>
      <c r="V18" s="122">
        <f t="shared" ref="V18:V22" si="21">(T18-S18)*24*60</f>
        <v>46</v>
      </c>
      <c r="W18" s="73"/>
      <c r="X18" s="73"/>
      <c r="Y18" s="510"/>
      <c r="Z18" s="510"/>
      <c r="AA18" s="66">
        <f t="shared" si="8"/>
        <v>-93.043478260869506</v>
      </c>
      <c r="AB18" s="117">
        <f t="shared" si="9"/>
        <v>0.95347826086956522</v>
      </c>
      <c r="AC18" s="511">
        <f>AB23</f>
        <v>0.95715538384560084</v>
      </c>
    </row>
    <row r="19" spans="1:29" ht="15.75" customHeight="1">
      <c r="A19" s="538" t="s">
        <v>414</v>
      </c>
      <c r="B19" s="62" t="s">
        <v>6</v>
      </c>
      <c r="C19" s="533" t="s">
        <v>23</v>
      </c>
      <c r="D19" s="533"/>
      <c r="E19" s="62">
        <v>53.68</v>
      </c>
      <c r="F19" s="80">
        <v>1958</v>
      </c>
      <c r="G19" s="114">
        <f t="shared" si="19"/>
        <v>105105.44</v>
      </c>
      <c r="H19" s="90" t="s">
        <v>5</v>
      </c>
      <c r="I19" s="121">
        <v>16</v>
      </c>
      <c r="J19" s="63">
        <v>2000</v>
      </c>
      <c r="K19" s="64">
        <f t="shared" si="1"/>
        <v>125</v>
      </c>
      <c r="L19" s="121">
        <v>16</v>
      </c>
      <c r="M19" s="65">
        <f t="shared" si="20"/>
        <v>1925.9016393442628</v>
      </c>
      <c r="N19" s="64">
        <f t="shared" si="3"/>
        <v>120.36885245901642</v>
      </c>
      <c r="O19" s="66">
        <f t="shared" si="4"/>
        <v>0</v>
      </c>
      <c r="P19" s="67">
        <f t="shared" si="5"/>
        <v>-4.6311475409835765</v>
      </c>
      <c r="Q19" s="117">
        <f t="shared" si="6"/>
        <v>0.96295081967213136</v>
      </c>
      <c r="R19" s="511"/>
      <c r="S19" s="68">
        <v>0.24374999999999999</v>
      </c>
      <c r="T19" s="68">
        <v>0.28611111111111109</v>
      </c>
      <c r="U19" s="114">
        <f t="shared" ref="U19:U22" si="22">IF(S19=TIME(17,0,0),"",(S19-T18)*24*60)</f>
        <v>4.9999999999999822</v>
      </c>
      <c r="V19" s="122">
        <f t="shared" si="21"/>
        <v>60.999999999999986</v>
      </c>
      <c r="W19" s="69"/>
      <c r="X19" s="114"/>
      <c r="Y19" s="510"/>
      <c r="Z19" s="510"/>
      <c r="AA19" s="66">
        <f t="shared" si="8"/>
        <v>-74.098360655737224</v>
      </c>
      <c r="AB19" s="117">
        <f t="shared" si="9"/>
        <v>0.96295081967213136</v>
      </c>
      <c r="AC19" s="511"/>
    </row>
    <row r="20" spans="1:29" ht="15.75" customHeight="1">
      <c r="A20" s="538" t="s">
        <v>414</v>
      </c>
      <c r="B20" s="62" t="s">
        <v>6</v>
      </c>
      <c r="C20" s="533" t="s">
        <v>22</v>
      </c>
      <c r="D20" s="533"/>
      <c r="E20" s="62">
        <v>57.73</v>
      </c>
      <c r="F20" s="80">
        <v>3220</v>
      </c>
      <c r="G20" s="114">
        <f t="shared" si="19"/>
        <v>185890.59999999998</v>
      </c>
      <c r="H20" s="90" t="s">
        <v>5</v>
      </c>
      <c r="I20" s="121">
        <v>15</v>
      </c>
      <c r="J20" s="63">
        <v>2000</v>
      </c>
      <c r="K20" s="64">
        <f t="shared" si="1"/>
        <v>133.33333333333334</v>
      </c>
      <c r="L20" s="121">
        <v>15</v>
      </c>
      <c r="M20" s="65">
        <f t="shared" si="20"/>
        <v>1912.8712871287137</v>
      </c>
      <c r="N20" s="64">
        <f t="shared" si="3"/>
        <v>127.52475247524758</v>
      </c>
      <c r="O20" s="66">
        <f t="shared" si="4"/>
        <v>0</v>
      </c>
      <c r="P20" s="67">
        <f t="shared" si="5"/>
        <v>-5.8085808580857616</v>
      </c>
      <c r="Q20" s="117">
        <f t="shared" si="6"/>
        <v>0.95643564356435684</v>
      </c>
      <c r="R20" s="511"/>
      <c r="S20" s="68">
        <v>0.29166666666666663</v>
      </c>
      <c r="T20" s="68">
        <v>0.36180555555555549</v>
      </c>
      <c r="U20" s="114">
        <f t="shared" si="22"/>
        <v>7.9999999999999716</v>
      </c>
      <c r="V20" s="122">
        <f t="shared" si="21"/>
        <v>100.99999999999996</v>
      </c>
      <c r="W20" s="69"/>
      <c r="X20" s="114"/>
      <c r="Y20" s="510"/>
      <c r="Z20" s="510"/>
      <c r="AA20" s="66">
        <f t="shared" si="8"/>
        <v>-87.128712871286325</v>
      </c>
      <c r="AB20" s="117">
        <f t="shared" si="9"/>
        <v>0.95643564356435684</v>
      </c>
      <c r="AC20" s="511"/>
    </row>
    <row r="21" spans="1:29" ht="15.75" customHeight="1">
      <c r="A21" s="538" t="s">
        <v>414</v>
      </c>
      <c r="B21" s="62" t="s">
        <v>6</v>
      </c>
      <c r="C21" s="533" t="s">
        <v>24</v>
      </c>
      <c r="D21" s="533"/>
      <c r="E21" s="62">
        <v>54.09</v>
      </c>
      <c r="F21" s="80">
        <v>2396</v>
      </c>
      <c r="G21" s="114">
        <f t="shared" si="19"/>
        <v>129599.64000000001</v>
      </c>
      <c r="H21" s="90" t="s">
        <v>5</v>
      </c>
      <c r="I21" s="121">
        <v>19</v>
      </c>
      <c r="J21" s="63">
        <v>2000</v>
      </c>
      <c r="K21" s="64">
        <f t="shared" si="1"/>
        <v>105.26315789473684</v>
      </c>
      <c r="L21" s="121">
        <v>19</v>
      </c>
      <c r="M21" s="65">
        <f t="shared" si="20"/>
        <v>1916.7999999999986</v>
      </c>
      <c r="N21" s="64">
        <f t="shared" si="3"/>
        <v>100.88421052631571</v>
      </c>
      <c r="O21" s="66">
        <f t="shared" si="4"/>
        <v>0</v>
      </c>
      <c r="P21" s="67">
        <f t="shared" si="5"/>
        <v>-4.3789473684211231</v>
      </c>
      <c r="Q21" s="117">
        <f t="shared" si="6"/>
        <v>0.95839999999999936</v>
      </c>
      <c r="R21" s="511"/>
      <c r="S21" s="68">
        <v>0.70833333333333337</v>
      </c>
      <c r="T21" s="68">
        <v>0.76041666666666674</v>
      </c>
      <c r="U21" s="114" t="str">
        <f t="shared" si="22"/>
        <v/>
      </c>
      <c r="V21" s="122">
        <f t="shared" si="21"/>
        <v>75.000000000000057</v>
      </c>
      <c r="W21" s="69"/>
      <c r="X21" s="114"/>
      <c r="Y21" s="510"/>
      <c r="Z21" s="510"/>
      <c r="AA21" s="66">
        <f t="shared" si="8"/>
        <v>-83.20000000000141</v>
      </c>
      <c r="AB21" s="117">
        <f t="shared" si="9"/>
        <v>0.95839999999999925</v>
      </c>
      <c r="AC21" s="511"/>
    </row>
    <row r="22" spans="1:29" ht="15.75" customHeight="1">
      <c r="A22" s="538" t="s">
        <v>414</v>
      </c>
      <c r="B22" s="62" t="s">
        <v>6</v>
      </c>
      <c r="C22" s="533" t="s">
        <v>81</v>
      </c>
      <c r="D22" s="533"/>
      <c r="E22" s="62">
        <v>50.67</v>
      </c>
      <c r="F22" s="80">
        <v>2609</v>
      </c>
      <c r="G22" s="114">
        <f t="shared" si="19"/>
        <v>132198.03</v>
      </c>
      <c r="H22" s="90" t="s">
        <v>5</v>
      </c>
      <c r="I22" s="121">
        <v>15</v>
      </c>
      <c r="J22" s="63">
        <v>2000</v>
      </c>
      <c r="K22" s="64">
        <f t="shared" si="1"/>
        <v>133.33333333333334</v>
      </c>
      <c r="L22" s="121">
        <v>15</v>
      </c>
      <c r="M22" s="65">
        <f t="shared" si="20"/>
        <v>1909.0243902439017</v>
      </c>
      <c r="N22" s="64">
        <f t="shared" si="3"/>
        <v>127.26829268292678</v>
      </c>
      <c r="O22" s="66">
        <f t="shared" si="4"/>
        <v>0</v>
      </c>
      <c r="P22" s="67">
        <f t="shared" si="5"/>
        <v>-6.0650406504065586</v>
      </c>
      <c r="Q22" s="117">
        <f t="shared" si="6"/>
        <v>0.95451219512195085</v>
      </c>
      <c r="R22" s="511"/>
      <c r="S22" s="68">
        <v>0.76388888888888895</v>
      </c>
      <c r="T22" s="68">
        <v>0.82083333333333341</v>
      </c>
      <c r="U22" s="114">
        <f t="shared" si="22"/>
        <v>4.9999999999999822</v>
      </c>
      <c r="V22" s="122">
        <f t="shared" si="21"/>
        <v>82.000000000000028</v>
      </c>
      <c r="W22" s="69"/>
      <c r="X22" s="114"/>
      <c r="Y22" s="510"/>
      <c r="Z22" s="510"/>
      <c r="AA22" s="66">
        <f t="shared" si="8"/>
        <v>-90.975609756098265</v>
      </c>
      <c r="AB22" s="117">
        <f t="shared" si="9"/>
        <v>0.95451219512195085</v>
      </c>
      <c r="AC22" s="511"/>
    </row>
    <row r="23" spans="1:29" ht="15.75" customHeight="1">
      <c r="A23" s="538" t="s">
        <v>414</v>
      </c>
      <c r="B23" s="62" t="s">
        <v>411</v>
      </c>
      <c r="C23" s="513"/>
      <c r="D23" s="513"/>
      <c r="E23" s="118"/>
      <c r="F23" s="80"/>
      <c r="G23" s="114"/>
      <c r="H23" s="80"/>
      <c r="I23" s="72">
        <v>16.399999999999999</v>
      </c>
      <c r="J23" s="63">
        <v>2000</v>
      </c>
      <c r="K23" s="64">
        <f t="shared" si="1"/>
        <v>121.95121951219514</v>
      </c>
      <c r="L23" s="72">
        <v>16.399999999999999</v>
      </c>
      <c r="M23" s="65">
        <f>AVERAGE(M18:M22)</f>
        <v>1914.3107676912016</v>
      </c>
      <c r="N23" s="64">
        <f t="shared" si="3"/>
        <v>116.72626632263426</v>
      </c>
      <c r="O23" s="66">
        <f t="shared" si="4"/>
        <v>0</v>
      </c>
      <c r="P23" s="67">
        <f t="shared" si="5"/>
        <v>-5.2249531895608783</v>
      </c>
      <c r="Q23" s="117">
        <f t="shared" si="6"/>
        <v>0.95715538384560084</v>
      </c>
      <c r="R23" s="511"/>
      <c r="S23" s="68"/>
      <c r="T23" s="68"/>
      <c r="U23" s="64"/>
      <c r="V23" s="122"/>
      <c r="W23" s="64"/>
      <c r="X23" s="64"/>
      <c r="Y23" s="510"/>
      <c r="Z23" s="510"/>
      <c r="AA23" s="66">
        <f t="shared" si="8"/>
        <v>-85.68923230879841</v>
      </c>
      <c r="AB23" s="117">
        <f t="shared" si="9"/>
        <v>0.95715538384560084</v>
      </c>
      <c r="AC23" s="511"/>
    </row>
    <row r="24" spans="1:29" ht="15.75" customHeight="1">
      <c r="A24" s="536" t="s">
        <v>415</v>
      </c>
      <c r="B24" s="62" t="s">
        <v>16</v>
      </c>
      <c r="C24" s="533" t="s">
        <v>30</v>
      </c>
      <c r="D24" s="533"/>
      <c r="E24" s="62">
        <v>31.29</v>
      </c>
      <c r="F24" s="80">
        <v>4500</v>
      </c>
      <c r="G24" s="114">
        <f t="shared" ref="G24:G31" si="23">E24*F24</f>
        <v>140805</v>
      </c>
      <c r="H24" s="90">
        <v>2</v>
      </c>
      <c r="I24" s="121">
        <v>18</v>
      </c>
      <c r="J24" s="63">
        <v>2400</v>
      </c>
      <c r="K24" s="64">
        <f t="shared" si="1"/>
        <v>133.33333333333334</v>
      </c>
      <c r="L24" s="121">
        <v>18</v>
      </c>
      <c r="M24" s="65">
        <f t="shared" ref="M24:M31" si="24">F24/V24*60</f>
        <v>2288.1355932203396</v>
      </c>
      <c r="N24" s="64">
        <f t="shared" si="3"/>
        <v>127.11864406779665</v>
      </c>
      <c r="O24" s="66">
        <f t="shared" si="4"/>
        <v>0</v>
      </c>
      <c r="P24" s="67">
        <f t="shared" si="5"/>
        <v>-6.2146892655366912</v>
      </c>
      <c r="Q24" s="117">
        <f t="shared" si="6"/>
        <v>0.95338983050847481</v>
      </c>
      <c r="R24" s="511">
        <f>Q32</f>
        <v>0.95647997355905601</v>
      </c>
      <c r="S24" s="68">
        <v>0.125</v>
      </c>
      <c r="T24" s="68">
        <v>0.20694444444444443</v>
      </c>
      <c r="U24" s="114"/>
      <c r="V24" s="122">
        <f t="shared" ref="V24:V31" si="25">(T24-S24)*24*60</f>
        <v>117.99999999999999</v>
      </c>
      <c r="W24" s="69">
        <f>T24</f>
        <v>0.20694444444444443</v>
      </c>
      <c r="X24" s="69">
        <f>S25</f>
        <v>0.22638888888888889</v>
      </c>
      <c r="Y24" s="510"/>
      <c r="Z24" s="510"/>
      <c r="AA24" s="66">
        <f t="shared" si="8"/>
        <v>-111.86440677966038</v>
      </c>
      <c r="AB24" s="117">
        <f t="shared" si="9"/>
        <v>0.95338983050847481</v>
      </c>
      <c r="AC24" s="511">
        <f>AB32</f>
        <v>0.95647997355905601</v>
      </c>
    </row>
    <row r="25" spans="1:29" ht="15.75" customHeight="1">
      <c r="A25" s="536" t="s">
        <v>415</v>
      </c>
      <c r="B25" s="62" t="s">
        <v>16</v>
      </c>
      <c r="C25" s="533" t="s">
        <v>28</v>
      </c>
      <c r="D25" s="533"/>
      <c r="E25" s="62">
        <v>26.18</v>
      </c>
      <c r="F25" s="80">
        <v>3634</v>
      </c>
      <c r="G25" s="114">
        <f t="shared" si="23"/>
        <v>95138.12</v>
      </c>
      <c r="H25" s="90" t="s">
        <v>5</v>
      </c>
      <c r="I25" s="121">
        <v>19</v>
      </c>
      <c r="J25" s="63">
        <v>2400</v>
      </c>
      <c r="K25" s="64">
        <f t="shared" si="1"/>
        <v>126.31578947368421</v>
      </c>
      <c r="L25" s="121">
        <v>19</v>
      </c>
      <c r="M25" s="65">
        <f t="shared" si="24"/>
        <v>2295.1578947368416</v>
      </c>
      <c r="N25" s="64">
        <f t="shared" si="3"/>
        <v>120.79778393351798</v>
      </c>
      <c r="O25" s="66">
        <f t="shared" si="4"/>
        <v>0</v>
      </c>
      <c r="P25" s="67">
        <f t="shared" si="5"/>
        <v>-5.5180055401662287</v>
      </c>
      <c r="Q25" s="117">
        <f t="shared" si="6"/>
        <v>0.95631578947368401</v>
      </c>
      <c r="R25" s="511"/>
      <c r="S25" s="68">
        <v>0.22638888888888889</v>
      </c>
      <c r="T25" s="68">
        <v>0.29236111111111113</v>
      </c>
      <c r="U25" s="114">
        <f t="shared" ref="U25:U31" si="26">(S25-T24)*24*60</f>
        <v>28.000000000000021</v>
      </c>
      <c r="V25" s="122">
        <f t="shared" si="25"/>
        <v>95.000000000000028</v>
      </c>
      <c r="W25" s="69"/>
      <c r="X25" s="69"/>
      <c r="Y25" s="510"/>
      <c r="Z25" s="510"/>
      <c r="AA25" s="66">
        <f t="shared" si="8"/>
        <v>-104.84210526315837</v>
      </c>
      <c r="AB25" s="117">
        <f t="shared" si="9"/>
        <v>0.95631578947368401</v>
      </c>
      <c r="AC25" s="511"/>
    </row>
    <row r="26" spans="1:29" ht="15.75" customHeight="1">
      <c r="A26" s="536" t="s">
        <v>415</v>
      </c>
      <c r="B26" s="62" t="s">
        <v>16</v>
      </c>
      <c r="C26" s="533" t="s">
        <v>29</v>
      </c>
      <c r="D26" s="533"/>
      <c r="E26" s="62">
        <v>26.2</v>
      </c>
      <c r="F26" s="80">
        <v>4762</v>
      </c>
      <c r="G26" s="114">
        <f t="shared" si="23"/>
        <v>124764.4</v>
      </c>
      <c r="H26" s="90" t="s">
        <v>5</v>
      </c>
      <c r="I26" s="121">
        <v>19</v>
      </c>
      <c r="J26" s="63">
        <v>2400</v>
      </c>
      <c r="K26" s="64">
        <f t="shared" si="1"/>
        <v>126.31578947368421</v>
      </c>
      <c r="L26" s="121">
        <v>19</v>
      </c>
      <c r="M26" s="65">
        <f t="shared" si="24"/>
        <v>2285.7599999999993</v>
      </c>
      <c r="N26" s="64">
        <f t="shared" si="3"/>
        <v>120.3031578947368</v>
      </c>
      <c r="O26" s="66">
        <f t="shared" si="4"/>
        <v>0</v>
      </c>
      <c r="P26" s="67">
        <f t="shared" si="5"/>
        <v>-6.0126315789474063</v>
      </c>
      <c r="Q26" s="117">
        <f t="shared" si="6"/>
        <v>0.95239999999999969</v>
      </c>
      <c r="R26" s="511"/>
      <c r="S26" s="68">
        <v>0.29791666666666666</v>
      </c>
      <c r="T26" s="68">
        <v>0.38472222222222224</v>
      </c>
      <c r="U26" s="114">
        <f t="shared" si="26"/>
        <v>7.9999999999999716</v>
      </c>
      <c r="V26" s="122">
        <f t="shared" si="25"/>
        <v>125.00000000000003</v>
      </c>
      <c r="W26" s="69"/>
      <c r="X26" s="69"/>
      <c r="Y26" s="510"/>
      <c r="Z26" s="510"/>
      <c r="AA26" s="66">
        <f t="shared" si="8"/>
        <v>-114.24000000000069</v>
      </c>
      <c r="AB26" s="117">
        <f t="shared" si="9"/>
        <v>0.95239999999999969</v>
      </c>
      <c r="AC26" s="511"/>
    </row>
    <row r="27" spans="1:29" ht="15.75" customHeight="1">
      <c r="A27" s="536" t="s">
        <v>415</v>
      </c>
      <c r="B27" s="62" t="s">
        <v>16</v>
      </c>
      <c r="C27" s="533" t="s">
        <v>25</v>
      </c>
      <c r="D27" s="533"/>
      <c r="E27" s="62">
        <v>26.2</v>
      </c>
      <c r="F27" s="80">
        <v>3300</v>
      </c>
      <c r="G27" s="114">
        <f t="shared" si="23"/>
        <v>86460</v>
      </c>
      <c r="H27" s="90">
        <v>2</v>
      </c>
      <c r="I27" s="121">
        <v>20</v>
      </c>
      <c r="J27" s="63">
        <v>2400</v>
      </c>
      <c r="K27" s="64">
        <f t="shared" si="1"/>
        <v>120</v>
      </c>
      <c r="L27" s="121">
        <v>20</v>
      </c>
      <c r="M27" s="65">
        <f t="shared" si="24"/>
        <v>2302.3255813953483</v>
      </c>
      <c r="N27" s="64">
        <f t="shared" si="3"/>
        <v>115.11627906976742</v>
      </c>
      <c r="O27" s="66">
        <f t="shared" si="4"/>
        <v>0</v>
      </c>
      <c r="P27" s="67">
        <f t="shared" si="5"/>
        <v>-4.8837209302325846</v>
      </c>
      <c r="Q27" s="117">
        <f t="shared" si="6"/>
        <v>0.95930232558139517</v>
      </c>
      <c r="R27" s="511"/>
      <c r="S27" s="68">
        <v>0.3888888888888889</v>
      </c>
      <c r="T27" s="68">
        <v>0.44861111111111113</v>
      </c>
      <c r="U27" s="114">
        <f t="shared" si="26"/>
        <v>5.9999999999999787</v>
      </c>
      <c r="V27" s="122">
        <f t="shared" si="25"/>
        <v>86.000000000000014</v>
      </c>
      <c r="W27" s="69"/>
      <c r="X27" s="69"/>
      <c r="Y27" s="510"/>
      <c r="Z27" s="510"/>
      <c r="AA27" s="66">
        <f t="shared" si="8"/>
        <v>-97.674418604651692</v>
      </c>
      <c r="AB27" s="117">
        <f t="shared" si="9"/>
        <v>0.95930232558139517</v>
      </c>
      <c r="AC27" s="511"/>
    </row>
    <row r="28" spans="1:29" ht="15.75" customHeight="1">
      <c r="A28" s="536" t="s">
        <v>415</v>
      </c>
      <c r="B28" s="62" t="s">
        <v>16</v>
      </c>
      <c r="C28" s="533" t="s">
        <v>83</v>
      </c>
      <c r="D28" s="533"/>
      <c r="E28" s="62">
        <v>25.99</v>
      </c>
      <c r="F28" s="80">
        <v>3800</v>
      </c>
      <c r="G28" s="114">
        <f t="shared" si="23"/>
        <v>98762</v>
      </c>
      <c r="H28" s="90">
        <v>2</v>
      </c>
      <c r="I28" s="121">
        <v>14</v>
      </c>
      <c r="J28" s="63">
        <v>2400</v>
      </c>
      <c r="K28" s="64">
        <f t="shared" si="1"/>
        <v>171.42857142857142</v>
      </c>
      <c r="L28" s="121">
        <v>14</v>
      </c>
      <c r="M28" s="65">
        <f t="shared" si="24"/>
        <v>2303.0303030303021</v>
      </c>
      <c r="N28" s="64">
        <f t="shared" si="3"/>
        <v>164.50216450216445</v>
      </c>
      <c r="O28" s="66">
        <f t="shared" si="4"/>
        <v>0</v>
      </c>
      <c r="P28" s="67">
        <f t="shared" si="5"/>
        <v>-6.926406926406969</v>
      </c>
      <c r="Q28" s="117">
        <f t="shared" si="6"/>
        <v>0.95959595959595934</v>
      </c>
      <c r="R28" s="511"/>
      <c r="S28" s="68">
        <v>0.45347222222222222</v>
      </c>
      <c r="T28" s="68">
        <v>0.52222222222222225</v>
      </c>
      <c r="U28" s="114">
        <f t="shared" si="26"/>
        <v>6.9999999999999751</v>
      </c>
      <c r="V28" s="122">
        <f t="shared" si="25"/>
        <v>99.000000000000043</v>
      </c>
      <c r="W28" s="69">
        <f>T28</f>
        <v>0.52222222222222225</v>
      </c>
      <c r="X28" s="69">
        <f>S29</f>
        <v>0.56458333333333333</v>
      </c>
      <c r="Y28" s="510"/>
      <c r="Z28" s="510"/>
      <c r="AA28" s="66">
        <f t="shared" si="8"/>
        <v>-96.969696969697907</v>
      </c>
      <c r="AB28" s="117">
        <f t="shared" si="9"/>
        <v>0.95959595959595922</v>
      </c>
      <c r="AC28" s="511"/>
    </row>
    <row r="29" spans="1:29" ht="15.75" customHeight="1">
      <c r="A29" s="536" t="s">
        <v>415</v>
      </c>
      <c r="B29" s="62" t="s">
        <v>16</v>
      </c>
      <c r="C29" s="533" t="s">
        <v>30</v>
      </c>
      <c r="D29" s="533"/>
      <c r="E29" s="62">
        <v>31.29</v>
      </c>
      <c r="F29" s="80">
        <v>5790</v>
      </c>
      <c r="G29" s="114">
        <f t="shared" si="23"/>
        <v>181169.1</v>
      </c>
      <c r="H29" s="90" t="s">
        <v>5</v>
      </c>
      <c r="I29" s="121">
        <v>18</v>
      </c>
      <c r="J29" s="63">
        <v>2400</v>
      </c>
      <c r="K29" s="64">
        <f t="shared" si="1"/>
        <v>133.33333333333334</v>
      </c>
      <c r="L29" s="121">
        <v>18</v>
      </c>
      <c r="M29" s="65">
        <f t="shared" si="24"/>
        <v>2285.5263157894747</v>
      </c>
      <c r="N29" s="64">
        <f t="shared" si="3"/>
        <v>126.97368421052637</v>
      </c>
      <c r="O29" s="66">
        <f t="shared" si="4"/>
        <v>0</v>
      </c>
      <c r="P29" s="67">
        <f t="shared" si="5"/>
        <v>-6.3596491228069709</v>
      </c>
      <c r="Q29" s="117">
        <f t="shared" si="6"/>
        <v>0.95230263157894768</v>
      </c>
      <c r="R29" s="511"/>
      <c r="S29" s="68">
        <v>0.56458333333333333</v>
      </c>
      <c r="T29" s="68">
        <v>0.67013888888888884</v>
      </c>
      <c r="U29" s="114">
        <f t="shared" si="26"/>
        <v>60.999999999999943</v>
      </c>
      <c r="V29" s="122">
        <f t="shared" si="25"/>
        <v>151.99999999999994</v>
      </c>
      <c r="W29" s="69"/>
      <c r="X29" s="69"/>
      <c r="Y29" s="510"/>
      <c r="Z29" s="510"/>
      <c r="AA29" s="66">
        <f t="shared" si="8"/>
        <v>-114.47368421052533</v>
      </c>
      <c r="AB29" s="117">
        <f t="shared" si="9"/>
        <v>0.95230263157894779</v>
      </c>
      <c r="AC29" s="511"/>
    </row>
    <row r="30" spans="1:29" ht="15.75" customHeight="1">
      <c r="A30" s="536" t="s">
        <v>415</v>
      </c>
      <c r="B30" s="62" t="s">
        <v>16</v>
      </c>
      <c r="C30" s="533" t="s">
        <v>83</v>
      </c>
      <c r="D30" s="533"/>
      <c r="E30" s="62">
        <v>25.99</v>
      </c>
      <c r="F30" s="80">
        <v>1644</v>
      </c>
      <c r="G30" s="114">
        <f t="shared" si="23"/>
        <v>42727.56</v>
      </c>
      <c r="H30" s="90" t="s">
        <v>5</v>
      </c>
      <c r="I30" s="121">
        <v>14</v>
      </c>
      <c r="J30" s="63">
        <v>2400</v>
      </c>
      <c r="K30" s="64">
        <f t="shared" si="1"/>
        <v>171.42857142857142</v>
      </c>
      <c r="L30" s="121">
        <v>14</v>
      </c>
      <c r="M30" s="65">
        <f t="shared" si="24"/>
        <v>2293.953488372093</v>
      </c>
      <c r="N30" s="64">
        <f t="shared" si="3"/>
        <v>163.85382059800665</v>
      </c>
      <c r="O30" s="66">
        <f t="shared" si="4"/>
        <v>0</v>
      </c>
      <c r="P30" s="67">
        <f t="shared" si="5"/>
        <v>-7.5747508305647671</v>
      </c>
      <c r="Q30" s="117">
        <f t="shared" si="6"/>
        <v>0.95581395348837217</v>
      </c>
      <c r="R30" s="511"/>
      <c r="S30" s="68">
        <v>0.67499999999999993</v>
      </c>
      <c r="T30" s="68">
        <v>0.70486111111111105</v>
      </c>
      <c r="U30" s="114">
        <f t="shared" si="26"/>
        <v>6.9999999999999751</v>
      </c>
      <c r="V30" s="122">
        <f t="shared" si="25"/>
        <v>43.000000000000007</v>
      </c>
      <c r="W30" s="69"/>
      <c r="X30" s="69"/>
      <c r="Y30" s="510"/>
      <c r="Z30" s="510"/>
      <c r="AA30" s="66">
        <f t="shared" si="8"/>
        <v>-106.04651162790697</v>
      </c>
      <c r="AB30" s="117">
        <f t="shared" si="9"/>
        <v>0.95581395348837206</v>
      </c>
      <c r="AC30" s="511"/>
    </row>
    <row r="31" spans="1:29" ht="15.75" customHeight="1">
      <c r="A31" s="536" t="s">
        <v>415</v>
      </c>
      <c r="B31" s="62" t="s">
        <v>16</v>
      </c>
      <c r="C31" s="533" t="s">
        <v>25</v>
      </c>
      <c r="D31" s="533"/>
      <c r="E31" s="62">
        <v>26.2</v>
      </c>
      <c r="F31" s="80">
        <v>2195</v>
      </c>
      <c r="G31" s="114">
        <f t="shared" si="23"/>
        <v>57509</v>
      </c>
      <c r="H31" s="90" t="s">
        <v>5</v>
      </c>
      <c r="I31" s="121">
        <v>20</v>
      </c>
      <c r="J31" s="63">
        <v>2400</v>
      </c>
      <c r="K31" s="64">
        <f t="shared" si="1"/>
        <v>120</v>
      </c>
      <c r="L31" s="121">
        <v>20</v>
      </c>
      <c r="M31" s="65">
        <f t="shared" si="24"/>
        <v>2310.5263157894756</v>
      </c>
      <c r="N31" s="64">
        <f t="shared" si="3"/>
        <v>115.52631578947378</v>
      </c>
      <c r="O31" s="66">
        <f t="shared" si="4"/>
        <v>0</v>
      </c>
      <c r="P31" s="67">
        <f t="shared" si="5"/>
        <v>-4.4736842105262156</v>
      </c>
      <c r="Q31" s="117">
        <f t="shared" si="6"/>
        <v>0.96271929824561486</v>
      </c>
      <c r="R31" s="511"/>
      <c r="S31" s="68">
        <v>0.70972222222222214</v>
      </c>
      <c r="T31" s="68">
        <v>0.74930555555555545</v>
      </c>
      <c r="U31" s="114">
        <f t="shared" si="26"/>
        <v>6.9999999999999751</v>
      </c>
      <c r="V31" s="122">
        <f t="shared" si="25"/>
        <v>56.999999999999957</v>
      </c>
      <c r="W31" s="69"/>
      <c r="X31" s="69"/>
      <c r="Y31" s="510"/>
      <c r="Z31" s="510"/>
      <c r="AA31" s="66">
        <f t="shared" si="8"/>
        <v>-89.473684210524425</v>
      </c>
      <c r="AB31" s="117">
        <f t="shared" si="9"/>
        <v>0.96271929824561486</v>
      </c>
      <c r="AC31" s="511"/>
    </row>
    <row r="32" spans="1:29" ht="15.75" customHeight="1">
      <c r="A32" s="536" t="s">
        <v>415</v>
      </c>
      <c r="B32" s="62" t="s">
        <v>411</v>
      </c>
      <c r="C32" s="513"/>
      <c r="D32" s="513"/>
      <c r="E32" s="118"/>
      <c r="F32" s="80"/>
      <c r="G32" s="114"/>
      <c r="H32" s="80"/>
      <c r="I32" s="72">
        <v>17.75</v>
      </c>
      <c r="J32" s="63">
        <v>2400</v>
      </c>
      <c r="K32" s="64">
        <f t="shared" si="1"/>
        <v>135.21126760563379</v>
      </c>
      <c r="L32" s="72">
        <v>17.75</v>
      </c>
      <c r="M32" s="65">
        <f>AVERAGE(M24:M31)</f>
        <v>2295.5519365417344</v>
      </c>
      <c r="N32" s="64">
        <f t="shared" si="3"/>
        <v>129.32686966432306</v>
      </c>
      <c r="O32" s="66">
        <f t="shared" si="4"/>
        <v>0</v>
      </c>
      <c r="P32" s="67">
        <f t="shared" si="5"/>
        <v>-5.8843979413107377</v>
      </c>
      <c r="Q32" s="117">
        <f t="shared" si="6"/>
        <v>0.95647997355905601</v>
      </c>
      <c r="R32" s="511"/>
      <c r="S32" s="68"/>
      <c r="T32" s="68"/>
      <c r="U32" s="114"/>
      <c r="V32" s="122"/>
      <c r="W32" s="114"/>
      <c r="X32" s="114"/>
      <c r="Y32" s="510"/>
      <c r="Z32" s="510"/>
      <c r="AA32" s="66">
        <f t="shared" si="8"/>
        <v>-104.44806345826555</v>
      </c>
      <c r="AB32" s="117">
        <f t="shared" si="9"/>
        <v>0.95647997355905601</v>
      </c>
      <c r="AC32" s="511"/>
    </row>
    <row r="33" spans="1:29" ht="15.75" customHeight="1">
      <c r="A33" s="531" t="s">
        <v>416</v>
      </c>
      <c r="B33" s="62" t="s">
        <v>16</v>
      </c>
      <c r="C33" s="512" t="s">
        <v>31</v>
      </c>
      <c r="D33" s="512"/>
      <c r="E33" s="62">
        <v>26.2</v>
      </c>
      <c r="F33" s="80">
        <v>4400</v>
      </c>
      <c r="G33" s="114">
        <f t="shared" ref="G33:G40" si="27">E33*F33</f>
        <v>115280</v>
      </c>
      <c r="H33" s="90">
        <v>2</v>
      </c>
      <c r="I33" s="121">
        <v>18</v>
      </c>
      <c r="J33" s="63">
        <v>2400</v>
      </c>
      <c r="K33" s="64">
        <f t="shared" si="1"/>
        <v>133.33333333333334</v>
      </c>
      <c r="L33" s="121">
        <v>18</v>
      </c>
      <c r="M33" s="65">
        <f t="shared" ref="M33:M40" si="28">F33/V33*60</f>
        <v>2295.652173913044</v>
      </c>
      <c r="N33" s="64">
        <f t="shared" si="3"/>
        <v>127.536231884058</v>
      </c>
      <c r="O33" s="66">
        <f t="shared" si="4"/>
        <v>0</v>
      </c>
      <c r="P33" s="67">
        <f t="shared" si="5"/>
        <v>-5.7971014492753454</v>
      </c>
      <c r="Q33" s="117">
        <f t="shared" si="6"/>
        <v>0.95652173913043492</v>
      </c>
      <c r="R33" s="511">
        <f>Q41</f>
        <v>0.95617261523021724</v>
      </c>
      <c r="S33" s="68">
        <v>0.125</v>
      </c>
      <c r="T33" s="68">
        <v>0.2048611111111111</v>
      </c>
      <c r="U33" s="114"/>
      <c r="V33" s="122">
        <f t="shared" ref="V33:V40" si="29">(T33-S33)*24*60</f>
        <v>114.99999999999999</v>
      </c>
      <c r="W33" s="73">
        <f>T33</f>
        <v>0.2048611111111111</v>
      </c>
      <c r="X33" s="73">
        <f>S34</f>
        <v>0.22291666666666665</v>
      </c>
      <c r="Y33" s="510"/>
      <c r="Z33" s="510"/>
      <c r="AA33" s="66">
        <f t="shared" si="8"/>
        <v>-104.34782608695605</v>
      </c>
      <c r="AB33" s="117">
        <f t="shared" si="9"/>
        <v>0.95652173913043503</v>
      </c>
      <c r="AC33" s="511">
        <f>AB41</f>
        <v>0.95617261523021724</v>
      </c>
    </row>
    <row r="34" spans="1:29" ht="15.75" customHeight="1">
      <c r="A34" s="531" t="s">
        <v>416</v>
      </c>
      <c r="B34" s="62" t="s">
        <v>16</v>
      </c>
      <c r="C34" s="512" t="s">
        <v>32</v>
      </c>
      <c r="D34" s="512"/>
      <c r="E34" s="62">
        <v>26.39</v>
      </c>
      <c r="F34" s="80">
        <v>4300</v>
      </c>
      <c r="G34" s="114">
        <f t="shared" si="27"/>
        <v>113477</v>
      </c>
      <c r="H34" s="90">
        <v>2</v>
      </c>
      <c r="I34" s="121">
        <v>19</v>
      </c>
      <c r="J34" s="63">
        <v>2400</v>
      </c>
      <c r="K34" s="64">
        <f t="shared" si="1"/>
        <v>126.31578947368421</v>
      </c>
      <c r="L34" s="121">
        <v>19</v>
      </c>
      <c r="M34" s="65">
        <f t="shared" si="28"/>
        <v>2283.1858407079644</v>
      </c>
      <c r="N34" s="64">
        <f t="shared" si="3"/>
        <v>120.16767582673496</v>
      </c>
      <c r="O34" s="66">
        <f t="shared" si="4"/>
        <v>0</v>
      </c>
      <c r="P34" s="67">
        <f t="shared" si="5"/>
        <v>-6.1481136469492412</v>
      </c>
      <c r="Q34" s="117">
        <f t="shared" si="6"/>
        <v>0.95132743362831851</v>
      </c>
      <c r="R34" s="511"/>
      <c r="S34" s="68">
        <v>0.22291666666666665</v>
      </c>
      <c r="T34" s="68">
        <v>0.30138888888888887</v>
      </c>
      <c r="U34" s="114">
        <f t="shared" ref="U34:U40" si="30">(S34-T33)*24*60</f>
        <v>25.999999999999986</v>
      </c>
      <c r="V34" s="122">
        <f t="shared" si="29"/>
        <v>113</v>
      </c>
      <c r="W34" s="114"/>
      <c r="X34" s="114"/>
      <c r="Y34" s="510"/>
      <c r="Z34" s="510"/>
      <c r="AA34" s="66">
        <f t="shared" si="8"/>
        <v>-116.81415929203558</v>
      </c>
      <c r="AB34" s="117">
        <f t="shared" si="9"/>
        <v>0.95132743362831851</v>
      </c>
      <c r="AC34" s="511"/>
    </row>
    <row r="35" spans="1:29">
      <c r="A35" s="532" t="s">
        <v>416</v>
      </c>
      <c r="B35" s="62" t="s">
        <v>16</v>
      </c>
      <c r="C35" s="512" t="s">
        <v>50</v>
      </c>
      <c r="D35" s="512"/>
      <c r="E35" s="62">
        <v>20.52</v>
      </c>
      <c r="F35" s="80">
        <v>5520</v>
      </c>
      <c r="G35" s="114">
        <f t="shared" si="27"/>
        <v>113270.39999999999</v>
      </c>
      <c r="H35" s="90" t="s">
        <v>5</v>
      </c>
      <c r="I35" s="121">
        <v>18</v>
      </c>
      <c r="J35" s="63">
        <v>2400</v>
      </c>
      <c r="K35" s="64">
        <f t="shared" si="1"/>
        <v>133.33333333333334</v>
      </c>
      <c r="L35" s="121">
        <v>18</v>
      </c>
      <c r="M35" s="65">
        <f t="shared" si="28"/>
        <v>2284.1379310344832</v>
      </c>
      <c r="N35" s="64">
        <f t="shared" si="3"/>
        <v>126.89655172413796</v>
      </c>
      <c r="O35" s="66">
        <f t="shared" si="4"/>
        <v>0</v>
      </c>
      <c r="P35" s="67">
        <f t="shared" si="5"/>
        <v>-6.4367816091953785</v>
      </c>
      <c r="Q35" s="117">
        <f t="shared" si="6"/>
        <v>0.95172413793103472</v>
      </c>
      <c r="R35" s="511"/>
      <c r="S35" s="68">
        <v>0.30555555555555552</v>
      </c>
      <c r="T35" s="68">
        <v>0.40624999999999994</v>
      </c>
      <c r="U35" s="114">
        <f t="shared" si="30"/>
        <v>5.9999999999999787</v>
      </c>
      <c r="V35" s="122">
        <f t="shared" si="29"/>
        <v>144.99999999999997</v>
      </c>
      <c r="W35" s="114"/>
      <c r="X35" s="114"/>
      <c r="Y35" s="510"/>
      <c r="Z35" s="510"/>
      <c r="AA35" s="66">
        <f t="shared" si="8"/>
        <v>-115.86206896551676</v>
      </c>
      <c r="AB35" s="117">
        <f t="shared" si="9"/>
        <v>0.95172413793103472</v>
      </c>
      <c r="AC35" s="511"/>
    </row>
    <row r="36" spans="1:29">
      <c r="A36" s="532" t="s">
        <v>416</v>
      </c>
      <c r="B36" s="62" t="s">
        <v>16</v>
      </c>
      <c r="C36" s="512" t="s">
        <v>18</v>
      </c>
      <c r="D36" s="512"/>
      <c r="E36" s="62">
        <v>22.35</v>
      </c>
      <c r="F36" s="80">
        <v>2050</v>
      </c>
      <c r="G36" s="114">
        <f t="shared" si="27"/>
        <v>45817.5</v>
      </c>
      <c r="H36" s="90" t="s">
        <v>5</v>
      </c>
      <c r="I36" s="121">
        <v>16</v>
      </c>
      <c r="J36" s="63">
        <v>2400</v>
      </c>
      <c r="K36" s="64">
        <f t="shared" si="1"/>
        <v>150</v>
      </c>
      <c r="L36" s="121">
        <v>16</v>
      </c>
      <c r="M36" s="65">
        <f t="shared" si="28"/>
        <v>2320.7547169811332</v>
      </c>
      <c r="N36" s="64">
        <f t="shared" si="3"/>
        <v>145.04716981132083</v>
      </c>
      <c r="O36" s="66">
        <f t="shared" si="4"/>
        <v>0</v>
      </c>
      <c r="P36" s="67">
        <f t="shared" si="5"/>
        <v>-4.9528301886791724</v>
      </c>
      <c r="Q36" s="117">
        <f t="shared" si="6"/>
        <v>0.96698113207547221</v>
      </c>
      <c r="R36" s="511"/>
      <c r="S36" s="68">
        <v>0.41180555555555548</v>
      </c>
      <c r="T36" s="68">
        <v>0.44861111111111102</v>
      </c>
      <c r="U36" s="114">
        <f t="shared" si="30"/>
        <v>7.9999999999999716</v>
      </c>
      <c r="V36" s="122">
        <f t="shared" si="29"/>
        <v>52.999999999999972</v>
      </c>
      <c r="W36" s="69"/>
      <c r="X36" s="69"/>
      <c r="Y36" s="510"/>
      <c r="Z36" s="510"/>
      <c r="AA36" s="66">
        <f t="shared" si="8"/>
        <v>-79.245283018866758</v>
      </c>
      <c r="AB36" s="117">
        <f t="shared" si="9"/>
        <v>0.96698113207547221</v>
      </c>
      <c r="AC36" s="511"/>
    </row>
    <row r="37" spans="1:29">
      <c r="A37" s="532" t="s">
        <v>416</v>
      </c>
      <c r="B37" s="62" t="s">
        <v>16</v>
      </c>
      <c r="C37" s="512" t="s">
        <v>33</v>
      </c>
      <c r="D37" s="512"/>
      <c r="E37" s="62">
        <v>24.43</v>
      </c>
      <c r="F37" s="80">
        <v>3800</v>
      </c>
      <c r="G37" s="114">
        <f t="shared" si="27"/>
        <v>92834</v>
      </c>
      <c r="H37" s="90">
        <v>2</v>
      </c>
      <c r="I37" s="121">
        <v>14</v>
      </c>
      <c r="J37" s="63">
        <v>2400</v>
      </c>
      <c r="K37" s="64">
        <f t="shared" si="1"/>
        <v>171.42857142857142</v>
      </c>
      <c r="L37" s="121">
        <v>14</v>
      </c>
      <c r="M37" s="65">
        <f t="shared" si="28"/>
        <v>2279.9999999999991</v>
      </c>
      <c r="N37" s="64">
        <f t="shared" si="3"/>
        <v>162.8571428571428</v>
      </c>
      <c r="O37" s="66">
        <f t="shared" si="4"/>
        <v>0</v>
      </c>
      <c r="P37" s="67">
        <f t="shared" si="5"/>
        <v>-8.571428571428612</v>
      </c>
      <c r="Q37" s="117">
        <f t="shared" si="6"/>
        <v>0.94999999999999973</v>
      </c>
      <c r="R37" s="511"/>
      <c r="S37" s="68">
        <v>0.45416666666666655</v>
      </c>
      <c r="T37" s="68">
        <v>0.52361111111111103</v>
      </c>
      <c r="U37" s="114">
        <f t="shared" si="30"/>
        <v>7.9999999999999716</v>
      </c>
      <c r="V37" s="122">
        <f t="shared" si="29"/>
        <v>100.00000000000004</v>
      </c>
      <c r="W37" s="73">
        <f>T37</f>
        <v>0.52361111111111103</v>
      </c>
      <c r="X37" s="73">
        <f>S38</f>
        <v>0.5659722222222221</v>
      </c>
      <c r="Y37" s="510"/>
      <c r="Z37" s="510"/>
      <c r="AA37" s="66">
        <f t="shared" si="8"/>
        <v>-120.00000000000091</v>
      </c>
      <c r="AB37" s="117">
        <f t="shared" si="9"/>
        <v>0.94999999999999962</v>
      </c>
      <c r="AC37" s="511"/>
    </row>
    <row r="38" spans="1:29">
      <c r="A38" s="532" t="s">
        <v>416</v>
      </c>
      <c r="B38" s="62" t="s">
        <v>16</v>
      </c>
      <c r="C38" s="512" t="s">
        <v>33</v>
      </c>
      <c r="D38" s="512"/>
      <c r="E38" s="62">
        <v>24.43</v>
      </c>
      <c r="F38" s="80">
        <v>5512</v>
      </c>
      <c r="G38" s="114">
        <f t="shared" si="27"/>
        <v>134658.16</v>
      </c>
      <c r="H38" s="90" t="s">
        <v>5</v>
      </c>
      <c r="I38" s="121">
        <v>14</v>
      </c>
      <c r="J38" s="63">
        <v>2400</v>
      </c>
      <c r="K38" s="64">
        <f t="shared" si="1"/>
        <v>171.42857142857142</v>
      </c>
      <c r="L38" s="121">
        <v>14</v>
      </c>
      <c r="M38" s="65">
        <f t="shared" si="28"/>
        <v>2296.666666666667</v>
      </c>
      <c r="N38" s="64">
        <f t="shared" si="3"/>
        <v>164.04761904761907</v>
      </c>
      <c r="O38" s="66">
        <f t="shared" si="4"/>
        <v>0</v>
      </c>
      <c r="P38" s="67">
        <f t="shared" si="5"/>
        <v>-7.3809523809523512</v>
      </c>
      <c r="Q38" s="117">
        <f t="shared" si="6"/>
        <v>0.9569444444444446</v>
      </c>
      <c r="R38" s="511"/>
      <c r="S38" s="68">
        <v>0.5659722222222221</v>
      </c>
      <c r="T38" s="68">
        <v>0.66597222222222208</v>
      </c>
      <c r="U38" s="114">
        <f t="shared" si="30"/>
        <v>60.999999999999943</v>
      </c>
      <c r="V38" s="122">
        <f t="shared" si="29"/>
        <v>143.99999999999997</v>
      </c>
      <c r="W38" s="69"/>
      <c r="X38" s="69"/>
      <c r="Y38" s="510"/>
      <c r="Z38" s="510"/>
      <c r="AA38" s="66">
        <f t="shared" si="8"/>
        <v>-103.33333333333303</v>
      </c>
      <c r="AB38" s="117">
        <f t="shared" si="9"/>
        <v>0.9569444444444446</v>
      </c>
      <c r="AC38" s="511"/>
    </row>
    <row r="39" spans="1:29">
      <c r="A39" s="532" t="s">
        <v>416</v>
      </c>
      <c r="B39" s="62" t="s">
        <v>16</v>
      </c>
      <c r="C39" s="512" t="s">
        <v>31</v>
      </c>
      <c r="D39" s="512"/>
      <c r="E39" s="62">
        <v>26.2</v>
      </c>
      <c r="F39" s="80">
        <v>3229</v>
      </c>
      <c r="G39" s="114">
        <f t="shared" si="27"/>
        <v>84599.8</v>
      </c>
      <c r="H39" s="90" t="s">
        <v>5</v>
      </c>
      <c r="I39" s="121">
        <v>18</v>
      </c>
      <c r="J39" s="63">
        <v>2400</v>
      </c>
      <c r="K39" s="64">
        <f t="shared" si="1"/>
        <v>133.33333333333334</v>
      </c>
      <c r="L39" s="121">
        <v>18</v>
      </c>
      <c r="M39" s="65">
        <f t="shared" si="28"/>
        <v>2306.4285714285706</v>
      </c>
      <c r="N39" s="64">
        <f t="shared" si="3"/>
        <v>128.1349206349206</v>
      </c>
      <c r="O39" s="66">
        <f t="shared" si="4"/>
        <v>0</v>
      </c>
      <c r="P39" s="67">
        <f t="shared" si="5"/>
        <v>-5.1984126984127386</v>
      </c>
      <c r="Q39" s="117">
        <f t="shared" si="6"/>
        <v>0.96101190476190446</v>
      </c>
      <c r="R39" s="511"/>
      <c r="S39" s="68">
        <v>0.67013888888888873</v>
      </c>
      <c r="T39" s="68">
        <v>0.72847222222222208</v>
      </c>
      <c r="U39" s="114">
        <f t="shared" si="30"/>
        <v>5.9999999999999787</v>
      </c>
      <c r="V39" s="122">
        <f t="shared" si="29"/>
        <v>84.000000000000028</v>
      </c>
      <c r="W39" s="69"/>
      <c r="X39" s="69"/>
      <c r="Y39" s="517"/>
      <c r="Z39" s="518"/>
      <c r="AA39" s="66">
        <f t="shared" si="8"/>
        <v>-93.571428571429351</v>
      </c>
      <c r="AB39" s="117">
        <f t="shared" si="9"/>
        <v>0.96101190476190446</v>
      </c>
      <c r="AC39" s="511"/>
    </row>
    <row r="40" spans="1:29">
      <c r="A40" s="532" t="s">
        <v>416</v>
      </c>
      <c r="B40" s="62" t="s">
        <v>16</v>
      </c>
      <c r="C40" s="512" t="s">
        <v>32</v>
      </c>
      <c r="D40" s="512"/>
      <c r="E40" s="62">
        <v>26.39</v>
      </c>
      <c r="F40" s="80">
        <v>2941</v>
      </c>
      <c r="G40" s="114">
        <f t="shared" si="27"/>
        <v>77612.990000000005</v>
      </c>
      <c r="H40" s="90" t="s">
        <v>5</v>
      </c>
      <c r="I40" s="121">
        <v>19</v>
      </c>
      <c r="J40" s="63">
        <v>2400</v>
      </c>
      <c r="K40" s="64">
        <f t="shared" si="1"/>
        <v>126.31578947368421</v>
      </c>
      <c r="L40" s="121">
        <v>19</v>
      </c>
      <c r="M40" s="65">
        <f t="shared" si="28"/>
        <v>2291.6883116883105</v>
      </c>
      <c r="N40" s="64">
        <f t="shared" si="3"/>
        <v>120.61517429938476</v>
      </c>
      <c r="O40" s="66">
        <f t="shared" si="4"/>
        <v>0</v>
      </c>
      <c r="P40" s="67">
        <f t="shared" si="5"/>
        <v>-5.7006151742994433</v>
      </c>
      <c r="Q40" s="117">
        <f t="shared" si="6"/>
        <v>0.95487012987012942</v>
      </c>
      <c r="R40" s="511"/>
      <c r="S40" s="68">
        <v>0.73194444444444429</v>
      </c>
      <c r="T40" s="68">
        <v>0.78541666666666654</v>
      </c>
      <c r="U40" s="114">
        <f t="shared" si="30"/>
        <v>4.9999999999999822</v>
      </c>
      <c r="V40" s="122">
        <f t="shared" si="29"/>
        <v>77.000000000000043</v>
      </c>
      <c r="W40" s="69"/>
      <c r="X40" s="69"/>
      <c r="Y40" s="517"/>
      <c r="Z40" s="518"/>
      <c r="AA40" s="66">
        <f t="shared" si="8"/>
        <v>-108.31168831168952</v>
      </c>
      <c r="AB40" s="117">
        <f t="shared" si="9"/>
        <v>0.95487012987012931</v>
      </c>
      <c r="AC40" s="511"/>
    </row>
    <row r="41" spans="1:29">
      <c r="A41" s="532" t="s">
        <v>416</v>
      </c>
      <c r="B41" s="71" t="s">
        <v>411</v>
      </c>
      <c r="C41" s="513"/>
      <c r="D41" s="513"/>
      <c r="E41" s="118"/>
      <c r="F41" s="71"/>
      <c r="G41" s="64"/>
      <c r="H41" s="80"/>
      <c r="I41" s="72">
        <v>17</v>
      </c>
      <c r="J41" s="63">
        <v>2400</v>
      </c>
      <c r="K41" s="64">
        <f t="shared" si="1"/>
        <v>141.1764705882353</v>
      </c>
      <c r="L41" s="72">
        <v>17</v>
      </c>
      <c r="M41" s="65">
        <f>AVERAGE(M33:M40)</f>
        <v>2294.8142765525213</v>
      </c>
      <c r="N41" s="64">
        <f t="shared" si="3"/>
        <v>134.98907509132479</v>
      </c>
      <c r="O41" s="66">
        <f t="shared" si="4"/>
        <v>0</v>
      </c>
      <c r="P41" s="67">
        <f t="shared" si="5"/>
        <v>-6.1873954969105114</v>
      </c>
      <c r="Q41" s="117">
        <f t="shared" si="6"/>
        <v>0.95617261523021724</v>
      </c>
      <c r="R41" s="511"/>
      <c r="S41" s="68"/>
      <c r="T41" s="68"/>
      <c r="U41" s="64"/>
      <c r="V41" s="122"/>
      <c r="W41" s="64"/>
      <c r="X41" s="64"/>
      <c r="Y41" s="510"/>
      <c r="Z41" s="510"/>
      <c r="AA41" s="66">
        <f t="shared" si="8"/>
        <v>-105.18572344747872</v>
      </c>
      <c r="AB41" s="117">
        <f t="shared" si="9"/>
        <v>0.95617261523021724</v>
      </c>
      <c r="AC41" s="511"/>
    </row>
    <row r="42" spans="1:29" ht="15.75" customHeight="1">
      <c r="A42" s="525" t="s">
        <v>417</v>
      </c>
      <c r="B42" s="62" t="s">
        <v>35</v>
      </c>
      <c r="C42" s="521" t="s">
        <v>36</v>
      </c>
      <c r="D42" s="522"/>
      <c r="E42" s="62">
        <v>21.13</v>
      </c>
      <c r="F42" s="80">
        <v>3300</v>
      </c>
      <c r="G42" s="114">
        <f t="shared" ref="G42:G52" si="31">E42*F42</f>
        <v>69729</v>
      </c>
      <c r="H42" s="90">
        <v>2</v>
      </c>
      <c r="I42" s="121">
        <v>10</v>
      </c>
      <c r="J42" s="63">
        <v>3000</v>
      </c>
      <c r="K42" s="64">
        <f t="shared" si="1"/>
        <v>300</v>
      </c>
      <c r="L42" s="121">
        <v>10</v>
      </c>
      <c r="M42" s="65">
        <f t="shared" ref="M42:M52" si="32">F42/V42*60</f>
        <v>2869.5652173913045</v>
      </c>
      <c r="N42" s="65">
        <f t="shared" si="3"/>
        <v>286.95652173913044</v>
      </c>
      <c r="O42" s="66">
        <f t="shared" si="4"/>
        <v>0</v>
      </c>
      <c r="P42" s="67">
        <f t="shared" si="5"/>
        <v>-13.043478260869563</v>
      </c>
      <c r="Q42" s="117">
        <f t="shared" si="6"/>
        <v>0.95652173913043481</v>
      </c>
      <c r="R42" s="528">
        <f>Q53</f>
        <v>0.95898903722302054</v>
      </c>
      <c r="S42" s="68">
        <v>0.125</v>
      </c>
      <c r="T42" s="68">
        <v>0.17291666666666666</v>
      </c>
      <c r="U42" s="73"/>
      <c r="V42" s="122">
        <f t="shared" ref="V42:V52" si="33">(T42-S42)*24*60</f>
        <v>69</v>
      </c>
      <c r="W42" s="69">
        <f>T42</f>
        <v>0.17291666666666666</v>
      </c>
      <c r="X42" s="69">
        <f>S43</f>
        <v>0.19305555555555556</v>
      </c>
      <c r="Y42" s="517"/>
      <c r="Z42" s="518"/>
      <c r="AA42" s="66">
        <f t="shared" si="8"/>
        <v>-130.43478260869551</v>
      </c>
      <c r="AB42" s="117">
        <f t="shared" si="9"/>
        <v>0.95652173913043481</v>
      </c>
      <c r="AC42" s="528">
        <f>AB53</f>
        <v>0.95898903722302065</v>
      </c>
    </row>
    <row r="43" spans="1:29" ht="15.75" customHeight="1">
      <c r="A43" s="526" t="s">
        <v>417</v>
      </c>
      <c r="B43" s="62" t="s">
        <v>35</v>
      </c>
      <c r="C43" s="521" t="s">
        <v>37</v>
      </c>
      <c r="D43" s="522"/>
      <c r="E43" s="62">
        <v>27.17</v>
      </c>
      <c r="F43" s="80">
        <v>4100</v>
      </c>
      <c r="G43" s="114">
        <f t="shared" si="31"/>
        <v>111397</v>
      </c>
      <c r="H43" s="90">
        <v>2</v>
      </c>
      <c r="I43" s="121">
        <v>10</v>
      </c>
      <c r="J43" s="63">
        <v>3000</v>
      </c>
      <c r="K43" s="64">
        <f t="shared" si="1"/>
        <v>300</v>
      </c>
      <c r="L43" s="121">
        <v>10</v>
      </c>
      <c r="M43" s="65">
        <f t="shared" si="32"/>
        <v>2860.4651162790706</v>
      </c>
      <c r="N43" s="65">
        <f t="shared" si="3"/>
        <v>286.04651162790708</v>
      </c>
      <c r="O43" s="66">
        <f t="shared" si="4"/>
        <v>0</v>
      </c>
      <c r="P43" s="67">
        <f t="shared" si="5"/>
        <v>-13.95348837209292</v>
      </c>
      <c r="Q43" s="117">
        <f t="shared" si="6"/>
        <v>0.95348837209302362</v>
      </c>
      <c r="R43" s="529"/>
      <c r="S43" s="68">
        <v>0.19305555555555556</v>
      </c>
      <c r="T43" s="68">
        <v>0.25277777777777777</v>
      </c>
      <c r="U43" s="114">
        <f t="shared" ref="U43:U52" si="34">(S43-T42)*24*60</f>
        <v>29.000000000000018</v>
      </c>
      <c r="V43" s="122">
        <f t="shared" si="33"/>
        <v>85.999999999999972</v>
      </c>
      <c r="W43" s="69"/>
      <c r="X43" s="69"/>
      <c r="Y43" s="517"/>
      <c r="Z43" s="518"/>
      <c r="AA43" s="66">
        <f t="shared" si="8"/>
        <v>-139.53488372092943</v>
      </c>
      <c r="AB43" s="117">
        <f t="shared" si="9"/>
        <v>0.95348837209302351</v>
      </c>
      <c r="AC43" s="529"/>
    </row>
    <row r="44" spans="1:29" ht="15.75" customHeight="1">
      <c r="A44" s="526" t="s">
        <v>417</v>
      </c>
      <c r="B44" s="62" t="s">
        <v>35</v>
      </c>
      <c r="C44" s="521" t="s">
        <v>38</v>
      </c>
      <c r="D44" s="522"/>
      <c r="E44" s="62">
        <v>35.119999999999997</v>
      </c>
      <c r="F44" s="80">
        <v>3000</v>
      </c>
      <c r="G44" s="114">
        <f t="shared" si="31"/>
        <v>105359.99999999999</v>
      </c>
      <c r="H44" s="90">
        <v>2</v>
      </c>
      <c r="I44" s="121">
        <v>10</v>
      </c>
      <c r="J44" s="63">
        <v>3000</v>
      </c>
      <c r="K44" s="64">
        <f t="shared" si="1"/>
        <v>300</v>
      </c>
      <c r="L44" s="121">
        <v>10</v>
      </c>
      <c r="M44" s="65">
        <f t="shared" si="32"/>
        <v>2857.1428571428564</v>
      </c>
      <c r="N44" s="65">
        <f t="shared" si="3"/>
        <v>285.71428571428567</v>
      </c>
      <c r="O44" s="66">
        <f t="shared" si="4"/>
        <v>0</v>
      </c>
      <c r="P44" s="67">
        <f t="shared" si="5"/>
        <v>-14.285714285714334</v>
      </c>
      <c r="Q44" s="117">
        <f t="shared" si="6"/>
        <v>0.95238095238095222</v>
      </c>
      <c r="R44" s="529"/>
      <c r="S44" s="68">
        <v>0.25763888888888886</v>
      </c>
      <c r="T44" s="68">
        <v>0.30138888888888887</v>
      </c>
      <c r="U44" s="114">
        <f t="shared" si="34"/>
        <v>6.9999999999999751</v>
      </c>
      <c r="V44" s="122">
        <f t="shared" si="33"/>
        <v>63.000000000000014</v>
      </c>
      <c r="W44" s="69"/>
      <c r="X44" s="69"/>
      <c r="Y44" s="517"/>
      <c r="Z44" s="518"/>
      <c r="AA44" s="66">
        <f t="shared" si="8"/>
        <v>-142.85714285714357</v>
      </c>
      <c r="AB44" s="117">
        <f t="shared" si="9"/>
        <v>0.95238095238095211</v>
      </c>
      <c r="AC44" s="529"/>
    </row>
    <row r="45" spans="1:29" ht="15.75" customHeight="1">
      <c r="A45" s="526" t="s">
        <v>417</v>
      </c>
      <c r="B45" s="62" t="s">
        <v>35</v>
      </c>
      <c r="C45" s="521" t="s">
        <v>39</v>
      </c>
      <c r="D45" s="522"/>
      <c r="E45" s="62">
        <v>35.869999999999997</v>
      </c>
      <c r="F45" s="80">
        <v>3002</v>
      </c>
      <c r="G45" s="114">
        <f t="shared" si="31"/>
        <v>107681.73999999999</v>
      </c>
      <c r="H45" s="90" t="s">
        <v>5</v>
      </c>
      <c r="I45" s="121">
        <v>9</v>
      </c>
      <c r="J45" s="63">
        <v>3000</v>
      </c>
      <c r="K45" s="64">
        <f t="shared" si="1"/>
        <v>333.33333333333331</v>
      </c>
      <c r="L45" s="121">
        <v>9</v>
      </c>
      <c r="M45" s="65">
        <f t="shared" si="32"/>
        <v>2859.0476190476184</v>
      </c>
      <c r="N45" s="65">
        <f t="shared" si="3"/>
        <v>317.67195767195761</v>
      </c>
      <c r="O45" s="66">
        <f t="shared" si="4"/>
        <v>0</v>
      </c>
      <c r="P45" s="67">
        <f t="shared" si="5"/>
        <v>-15.6613756613757</v>
      </c>
      <c r="Q45" s="117">
        <f t="shared" si="6"/>
        <v>0.95301587301587287</v>
      </c>
      <c r="R45" s="529"/>
      <c r="S45" s="68">
        <v>0.30624999999999997</v>
      </c>
      <c r="T45" s="68">
        <v>0.35</v>
      </c>
      <c r="U45" s="114">
        <f t="shared" si="34"/>
        <v>6.9999999999999751</v>
      </c>
      <c r="V45" s="122">
        <f t="shared" si="33"/>
        <v>63.000000000000014</v>
      </c>
      <c r="W45" s="69"/>
      <c r="X45" s="69"/>
      <c r="Y45" s="517"/>
      <c r="Z45" s="518"/>
      <c r="AA45" s="66">
        <f t="shared" si="8"/>
        <v>-140.95238095238165</v>
      </c>
      <c r="AB45" s="117">
        <f t="shared" si="9"/>
        <v>0.95301587301587276</v>
      </c>
      <c r="AC45" s="529"/>
    </row>
    <row r="46" spans="1:29" ht="15.75" customHeight="1">
      <c r="A46" s="526" t="s">
        <v>417</v>
      </c>
      <c r="B46" s="62" t="s">
        <v>35</v>
      </c>
      <c r="C46" s="521" t="s">
        <v>40</v>
      </c>
      <c r="D46" s="522"/>
      <c r="E46" s="62">
        <v>36.14</v>
      </c>
      <c r="F46" s="80">
        <v>1545</v>
      </c>
      <c r="G46" s="114">
        <f t="shared" si="31"/>
        <v>55836.3</v>
      </c>
      <c r="H46" s="90" t="s">
        <v>5</v>
      </c>
      <c r="I46" s="121">
        <v>9</v>
      </c>
      <c r="J46" s="63">
        <v>3000</v>
      </c>
      <c r="K46" s="64">
        <f t="shared" si="1"/>
        <v>333.33333333333331</v>
      </c>
      <c r="L46" s="121">
        <v>9</v>
      </c>
      <c r="M46" s="65">
        <f t="shared" si="32"/>
        <v>2896.8750000000036</v>
      </c>
      <c r="N46" s="65">
        <f t="shared" si="3"/>
        <v>321.8750000000004</v>
      </c>
      <c r="O46" s="66">
        <f t="shared" si="4"/>
        <v>0</v>
      </c>
      <c r="P46" s="67">
        <f t="shared" si="5"/>
        <v>-11.458333333332916</v>
      </c>
      <c r="Q46" s="117">
        <f t="shared" si="6"/>
        <v>0.96562500000000129</v>
      </c>
      <c r="R46" s="529"/>
      <c r="S46" s="68">
        <v>0.35347222222222219</v>
      </c>
      <c r="T46" s="68">
        <v>0.37569444444444439</v>
      </c>
      <c r="U46" s="114">
        <f t="shared" si="34"/>
        <v>4.9999999999999822</v>
      </c>
      <c r="V46" s="122">
        <f t="shared" si="33"/>
        <v>31.999999999999964</v>
      </c>
      <c r="W46" s="69"/>
      <c r="X46" s="69"/>
      <c r="Y46" s="517"/>
      <c r="Z46" s="518"/>
      <c r="AA46" s="66">
        <f t="shared" si="8"/>
        <v>-103.12499999999636</v>
      </c>
      <c r="AB46" s="117">
        <f t="shared" si="9"/>
        <v>0.96562500000000118</v>
      </c>
      <c r="AC46" s="529"/>
    </row>
    <row r="47" spans="1:29" ht="15.75" customHeight="1">
      <c r="A47" s="526" t="s">
        <v>417</v>
      </c>
      <c r="B47" s="62" t="s">
        <v>35</v>
      </c>
      <c r="C47" s="521" t="s">
        <v>74</v>
      </c>
      <c r="D47" s="522"/>
      <c r="E47" s="62">
        <v>34.36</v>
      </c>
      <c r="F47" s="80">
        <v>2990</v>
      </c>
      <c r="G47" s="114">
        <f t="shared" si="31"/>
        <v>102736.4</v>
      </c>
      <c r="H47" s="90" t="s">
        <v>5</v>
      </c>
      <c r="I47" s="121">
        <v>10</v>
      </c>
      <c r="J47" s="63">
        <v>3000</v>
      </c>
      <c r="K47" s="64">
        <f t="shared" si="1"/>
        <v>300</v>
      </c>
      <c r="L47" s="121">
        <v>10</v>
      </c>
      <c r="M47" s="65">
        <f t="shared" si="32"/>
        <v>2893.5483870967732</v>
      </c>
      <c r="N47" s="65">
        <f t="shared" si="3"/>
        <v>289.35483870967732</v>
      </c>
      <c r="O47" s="66">
        <f t="shared" si="4"/>
        <v>0</v>
      </c>
      <c r="P47" s="67">
        <f t="shared" si="5"/>
        <v>-10.645161290322676</v>
      </c>
      <c r="Q47" s="117">
        <f t="shared" si="6"/>
        <v>0.9645161290322577</v>
      </c>
      <c r="R47" s="529"/>
      <c r="S47" s="68">
        <v>0.3791666666666666</v>
      </c>
      <c r="T47" s="68">
        <v>0.42222222222222217</v>
      </c>
      <c r="U47" s="114">
        <f t="shared" si="34"/>
        <v>4.9999999999999822</v>
      </c>
      <c r="V47" s="122">
        <f t="shared" si="33"/>
        <v>62.000000000000021</v>
      </c>
      <c r="W47" s="69"/>
      <c r="X47" s="69"/>
      <c r="Y47" s="517"/>
      <c r="Z47" s="518"/>
      <c r="AA47" s="66">
        <f t="shared" si="8"/>
        <v>-106.45161290322676</v>
      </c>
      <c r="AB47" s="117">
        <f t="shared" si="9"/>
        <v>0.9645161290322577</v>
      </c>
      <c r="AC47" s="529"/>
    </row>
    <row r="48" spans="1:29" ht="15.75" customHeight="1">
      <c r="A48" s="526" t="s">
        <v>417</v>
      </c>
      <c r="B48" s="62" t="s">
        <v>35</v>
      </c>
      <c r="C48" s="521" t="s">
        <v>84</v>
      </c>
      <c r="D48" s="522"/>
      <c r="E48" s="62">
        <v>31</v>
      </c>
      <c r="F48" s="80">
        <v>4000</v>
      </c>
      <c r="G48" s="114">
        <f t="shared" si="31"/>
        <v>124000</v>
      </c>
      <c r="H48" s="90">
        <v>2</v>
      </c>
      <c r="I48" s="121">
        <v>13</v>
      </c>
      <c r="J48" s="63">
        <v>2000</v>
      </c>
      <c r="K48" s="64">
        <f t="shared" si="1"/>
        <v>153.84615384615384</v>
      </c>
      <c r="L48" s="121">
        <v>13</v>
      </c>
      <c r="M48" s="65">
        <f t="shared" si="32"/>
        <v>1904.7619047619044</v>
      </c>
      <c r="N48" s="65">
        <f t="shared" si="3"/>
        <v>146.52014652014648</v>
      </c>
      <c r="O48" s="66">
        <f t="shared" si="4"/>
        <v>0</v>
      </c>
      <c r="P48" s="67">
        <f t="shared" si="5"/>
        <v>-7.3260073260073568</v>
      </c>
      <c r="Q48" s="117">
        <f t="shared" si="6"/>
        <v>0.95238095238095222</v>
      </c>
      <c r="R48" s="529"/>
      <c r="S48" s="68">
        <v>0.42569444444444438</v>
      </c>
      <c r="T48" s="68">
        <v>0.5131944444444444</v>
      </c>
      <c r="U48" s="114">
        <f t="shared" si="34"/>
        <v>4.9999999999999822</v>
      </c>
      <c r="V48" s="122">
        <f t="shared" si="33"/>
        <v>126.00000000000003</v>
      </c>
      <c r="W48" s="69">
        <f>T48</f>
        <v>0.5131944444444444</v>
      </c>
      <c r="X48" s="69">
        <f>S49</f>
        <v>0.55416666666666659</v>
      </c>
      <c r="Y48" s="517"/>
      <c r="Z48" s="518"/>
      <c r="AA48" s="66">
        <f t="shared" si="8"/>
        <v>-95.238095238095639</v>
      </c>
      <c r="AB48" s="117">
        <f t="shared" si="9"/>
        <v>0.95238095238095222</v>
      </c>
      <c r="AC48" s="529"/>
    </row>
    <row r="49" spans="1:29" ht="15.75" customHeight="1">
      <c r="A49" s="526" t="s">
        <v>417</v>
      </c>
      <c r="B49" s="62" t="s">
        <v>35</v>
      </c>
      <c r="C49" s="521" t="s">
        <v>84</v>
      </c>
      <c r="D49" s="522"/>
      <c r="E49" s="62">
        <v>31</v>
      </c>
      <c r="F49" s="80">
        <v>4604</v>
      </c>
      <c r="G49" s="114">
        <f t="shared" si="31"/>
        <v>142724</v>
      </c>
      <c r="H49" s="90" t="s">
        <v>5</v>
      </c>
      <c r="I49" s="121">
        <v>13</v>
      </c>
      <c r="J49" s="63">
        <v>2000</v>
      </c>
      <c r="K49" s="64">
        <f t="shared" si="1"/>
        <v>153.84615384615384</v>
      </c>
      <c r="L49" s="121">
        <v>13</v>
      </c>
      <c r="M49" s="65">
        <f t="shared" si="32"/>
        <v>1905.1034482758625</v>
      </c>
      <c r="N49" s="65">
        <f t="shared" si="3"/>
        <v>146.54641909814328</v>
      </c>
      <c r="O49" s="66">
        <f t="shared" si="4"/>
        <v>0</v>
      </c>
      <c r="P49" s="67">
        <f t="shared" si="5"/>
        <v>-7.2997347480105645</v>
      </c>
      <c r="Q49" s="117">
        <f t="shared" si="6"/>
        <v>0.95255172413793132</v>
      </c>
      <c r="R49" s="529"/>
      <c r="S49" s="68">
        <v>0.55416666666666659</v>
      </c>
      <c r="T49" s="68">
        <v>0.65486111111111101</v>
      </c>
      <c r="U49" s="114">
        <f t="shared" si="34"/>
        <v>58.99999999999995</v>
      </c>
      <c r="V49" s="122">
        <f t="shared" si="33"/>
        <v>144.99999999999997</v>
      </c>
      <c r="W49" s="69"/>
      <c r="X49" s="69"/>
      <c r="Y49" s="517"/>
      <c r="Z49" s="518"/>
      <c r="AA49" s="66">
        <f t="shared" si="8"/>
        <v>-94.896551724137453</v>
      </c>
      <c r="AB49" s="117">
        <f t="shared" si="9"/>
        <v>0.95255172413793132</v>
      </c>
      <c r="AC49" s="529"/>
    </row>
    <row r="50" spans="1:29" ht="15.75" customHeight="1">
      <c r="A50" s="526" t="s">
        <v>417</v>
      </c>
      <c r="B50" s="62" t="s">
        <v>35</v>
      </c>
      <c r="C50" s="521" t="s">
        <v>37</v>
      </c>
      <c r="D50" s="522"/>
      <c r="E50" s="62">
        <v>27.17</v>
      </c>
      <c r="F50" s="80">
        <v>2911</v>
      </c>
      <c r="G50" s="114">
        <f t="shared" si="31"/>
        <v>79091.87000000001</v>
      </c>
      <c r="H50" s="90" t="s">
        <v>5</v>
      </c>
      <c r="I50" s="121">
        <v>10</v>
      </c>
      <c r="J50" s="63">
        <v>3000</v>
      </c>
      <c r="K50" s="64">
        <f t="shared" si="1"/>
        <v>300</v>
      </c>
      <c r="L50" s="121">
        <v>10</v>
      </c>
      <c r="M50" s="65">
        <f t="shared" si="32"/>
        <v>2863.2786885245932</v>
      </c>
      <c r="N50" s="65">
        <f t="shared" si="3"/>
        <v>286.32786885245935</v>
      </c>
      <c r="O50" s="66">
        <f t="shared" si="4"/>
        <v>0</v>
      </c>
      <c r="P50" s="67">
        <f t="shared" si="5"/>
        <v>-13.672131147540654</v>
      </c>
      <c r="Q50" s="117">
        <f t="shared" si="6"/>
        <v>0.95442622950819778</v>
      </c>
      <c r="R50" s="529"/>
      <c r="S50" s="68">
        <v>0.66041666666666654</v>
      </c>
      <c r="T50" s="68">
        <v>0.70277777777777761</v>
      </c>
      <c r="U50" s="114">
        <f t="shared" si="34"/>
        <v>7.9999999999999716</v>
      </c>
      <c r="V50" s="122">
        <f t="shared" si="33"/>
        <v>60.999999999999943</v>
      </c>
      <c r="W50" s="69"/>
      <c r="X50" s="69"/>
      <c r="Y50" s="517"/>
      <c r="Z50" s="518"/>
      <c r="AA50" s="66">
        <f t="shared" si="8"/>
        <v>-136.72131147540676</v>
      </c>
      <c r="AB50" s="117">
        <f t="shared" si="9"/>
        <v>0.95442622950819778</v>
      </c>
      <c r="AC50" s="529"/>
    </row>
    <row r="51" spans="1:29" ht="15.75" customHeight="1">
      <c r="A51" s="526" t="s">
        <v>417</v>
      </c>
      <c r="B51" s="62" t="s">
        <v>35</v>
      </c>
      <c r="C51" s="521" t="s">
        <v>36</v>
      </c>
      <c r="D51" s="522"/>
      <c r="E51" s="62">
        <v>21.13</v>
      </c>
      <c r="F51" s="80">
        <v>2232</v>
      </c>
      <c r="G51" s="114">
        <f t="shared" si="31"/>
        <v>47162.159999999996</v>
      </c>
      <c r="H51" s="90" t="s">
        <v>5</v>
      </c>
      <c r="I51" s="121">
        <v>10</v>
      </c>
      <c r="J51" s="63">
        <v>3000</v>
      </c>
      <c r="K51" s="64">
        <f t="shared" si="1"/>
        <v>300</v>
      </c>
      <c r="L51" s="121">
        <v>10</v>
      </c>
      <c r="M51" s="65">
        <f t="shared" si="32"/>
        <v>2911.304347826087</v>
      </c>
      <c r="N51" s="65">
        <f t="shared" si="3"/>
        <v>291.13043478260869</v>
      </c>
      <c r="O51" s="66">
        <f t="shared" si="4"/>
        <v>0</v>
      </c>
      <c r="P51" s="67">
        <f t="shared" si="5"/>
        <v>-8.8695652173913118</v>
      </c>
      <c r="Q51" s="117">
        <f t="shared" si="6"/>
        <v>0.97043478260869565</v>
      </c>
      <c r="R51" s="529"/>
      <c r="S51" s="68">
        <v>0.70624999999999982</v>
      </c>
      <c r="T51" s="68">
        <v>0.73819444444444426</v>
      </c>
      <c r="U51" s="114">
        <f t="shared" si="34"/>
        <v>4.9999999999999822</v>
      </c>
      <c r="V51" s="122">
        <f t="shared" si="33"/>
        <v>46</v>
      </c>
      <c r="W51" s="69"/>
      <c r="X51" s="69"/>
      <c r="Y51" s="517"/>
      <c r="Z51" s="518"/>
      <c r="AA51" s="66">
        <f t="shared" si="8"/>
        <v>-88.695652173913004</v>
      </c>
      <c r="AB51" s="117">
        <f t="shared" si="9"/>
        <v>0.97043478260869565</v>
      </c>
      <c r="AC51" s="529"/>
    </row>
    <row r="52" spans="1:29" ht="15.75" customHeight="1">
      <c r="A52" s="526" t="s">
        <v>417</v>
      </c>
      <c r="B52" s="62" t="s">
        <v>35</v>
      </c>
      <c r="C52" s="521" t="s">
        <v>38</v>
      </c>
      <c r="D52" s="522"/>
      <c r="E52" s="62">
        <v>35.119999999999997</v>
      </c>
      <c r="F52" s="80">
        <v>1793</v>
      </c>
      <c r="G52" s="114">
        <f t="shared" si="31"/>
        <v>62970.159999999996</v>
      </c>
      <c r="H52" s="90" t="s">
        <v>5</v>
      </c>
      <c r="I52" s="121">
        <v>10</v>
      </c>
      <c r="J52" s="63">
        <v>3000</v>
      </c>
      <c r="K52" s="64">
        <f t="shared" si="1"/>
        <v>300</v>
      </c>
      <c r="L52" s="121">
        <v>10</v>
      </c>
      <c r="M52" s="65">
        <f t="shared" si="32"/>
        <v>2907.5675675675657</v>
      </c>
      <c r="N52" s="65">
        <f t="shared" si="3"/>
        <v>290.75675675675654</v>
      </c>
      <c r="O52" s="66">
        <f t="shared" si="4"/>
        <v>0</v>
      </c>
      <c r="P52" s="67">
        <f t="shared" si="5"/>
        <v>-9.2432432432434553</v>
      </c>
      <c r="Q52" s="117">
        <f t="shared" si="6"/>
        <v>0.9691891891891885</v>
      </c>
      <c r="R52" s="529"/>
      <c r="S52" s="68">
        <v>0.74236111111111092</v>
      </c>
      <c r="T52" s="68">
        <v>0.76805555555555538</v>
      </c>
      <c r="U52" s="114">
        <f t="shared" si="34"/>
        <v>5.9999999999999787</v>
      </c>
      <c r="V52" s="122">
        <f t="shared" si="33"/>
        <v>37.000000000000028</v>
      </c>
      <c r="W52" s="69"/>
      <c r="X52" s="69"/>
      <c r="Y52" s="517"/>
      <c r="Z52" s="518"/>
      <c r="AA52" s="66">
        <f t="shared" si="8"/>
        <v>-92.432432432434325</v>
      </c>
      <c r="AB52" s="117">
        <f t="shared" si="9"/>
        <v>0.9691891891891885</v>
      </c>
      <c r="AC52" s="529"/>
    </row>
    <row r="53" spans="1:29" ht="15.75" customHeight="1">
      <c r="A53" s="527" t="s">
        <v>417</v>
      </c>
      <c r="B53" s="62" t="s">
        <v>411</v>
      </c>
      <c r="C53" s="508"/>
      <c r="D53" s="509"/>
      <c r="E53" s="113"/>
      <c r="F53" s="80"/>
      <c r="G53" s="114"/>
      <c r="H53" s="80"/>
      <c r="I53" s="72">
        <v>10.363636363636363</v>
      </c>
      <c r="J53" s="63">
        <v>2818.181818181818</v>
      </c>
      <c r="K53" s="64">
        <f t="shared" si="1"/>
        <v>271.92982456140351</v>
      </c>
      <c r="L53" s="72">
        <v>10.363636363636363</v>
      </c>
      <c r="M53" s="65">
        <f>AVERAGE(M42:M52)</f>
        <v>2702.6054685376034</v>
      </c>
      <c r="N53" s="64">
        <f t="shared" si="3"/>
        <v>260.77772064836523</v>
      </c>
      <c r="O53" s="66">
        <f t="shared" si="4"/>
        <v>0</v>
      </c>
      <c r="P53" s="67">
        <f t="shared" si="5"/>
        <v>-11.152103913038275</v>
      </c>
      <c r="Q53" s="117">
        <f t="shared" si="6"/>
        <v>0.95898903722302054</v>
      </c>
      <c r="R53" s="530"/>
      <c r="S53" s="68"/>
      <c r="T53" s="68"/>
      <c r="U53" s="114"/>
      <c r="V53" s="122"/>
      <c r="W53" s="69"/>
      <c r="X53" s="69"/>
      <c r="Y53" s="517"/>
      <c r="Z53" s="518"/>
      <c r="AA53" s="66">
        <f t="shared" si="8"/>
        <v>-115.57634964421459</v>
      </c>
      <c r="AB53" s="117">
        <f t="shared" si="9"/>
        <v>0.95898903722302065</v>
      </c>
      <c r="AC53" s="530"/>
    </row>
    <row r="54" spans="1:29" ht="15.75" customHeight="1">
      <c r="A54" s="523" t="s">
        <v>418</v>
      </c>
      <c r="B54" s="62" t="s">
        <v>10</v>
      </c>
      <c r="C54" s="512" t="s">
        <v>41</v>
      </c>
      <c r="D54" s="512"/>
      <c r="E54" s="62">
        <v>46</v>
      </c>
      <c r="F54" s="74">
        <v>2775</v>
      </c>
      <c r="G54" s="114">
        <f t="shared" ref="G54:G59" si="35">E54*F54</f>
        <v>127650</v>
      </c>
      <c r="H54" s="90" t="s">
        <v>5</v>
      </c>
      <c r="I54" s="121">
        <v>17</v>
      </c>
      <c r="J54" s="63">
        <v>2000</v>
      </c>
      <c r="K54" s="64">
        <f t="shared" si="1"/>
        <v>117.64705882352941</v>
      </c>
      <c r="L54" s="121">
        <v>17</v>
      </c>
      <c r="M54" s="65">
        <f t="shared" ref="M54:M59" si="36">F54/V54*60</f>
        <v>1913.7931034482765</v>
      </c>
      <c r="N54" s="65">
        <f t="shared" si="3"/>
        <v>112.57606490872215</v>
      </c>
      <c r="O54" s="66">
        <f t="shared" si="4"/>
        <v>0</v>
      </c>
      <c r="P54" s="67">
        <f t="shared" si="5"/>
        <v>-5.0709939148072607</v>
      </c>
      <c r="Q54" s="117">
        <f t="shared" si="6"/>
        <v>0.95689655172413823</v>
      </c>
      <c r="R54" s="511">
        <f>Q60</f>
        <v>0.9613951535370362</v>
      </c>
      <c r="S54" s="68">
        <v>0.20833333333333334</v>
      </c>
      <c r="T54" s="68">
        <v>0.26874999999999999</v>
      </c>
      <c r="U54" s="73"/>
      <c r="V54" s="122">
        <f t="shared" ref="V54:V59" si="37">(T54-S54)*24*60</f>
        <v>86.999999999999972</v>
      </c>
      <c r="W54" s="73"/>
      <c r="X54" s="73"/>
      <c r="Y54" s="510"/>
      <c r="Z54" s="510"/>
      <c r="AA54" s="66">
        <f t="shared" si="8"/>
        <v>-86.206896551723503</v>
      </c>
      <c r="AB54" s="117">
        <f t="shared" si="9"/>
        <v>0.95689655172413823</v>
      </c>
      <c r="AC54" s="511">
        <f>AB60</f>
        <v>0.9613951535370362</v>
      </c>
    </row>
    <row r="55" spans="1:29" ht="15.75" customHeight="1">
      <c r="A55" s="523" t="s">
        <v>418</v>
      </c>
      <c r="B55" s="62" t="s">
        <v>10</v>
      </c>
      <c r="C55" s="512" t="s">
        <v>42</v>
      </c>
      <c r="D55" s="512"/>
      <c r="E55" s="62">
        <v>46</v>
      </c>
      <c r="F55" s="74">
        <v>2886</v>
      </c>
      <c r="G55" s="114">
        <f t="shared" si="35"/>
        <v>132756</v>
      </c>
      <c r="H55" s="90" t="s">
        <v>5</v>
      </c>
      <c r="I55" s="121">
        <v>17</v>
      </c>
      <c r="J55" s="63">
        <v>2000</v>
      </c>
      <c r="K55" s="64">
        <f t="shared" si="1"/>
        <v>117.64705882352941</v>
      </c>
      <c r="L55" s="121">
        <v>17</v>
      </c>
      <c r="M55" s="65">
        <f t="shared" si="36"/>
        <v>1924.0000000000002</v>
      </c>
      <c r="N55" s="65">
        <f t="shared" si="3"/>
        <v>113.1764705882353</v>
      </c>
      <c r="O55" s="66">
        <f t="shared" si="4"/>
        <v>0</v>
      </c>
      <c r="P55" s="67">
        <f t="shared" si="5"/>
        <v>-4.4705882352941018</v>
      </c>
      <c r="Q55" s="117">
        <f t="shared" si="6"/>
        <v>0.96200000000000019</v>
      </c>
      <c r="R55" s="511"/>
      <c r="S55" s="68">
        <v>0.27291666666666664</v>
      </c>
      <c r="T55" s="68">
        <v>0.33541666666666664</v>
      </c>
      <c r="U55" s="114">
        <f t="shared" ref="U55:U59" si="38">IF(S55=TIME(17,0,0),"",(S55-T54)*24*60)</f>
        <v>5.9999999999999787</v>
      </c>
      <c r="V55" s="122">
        <f t="shared" si="37"/>
        <v>90</v>
      </c>
      <c r="W55" s="69"/>
      <c r="X55" s="69"/>
      <c r="Y55" s="510"/>
      <c r="Z55" s="510"/>
      <c r="AA55" s="66">
        <f t="shared" si="8"/>
        <v>-75.999999999999773</v>
      </c>
      <c r="AB55" s="117">
        <f t="shared" si="9"/>
        <v>0.96200000000000008</v>
      </c>
      <c r="AC55" s="511"/>
    </row>
    <row r="56" spans="1:29" ht="15.75" customHeight="1">
      <c r="A56" s="523" t="s">
        <v>418</v>
      </c>
      <c r="B56" s="62" t="s">
        <v>6</v>
      </c>
      <c r="C56" s="521" t="s">
        <v>43</v>
      </c>
      <c r="D56" s="522"/>
      <c r="E56" s="62">
        <v>55.56</v>
      </c>
      <c r="F56" s="74">
        <v>2451</v>
      </c>
      <c r="G56" s="114">
        <f t="shared" si="35"/>
        <v>136177.56</v>
      </c>
      <c r="H56" s="90" t="s">
        <v>5</v>
      </c>
      <c r="I56" s="121">
        <v>17</v>
      </c>
      <c r="J56" s="63">
        <v>2000</v>
      </c>
      <c r="K56" s="64">
        <f t="shared" si="1"/>
        <v>117.64705882352941</v>
      </c>
      <c r="L56" s="121">
        <v>17</v>
      </c>
      <c r="M56" s="65">
        <f t="shared" si="36"/>
        <v>1909.8701298701287</v>
      </c>
      <c r="N56" s="65">
        <f t="shared" si="3"/>
        <v>112.34530175706639</v>
      </c>
      <c r="O56" s="66">
        <f t="shared" si="4"/>
        <v>0</v>
      </c>
      <c r="P56" s="67">
        <f t="shared" si="5"/>
        <v>-5.3017570664630114</v>
      </c>
      <c r="Q56" s="117">
        <f t="shared" si="6"/>
        <v>0.95493506493506441</v>
      </c>
      <c r="R56" s="511"/>
      <c r="S56" s="68">
        <v>0.70833333333333337</v>
      </c>
      <c r="T56" s="68">
        <v>0.76180555555555562</v>
      </c>
      <c r="U56" s="114" t="str">
        <f t="shared" si="38"/>
        <v/>
      </c>
      <c r="V56" s="122">
        <f t="shared" si="37"/>
        <v>77.000000000000043</v>
      </c>
      <c r="W56" s="69"/>
      <c r="X56" s="69"/>
      <c r="Y56" s="115"/>
      <c r="Z56" s="116"/>
      <c r="AA56" s="66">
        <f t="shared" si="8"/>
        <v>-90.129870129871279</v>
      </c>
      <c r="AB56" s="117">
        <f t="shared" si="9"/>
        <v>0.95493506493506441</v>
      </c>
      <c r="AC56" s="511"/>
    </row>
    <row r="57" spans="1:29" ht="15.75" customHeight="1">
      <c r="A57" s="523" t="s">
        <v>418</v>
      </c>
      <c r="B57" s="62" t="s">
        <v>6</v>
      </c>
      <c r="C57" s="119" t="s">
        <v>44</v>
      </c>
      <c r="D57" s="120"/>
      <c r="E57" s="62">
        <v>55.32</v>
      </c>
      <c r="F57" s="74">
        <v>1897</v>
      </c>
      <c r="G57" s="114">
        <f t="shared" si="35"/>
        <v>104942.04</v>
      </c>
      <c r="H57" s="90" t="s">
        <v>5</v>
      </c>
      <c r="I57" s="121">
        <v>15</v>
      </c>
      <c r="J57" s="63">
        <v>2000</v>
      </c>
      <c r="K57" s="64">
        <f t="shared" si="1"/>
        <v>133.33333333333334</v>
      </c>
      <c r="L57" s="121">
        <v>15</v>
      </c>
      <c r="M57" s="65">
        <f t="shared" si="36"/>
        <v>1929.1525423728831</v>
      </c>
      <c r="N57" s="65">
        <f t="shared" si="3"/>
        <v>128.61016949152554</v>
      </c>
      <c r="O57" s="66">
        <f t="shared" si="4"/>
        <v>0</v>
      </c>
      <c r="P57" s="67">
        <f t="shared" si="5"/>
        <v>-4.7231638418078035</v>
      </c>
      <c r="Q57" s="117">
        <f t="shared" si="6"/>
        <v>0.96457627118644151</v>
      </c>
      <c r="R57" s="511"/>
      <c r="S57" s="68">
        <v>0.76527777777777783</v>
      </c>
      <c r="T57" s="68">
        <v>0.80625000000000002</v>
      </c>
      <c r="U57" s="114">
        <f t="shared" si="38"/>
        <v>4.9999999999999822</v>
      </c>
      <c r="V57" s="122">
        <f t="shared" si="37"/>
        <v>58.99999999999995</v>
      </c>
      <c r="W57" s="69"/>
      <c r="X57" s="69"/>
      <c r="Y57" s="115"/>
      <c r="Z57" s="116"/>
      <c r="AA57" s="66">
        <f t="shared" si="8"/>
        <v>-70.84745762711691</v>
      </c>
      <c r="AB57" s="117">
        <f t="shared" si="9"/>
        <v>0.96457627118644151</v>
      </c>
      <c r="AC57" s="511"/>
    </row>
    <row r="58" spans="1:29" ht="15.75" customHeight="1">
      <c r="A58" s="523" t="s">
        <v>418</v>
      </c>
      <c r="B58" s="62" t="s">
        <v>6</v>
      </c>
      <c r="C58" s="119" t="s">
        <v>82</v>
      </c>
      <c r="D58" s="120"/>
      <c r="E58" s="62">
        <v>57.73</v>
      </c>
      <c r="F58" s="74">
        <v>1000</v>
      </c>
      <c r="G58" s="114">
        <f t="shared" si="35"/>
        <v>57730</v>
      </c>
      <c r="H58" s="90">
        <v>2</v>
      </c>
      <c r="I58" s="121">
        <v>16</v>
      </c>
      <c r="J58" s="63">
        <v>1500</v>
      </c>
      <c r="K58" s="64">
        <f t="shared" si="1"/>
        <v>93.75</v>
      </c>
      <c r="L58" s="121">
        <v>16</v>
      </c>
      <c r="M58" s="65">
        <f t="shared" si="36"/>
        <v>1463.4146341463411</v>
      </c>
      <c r="N58" s="65">
        <f t="shared" si="3"/>
        <v>91.463414634146318</v>
      </c>
      <c r="O58" s="66">
        <f t="shared" si="4"/>
        <v>0</v>
      </c>
      <c r="P58" s="67">
        <f t="shared" si="5"/>
        <v>-2.2865853658536821</v>
      </c>
      <c r="Q58" s="117">
        <f t="shared" si="6"/>
        <v>0.97560975609756073</v>
      </c>
      <c r="R58" s="511"/>
      <c r="S58" s="68">
        <v>0.81041666666666667</v>
      </c>
      <c r="T58" s="68">
        <v>0.83888888888888891</v>
      </c>
      <c r="U58" s="114">
        <f t="shared" si="38"/>
        <v>5.9999999999999787</v>
      </c>
      <c r="V58" s="122">
        <f t="shared" si="37"/>
        <v>41.000000000000014</v>
      </c>
      <c r="W58" s="69">
        <f>T58</f>
        <v>0.83888888888888891</v>
      </c>
      <c r="X58" s="69">
        <f>S59</f>
        <v>0.87986111111111109</v>
      </c>
      <c r="Y58" s="115"/>
      <c r="Z58" s="116"/>
      <c r="AA58" s="66">
        <f t="shared" si="8"/>
        <v>-36.585365853658914</v>
      </c>
      <c r="AB58" s="117">
        <f t="shared" si="9"/>
        <v>0.97560975609756073</v>
      </c>
      <c r="AC58" s="511"/>
    </row>
    <row r="59" spans="1:29" ht="15.75" customHeight="1">
      <c r="A59" s="523" t="s">
        <v>418</v>
      </c>
      <c r="B59" s="62" t="s">
        <v>6</v>
      </c>
      <c r="C59" s="521" t="s">
        <v>82</v>
      </c>
      <c r="D59" s="522"/>
      <c r="E59" s="62">
        <v>57.73</v>
      </c>
      <c r="F59" s="74">
        <v>2057</v>
      </c>
      <c r="G59" s="114">
        <f t="shared" si="35"/>
        <v>118750.61</v>
      </c>
      <c r="H59" s="90" t="s">
        <v>5</v>
      </c>
      <c r="I59" s="121">
        <v>16</v>
      </c>
      <c r="J59" s="63">
        <v>1500</v>
      </c>
      <c r="K59" s="64">
        <f t="shared" si="1"/>
        <v>93.75</v>
      </c>
      <c r="L59" s="121">
        <v>16</v>
      </c>
      <c r="M59" s="65">
        <f t="shared" si="36"/>
        <v>1435.1162790697672</v>
      </c>
      <c r="N59" s="65">
        <f t="shared" si="3"/>
        <v>89.694767441860449</v>
      </c>
      <c r="O59" s="66">
        <f t="shared" si="4"/>
        <v>0</v>
      </c>
      <c r="P59" s="67">
        <f t="shared" si="5"/>
        <v>-4.0552325581395507</v>
      </c>
      <c r="Q59" s="117">
        <f t="shared" si="6"/>
        <v>0.95674418604651146</v>
      </c>
      <c r="R59" s="511"/>
      <c r="S59" s="68">
        <v>0.87986111111111109</v>
      </c>
      <c r="T59" s="68">
        <v>0.93958333333333333</v>
      </c>
      <c r="U59" s="114">
        <f t="shared" si="38"/>
        <v>58.99999999999995</v>
      </c>
      <c r="V59" s="122">
        <f t="shared" si="37"/>
        <v>86.000000000000014</v>
      </c>
      <c r="W59" s="69"/>
      <c r="X59" s="69"/>
      <c r="Y59" s="517"/>
      <c r="Z59" s="518"/>
      <c r="AA59" s="66">
        <f t="shared" si="8"/>
        <v>-64.883720930232812</v>
      </c>
      <c r="AB59" s="117">
        <f t="shared" si="9"/>
        <v>0.95674418604651146</v>
      </c>
      <c r="AC59" s="511"/>
    </row>
    <row r="60" spans="1:29">
      <c r="A60" s="524" t="s">
        <v>418</v>
      </c>
      <c r="B60" s="62" t="s">
        <v>411</v>
      </c>
      <c r="C60" s="513"/>
      <c r="D60" s="513"/>
      <c r="E60" s="118"/>
      <c r="F60" s="71"/>
      <c r="G60" s="64"/>
      <c r="H60" s="80"/>
      <c r="I60" s="72">
        <v>16.333333333333332</v>
      </c>
      <c r="J60" s="63">
        <v>1833.3333333333333</v>
      </c>
      <c r="K60" s="64">
        <f t="shared" si="1"/>
        <v>112.24489795918367</v>
      </c>
      <c r="L60" s="72">
        <v>16.333333333333332</v>
      </c>
      <c r="M60" s="65">
        <f>AVERAGE(M54:M59)</f>
        <v>1762.5577814845662</v>
      </c>
      <c r="N60" s="64">
        <f t="shared" si="3"/>
        <v>107.91170090721835</v>
      </c>
      <c r="O60" s="66">
        <f t="shared" si="4"/>
        <v>0</v>
      </c>
      <c r="P60" s="67">
        <f t="shared" si="5"/>
        <v>-4.3331970519653282</v>
      </c>
      <c r="Q60" s="117">
        <f t="shared" si="6"/>
        <v>0.9613951535370362</v>
      </c>
      <c r="R60" s="511"/>
      <c r="S60" s="75"/>
      <c r="T60" s="68"/>
      <c r="U60" s="64"/>
      <c r="V60" s="122"/>
      <c r="W60" s="64"/>
      <c r="X60" s="64"/>
      <c r="Y60" s="510"/>
      <c r="Z60" s="510"/>
      <c r="AA60" s="66">
        <f t="shared" si="8"/>
        <v>-70.775551848767009</v>
      </c>
      <c r="AB60" s="117">
        <f t="shared" si="9"/>
        <v>0.9613951535370362</v>
      </c>
      <c r="AC60" s="511"/>
    </row>
    <row r="61" spans="1:29" ht="15.75" customHeight="1">
      <c r="A61" s="519" t="s">
        <v>419</v>
      </c>
      <c r="B61" s="80" t="s">
        <v>10</v>
      </c>
      <c r="C61" s="512" t="s">
        <v>46</v>
      </c>
      <c r="D61" s="512"/>
      <c r="E61" s="62">
        <v>26.97</v>
      </c>
      <c r="F61" s="74">
        <v>3257</v>
      </c>
      <c r="G61" s="114">
        <f t="shared" ref="G61:G64" si="39">E61*F61</f>
        <v>87841.29</v>
      </c>
      <c r="H61" s="90" t="s">
        <v>5</v>
      </c>
      <c r="I61" s="121">
        <v>8</v>
      </c>
      <c r="J61" s="63">
        <v>1500</v>
      </c>
      <c r="K61" s="64">
        <f t="shared" si="1"/>
        <v>187.5</v>
      </c>
      <c r="L61" s="121">
        <v>8</v>
      </c>
      <c r="M61" s="65">
        <f t="shared" ref="M61:M64" si="40">F61/V61*60</f>
        <v>1436.9117647058818</v>
      </c>
      <c r="N61" s="64">
        <f t="shared" si="3"/>
        <v>179.61397058823522</v>
      </c>
      <c r="O61" s="66">
        <f t="shared" si="4"/>
        <v>0</v>
      </c>
      <c r="P61" s="67">
        <f t="shared" si="5"/>
        <v>-7.8860294117647811</v>
      </c>
      <c r="Q61" s="117">
        <f t="shared" si="6"/>
        <v>0.95794117647058785</v>
      </c>
      <c r="R61" s="511">
        <f>Q65</f>
        <v>0.95643341918630909</v>
      </c>
      <c r="S61" s="68">
        <v>0.20833333333333334</v>
      </c>
      <c r="T61" s="68">
        <v>0.30277777777777781</v>
      </c>
      <c r="U61" s="114"/>
      <c r="V61" s="122">
        <f t="shared" ref="V61:V64" si="41">(T61-S61)*24*60</f>
        <v>136.00000000000006</v>
      </c>
      <c r="W61" s="73"/>
      <c r="X61" s="73"/>
      <c r="Y61" s="510"/>
      <c r="Z61" s="510"/>
      <c r="AA61" s="66">
        <f t="shared" si="8"/>
        <v>-63.088235294118249</v>
      </c>
      <c r="AB61" s="117">
        <f t="shared" si="9"/>
        <v>0.95794117647058785</v>
      </c>
      <c r="AC61" s="511">
        <f>AB65</f>
        <v>0.95643341918630909</v>
      </c>
    </row>
    <row r="62" spans="1:29" ht="15.75" customHeight="1">
      <c r="A62" s="519" t="s">
        <v>419</v>
      </c>
      <c r="B62" s="80" t="s">
        <v>35</v>
      </c>
      <c r="C62" s="512" t="s">
        <v>45</v>
      </c>
      <c r="D62" s="512"/>
      <c r="E62" s="62">
        <v>26.78</v>
      </c>
      <c r="F62" s="74">
        <v>2906</v>
      </c>
      <c r="G62" s="114">
        <f t="shared" si="39"/>
        <v>77822.680000000008</v>
      </c>
      <c r="H62" s="90" t="s">
        <v>5</v>
      </c>
      <c r="I62" s="121">
        <v>10</v>
      </c>
      <c r="J62" s="63">
        <v>3000</v>
      </c>
      <c r="K62" s="64">
        <f t="shared" si="1"/>
        <v>300</v>
      </c>
      <c r="L62" s="121">
        <v>10</v>
      </c>
      <c r="M62" s="65">
        <f t="shared" si="40"/>
        <v>2858.3606557377043</v>
      </c>
      <c r="N62" s="64">
        <f t="shared" si="3"/>
        <v>285.83606557377044</v>
      </c>
      <c r="O62" s="66">
        <f t="shared" si="4"/>
        <v>0</v>
      </c>
      <c r="P62" s="67">
        <f t="shared" si="5"/>
        <v>-14.163934426229559</v>
      </c>
      <c r="Q62" s="117">
        <f t="shared" si="6"/>
        <v>0.95278688524590149</v>
      </c>
      <c r="R62" s="511"/>
      <c r="S62" s="68">
        <v>0.30625000000000002</v>
      </c>
      <c r="T62" s="68">
        <v>0.34861111111111115</v>
      </c>
      <c r="U62" s="114">
        <f t="shared" ref="U62:U64" si="42">(S62-T61)*24*60</f>
        <v>4.9999999999999822</v>
      </c>
      <c r="V62" s="122">
        <f t="shared" si="41"/>
        <v>61.000000000000021</v>
      </c>
      <c r="W62" s="114"/>
      <c r="X62" s="114"/>
      <c r="Y62" s="510"/>
      <c r="Z62" s="510"/>
      <c r="AA62" s="66">
        <f t="shared" si="8"/>
        <v>-141.63934426229571</v>
      </c>
      <c r="AB62" s="117">
        <f t="shared" si="9"/>
        <v>0.95278688524590138</v>
      </c>
      <c r="AC62" s="511"/>
    </row>
    <row r="63" spans="1:29" ht="15.75" customHeight="1">
      <c r="A63" s="519" t="s">
        <v>419</v>
      </c>
      <c r="B63" s="80" t="s">
        <v>35</v>
      </c>
      <c r="C63" s="512" t="s">
        <v>75</v>
      </c>
      <c r="D63" s="512"/>
      <c r="E63" s="62">
        <v>37.880000000000003</v>
      </c>
      <c r="F63" s="74">
        <v>3795</v>
      </c>
      <c r="G63" s="114">
        <f t="shared" si="39"/>
        <v>143754.6</v>
      </c>
      <c r="H63" s="90" t="s">
        <v>5</v>
      </c>
      <c r="I63" s="121">
        <v>10</v>
      </c>
      <c r="J63" s="63">
        <v>3000</v>
      </c>
      <c r="K63" s="64">
        <f t="shared" si="1"/>
        <v>300</v>
      </c>
      <c r="L63" s="121">
        <v>10</v>
      </c>
      <c r="M63" s="65">
        <f t="shared" si="40"/>
        <v>2882.2784810126595</v>
      </c>
      <c r="N63" s="64">
        <f t="shared" si="3"/>
        <v>288.22784810126598</v>
      </c>
      <c r="O63" s="66">
        <f t="shared" si="4"/>
        <v>0</v>
      </c>
      <c r="P63" s="67">
        <f t="shared" si="5"/>
        <v>-11.772151898734023</v>
      </c>
      <c r="Q63" s="117">
        <f t="shared" si="6"/>
        <v>0.96075949367088664</v>
      </c>
      <c r="R63" s="511"/>
      <c r="S63" s="68">
        <v>0.35416666666666669</v>
      </c>
      <c r="T63" s="68">
        <v>0.40902777777777777</v>
      </c>
      <c r="U63" s="114">
        <f t="shared" si="42"/>
        <v>7.9999999999999716</v>
      </c>
      <c r="V63" s="122">
        <f t="shared" si="41"/>
        <v>78.999999999999957</v>
      </c>
      <c r="W63" s="114"/>
      <c r="X63" s="114"/>
      <c r="Y63" s="510"/>
      <c r="Z63" s="510"/>
      <c r="AA63" s="66">
        <f t="shared" si="8"/>
        <v>-117.72151898734046</v>
      </c>
      <c r="AB63" s="117">
        <f t="shared" si="9"/>
        <v>0.96075949367088653</v>
      </c>
      <c r="AC63" s="511"/>
    </row>
    <row r="64" spans="1:29" ht="15.75" customHeight="1">
      <c r="A64" s="519" t="s">
        <v>419</v>
      </c>
      <c r="B64" s="80" t="s">
        <v>35</v>
      </c>
      <c r="C64" s="512" t="s">
        <v>85</v>
      </c>
      <c r="D64" s="512"/>
      <c r="E64" s="62">
        <v>40.51</v>
      </c>
      <c r="F64" s="74">
        <v>3056</v>
      </c>
      <c r="G64" s="114">
        <f t="shared" si="39"/>
        <v>123798.56</v>
      </c>
      <c r="H64" s="90" t="s">
        <v>5</v>
      </c>
      <c r="I64" s="121">
        <v>8</v>
      </c>
      <c r="J64" s="63">
        <v>3000</v>
      </c>
      <c r="K64" s="64">
        <f t="shared" si="1"/>
        <v>375</v>
      </c>
      <c r="L64" s="121">
        <v>8</v>
      </c>
      <c r="M64" s="65">
        <f t="shared" si="40"/>
        <v>2864.9999999999995</v>
      </c>
      <c r="N64" s="64">
        <f t="shared" si="3"/>
        <v>358.12499999999994</v>
      </c>
      <c r="O64" s="66">
        <f t="shared" si="4"/>
        <v>0</v>
      </c>
      <c r="P64" s="67">
        <f t="shared" si="5"/>
        <v>-16.875000000000057</v>
      </c>
      <c r="Q64" s="117">
        <f t="shared" si="6"/>
        <v>0.95499999999999985</v>
      </c>
      <c r="R64" s="511"/>
      <c r="S64" s="68">
        <v>0.41249999999999998</v>
      </c>
      <c r="T64" s="68">
        <v>0.45694444444444443</v>
      </c>
      <c r="U64" s="114">
        <f t="shared" si="42"/>
        <v>4.9999999999999822</v>
      </c>
      <c r="V64" s="122">
        <f t="shared" si="41"/>
        <v>64.000000000000014</v>
      </c>
      <c r="W64" s="114"/>
      <c r="X64" s="114"/>
      <c r="Y64" s="510"/>
      <c r="Z64" s="510"/>
      <c r="AA64" s="66">
        <f t="shared" si="8"/>
        <v>-135.00000000000045</v>
      </c>
      <c r="AB64" s="117">
        <f t="shared" si="9"/>
        <v>0.95499999999999985</v>
      </c>
      <c r="AC64" s="511"/>
    </row>
    <row r="65" spans="1:29">
      <c r="A65" s="520" t="s">
        <v>419</v>
      </c>
      <c r="B65" s="62" t="s">
        <v>411</v>
      </c>
      <c r="C65" s="513"/>
      <c r="D65" s="513"/>
      <c r="E65" s="118"/>
      <c r="F65" s="71"/>
      <c r="G65" s="64"/>
      <c r="H65" s="80"/>
      <c r="I65" s="72">
        <v>9</v>
      </c>
      <c r="J65" s="63">
        <v>2625</v>
      </c>
      <c r="K65" s="64">
        <f t="shared" si="1"/>
        <v>291.66666666666669</v>
      </c>
      <c r="L65" s="72">
        <v>9</v>
      </c>
      <c r="M65" s="65">
        <f>AVERAGE(M61:M64)</f>
        <v>2510.6377253640612</v>
      </c>
      <c r="N65" s="64">
        <f t="shared" si="3"/>
        <v>278.95974726267349</v>
      </c>
      <c r="O65" s="66">
        <f t="shared" si="4"/>
        <v>0</v>
      </c>
      <c r="P65" s="67">
        <f t="shared" si="5"/>
        <v>-12.706919403993197</v>
      </c>
      <c r="Q65" s="117">
        <f t="shared" si="6"/>
        <v>0.95643341918630909</v>
      </c>
      <c r="R65" s="511"/>
      <c r="S65" s="68"/>
      <c r="T65" s="68"/>
      <c r="U65" s="64"/>
      <c r="V65" s="122"/>
      <c r="W65" s="64"/>
      <c r="X65" s="64"/>
      <c r="Y65" s="510"/>
      <c r="Z65" s="510"/>
      <c r="AA65" s="66">
        <f t="shared" si="8"/>
        <v>-114.36227463593877</v>
      </c>
      <c r="AB65" s="117">
        <f t="shared" si="9"/>
        <v>0.95643341918630909</v>
      </c>
      <c r="AC65" s="511"/>
    </row>
    <row r="66" spans="1:29" ht="15.75" customHeight="1">
      <c r="A66" s="514" t="s">
        <v>420</v>
      </c>
      <c r="B66" s="80" t="s">
        <v>16</v>
      </c>
      <c r="C66" s="512" t="s">
        <v>48</v>
      </c>
      <c r="D66" s="512"/>
      <c r="E66" s="62">
        <v>20.2</v>
      </c>
      <c r="F66" s="80">
        <v>2619</v>
      </c>
      <c r="G66" s="114">
        <f t="shared" ref="G66:G75" si="43">E66*F66</f>
        <v>52903.799999999996</v>
      </c>
      <c r="H66" s="90" t="s">
        <v>5</v>
      </c>
      <c r="I66" s="121">
        <v>19</v>
      </c>
      <c r="J66" s="63">
        <v>2400</v>
      </c>
      <c r="K66" s="64">
        <f t="shared" si="1"/>
        <v>126.31578947368421</v>
      </c>
      <c r="L66" s="121">
        <v>19</v>
      </c>
      <c r="M66" s="65">
        <f t="shared" ref="M66:M75" si="44">F66/V66*60</f>
        <v>2310.8823529411766</v>
      </c>
      <c r="N66" s="64">
        <f t="shared" si="3"/>
        <v>121.62538699690403</v>
      </c>
      <c r="O66" s="66">
        <f t="shared" si="4"/>
        <v>0</v>
      </c>
      <c r="P66" s="67">
        <f t="shared" si="5"/>
        <v>-4.6904024767801786</v>
      </c>
      <c r="Q66" s="117">
        <f t="shared" si="6"/>
        <v>0.96286764705882355</v>
      </c>
      <c r="R66" s="511">
        <f>Q76</f>
        <v>0.95973613211246855</v>
      </c>
      <c r="S66" s="68">
        <v>0.125</v>
      </c>
      <c r="T66" s="68">
        <v>0.17222222222222222</v>
      </c>
      <c r="U66" s="73"/>
      <c r="V66" s="122">
        <f t="shared" ref="V66:V75" si="45">(T66-S66)*24*60</f>
        <v>68</v>
      </c>
      <c r="W66" s="69">
        <f>T66</f>
        <v>0.17222222222222222</v>
      </c>
      <c r="X66" s="69">
        <f>S67</f>
        <v>0.19097222222222221</v>
      </c>
      <c r="Y66" s="510"/>
      <c r="Z66" s="510"/>
      <c r="AA66" s="66">
        <f t="shared" si="8"/>
        <v>-89.117647058823422</v>
      </c>
      <c r="AB66" s="117">
        <f t="shared" si="9"/>
        <v>0.96286764705882355</v>
      </c>
      <c r="AC66" s="511">
        <f>AB76</f>
        <v>0.95973613211246855</v>
      </c>
    </row>
    <row r="67" spans="1:29" ht="15.75" customHeight="1">
      <c r="A67" s="515" t="s">
        <v>420</v>
      </c>
      <c r="B67" s="80" t="s">
        <v>16</v>
      </c>
      <c r="C67" s="512" t="s">
        <v>27</v>
      </c>
      <c r="D67" s="512"/>
      <c r="E67" s="62">
        <v>25.98</v>
      </c>
      <c r="F67" s="80">
        <v>1367</v>
      </c>
      <c r="G67" s="114">
        <f t="shared" si="43"/>
        <v>35514.660000000003</v>
      </c>
      <c r="H67" s="90" t="s">
        <v>5</v>
      </c>
      <c r="I67" s="121">
        <v>17</v>
      </c>
      <c r="J67" s="63">
        <v>2400</v>
      </c>
      <c r="K67" s="64">
        <f t="shared" si="1"/>
        <v>141.1764705882353</v>
      </c>
      <c r="L67" s="121">
        <v>17</v>
      </c>
      <c r="M67" s="65">
        <f t="shared" si="44"/>
        <v>2343.428571428572</v>
      </c>
      <c r="N67" s="64">
        <f t="shared" si="3"/>
        <v>137.84873949579836</v>
      </c>
      <c r="O67" s="66">
        <f t="shared" si="4"/>
        <v>0</v>
      </c>
      <c r="P67" s="67">
        <f t="shared" si="5"/>
        <v>-3.3277310924369488</v>
      </c>
      <c r="Q67" s="117">
        <f t="shared" si="6"/>
        <v>0.97642857142857165</v>
      </c>
      <c r="R67" s="511"/>
      <c r="S67" s="68">
        <v>0.19097222222222221</v>
      </c>
      <c r="T67" s="68">
        <v>0.21527777777777776</v>
      </c>
      <c r="U67" s="114">
        <f t="shared" ref="U67:U75" si="46">(S67-T66)*24*60</f>
        <v>26.999999999999986</v>
      </c>
      <c r="V67" s="122">
        <f t="shared" si="45"/>
        <v>34.999999999999993</v>
      </c>
      <c r="W67" s="69"/>
      <c r="X67" s="69"/>
      <c r="Y67" s="510"/>
      <c r="Z67" s="510"/>
      <c r="AA67" s="66">
        <f t="shared" si="8"/>
        <v>-56.571428571427987</v>
      </c>
      <c r="AB67" s="117">
        <f t="shared" si="9"/>
        <v>0.97642857142857165</v>
      </c>
      <c r="AC67" s="511"/>
    </row>
    <row r="68" spans="1:29" ht="15.75" customHeight="1">
      <c r="A68" s="515" t="s">
        <v>420</v>
      </c>
      <c r="B68" s="80" t="s">
        <v>16</v>
      </c>
      <c r="C68" s="512" t="s">
        <v>51</v>
      </c>
      <c r="D68" s="512"/>
      <c r="E68" s="62">
        <v>24.25</v>
      </c>
      <c r="F68" s="80">
        <v>2814</v>
      </c>
      <c r="G68" s="114">
        <f t="shared" si="43"/>
        <v>68239.5</v>
      </c>
      <c r="H68" s="90" t="s">
        <v>5</v>
      </c>
      <c r="I68" s="121">
        <v>17</v>
      </c>
      <c r="J68" s="63">
        <v>2400</v>
      </c>
      <c r="K68" s="64">
        <f t="shared" si="1"/>
        <v>141.1764705882353</v>
      </c>
      <c r="L68" s="121">
        <v>17</v>
      </c>
      <c r="M68" s="65">
        <f t="shared" si="44"/>
        <v>2312.8767123287666</v>
      </c>
      <c r="N68" s="64">
        <f t="shared" si="3"/>
        <v>136.05157131345686</v>
      </c>
      <c r="O68" s="66">
        <f t="shared" si="4"/>
        <v>0</v>
      </c>
      <c r="P68" s="67">
        <f t="shared" si="5"/>
        <v>-5.1248992747784428</v>
      </c>
      <c r="Q68" s="117">
        <f t="shared" si="6"/>
        <v>0.96369863013698598</v>
      </c>
      <c r="R68" s="511"/>
      <c r="S68" s="68">
        <v>0.21874999999999997</v>
      </c>
      <c r="T68" s="68">
        <v>0.26944444444444443</v>
      </c>
      <c r="U68" s="114">
        <f t="shared" si="46"/>
        <v>4.9999999999999822</v>
      </c>
      <c r="V68" s="122">
        <f t="shared" si="45"/>
        <v>73.000000000000014</v>
      </c>
      <c r="W68" s="69"/>
      <c r="X68" s="69"/>
      <c r="Y68" s="510"/>
      <c r="Z68" s="510"/>
      <c r="AA68" s="66">
        <f t="shared" si="8"/>
        <v>-87.123287671233356</v>
      </c>
      <c r="AB68" s="117">
        <f t="shared" si="9"/>
        <v>0.96369863013698609</v>
      </c>
      <c r="AC68" s="511"/>
    </row>
    <row r="69" spans="1:29" ht="15.75" customHeight="1">
      <c r="A69" s="515" t="s">
        <v>420</v>
      </c>
      <c r="B69" s="80" t="s">
        <v>16</v>
      </c>
      <c r="C69" s="512" t="s">
        <v>17</v>
      </c>
      <c r="D69" s="512"/>
      <c r="E69" s="62">
        <v>24.45</v>
      </c>
      <c r="F69" s="80">
        <v>2592</v>
      </c>
      <c r="G69" s="114">
        <f t="shared" si="43"/>
        <v>63374.400000000001</v>
      </c>
      <c r="H69" s="90" t="s">
        <v>5</v>
      </c>
      <c r="I69" s="121">
        <v>20</v>
      </c>
      <c r="J69" s="63">
        <v>2400</v>
      </c>
      <c r="K69" s="64">
        <f t="shared" ref="K69:K76" si="47">J69/I69</f>
        <v>120</v>
      </c>
      <c r="L69" s="121">
        <v>20</v>
      </c>
      <c r="M69" s="65">
        <f t="shared" si="44"/>
        <v>2287.0588235294117</v>
      </c>
      <c r="N69" s="64">
        <f t="shared" ref="N69:N76" si="48">M69/L69</f>
        <v>114.35294117647058</v>
      </c>
      <c r="O69" s="66">
        <f t="shared" ref="O69:O76" si="49">L69-I69</f>
        <v>0</v>
      </c>
      <c r="P69" s="67">
        <f t="shared" ref="P69:P76" si="50">N69-K69</f>
        <v>-5.6470588235294201</v>
      </c>
      <c r="Q69" s="117">
        <f t="shared" ref="Q69:Q76" si="51">N69/K69</f>
        <v>0.95294117647058818</v>
      </c>
      <c r="R69" s="511"/>
      <c r="S69" s="68">
        <v>0.27291666666666664</v>
      </c>
      <c r="T69" s="68">
        <v>0.32013888888888886</v>
      </c>
      <c r="U69" s="114">
        <f t="shared" si="46"/>
        <v>4.9999999999999822</v>
      </c>
      <c r="V69" s="122">
        <f t="shared" si="45"/>
        <v>68</v>
      </c>
      <c r="W69" s="69"/>
      <c r="X69" s="69"/>
      <c r="Y69" s="510"/>
      <c r="Z69" s="510"/>
      <c r="AA69" s="66">
        <f t="shared" ref="AA69:AA76" si="52">M69-J69</f>
        <v>-112.94117647058829</v>
      </c>
      <c r="AB69" s="117">
        <f t="shared" ref="AB69:AB76" si="53">M69/J69</f>
        <v>0.95294117647058818</v>
      </c>
      <c r="AC69" s="511"/>
    </row>
    <row r="70" spans="1:29" ht="15.75" customHeight="1">
      <c r="A70" s="515" t="s">
        <v>420</v>
      </c>
      <c r="B70" s="80" t="s">
        <v>16</v>
      </c>
      <c r="C70" s="512" t="s">
        <v>34</v>
      </c>
      <c r="D70" s="512"/>
      <c r="E70" s="62">
        <v>24.25</v>
      </c>
      <c r="F70" s="80">
        <v>2800</v>
      </c>
      <c r="G70" s="114">
        <f t="shared" si="43"/>
        <v>67900</v>
      </c>
      <c r="H70" s="90">
        <v>2</v>
      </c>
      <c r="I70" s="121">
        <v>13</v>
      </c>
      <c r="J70" s="63">
        <v>2400</v>
      </c>
      <c r="K70" s="64">
        <f t="shared" si="47"/>
        <v>184.61538461538461</v>
      </c>
      <c r="L70" s="121">
        <v>13</v>
      </c>
      <c r="M70" s="65">
        <f t="shared" si="44"/>
        <v>2301.3698630136987</v>
      </c>
      <c r="N70" s="64">
        <f t="shared" si="48"/>
        <v>177.02845100105375</v>
      </c>
      <c r="O70" s="66">
        <f t="shared" si="49"/>
        <v>0</v>
      </c>
      <c r="P70" s="67">
        <f t="shared" si="50"/>
        <v>-7.5869336143308601</v>
      </c>
      <c r="Q70" s="117">
        <f t="shared" si="51"/>
        <v>0.95890410958904115</v>
      </c>
      <c r="R70" s="511"/>
      <c r="S70" s="68">
        <v>0.32361111111111107</v>
      </c>
      <c r="T70" s="68">
        <v>0.3743055555555555</v>
      </c>
      <c r="U70" s="114">
        <f t="shared" si="46"/>
        <v>4.9999999999999822</v>
      </c>
      <c r="V70" s="122">
        <f t="shared" si="45"/>
        <v>72.999999999999986</v>
      </c>
      <c r="W70" s="69"/>
      <c r="X70" s="69"/>
      <c r="Y70" s="510"/>
      <c r="Z70" s="510"/>
      <c r="AA70" s="66">
        <f t="shared" si="52"/>
        <v>-98.630136986301295</v>
      </c>
      <c r="AB70" s="117">
        <f t="shared" si="53"/>
        <v>0.95890410958904115</v>
      </c>
      <c r="AC70" s="511"/>
    </row>
    <row r="71" spans="1:29" ht="15.75" customHeight="1">
      <c r="A71" s="515" t="s">
        <v>420</v>
      </c>
      <c r="B71" s="80" t="s">
        <v>16</v>
      </c>
      <c r="C71" s="512" t="s">
        <v>26</v>
      </c>
      <c r="D71" s="512"/>
      <c r="E71" s="62">
        <v>20.52</v>
      </c>
      <c r="F71" s="80">
        <v>2300</v>
      </c>
      <c r="G71" s="114">
        <f t="shared" si="43"/>
        <v>47196</v>
      </c>
      <c r="H71" s="90">
        <v>2</v>
      </c>
      <c r="I71" s="121">
        <v>18</v>
      </c>
      <c r="J71" s="63">
        <v>2400</v>
      </c>
      <c r="K71" s="64">
        <f t="shared" si="47"/>
        <v>133.33333333333334</v>
      </c>
      <c r="L71" s="121">
        <v>18</v>
      </c>
      <c r="M71" s="65">
        <f t="shared" si="44"/>
        <v>2299.9999999999991</v>
      </c>
      <c r="N71" s="64">
        <f t="shared" si="48"/>
        <v>127.77777777777773</v>
      </c>
      <c r="O71" s="66">
        <f t="shared" si="49"/>
        <v>0</v>
      </c>
      <c r="P71" s="67">
        <f t="shared" si="50"/>
        <v>-5.555555555555614</v>
      </c>
      <c r="Q71" s="117">
        <f t="shared" si="51"/>
        <v>0.95833333333333293</v>
      </c>
      <c r="R71" s="511"/>
      <c r="S71" s="68">
        <v>0.3791666666666666</v>
      </c>
      <c r="T71" s="68">
        <v>0.42083333333333328</v>
      </c>
      <c r="U71" s="114">
        <f t="shared" si="46"/>
        <v>6.9999999999999751</v>
      </c>
      <c r="V71" s="122">
        <f t="shared" si="45"/>
        <v>60.000000000000028</v>
      </c>
      <c r="W71" s="69"/>
      <c r="X71" s="69"/>
      <c r="Y71" s="510"/>
      <c r="Z71" s="510"/>
      <c r="AA71" s="66">
        <f t="shared" si="52"/>
        <v>-100.00000000000091</v>
      </c>
      <c r="AB71" s="117">
        <f t="shared" si="53"/>
        <v>0.95833333333333293</v>
      </c>
      <c r="AC71" s="511"/>
    </row>
    <row r="72" spans="1:29" ht="15.75" customHeight="1">
      <c r="A72" s="515" t="s">
        <v>420</v>
      </c>
      <c r="B72" s="80" t="s">
        <v>16</v>
      </c>
      <c r="C72" s="512" t="s">
        <v>49</v>
      </c>
      <c r="D72" s="512"/>
      <c r="E72" s="62">
        <v>19.02</v>
      </c>
      <c r="F72" s="80">
        <v>4500</v>
      </c>
      <c r="G72" s="114">
        <f t="shared" si="43"/>
        <v>85590</v>
      </c>
      <c r="H72" s="90">
        <v>2</v>
      </c>
      <c r="I72" s="121">
        <v>15</v>
      </c>
      <c r="J72" s="63">
        <v>2400</v>
      </c>
      <c r="K72" s="64">
        <f t="shared" si="47"/>
        <v>160</v>
      </c>
      <c r="L72" s="121">
        <v>15</v>
      </c>
      <c r="M72" s="65">
        <f t="shared" si="44"/>
        <v>2288.1355932203378</v>
      </c>
      <c r="N72" s="64">
        <f t="shared" si="48"/>
        <v>152.54237288135585</v>
      </c>
      <c r="O72" s="66">
        <f t="shared" si="49"/>
        <v>0</v>
      </c>
      <c r="P72" s="67">
        <f t="shared" si="50"/>
        <v>-7.4576271186441545</v>
      </c>
      <c r="Q72" s="117">
        <f t="shared" si="51"/>
        <v>0.95338983050847403</v>
      </c>
      <c r="R72" s="511"/>
      <c r="S72" s="68">
        <v>0.42499999999999993</v>
      </c>
      <c r="T72" s="68">
        <v>0.50694444444444442</v>
      </c>
      <c r="U72" s="114">
        <f t="shared" si="46"/>
        <v>5.9999999999999787</v>
      </c>
      <c r="V72" s="122">
        <f t="shared" si="45"/>
        <v>118.00000000000006</v>
      </c>
      <c r="W72" s="69">
        <f>T72</f>
        <v>0.50694444444444442</v>
      </c>
      <c r="X72" s="69">
        <f>S73</f>
        <v>0.54791666666666661</v>
      </c>
      <c r="Y72" s="517"/>
      <c r="Z72" s="518"/>
      <c r="AA72" s="66">
        <f t="shared" si="52"/>
        <v>-111.8644067796622</v>
      </c>
      <c r="AB72" s="117">
        <f t="shared" si="53"/>
        <v>0.95338983050847403</v>
      </c>
      <c r="AC72" s="511"/>
    </row>
    <row r="73" spans="1:29" ht="15.75" customHeight="1">
      <c r="A73" s="515" t="s">
        <v>420</v>
      </c>
      <c r="B73" s="80" t="s">
        <v>16</v>
      </c>
      <c r="C73" s="512" t="s">
        <v>49</v>
      </c>
      <c r="D73" s="512"/>
      <c r="E73" s="62">
        <v>19.02</v>
      </c>
      <c r="F73" s="80">
        <v>6770</v>
      </c>
      <c r="G73" s="114">
        <f t="shared" si="43"/>
        <v>128765.4</v>
      </c>
      <c r="H73" s="90" t="s">
        <v>5</v>
      </c>
      <c r="I73" s="121">
        <v>15</v>
      </c>
      <c r="J73" s="63">
        <v>2400</v>
      </c>
      <c r="K73" s="64">
        <f t="shared" si="47"/>
        <v>160</v>
      </c>
      <c r="L73" s="121">
        <v>15</v>
      </c>
      <c r="M73" s="65">
        <f t="shared" si="44"/>
        <v>2294.9152542372881</v>
      </c>
      <c r="N73" s="64">
        <f t="shared" si="48"/>
        <v>152.99435028248587</v>
      </c>
      <c r="O73" s="66">
        <f t="shared" si="49"/>
        <v>0</v>
      </c>
      <c r="P73" s="67">
        <f t="shared" si="50"/>
        <v>-7.0056497175141317</v>
      </c>
      <c r="Q73" s="117">
        <f t="shared" si="51"/>
        <v>0.95621468926553665</v>
      </c>
      <c r="R73" s="511"/>
      <c r="S73" s="68">
        <v>0.54791666666666661</v>
      </c>
      <c r="T73" s="68">
        <v>0.67083333333333328</v>
      </c>
      <c r="U73" s="114">
        <f t="shared" si="46"/>
        <v>58.99999999999995</v>
      </c>
      <c r="V73" s="122">
        <f t="shared" si="45"/>
        <v>177</v>
      </c>
      <c r="W73" s="69"/>
      <c r="X73" s="69"/>
      <c r="Y73" s="517"/>
      <c r="Z73" s="518"/>
      <c r="AA73" s="66">
        <f t="shared" si="52"/>
        <v>-105.08474576271192</v>
      </c>
      <c r="AB73" s="117">
        <f t="shared" si="53"/>
        <v>0.95621468926553665</v>
      </c>
      <c r="AC73" s="511"/>
    </row>
    <row r="74" spans="1:29" ht="15.75" customHeight="1">
      <c r="A74" s="515" t="s">
        <v>420</v>
      </c>
      <c r="B74" s="80" t="s">
        <v>16</v>
      </c>
      <c r="C74" s="512" t="s">
        <v>34</v>
      </c>
      <c r="D74" s="512"/>
      <c r="E74" s="62">
        <v>24.25</v>
      </c>
      <c r="F74" s="80">
        <v>1530</v>
      </c>
      <c r="G74" s="114">
        <f t="shared" si="43"/>
        <v>37102.5</v>
      </c>
      <c r="H74" s="90" t="s">
        <v>5</v>
      </c>
      <c r="I74" s="121">
        <v>13</v>
      </c>
      <c r="J74" s="63">
        <v>2400</v>
      </c>
      <c r="K74" s="64">
        <f t="shared" si="47"/>
        <v>184.61538461538461</v>
      </c>
      <c r="L74" s="121">
        <v>13</v>
      </c>
      <c r="M74" s="65">
        <f t="shared" si="44"/>
        <v>2294.9999999999991</v>
      </c>
      <c r="N74" s="64">
        <f t="shared" si="48"/>
        <v>176.53846153846146</v>
      </c>
      <c r="O74" s="66">
        <f t="shared" si="49"/>
        <v>0</v>
      </c>
      <c r="P74" s="67">
        <f t="shared" si="50"/>
        <v>-8.0769230769231513</v>
      </c>
      <c r="Q74" s="117">
        <f t="shared" si="51"/>
        <v>0.9562499999999996</v>
      </c>
      <c r="R74" s="511"/>
      <c r="S74" s="68">
        <v>0.67499999999999993</v>
      </c>
      <c r="T74" s="68">
        <v>0.70277777777777772</v>
      </c>
      <c r="U74" s="114">
        <f t="shared" si="46"/>
        <v>5.9999999999999787</v>
      </c>
      <c r="V74" s="122">
        <f t="shared" si="45"/>
        <v>40.000000000000014</v>
      </c>
      <c r="W74" s="69"/>
      <c r="X74" s="69"/>
      <c r="Y74" s="517"/>
      <c r="Z74" s="518"/>
      <c r="AA74" s="66">
        <f t="shared" si="52"/>
        <v>-105.00000000000091</v>
      </c>
      <c r="AB74" s="117">
        <f t="shared" si="53"/>
        <v>0.9562499999999996</v>
      </c>
      <c r="AC74" s="511"/>
    </row>
    <row r="75" spans="1:29" ht="15.75" customHeight="1">
      <c r="A75" s="515" t="s">
        <v>420</v>
      </c>
      <c r="B75" s="80" t="s">
        <v>16</v>
      </c>
      <c r="C75" s="512" t="s">
        <v>26</v>
      </c>
      <c r="D75" s="512"/>
      <c r="E75" s="62">
        <v>20.52</v>
      </c>
      <c r="F75" s="80">
        <v>1265</v>
      </c>
      <c r="G75" s="114">
        <f t="shared" si="43"/>
        <v>25957.8</v>
      </c>
      <c r="H75" s="90" t="s">
        <v>5</v>
      </c>
      <c r="I75" s="121">
        <v>18</v>
      </c>
      <c r="J75" s="63">
        <v>2400</v>
      </c>
      <c r="K75" s="64">
        <f t="shared" si="47"/>
        <v>133.33333333333334</v>
      </c>
      <c r="L75" s="121">
        <v>18</v>
      </c>
      <c r="M75" s="65">
        <f t="shared" si="44"/>
        <v>2299.9999999999973</v>
      </c>
      <c r="N75" s="64">
        <f t="shared" si="48"/>
        <v>127.77777777777763</v>
      </c>
      <c r="O75" s="66">
        <f t="shared" si="49"/>
        <v>0</v>
      </c>
      <c r="P75" s="67">
        <f t="shared" si="50"/>
        <v>-5.5555555555557135</v>
      </c>
      <c r="Q75" s="117">
        <f t="shared" si="51"/>
        <v>0.95833333333333215</v>
      </c>
      <c r="R75" s="511"/>
      <c r="S75" s="68">
        <v>0.70763888888888882</v>
      </c>
      <c r="T75" s="68">
        <v>0.73055555555555551</v>
      </c>
      <c r="U75" s="114">
        <f t="shared" si="46"/>
        <v>6.9999999999999751</v>
      </c>
      <c r="V75" s="122">
        <f t="shared" si="45"/>
        <v>33.000000000000043</v>
      </c>
      <c r="W75" s="69"/>
      <c r="X75" s="69"/>
      <c r="Y75" s="517"/>
      <c r="Z75" s="518"/>
      <c r="AA75" s="66">
        <f t="shared" si="52"/>
        <v>-100.00000000000273</v>
      </c>
      <c r="AB75" s="117">
        <f t="shared" si="53"/>
        <v>0.95833333333333215</v>
      </c>
      <c r="AC75" s="511"/>
    </row>
    <row r="76" spans="1:29" ht="16.5" customHeight="1">
      <c r="A76" s="516" t="s">
        <v>420</v>
      </c>
      <c r="B76" s="62" t="s">
        <v>411</v>
      </c>
      <c r="C76" s="508"/>
      <c r="D76" s="509"/>
      <c r="E76" s="118"/>
      <c r="F76" s="71"/>
      <c r="G76" s="64"/>
      <c r="H76" s="80"/>
      <c r="I76" s="72">
        <v>16.5</v>
      </c>
      <c r="J76" s="63">
        <v>2400</v>
      </c>
      <c r="K76" s="64">
        <f t="shared" si="47"/>
        <v>145.45454545454547</v>
      </c>
      <c r="L76" s="72">
        <v>16.5</v>
      </c>
      <c r="M76" s="65">
        <f>AVERAGE(M66:M75)</f>
        <v>2303.3667170699246</v>
      </c>
      <c r="N76" s="64">
        <f t="shared" si="48"/>
        <v>139.59798285272271</v>
      </c>
      <c r="O76" s="66">
        <f t="shared" si="49"/>
        <v>0</v>
      </c>
      <c r="P76" s="67">
        <f t="shared" si="50"/>
        <v>-5.856562601822759</v>
      </c>
      <c r="Q76" s="117">
        <f t="shared" si="51"/>
        <v>0.95973613211246855</v>
      </c>
      <c r="R76" s="511"/>
      <c r="S76" s="68"/>
      <c r="T76" s="68"/>
      <c r="U76" s="64"/>
      <c r="V76" s="122"/>
      <c r="W76" s="64"/>
      <c r="X76" s="64"/>
      <c r="Y76" s="510"/>
      <c r="Z76" s="510"/>
      <c r="AA76" s="66">
        <f t="shared" si="52"/>
        <v>-96.633282930075438</v>
      </c>
      <c r="AB76" s="117">
        <f t="shared" si="53"/>
        <v>0.95973613211246855</v>
      </c>
      <c r="AC76" s="511"/>
    </row>
    <row r="77" spans="1:29">
      <c r="D77" s="76"/>
      <c r="E77" s="76"/>
    </row>
  </sheetData>
  <mergeCells count="200">
    <mergeCell ref="AC66:AC76"/>
    <mergeCell ref="C67:D67"/>
    <mergeCell ref="Y67:Z67"/>
    <mergeCell ref="C68:D68"/>
    <mergeCell ref="Y68:Z68"/>
    <mergeCell ref="C69:D69"/>
    <mergeCell ref="C76:D76"/>
    <mergeCell ref="Y76:Z76"/>
    <mergeCell ref="C73:D73"/>
    <mergeCell ref="Y73:Z73"/>
    <mergeCell ref="C74:D74"/>
    <mergeCell ref="Y74:Z74"/>
    <mergeCell ref="C75:D75"/>
    <mergeCell ref="Y75:Z75"/>
    <mergeCell ref="Y69:Z69"/>
    <mergeCell ref="C70:D70"/>
    <mergeCell ref="Y70:Z70"/>
    <mergeCell ref="C71:D71"/>
    <mergeCell ref="Y71:Z71"/>
    <mergeCell ref="C72:D72"/>
    <mergeCell ref="A61:A65"/>
    <mergeCell ref="C61:D61"/>
    <mergeCell ref="R61:R65"/>
    <mergeCell ref="Y61:Z61"/>
    <mergeCell ref="A54:A60"/>
    <mergeCell ref="C54:D54"/>
    <mergeCell ref="R54:R60"/>
    <mergeCell ref="Y54:Z54"/>
    <mergeCell ref="Y72:Z72"/>
    <mergeCell ref="A66:A76"/>
    <mergeCell ref="C66:D66"/>
    <mergeCell ref="R66:R76"/>
    <mergeCell ref="Y66:Z66"/>
    <mergeCell ref="AC61:AC65"/>
    <mergeCell ref="C62:D62"/>
    <mergeCell ref="Y62:Z62"/>
    <mergeCell ref="C63:D63"/>
    <mergeCell ref="Y63:Z63"/>
    <mergeCell ref="C64:D64"/>
    <mergeCell ref="Y64:Z64"/>
    <mergeCell ref="C65:D65"/>
    <mergeCell ref="Y65:Z65"/>
    <mergeCell ref="AC54:AC60"/>
    <mergeCell ref="C55:D55"/>
    <mergeCell ref="Y55:Z55"/>
    <mergeCell ref="C56:D56"/>
    <mergeCell ref="C59:D59"/>
    <mergeCell ref="Y59:Z59"/>
    <mergeCell ref="C51:D51"/>
    <mergeCell ref="Y51:Z51"/>
    <mergeCell ref="C52:D52"/>
    <mergeCell ref="Y52:Z52"/>
    <mergeCell ref="C53:D53"/>
    <mergeCell ref="Y53:Z53"/>
    <mergeCell ref="C60:D60"/>
    <mergeCell ref="Y60:Z60"/>
    <mergeCell ref="AC42:AC53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42:A53"/>
    <mergeCell ref="C42:D42"/>
    <mergeCell ref="R42:R53"/>
    <mergeCell ref="Y42:Z42"/>
    <mergeCell ref="Y47:Z47"/>
    <mergeCell ref="C48:D48"/>
    <mergeCell ref="Y48:Z48"/>
    <mergeCell ref="C49:D49"/>
    <mergeCell ref="Y49:Z49"/>
    <mergeCell ref="C50:D50"/>
    <mergeCell ref="Y50:Z50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18:A23"/>
    <mergeCell ref="C18:D18"/>
    <mergeCell ref="R18:R23"/>
    <mergeCell ref="Y18:Z18"/>
    <mergeCell ref="Y23:Z23"/>
    <mergeCell ref="A12:A17"/>
    <mergeCell ref="AC24:AC32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1 O76 O5:O9 O11:O13 O53:O61 O17:O47">
    <cfRule type="cellIs" dxfId="410" priority="86" operator="greaterThan">
      <formula>0</formula>
    </cfRule>
  </conditionalFormatting>
  <conditionalFormatting sqref="P5:P7 P64 AA64 P66:P71 P24:P31 P61 P9 P11:P13 P18:P22 P54:P59 P33:P47 AA5:AA61 AA66:AA76">
    <cfRule type="cellIs" dxfId="409" priority="90" operator="lessThan">
      <formula>0</formula>
    </cfRule>
  </conditionalFormatting>
  <conditionalFormatting sqref="AB64 Q64:Q71 Q76 Q5:Q9 Q11:Q13 Q53:Q61 Q17:Q47 AB5:AB61 AB66:AB76">
    <cfRule type="cellIs" dxfId="408" priority="87" operator="greaterThan">
      <formula>1</formula>
    </cfRule>
    <cfRule type="cellIs" dxfId="407" priority="88" operator="lessThan">
      <formula>0.8</formula>
    </cfRule>
  </conditionalFormatting>
  <conditionalFormatting sqref="AC12:AC13 R12:R13 AC64 R64:R71 R76 AC5:AC9 R5:R9 R17:R47 AC17:AC47 AC53:AC61 R53:R61">
    <cfRule type="cellIs" dxfId="406" priority="92" operator="lessThan">
      <formula>0.8</formula>
    </cfRule>
  </conditionalFormatting>
  <conditionalFormatting sqref="AC42">
    <cfRule type="cellIs" dxfId="405" priority="94" operator="lessThan">
      <formula>0.8</formula>
    </cfRule>
  </conditionalFormatting>
  <conditionalFormatting sqref="AC18:AC22">
    <cfRule type="cellIs" dxfId="404" priority="91" operator="lessThan">
      <formula>0.8</formula>
    </cfRule>
  </conditionalFormatting>
  <conditionalFormatting sqref="AC24">
    <cfRule type="cellIs" dxfId="403" priority="93" operator="lessThan">
      <formula>0.8</formula>
    </cfRule>
  </conditionalFormatting>
  <conditionalFormatting sqref="AC33:AC40">
    <cfRule type="cellIs" dxfId="402" priority="89" operator="lessThan">
      <formula>0.8</formula>
    </cfRule>
  </conditionalFormatting>
  <conditionalFormatting sqref="AA65">
    <cfRule type="cellIs" dxfId="401" priority="85" operator="lessThan">
      <formula>0</formula>
    </cfRule>
  </conditionalFormatting>
  <conditionalFormatting sqref="AB65">
    <cfRule type="cellIs" dxfId="400" priority="83" operator="greaterThan">
      <formula>1</formula>
    </cfRule>
    <cfRule type="cellIs" dxfId="399" priority="84" operator="lessThan">
      <formula>0.8</formula>
    </cfRule>
  </conditionalFormatting>
  <conditionalFormatting sqref="O14:O15">
    <cfRule type="cellIs" dxfId="398" priority="78" operator="greaterThan">
      <formula>0</formula>
    </cfRule>
  </conditionalFormatting>
  <conditionalFormatting sqref="P14:P15">
    <cfRule type="cellIs" dxfId="397" priority="81" operator="lessThan">
      <formula>0</formula>
    </cfRule>
  </conditionalFormatting>
  <conditionalFormatting sqref="Q14:Q15">
    <cfRule type="cellIs" dxfId="396" priority="79" operator="greaterThan">
      <formula>1</formula>
    </cfRule>
    <cfRule type="cellIs" dxfId="395" priority="80" operator="lessThan">
      <formula>0.8</formula>
    </cfRule>
  </conditionalFormatting>
  <conditionalFormatting sqref="R14:R15 AC14:AC15">
    <cfRule type="cellIs" dxfId="394" priority="82" operator="lessThan">
      <formula>0.8</formula>
    </cfRule>
  </conditionalFormatting>
  <conditionalFormatting sqref="O10">
    <cfRule type="cellIs" dxfId="393" priority="74" operator="greaterThan">
      <formula>0</formula>
    </cfRule>
  </conditionalFormatting>
  <conditionalFormatting sqref="P10">
    <cfRule type="cellIs" dxfId="392" priority="77" operator="lessThan">
      <formula>0</formula>
    </cfRule>
  </conditionalFormatting>
  <conditionalFormatting sqref="Q10">
    <cfRule type="cellIs" dxfId="391" priority="75" operator="greaterThan">
      <formula>1</formula>
    </cfRule>
    <cfRule type="cellIs" dxfId="390" priority="76" operator="lessThan">
      <formula>0.8</formula>
    </cfRule>
  </conditionalFormatting>
  <conditionalFormatting sqref="O63">
    <cfRule type="cellIs" dxfId="389" priority="69" operator="greaterThan">
      <formula>0</formula>
    </cfRule>
  </conditionalFormatting>
  <conditionalFormatting sqref="P63 AA63">
    <cfRule type="cellIs" dxfId="388" priority="72" operator="lessThan">
      <formula>0</formula>
    </cfRule>
  </conditionalFormatting>
  <conditionalFormatting sqref="Q63 AB63">
    <cfRule type="cellIs" dxfId="387" priority="70" operator="greaterThan">
      <formula>1</formula>
    </cfRule>
    <cfRule type="cellIs" dxfId="386" priority="71" operator="lessThan">
      <formula>0.8</formula>
    </cfRule>
  </conditionalFormatting>
  <conditionalFormatting sqref="R63 AC63">
    <cfRule type="cellIs" dxfId="385" priority="73" operator="lessThan">
      <formula>0.8</formula>
    </cfRule>
  </conditionalFormatting>
  <conditionalFormatting sqref="O72">
    <cfRule type="cellIs" dxfId="384" priority="64" operator="greaterThan">
      <formula>0</formula>
    </cfRule>
  </conditionalFormatting>
  <conditionalFormatting sqref="P72">
    <cfRule type="cellIs" dxfId="383" priority="67" operator="lessThan">
      <formula>0</formula>
    </cfRule>
  </conditionalFormatting>
  <conditionalFormatting sqref="Q72">
    <cfRule type="cellIs" dxfId="382" priority="65" operator="greaterThan">
      <formula>1</formula>
    </cfRule>
    <cfRule type="cellIs" dxfId="381" priority="66" operator="lessThan">
      <formula>0.8</formula>
    </cfRule>
  </conditionalFormatting>
  <conditionalFormatting sqref="R72">
    <cfRule type="cellIs" dxfId="380" priority="68" operator="lessThan">
      <formula>0.8</formula>
    </cfRule>
  </conditionalFormatting>
  <conditionalFormatting sqref="O16">
    <cfRule type="cellIs" dxfId="379" priority="59" operator="greaterThan">
      <formula>0</formula>
    </cfRule>
  </conditionalFormatting>
  <conditionalFormatting sqref="P16">
    <cfRule type="cellIs" dxfId="378" priority="62" operator="lessThan">
      <formula>0</formula>
    </cfRule>
  </conditionalFormatting>
  <conditionalFormatting sqref="Q16">
    <cfRule type="cellIs" dxfId="377" priority="60" operator="greaterThan">
      <formula>1</formula>
    </cfRule>
    <cfRule type="cellIs" dxfId="376" priority="61" operator="lessThan">
      <formula>0.8</formula>
    </cfRule>
  </conditionalFormatting>
  <conditionalFormatting sqref="R16 AC16">
    <cfRule type="cellIs" dxfId="375" priority="63" operator="lessThan">
      <formula>0.8</formula>
    </cfRule>
  </conditionalFormatting>
  <conditionalFormatting sqref="O48">
    <cfRule type="cellIs" dxfId="374" priority="53" operator="greaterThan">
      <formula>0</formula>
    </cfRule>
  </conditionalFormatting>
  <conditionalFormatting sqref="P48">
    <cfRule type="cellIs" dxfId="373" priority="57" operator="lessThan">
      <formula>0</formula>
    </cfRule>
  </conditionalFormatting>
  <conditionalFormatting sqref="Q48">
    <cfRule type="cellIs" dxfId="372" priority="54" operator="greaterThan">
      <formula>1</formula>
    </cfRule>
    <cfRule type="cellIs" dxfId="371" priority="55" operator="lessThan">
      <formula>0.8</formula>
    </cfRule>
  </conditionalFormatting>
  <conditionalFormatting sqref="R48 AC48">
    <cfRule type="cellIs" dxfId="370" priority="58" operator="lessThan">
      <formula>0.8</formula>
    </cfRule>
  </conditionalFormatting>
  <conditionalFormatting sqref="AC48">
    <cfRule type="cellIs" dxfId="369" priority="56" operator="lessThan">
      <formula>0.8</formula>
    </cfRule>
  </conditionalFormatting>
  <conditionalFormatting sqref="O49">
    <cfRule type="cellIs" dxfId="368" priority="47" operator="greaterThan">
      <formula>0</formula>
    </cfRule>
  </conditionalFormatting>
  <conditionalFormatting sqref="P49">
    <cfRule type="cellIs" dxfId="367" priority="51" operator="lessThan">
      <formula>0</formula>
    </cfRule>
  </conditionalFormatting>
  <conditionalFormatting sqref="Q49">
    <cfRule type="cellIs" dxfId="366" priority="48" operator="greaterThan">
      <formula>1</formula>
    </cfRule>
    <cfRule type="cellIs" dxfId="365" priority="49" operator="lessThan">
      <formula>0.8</formula>
    </cfRule>
  </conditionalFormatting>
  <conditionalFormatting sqref="R49 AC49">
    <cfRule type="cellIs" dxfId="364" priority="52" operator="lessThan">
      <formula>0.8</formula>
    </cfRule>
  </conditionalFormatting>
  <conditionalFormatting sqref="AC49">
    <cfRule type="cellIs" dxfId="363" priority="50" operator="lessThan">
      <formula>0.8</formula>
    </cfRule>
  </conditionalFormatting>
  <conditionalFormatting sqref="O50">
    <cfRule type="cellIs" dxfId="362" priority="41" operator="greaterThan">
      <formula>0</formula>
    </cfRule>
  </conditionalFormatting>
  <conditionalFormatting sqref="P50">
    <cfRule type="cellIs" dxfId="361" priority="45" operator="lessThan">
      <formula>0</formula>
    </cfRule>
  </conditionalFormatting>
  <conditionalFormatting sqref="Q50">
    <cfRule type="cellIs" dxfId="360" priority="42" operator="greaterThan">
      <formula>1</formula>
    </cfRule>
    <cfRule type="cellIs" dxfId="359" priority="43" operator="lessThan">
      <formula>0.8</formula>
    </cfRule>
  </conditionalFormatting>
  <conditionalFormatting sqref="R50 AC50">
    <cfRule type="cellIs" dxfId="358" priority="46" operator="lessThan">
      <formula>0.8</formula>
    </cfRule>
  </conditionalFormatting>
  <conditionalFormatting sqref="AC50">
    <cfRule type="cellIs" dxfId="357" priority="44" operator="lessThan">
      <formula>0.8</formula>
    </cfRule>
  </conditionalFormatting>
  <conditionalFormatting sqref="O51">
    <cfRule type="cellIs" dxfId="356" priority="35" operator="greaterThan">
      <formula>0</formula>
    </cfRule>
  </conditionalFormatting>
  <conditionalFormatting sqref="P51">
    <cfRule type="cellIs" dxfId="355" priority="39" operator="lessThan">
      <formula>0</formula>
    </cfRule>
  </conditionalFormatting>
  <conditionalFormatting sqref="Q51">
    <cfRule type="cellIs" dxfId="354" priority="36" operator="greaterThan">
      <formula>1</formula>
    </cfRule>
    <cfRule type="cellIs" dxfId="353" priority="37" operator="lessThan">
      <formula>0.8</formula>
    </cfRule>
  </conditionalFormatting>
  <conditionalFormatting sqref="R51 AC51">
    <cfRule type="cellIs" dxfId="352" priority="40" operator="lessThan">
      <formula>0.8</formula>
    </cfRule>
  </conditionalFormatting>
  <conditionalFormatting sqref="AC51">
    <cfRule type="cellIs" dxfId="351" priority="38" operator="lessThan">
      <formula>0.8</formula>
    </cfRule>
  </conditionalFormatting>
  <conditionalFormatting sqref="O52">
    <cfRule type="cellIs" dxfId="350" priority="29" operator="greaterThan">
      <formula>0</formula>
    </cfRule>
  </conditionalFormatting>
  <conditionalFormatting sqref="P52">
    <cfRule type="cellIs" dxfId="349" priority="33" operator="lessThan">
      <formula>0</formula>
    </cfRule>
  </conditionalFormatting>
  <conditionalFormatting sqref="Q52">
    <cfRule type="cellIs" dxfId="348" priority="30" operator="greaterThan">
      <formula>1</formula>
    </cfRule>
    <cfRule type="cellIs" dxfId="347" priority="31" operator="lessThan">
      <formula>0.8</formula>
    </cfRule>
  </conditionalFormatting>
  <conditionalFormatting sqref="R52 AC52">
    <cfRule type="cellIs" dxfId="346" priority="34" operator="lessThan">
      <formula>0.8</formula>
    </cfRule>
  </conditionalFormatting>
  <conditionalFormatting sqref="AC52">
    <cfRule type="cellIs" dxfId="345" priority="32" operator="lessThan">
      <formula>0.8</formula>
    </cfRule>
  </conditionalFormatting>
  <conditionalFormatting sqref="O62">
    <cfRule type="cellIs" dxfId="344" priority="24" operator="greaterThan">
      <formula>0</formula>
    </cfRule>
  </conditionalFormatting>
  <conditionalFormatting sqref="P62 AA62">
    <cfRule type="cellIs" dxfId="343" priority="27" operator="lessThan">
      <formula>0</formula>
    </cfRule>
  </conditionalFormatting>
  <conditionalFormatting sqref="Q62 AB62">
    <cfRule type="cellIs" dxfId="342" priority="25" operator="greaterThan">
      <formula>1</formula>
    </cfRule>
    <cfRule type="cellIs" dxfId="341" priority="26" operator="lessThan">
      <formula>0.8</formula>
    </cfRule>
  </conditionalFormatting>
  <conditionalFormatting sqref="R62 AC62">
    <cfRule type="cellIs" dxfId="340" priority="28" operator="lessThan">
      <formula>0.8</formula>
    </cfRule>
  </conditionalFormatting>
  <conditionalFormatting sqref="P8">
    <cfRule type="cellIs" dxfId="339" priority="23" operator="lessThan">
      <formula>0</formula>
    </cfRule>
  </conditionalFormatting>
  <conditionalFormatting sqref="P17">
    <cfRule type="cellIs" dxfId="338" priority="22" operator="lessThan">
      <formula>0</formula>
    </cfRule>
  </conditionalFormatting>
  <conditionalFormatting sqref="P23">
    <cfRule type="cellIs" dxfId="337" priority="21" operator="lessThan">
      <formula>0</formula>
    </cfRule>
  </conditionalFormatting>
  <conditionalFormatting sqref="P32">
    <cfRule type="cellIs" dxfId="336" priority="20" operator="lessThan">
      <formula>0</formula>
    </cfRule>
  </conditionalFormatting>
  <conditionalFormatting sqref="P53">
    <cfRule type="cellIs" dxfId="335" priority="19" operator="lessThan">
      <formula>0</formula>
    </cfRule>
  </conditionalFormatting>
  <conditionalFormatting sqref="P60">
    <cfRule type="cellIs" dxfId="334" priority="18" operator="lessThan">
      <formula>0</formula>
    </cfRule>
  </conditionalFormatting>
  <conditionalFormatting sqref="P65">
    <cfRule type="cellIs" dxfId="333" priority="17" operator="lessThan">
      <formula>0</formula>
    </cfRule>
  </conditionalFormatting>
  <conditionalFormatting sqref="P76">
    <cfRule type="cellIs" dxfId="332" priority="16" operator="lessThan">
      <formula>0</formula>
    </cfRule>
  </conditionalFormatting>
  <conditionalFormatting sqref="O73">
    <cfRule type="cellIs" dxfId="331" priority="11" operator="greaterThan">
      <formula>0</formula>
    </cfRule>
  </conditionalFormatting>
  <conditionalFormatting sqref="P73">
    <cfRule type="cellIs" dxfId="330" priority="14" operator="lessThan">
      <formula>0</formula>
    </cfRule>
  </conditionalFormatting>
  <conditionalFormatting sqref="Q73">
    <cfRule type="cellIs" dxfId="329" priority="12" operator="greaterThan">
      <formula>1</formula>
    </cfRule>
    <cfRule type="cellIs" dxfId="328" priority="13" operator="lessThan">
      <formula>0.8</formula>
    </cfRule>
  </conditionalFormatting>
  <conditionalFormatting sqref="R73">
    <cfRule type="cellIs" dxfId="327" priority="15" operator="lessThan">
      <formula>0.8</formula>
    </cfRule>
  </conditionalFormatting>
  <conditionalFormatting sqref="O74">
    <cfRule type="cellIs" dxfId="326" priority="6" operator="greaterThan">
      <formula>0</formula>
    </cfRule>
  </conditionalFormatting>
  <conditionalFormatting sqref="P74">
    <cfRule type="cellIs" dxfId="325" priority="9" operator="lessThan">
      <formula>0</formula>
    </cfRule>
  </conditionalFormatting>
  <conditionalFormatting sqref="Q74">
    <cfRule type="cellIs" dxfId="324" priority="7" operator="greaterThan">
      <formula>1</formula>
    </cfRule>
    <cfRule type="cellIs" dxfId="323" priority="8" operator="lessThan">
      <formula>0.8</formula>
    </cfRule>
  </conditionalFormatting>
  <conditionalFormatting sqref="R74">
    <cfRule type="cellIs" dxfId="322" priority="10" operator="lessThan">
      <formula>0.8</formula>
    </cfRule>
  </conditionalFormatting>
  <conditionalFormatting sqref="O75">
    <cfRule type="cellIs" dxfId="321" priority="1" operator="greaterThan">
      <formula>0</formula>
    </cfRule>
  </conditionalFormatting>
  <conditionalFormatting sqref="P75">
    <cfRule type="cellIs" dxfId="320" priority="4" operator="lessThan">
      <formula>0</formula>
    </cfRule>
  </conditionalFormatting>
  <conditionalFormatting sqref="Q75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R75">
    <cfRule type="cellIs" dxfId="317" priority="5" operator="lessThan">
      <formula>0.8</formula>
    </cfRule>
  </conditionalFormatting>
  <dataValidations count="1">
    <dataValidation type="list" allowBlank="1" showInputMessage="1" showErrorMessage="1" sqref="Z8 Y5:Z7 Y8:Y64 Z10:Z61 Y65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255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256</v>
      </c>
      <c r="C3" s="497" t="str">
        <f>TEXT('1103 4度C'!A2,"yyyy.mm.ddaaaa")</f>
        <v>2025.11.03星期一</v>
      </c>
      <c r="D3" s="498"/>
      <c r="E3" s="4" t="s">
        <v>257</v>
      </c>
      <c r="F3" s="499">
        <f>'1103 4度C'!D1</f>
        <v>197925</v>
      </c>
      <c r="G3" s="500"/>
      <c r="H3" s="4" t="s">
        <v>258</v>
      </c>
      <c r="I3" s="501">
        <f>'1103 4度C'!F1</f>
        <v>6511197.0200000005</v>
      </c>
      <c r="J3" s="502"/>
      <c r="K3" s="5"/>
      <c r="L3" s="6"/>
      <c r="M3" s="7"/>
      <c r="N3" s="7"/>
    </row>
    <row r="4" spans="2:17" ht="28.5" customHeight="1">
      <c r="B4" s="503" t="s">
        <v>259</v>
      </c>
      <c r="C4" s="485" t="s">
        <v>260</v>
      </c>
      <c r="D4" s="486"/>
      <c r="E4" s="506" t="s">
        <v>261</v>
      </c>
      <c r="F4" s="507"/>
      <c r="G4" s="506" t="s">
        <v>262</v>
      </c>
      <c r="H4" s="507"/>
      <c r="I4" s="506" t="s">
        <v>263</v>
      </c>
      <c r="J4" s="507"/>
      <c r="L4" s="7"/>
      <c r="M4" s="7"/>
      <c r="N4" s="7"/>
    </row>
    <row r="5" spans="2:17" ht="28.5" customHeight="1">
      <c r="B5" s="504"/>
      <c r="C5" s="485" t="s">
        <v>264</v>
      </c>
      <c r="D5" s="486"/>
      <c r="E5" s="485" t="s">
        <v>265</v>
      </c>
      <c r="F5" s="486"/>
      <c r="G5" s="487" t="s">
        <v>266</v>
      </c>
      <c r="H5" s="488"/>
      <c r="I5" s="489" t="s">
        <v>267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149.52914196241031</v>
      </c>
      <c r="F6" s="492">
        <f>AVERAGE(D27:O27,D13:J13)</f>
        <v>154.15929666540882</v>
      </c>
      <c r="G6" s="493">
        <f>AVERAGE(D13:J13)</f>
        <v>154.15929666540882</v>
      </c>
      <c r="H6" s="494"/>
      <c r="I6" s="493">
        <f>AVERAGE(K13:M13)</f>
        <v>138.7254476554138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142.99493499014358</v>
      </c>
      <c r="F7" s="478">
        <f>AVERAGE(D28:O28,D14:J14)</f>
        <v>147.40531145021149</v>
      </c>
      <c r="G7" s="479">
        <f>AVERAGE(D14:J14)</f>
        <v>147.40531145021149</v>
      </c>
      <c r="H7" s="480"/>
      <c r="I7" s="479">
        <f>AVERAGE(K14:M14)</f>
        <v>132.70405658331836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0.95595038129373344</v>
      </c>
      <c r="F8" s="482">
        <f>AVERAGE(D15:J15,D29:O29)</f>
        <v>0.95569033137382842</v>
      </c>
      <c r="G8" s="483">
        <f>AVERAGE(D15:J15)</f>
        <v>0.95569033137382842</v>
      </c>
      <c r="H8" s="484"/>
      <c r="I8" s="483">
        <f>AVERAGE(K15:M15)</f>
        <v>0.9565571644401788</v>
      </c>
      <c r="J8" s="484"/>
      <c r="K8" s="8" t="s">
        <v>268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269</v>
      </c>
      <c r="C10" s="459"/>
      <c r="D10" s="460" t="s">
        <v>270</v>
      </c>
      <c r="E10" s="461"/>
      <c r="F10" s="461"/>
      <c r="G10" s="461"/>
      <c r="H10" s="461"/>
      <c r="I10" s="461"/>
      <c r="J10" s="462"/>
      <c r="K10" s="463" t="s">
        <v>271</v>
      </c>
      <c r="L10" s="464"/>
      <c r="M10" s="465"/>
      <c r="P10" s="11"/>
      <c r="Q10" s="11"/>
    </row>
    <row r="11" spans="2:17" ht="17.25" customHeight="1">
      <c r="B11" s="466" t="s">
        <v>272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273</v>
      </c>
      <c r="C13" s="18" t="s">
        <v>274</v>
      </c>
      <c r="D13" s="19">
        <f>SUMIFS('1103 4度C'!$K:$K,'1103 4度C'!$A:$A,"新豐6線",'1103 4度C'!$B:$B,"平均")</f>
        <v>125</v>
      </c>
      <c r="E13" s="20">
        <f>SUMIFS('1103 4度C'!$K:$K,'1103 4度C'!$A:$A,"新豐2線",'1103 4度C'!$B:$B,"平均")</f>
        <v>81.081081081081081</v>
      </c>
      <c r="F13" s="21">
        <f>SUMIFS('1103 4度C'!$K:$K,'1103 4度C'!$A:$A,"新豐5線",'1103 4度C'!$B:$B,"平均")</f>
        <v>91.397849462365585</v>
      </c>
      <c r="G13" s="21">
        <f>SUMIFS('1103 4度C'!$K:$K,'1103 4度C'!$A:$A,"新豐7線",'1103 4度C'!$B:$B,"平均")</f>
        <v>121.95121951219514</v>
      </c>
      <c r="H13" s="21">
        <f>SUMIFS('1103 4度C'!$K:$K,'1103 4度C'!$A:$A,"新豐3線",'1103 4度C'!$B:$B,"平均")</f>
        <v>271.92982456140351</v>
      </c>
      <c r="I13" s="21">
        <f>SUMIFS('1103 4度C'!$K:$K,'1103 4度C'!$A:$A,"新豐1線",'1103 4度C'!$B:$B,"平均")</f>
        <v>112.24489795918367</v>
      </c>
      <c r="J13" s="22">
        <f>SUMIFS('1103 4度C'!$K:$K,'1103 4度C'!$A:$A,"新豐10線",'1103 4度C'!$B:$B,"平均")</f>
        <v>275.51020408163265</v>
      </c>
      <c r="K13" s="23">
        <f>SUMIFS('1103 4度C'!$K:$K,'1103 4度C'!$A:$A,"新豐8線",'1103 4度C'!$B:$B,"平均")</f>
        <v>133.33333333333334</v>
      </c>
      <c r="L13" s="24">
        <f>SUMIFS('1103 4度C'!$K:$K,'1103 4度C'!$A:$A,"新豐9線",'1103 4度C'!$B:$B,"平均")</f>
        <v>139.13043478260869</v>
      </c>
      <c r="M13" s="22">
        <f>SUMIFS('1103 4度C'!$K:$K,'1103 4度C'!$A:$A,"新豐4線",'1103 4度C'!$B:$B,"平均")</f>
        <v>143.7125748502994</v>
      </c>
    </row>
    <row r="14" spans="2:17" ht="39.6" customHeight="1">
      <c r="B14" s="471"/>
      <c r="C14" s="25" t="s">
        <v>275</v>
      </c>
      <c r="D14" s="26">
        <f>SUMIFS('1103 4度C'!$N:$N,'1103 4度C'!$A:$A,"新豐6線",'1103 4度C'!$B:$B,"平均")</f>
        <v>119.38314201986073</v>
      </c>
      <c r="E14" s="27">
        <f>SUMIFS('1103 4度C'!$N:$N,'1103 4度C'!$A:$A,"新豐2線",'1103 4度C'!$B:$B,"平均")</f>
        <v>77.210686917817611</v>
      </c>
      <c r="F14" s="27">
        <f>SUMIFS('1103 4度C'!$N:$N,'1103 4度C'!$A:$A,"新豐5線",'1103 4度C'!$B:$B,"平均")</f>
        <v>87.44286202093943</v>
      </c>
      <c r="G14" s="27">
        <f>SUMIFS('1103 4度C'!$N:$N,'1103 4度C'!$A:$A,"新豐7線",'1103 4度C'!$B:$B,"平均")</f>
        <v>116.66143844137771</v>
      </c>
      <c r="H14" s="27">
        <f>SUMIFS('1103 4度C'!$N:$N,'1103 4度C'!$A:$A,"新豐3線",'1103 4度C'!$B:$B,"平均")</f>
        <v>260.1624298720231</v>
      </c>
      <c r="I14" s="27">
        <f>SUMIFS('1103 4度C'!$N:$N,'1103 4度C'!$A:$A,"新豐1線",'1103 4度C'!$B:$B,"平均")</f>
        <v>107.19206849106062</v>
      </c>
      <c r="J14" s="28">
        <f>SUMIFS('1103 4度C'!$N:$N,'1103 4度C'!$A:$A,"新豐10線",'1103 4度C'!$B:$B,"平均")</f>
        <v>263.78455238840138</v>
      </c>
      <c r="K14" s="29">
        <f>SUMIFS('1103 4度C'!$N:$N,'1103 4度C'!$A:$A,"新豐8線",'1103 4度C'!$B:$B,"平均")</f>
        <v>127.47045053065192</v>
      </c>
      <c r="L14" s="30">
        <f>SUMIFS('1103 4度C'!$N:$N,'1103 4度C'!$A:$A,"新豐9線",'1103 4度C'!$B:$B,"平均")</f>
        <v>132.77593355488904</v>
      </c>
      <c r="M14" s="28">
        <f>SUMIFS('1103 4度C'!$N:$N,'1103 4度C'!$A:$A,"新豐4線",'1103 4度C'!$B:$B,"平均")</f>
        <v>137.86578566441418</v>
      </c>
    </row>
    <row r="15" spans="2:17" ht="40.15" customHeight="1">
      <c r="B15" s="472"/>
      <c r="C15" s="31" t="s">
        <v>276</v>
      </c>
      <c r="D15" s="32">
        <f t="shared" ref="D15:M15" si="0">D14/D13</f>
        <v>0.95506513615888577</v>
      </c>
      <c r="E15" s="33">
        <f t="shared" si="0"/>
        <v>0.95226513865308382</v>
      </c>
      <c r="F15" s="33">
        <f t="shared" si="0"/>
        <v>0.95672778446439621</v>
      </c>
      <c r="G15" s="33">
        <f t="shared" si="0"/>
        <v>0.95662379521929708</v>
      </c>
      <c r="H15" s="33">
        <f t="shared" si="0"/>
        <v>0.95672635501324621</v>
      </c>
      <c r="I15" s="33">
        <f t="shared" si="0"/>
        <v>0.9549838829203583</v>
      </c>
      <c r="J15" s="34">
        <f t="shared" si="0"/>
        <v>0.95744022718753097</v>
      </c>
      <c r="K15" s="32">
        <f t="shared" si="0"/>
        <v>0.95602837897988935</v>
      </c>
      <c r="L15" s="33">
        <f t="shared" si="0"/>
        <v>0.95432702242576495</v>
      </c>
      <c r="M15" s="34">
        <f t="shared" si="0"/>
        <v>0.95931609191488199</v>
      </c>
    </row>
    <row r="16" spans="2:17" ht="17.25" customHeight="1">
      <c r="B16" s="473" t="s">
        <v>277</v>
      </c>
      <c r="C16" s="35" t="s">
        <v>278</v>
      </c>
      <c r="D16" s="49">
        <f>VLOOKUP("新豐6線",'1103 4度C'!$A:$T,19,0)</f>
        <v>0.70833333333333337</v>
      </c>
      <c r="E16" s="50">
        <f>VLOOKUP("新豐2線",'1103 4度C'!$A:$T,19,0)</f>
        <v>0.20833333333333334</v>
      </c>
      <c r="F16" s="50">
        <f>VLOOKUP("新豐5線",'1103 4度C'!$A:$T,19,0)</f>
        <v>0.125</v>
      </c>
      <c r="G16" s="50">
        <f>VLOOKUP("新豐7線",'1103 4度C'!$A:$T,19,0)</f>
        <v>0.20833333333333334</v>
      </c>
      <c r="H16" s="50">
        <f>VLOOKUP("新豐3線",'1103 4度C'!$A:$T,19,0)</f>
        <v>0.125</v>
      </c>
      <c r="I16" s="50">
        <f>VLOOKUP("新豐1線",'1103 4度C'!$A:$T,19,0)</f>
        <v>0.20833333333333334</v>
      </c>
      <c r="J16" s="51">
        <f>VLOOKUP("新豐10線",'1103 4度C'!$A:$T,19,0)</f>
        <v>0.20833333333333334</v>
      </c>
      <c r="K16" s="36">
        <f>VLOOKUP("新豐8線",'1103 4度C'!$A:$T,19,0)</f>
        <v>0.125</v>
      </c>
      <c r="L16" s="37">
        <f>VLOOKUP("新豐9線",'1103 4度C'!$A:$T,19,0)</f>
        <v>0.125</v>
      </c>
      <c r="M16" s="38">
        <f>VLOOKUP("新豐4線",'1103 4度C'!$A:$T,19,0)</f>
        <v>0.125</v>
      </c>
    </row>
    <row r="17" spans="2:13" ht="17.25" customHeight="1">
      <c r="B17" s="474"/>
      <c r="C17" s="35" t="s">
        <v>279</v>
      </c>
      <c r="D17" s="36">
        <f>LOOKUP(2,1/(('1103 4度C'!$A:$A="新豐6線")*('1103 4度C'!$T:$T&lt;&gt;"")),'1103 4度C'!$T:$T)</f>
        <v>0.83819444444444446</v>
      </c>
      <c r="E17" s="50">
        <f>LOOKUP(2,1/(('1103 4度C'!$A:$A="新豐2線")*('1103 4度C'!$T:$T&lt;&gt;"")),'1103 4度C'!$T:$T)</f>
        <v>0.48958333333333337</v>
      </c>
      <c r="F17" s="50">
        <f>LOOKUP(2,1/(('1103 4度C'!$A:$A="新豐5線")*('1103 4度C'!$T:$T&lt;&gt;"")),'1103 4度C'!$T:$T)</f>
        <v>0.85347222222222219</v>
      </c>
      <c r="G17" s="50">
        <f>LOOKUP(2,1/(('1103 4度C'!$A:$A="新豐7線")*('1103 4度C'!$T:$T&lt;&gt;"")),'1103 4度C'!$T:$T)</f>
        <v>0.81666666666666676</v>
      </c>
      <c r="H17" s="50">
        <f>LOOKUP(2,1/(('1103 4度C'!$A:$A="新豐3線")*('1103 4度C'!$T:$T&lt;&gt;"")),'1103 4度C'!$T:$T)</f>
        <v>0.77361111111111092</v>
      </c>
      <c r="I17" s="50">
        <f>LOOKUP(2,1/(('1103 4度C'!$A:$A="新豐1線")*('1103 4度C'!$T:$T&lt;&gt;"")),'1103 4度C'!$T:$T)</f>
        <v>0.93611111111111112</v>
      </c>
      <c r="J17" s="51">
        <f>LOOKUP(2,1/(('1103 4度C'!$A:$A="新豐10線")*('1103 4度C'!$T:$T&lt;&gt;"")),'1103 4度C'!$T:$T)</f>
        <v>0.49374999999999997</v>
      </c>
      <c r="K17" s="49">
        <f>LOOKUP(2,1/(('1103 4度C'!$A:$A="新豐8線")*('1103 4度C'!$T:$T&lt;&gt;"")),'1103 4度C'!$T:$T)</f>
        <v>0.77708333333333324</v>
      </c>
      <c r="L17" s="50">
        <f>LOOKUP(2,1/(('1103 4度C'!$A:$A="新豐9線")*('1103 4度C'!$T:$T&lt;&gt;"")),'1103 4度C'!$T:$T)</f>
        <v>0.79097222222222208</v>
      </c>
      <c r="M17" s="51">
        <f>LOOKUP(2,1/(('1103 4度C'!$A:$A="新豐4線")*('1103 4度C'!$T:$T&lt;&gt;"")),'1103 4度C'!$T:$T)</f>
        <v>0.74722222222222212</v>
      </c>
    </row>
    <row r="18" spans="2:13" ht="17.25" customHeight="1">
      <c r="B18" s="452" t="s">
        <v>280</v>
      </c>
      <c r="C18" s="453"/>
      <c r="D18" s="39">
        <f>SUMIFS('1103 4度C'!$I:$I,'1103 4度C'!$A:$A,"新豐6線",'1103 4度C'!$B:$B,"平均")</f>
        <v>16</v>
      </c>
      <c r="E18" s="40">
        <f>SUMIFS('1103 4度C'!$I:$I,'1103 4度C'!$A:$A,"新豐2線",'1103 4度C'!$B:$B,"平均")</f>
        <v>18.5</v>
      </c>
      <c r="F18" s="40">
        <f>SUMIFS('1103 4度C'!$I:$I,'1103 4度C'!$A:$A,"新豐5線",'1103 4度C'!$B:$B,"平均")</f>
        <v>18.600000000000001</v>
      </c>
      <c r="G18" s="40">
        <f>SUMIFS('1103 4度C'!$I:$I,'1103 4度C'!$A:$A,"新豐7線",'1103 4度C'!$B:$B,"平均")</f>
        <v>16.399999999999999</v>
      </c>
      <c r="H18" s="40">
        <f>SUMIFS('1103 4度C'!$I:$I,'1103 4度C'!$A:$A,"新豐3線",'1103 4度C'!$B:$B,"平均")</f>
        <v>10.363636363636363</v>
      </c>
      <c r="I18" s="40">
        <f>SUMIFS('1103 4度C'!$I:$I,'1103 4度C'!$A:$A,"新豐1線",'1103 4度C'!$B:$B,"平均")</f>
        <v>16.333333333333332</v>
      </c>
      <c r="J18" s="41">
        <f>SUMIFS('1103 4度C'!$I:$I,'1103 4度C'!$A:$A,"新豐10線",'1103 4度C'!$B:$B,"平均")</f>
        <v>9.8000000000000007</v>
      </c>
      <c r="K18" s="39">
        <f>SUMIFS('1103 4度C'!$I:$I,'1103 4度C'!$A:$A,"新豐8線",'1103 4度C'!$B:$B,"平均")</f>
        <v>18</v>
      </c>
      <c r="L18" s="40">
        <f>SUMIFS('1103 4度C'!$I:$I,'1103 4度C'!$A:$A,"新豐9線",'1103 4度C'!$B:$B,"平均")</f>
        <v>17.25</v>
      </c>
      <c r="M18" s="41">
        <f>SUMIFS('1103 4度C'!$I:$I,'1103 4度C'!$A:$A,"新豐4線",'1103 4度C'!$B:$B,"平均")</f>
        <v>16.7</v>
      </c>
    </row>
    <row r="19" spans="2:13" ht="17.25" customHeight="1">
      <c r="B19" s="452" t="s">
        <v>281</v>
      </c>
      <c r="C19" s="453"/>
      <c r="D19" s="42" t="s">
        <v>65</v>
      </c>
      <c r="E19" s="43" t="s">
        <v>66</v>
      </c>
      <c r="F19" s="43" t="s">
        <v>282</v>
      </c>
      <c r="G19" s="43" t="s">
        <v>282</v>
      </c>
      <c r="H19" s="43" t="s">
        <v>67</v>
      </c>
      <c r="I19" s="43" t="s">
        <v>65</v>
      </c>
      <c r="J19" s="44" t="s">
        <v>67</v>
      </c>
      <c r="K19" s="42" t="s">
        <v>283</v>
      </c>
      <c r="L19" s="43" t="s">
        <v>283</v>
      </c>
      <c r="M19" s="44" t="s">
        <v>284</v>
      </c>
    </row>
    <row r="20" spans="2:13" ht="17.25" customHeight="1">
      <c r="B20" s="452" t="s">
        <v>285</v>
      </c>
      <c r="C20" s="453"/>
      <c r="D20" s="42"/>
      <c r="E20" s="43"/>
      <c r="F20" s="43" t="s">
        <v>286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287</v>
      </c>
      <c r="C21" s="455"/>
      <c r="D21" s="45"/>
      <c r="E21" s="46" t="s">
        <v>288</v>
      </c>
      <c r="F21" s="456" t="s">
        <v>289</v>
      </c>
      <c r="G21" s="457"/>
      <c r="H21" s="46" t="s">
        <v>290</v>
      </c>
      <c r="I21" s="46" t="s">
        <v>291</v>
      </c>
      <c r="J21" s="47" t="s">
        <v>290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31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A9" sqref="A9"/>
      <selection pane="bottomLeft" activeCell="U13" sqref="U13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292</v>
      </c>
      <c r="B1" s="52"/>
      <c r="C1" s="53" t="s">
        <v>293</v>
      </c>
      <c r="D1" s="54">
        <f>SUM(F5:F77)</f>
        <v>197925</v>
      </c>
      <c r="E1" s="105" t="s">
        <v>294</v>
      </c>
      <c r="F1" s="52">
        <f>SUM(G5:G77)</f>
        <v>6511197.0200000005</v>
      </c>
      <c r="G1" s="52" t="s">
        <v>295</v>
      </c>
      <c r="H1" s="55">
        <f>L8+L11+L53+L60+L17+L66+L32+L41+L23+L77</f>
        <v>157.94696969696966</v>
      </c>
      <c r="I1" s="556" t="s">
        <v>296</v>
      </c>
      <c r="J1" s="556"/>
      <c r="K1" s="556"/>
      <c r="L1" s="556" t="s">
        <v>297</v>
      </c>
      <c r="M1" s="556"/>
      <c r="N1" s="556"/>
      <c r="O1" s="556" t="s">
        <v>298</v>
      </c>
      <c r="P1" s="556"/>
      <c r="Q1" s="556"/>
      <c r="R1" s="556"/>
      <c r="S1" s="556" t="s">
        <v>299</v>
      </c>
      <c r="T1" s="556"/>
      <c r="U1" s="556"/>
      <c r="V1" s="556"/>
      <c r="W1" s="556"/>
      <c r="X1" s="556"/>
      <c r="Y1" s="556" t="s">
        <v>300</v>
      </c>
      <c r="Z1" s="556"/>
      <c r="AA1" s="556" t="s">
        <v>301</v>
      </c>
      <c r="AB1" s="557"/>
      <c r="AC1" s="557"/>
    </row>
    <row r="2" spans="1:29" ht="26.25" customHeight="1">
      <c r="A2" s="57">
        <v>45964</v>
      </c>
      <c r="B2" s="58" t="s">
        <v>302</v>
      </c>
      <c r="C2" s="53" t="s">
        <v>303</v>
      </c>
      <c r="D2" s="59">
        <f>AVERAGE(N8,N11,N53,N60,N17,N66,N23,N32,N41,N77)</f>
        <v>142.99493499014358</v>
      </c>
      <c r="E2" s="60" t="s">
        <v>0</v>
      </c>
      <c r="F2" s="61">
        <f>F1/D1</f>
        <v>32.897294530756604</v>
      </c>
      <c r="G2" s="52" t="s">
        <v>304</v>
      </c>
      <c r="H2" s="112">
        <f>COUNT(H5:H77)</f>
        <v>14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305</v>
      </c>
      <c r="B3" s="510" t="s">
        <v>306</v>
      </c>
      <c r="C3" s="510" t="s">
        <v>307</v>
      </c>
      <c r="D3" s="510"/>
      <c r="E3" s="554" t="s">
        <v>308</v>
      </c>
      <c r="F3" s="510" t="s">
        <v>309</v>
      </c>
      <c r="G3" s="554" t="s">
        <v>310</v>
      </c>
      <c r="H3" s="547" t="s">
        <v>311</v>
      </c>
      <c r="I3" s="545" t="s">
        <v>312</v>
      </c>
      <c r="J3" s="550" t="s">
        <v>313</v>
      </c>
      <c r="K3" s="552" t="s">
        <v>303</v>
      </c>
      <c r="L3" s="545" t="s">
        <v>312</v>
      </c>
      <c r="M3" s="550" t="s">
        <v>313</v>
      </c>
      <c r="N3" s="552" t="s">
        <v>303</v>
      </c>
      <c r="O3" s="545" t="s">
        <v>312</v>
      </c>
      <c r="P3" s="552" t="s">
        <v>303</v>
      </c>
      <c r="Q3" s="551" t="s">
        <v>314</v>
      </c>
      <c r="R3" s="523" t="s">
        <v>315</v>
      </c>
      <c r="S3" s="510" t="s">
        <v>1</v>
      </c>
      <c r="T3" s="510"/>
      <c r="U3" s="547" t="s">
        <v>2</v>
      </c>
      <c r="V3" s="547" t="s">
        <v>316</v>
      </c>
      <c r="W3" s="510" t="s">
        <v>317</v>
      </c>
      <c r="X3" s="510"/>
      <c r="Y3" s="548" t="s">
        <v>318</v>
      </c>
      <c r="Z3" s="549"/>
      <c r="AA3" s="550" t="s">
        <v>313</v>
      </c>
      <c r="AB3" s="551" t="s">
        <v>314</v>
      </c>
      <c r="AC3" s="523" t="s">
        <v>315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105" t="s">
        <v>3</v>
      </c>
      <c r="T4" s="105" t="s">
        <v>4</v>
      </c>
      <c r="U4" s="547"/>
      <c r="V4" s="547"/>
      <c r="W4" s="105" t="s">
        <v>319</v>
      </c>
      <c r="X4" s="105" t="s">
        <v>320</v>
      </c>
      <c r="Y4" s="549"/>
      <c r="Z4" s="549"/>
      <c r="AA4" s="550"/>
      <c r="AB4" s="551"/>
      <c r="AC4" s="523"/>
    </row>
    <row r="5" spans="1:29">
      <c r="A5" s="544" t="s">
        <v>321</v>
      </c>
      <c r="B5" s="62" t="s">
        <v>6</v>
      </c>
      <c r="C5" s="546" t="s">
        <v>7</v>
      </c>
      <c r="D5" s="546"/>
      <c r="E5" s="62">
        <v>46.93</v>
      </c>
      <c r="F5" s="80">
        <v>1046</v>
      </c>
      <c r="G5" s="105">
        <f t="shared" ref="G5:G7" si="0">E5*F5</f>
        <v>49088.78</v>
      </c>
      <c r="H5" s="90" t="s">
        <v>5</v>
      </c>
      <c r="I5" s="110">
        <v>16</v>
      </c>
      <c r="J5" s="63">
        <v>2000</v>
      </c>
      <c r="K5" s="64">
        <f t="shared" ref="K5:K68" si="1">J5/I5</f>
        <v>125</v>
      </c>
      <c r="L5" s="110">
        <v>16</v>
      </c>
      <c r="M5" s="65">
        <f t="shared" ref="M5:M7" si="2">F5/V5*60</f>
        <v>1901.8181818181795</v>
      </c>
      <c r="N5" s="64">
        <f t="shared" ref="N5:N68" si="3">M5/L5</f>
        <v>118.86363636363622</v>
      </c>
      <c r="O5" s="66">
        <f t="shared" ref="O5:O68" si="4">L5-I5</f>
        <v>0</v>
      </c>
      <c r="P5" s="67">
        <f t="shared" ref="P5:P68" si="5">N5-K5</f>
        <v>-6.1363636363637823</v>
      </c>
      <c r="Q5" s="106">
        <f t="shared" ref="Q5:Q68" si="6">N5/K5</f>
        <v>0.9509090909090897</v>
      </c>
      <c r="R5" s="511">
        <f>Q8</f>
        <v>0.95506513615888577</v>
      </c>
      <c r="S5" s="68">
        <v>0.70833333333333337</v>
      </c>
      <c r="T5" s="68">
        <v>0.73125000000000007</v>
      </c>
      <c r="U5" s="105"/>
      <c r="V5" s="111">
        <f t="shared" ref="V5:V7" si="7">(T5-S5)*24*60</f>
        <v>33.000000000000043</v>
      </c>
      <c r="W5" s="69"/>
      <c r="X5" s="70"/>
      <c r="Y5" s="510"/>
      <c r="Z5" s="510"/>
      <c r="AA5" s="66">
        <f t="shared" ref="AA5:AA68" si="8">M5-J5</f>
        <v>-98.181818181820518</v>
      </c>
      <c r="AB5" s="106">
        <f t="shared" ref="AB5:AB68" si="9">M5/J5</f>
        <v>0.9509090909090897</v>
      </c>
      <c r="AC5" s="511">
        <f>AB8</f>
        <v>0.95506513615888577</v>
      </c>
    </row>
    <row r="6" spans="1:29">
      <c r="A6" s="545" t="s">
        <v>322</v>
      </c>
      <c r="B6" s="62" t="s">
        <v>6</v>
      </c>
      <c r="C6" s="546" t="s">
        <v>8</v>
      </c>
      <c r="D6" s="546"/>
      <c r="E6" s="62">
        <v>50.49</v>
      </c>
      <c r="F6" s="80">
        <v>2362</v>
      </c>
      <c r="G6" s="105">
        <f t="shared" si="0"/>
        <v>119257.38</v>
      </c>
      <c r="H6" s="90" t="s">
        <v>5</v>
      </c>
      <c r="I6" s="110">
        <v>15</v>
      </c>
      <c r="J6" s="63">
        <v>2000</v>
      </c>
      <c r="K6" s="64">
        <f t="shared" si="1"/>
        <v>133.33333333333334</v>
      </c>
      <c r="L6" s="110">
        <v>15</v>
      </c>
      <c r="M6" s="65">
        <f t="shared" si="2"/>
        <v>1915.1351351351336</v>
      </c>
      <c r="N6" s="64">
        <f t="shared" si="3"/>
        <v>127.67567567567558</v>
      </c>
      <c r="O6" s="66">
        <f t="shared" si="4"/>
        <v>0</v>
      </c>
      <c r="P6" s="67">
        <f t="shared" si="5"/>
        <v>-5.6576576576577651</v>
      </c>
      <c r="Q6" s="106">
        <f t="shared" si="6"/>
        <v>0.95756756756756678</v>
      </c>
      <c r="R6" s="511"/>
      <c r="S6" s="68">
        <v>0.7368055555555556</v>
      </c>
      <c r="T6" s="68">
        <v>0.78819444444444453</v>
      </c>
      <c r="U6" s="105">
        <f t="shared" ref="U6:U7" si="10">IF(S6=TIME(17,0,0),"",(S6-T5)*24*60)</f>
        <v>7.9999999999999716</v>
      </c>
      <c r="V6" s="111">
        <f t="shared" si="7"/>
        <v>74.000000000000057</v>
      </c>
      <c r="W6" s="69"/>
      <c r="X6" s="69"/>
      <c r="Y6" s="510"/>
      <c r="Z6" s="510"/>
      <c r="AA6" s="66">
        <f t="shared" si="8"/>
        <v>-84.864864864866377</v>
      </c>
      <c r="AB6" s="106">
        <f t="shared" si="9"/>
        <v>0.95756756756756678</v>
      </c>
      <c r="AC6" s="511"/>
    </row>
    <row r="7" spans="1:29">
      <c r="A7" s="545" t="s">
        <v>322</v>
      </c>
      <c r="B7" s="62" t="s">
        <v>6</v>
      </c>
      <c r="C7" s="539" t="s">
        <v>9</v>
      </c>
      <c r="D7" s="540"/>
      <c r="E7" s="62">
        <v>50.67</v>
      </c>
      <c r="F7" s="80">
        <v>2041</v>
      </c>
      <c r="G7" s="105">
        <f t="shared" si="0"/>
        <v>103417.47</v>
      </c>
      <c r="H7" s="90" t="s">
        <v>5</v>
      </c>
      <c r="I7" s="110">
        <v>17</v>
      </c>
      <c r="J7" s="63">
        <v>2000</v>
      </c>
      <c r="K7" s="64">
        <f t="shared" si="1"/>
        <v>117.64705882352941</v>
      </c>
      <c r="L7" s="110">
        <v>17</v>
      </c>
      <c r="M7" s="65">
        <f t="shared" si="2"/>
        <v>1913.437500000002</v>
      </c>
      <c r="N7" s="64">
        <f t="shared" si="3"/>
        <v>112.55514705882365</v>
      </c>
      <c r="O7" s="66">
        <f t="shared" si="4"/>
        <v>0</v>
      </c>
      <c r="P7" s="67">
        <f t="shared" si="5"/>
        <v>-5.0919117647057561</v>
      </c>
      <c r="Q7" s="106">
        <f t="shared" si="6"/>
        <v>0.95671875000000106</v>
      </c>
      <c r="R7" s="511"/>
      <c r="S7" s="68">
        <v>0.79375000000000007</v>
      </c>
      <c r="T7" s="68">
        <v>0.83819444444444446</v>
      </c>
      <c r="U7" s="105">
        <f t="shared" si="10"/>
        <v>7.9999999999999716</v>
      </c>
      <c r="V7" s="111">
        <f t="shared" si="7"/>
        <v>63.999999999999929</v>
      </c>
      <c r="W7" s="69"/>
      <c r="X7" s="69"/>
      <c r="Y7" s="517"/>
      <c r="Z7" s="518"/>
      <c r="AA7" s="66">
        <f t="shared" si="8"/>
        <v>-86.562499999997954</v>
      </c>
      <c r="AB7" s="106">
        <f t="shared" si="9"/>
        <v>0.95671875000000106</v>
      </c>
      <c r="AC7" s="511"/>
    </row>
    <row r="8" spans="1:29">
      <c r="A8" s="545" t="s">
        <v>322</v>
      </c>
      <c r="B8" s="62" t="s">
        <v>323</v>
      </c>
      <c r="C8" s="513"/>
      <c r="D8" s="513"/>
      <c r="E8" s="107"/>
      <c r="F8" s="71"/>
      <c r="G8" s="64"/>
      <c r="H8" s="80"/>
      <c r="I8" s="72">
        <v>16</v>
      </c>
      <c r="J8" s="63">
        <v>2000</v>
      </c>
      <c r="K8" s="64">
        <f t="shared" si="1"/>
        <v>125</v>
      </c>
      <c r="L8" s="72">
        <v>16</v>
      </c>
      <c r="M8" s="65">
        <f>AVERAGE(M5:M7)</f>
        <v>1910.1302723177716</v>
      </c>
      <c r="N8" s="64">
        <f t="shared" si="3"/>
        <v>119.38314201986073</v>
      </c>
      <c r="O8" s="66">
        <f t="shared" si="4"/>
        <v>0</v>
      </c>
      <c r="P8" s="67">
        <f t="shared" si="5"/>
        <v>-5.6168579801392724</v>
      </c>
      <c r="Q8" s="106">
        <f t="shared" si="6"/>
        <v>0.95506513615888577</v>
      </c>
      <c r="R8" s="511"/>
      <c r="S8" s="68"/>
      <c r="T8" s="68"/>
      <c r="U8" s="105"/>
      <c r="V8" s="111"/>
      <c r="W8" s="64"/>
      <c r="X8" s="64"/>
      <c r="Y8" s="510"/>
      <c r="Z8" s="510"/>
      <c r="AA8" s="66">
        <f t="shared" si="8"/>
        <v>-89.869727682228358</v>
      </c>
      <c r="AB8" s="106">
        <f t="shared" si="9"/>
        <v>0.95506513615888577</v>
      </c>
      <c r="AC8" s="511"/>
    </row>
    <row r="9" spans="1:29" ht="15.75" customHeight="1">
      <c r="A9" s="543" t="s">
        <v>324</v>
      </c>
      <c r="B9" s="62" t="s">
        <v>10</v>
      </c>
      <c r="C9" s="539" t="s">
        <v>12</v>
      </c>
      <c r="D9" s="540"/>
      <c r="E9" s="62">
        <v>39.36</v>
      </c>
      <c r="F9" s="80">
        <v>2215</v>
      </c>
      <c r="G9" s="105">
        <f t="shared" ref="G9:G10" si="11">E9*F9</f>
        <v>87182.399999999994</v>
      </c>
      <c r="H9" s="90" t="s">
        <v>5</v>
      </c>
      <c r="I9" s="110">
        <v>20</v>
      </c>
      <c r="J9" s="63">
        <v>1500</v>
      </c>
      <c r="K9" s="64">
        <f t="shared" si="1"/>
        <v>75</v>
      </c>
      <c r="L9" s="110">
        <v>20</v>
      </c>
      <c r="M9" s="65">
        <f t="shared" ref="M9:M10" si="12">F9/V9*60</f>
        <v>1429.0322580645156</v>
      </c>
      <c r="N9" s="64">
        <f t="shared" si="3"/>
        <v>71.451612903225779</v>
      </c>
      <c r="O9" s="66">
        <f t="shared" si="4"/>
        <v>0</v>
      </c>
      <c r="P9" s="67">
        <f t="shared" si="5"/>
        <v>-3.5483870967742206</v>
      </c>
      <c r="Q9" s="106">
        <f t="shared" si="6"/>
        <v>0.95268817204301037</v>
      </c>
      <c r="R9" s="511">
        <f>Q11</f>
        <v>0.95226513865308382</v>
      </c>
      <c r="S9" s="68">
        <v>0.20833333333333334</v>
      </c>
      <c r="T9" s="68">
        <v>0.2729166666666667</v>
      </c>
      <c r="U9" s="105"/>
      <c r="V9" s="111">
        <f t="shared" ref="V9:V10" si="13">(T9-S9)*24*60</f>
        <v>93.000000000000028</v>
      </c>
      <c r="W9" s="69"/>
      <c r="X9" s="69"/>
      <c r="Y9" s="510"/>
      <c r="Z9" s="510"/>
      <c r="AA9" s="66">
        <f t="shared" si="8"/>
        <v>-70.967741935484355</v>
      </c>
      <c r="AB9" s="106">
        <f t="shared" si="9"/>
        <v>0.95268817204301048</v>
      </c>
      <c r="AC9" s="511">
        <f>AB11</f>
        <v>0.95226513865308393</v>
      </c>
    </row>
    <row r="10" spans="1:29" ht="15.75" customHeight="1">
      <c r="A10" s="543" t="s">
        <v>325</v>
      </c>
      <c r="B10" s="62" t="s">
        <v>10</v>
      </c>
      <c r="C10" s="539" t="s">
        <v>11</v>
      </c>
      <c r="D10" s="540"/>
      <c r="E10" s="62">
        <v>39.799999999999997</v>
      </c>
      <c r="F10" s="80">
        <v>7234</v>
      </c>
      <c r="G10" s="105">
        <f t="shared" si="11"/>
        <v>287913.19999999995</v>
      </c>
      <c r="H10" s="90" t="s">
        <v>5</v>
      </c>
      <c r="I10" s="110">
        <v>17</v>
      </c>
      <c r="J10" s="63">
        <v>1500</v>
      </c>
      <c r="K10" s="64">
        <f t="shared" si="1"/>
        <v>88.235294117647058</v>
      </c>
      <c r="L10" s="110">
        <v>17</v>
      </c>
      <c r="M10" s="65">
        <f t="shared" si="12"/>
        <v>1427.7631578947364</v>
      </c>
      <c r="N10" s="64">
        <f t="shared" si="3"/>
        <v>83.986068111455083</v>
      </c>
      <c r="O10" s="66">
        <f t="shared" si="4"/>
        <v>0</v>
      </c>
      <c r="P10" s="67">
        <f t="shared" si="5"/>
        <v>-4.2492260061919751</v>
      </c>
      <c r="Q10" s="106">
        <f t="shared" si="6"/>
        <v>0.9518421052631576</v>
      </c>
      <c r="R10" s="511"/>
      <c r="S10" s="68">
        <v>0.27847222222222223</v>
      </c>
      <c r="T10" s="68">
        <v>0.48958333333333337</v>
      </c>
      <c r="U10" s="105">
        <f t="shared" ref="U10" si="14">IF(S10=TIME(17,0,0),"",(S10-T9)*24*60)</f>
        <v>7.9999999999999716</v>
      </c>
      <c r="V10" s="111">
        <f t="shared" si="13"/>
        <v>304.00000000000006</v>
      </c>
      <c r="W10" s="69"/>
      <c r="X10" s="69"/>
      <c r="Y10" s="510"/>
      <c r="Z10" s="510"/>
      <c r="AA10" s="66">
        <f t="shared" si="8"/>
        <v>-72.236842105263577</v>
      </c>
      <c r="AB10" s="106">
        <f t="shared" si="9"/>
        <v>0.9518421052631576</v>
      </c>
      <c r="AC10" s="511"/>
    </row>
    <row r="11" spans="1:29" ht="16.5" customHeight="1">
      <c r="A11" s="543" t="s">
        <v>324</v>
      </c>
      <c r="B11" s="62" t="s">
        <v>326</v>
      </c>
      <c r="C11" s="513"/>
      <c r="D11" s="513"/>
      <c r="E11" s="107"/>
      <c r="F11" s="63"/>
      <c r="G11" s="65"/>
      <c r="H11" s="80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1428.3977079796259</v>
      </c>
      <c r="N11" s="64">
        <f t="shared" si="3"/>
        <v>77.210686917817611</v>
      </c>
      <c r="O11" s="66">
        <f t="shared" si="4"/>
        <v>0</v>
      </c>
      <c r="P11" s="67">
        <f t="shared" si="5"/>
        <v>-3.8703941632634695</v>
      </c>
      <c r="Q11" s="106">
        <f t="shared" si="6"/>
        <v>0.95226513865308382</v>
      </c>
      <c r="R11" s="511"/>
      <c r="S11" s="68"/>
      <c r="T11" s="68"/>
      <c r="U11" s="64"/>
      <c r="V11" s="111"/>
      <c r="W11" s="64"/>
      <c r="X11" s="64"/>
      <c r="Y11" s="510"/>
      <c r="Z11" s="510"/>
      <c r="AA11" s="66">
        <f t="shared" si="8"/>
        <v>-71.60229202037408</v>
      </c>
      <c r="AB11" s="106">
        <f t="shared" si="9"/>
        <v>0.95226513865308393</v>
      </c>
      <c r="AC11" s="511"/>
    </row>
    <row r="12" spans="1:29" ht="16.5" customHeight="1">
      <c r="A12" s="541" t="s">
        <v>327</v>
      </c>
      <c r="B12" s="80" t="s">
        <v>13</v>
      </c>
      <c r="C12" s="533" t="s">
        <v>14</v>
      </c>
      <c r="D12" s="533"/>
      <c r="E12" s="62">
        <v>41</v>
      </c>
      <c r="F12" s="80">
        <v>2620</v>
      </c>
      <c r="G12" s="105">
        <f t="shared" ref="G12:G16" si="15">E12*F12</f>
        <v>107420</v>
      </c>
      <c r="H12" s="90" t="s">
        <v>5</v>
      </c>
      <c r="I12" s="110">
        <v>26</v>
      </c>
      <c r="J12" s="63">
        <v>1500</v>
      </c>
      <c r="K12" s="64">
        <f t="shared" si="1"/>
        <v>57.692307692307693</v>
      </c>
      <c r="L12" s="110">
        <v>26</v>
      </c>
      <c r="M12" s="65">
        <f t="shared" ref="M12:M16" si="16">F12/V12*60</f>
        <v>1429.090909090909</v>
      </c>
      <c r="N12" s="64">
        <f t="shared" si="3"/>
        <v>54.96503496503496</v>
      </c>
      <c r="O12" s="66">
        <f t="shared" si="4"/>
        <v>0</v>
      </c>
      <c r="P12" s="67">
        <f t="shared" si="5"/>
        <v>-2.7272727272727337</v>
      </c>
      <c r="Q12" s="106">
        <f t="shared" si="6"/>
        <v>0.95272727272727264</v>
      </c>
      <c r="R12" s="511">
        <f>Q17</f>
        <v>0.95672778446439621</v>
      </c>
      <c r="S12" s="68">
        <v>0.125</v>
      </c>
      <c r="T12" s="68">
        <v>0.2013888888888889</v>
      </c>
      <c r="U12" s="105"/>
      <c r="V12" s="111">
        <f t="shared" ref="V12:V16" si="17">(T12-S12)*24*60</f>
        <v>110.00000000000001</v>
      </c>
      <c r="W12" s="69">
        <f>T12</f>
        <v>0.2013888888888889</v>
      </c>
      <c r="X12" s="69">
        <f>S13</f>
        <v>0.21944444444444444</v>
      </c>
      <c r="Y12" s="510"/>
      <c r="Z12" s="510"/>
      <c r="AA12" s="66">
        <f t="shared" si="8"/>
        <v>-70.909090909090992</v>
      </c>
      <c r="AB12" s="106">
        <f t="shared" si="9"/>
        <v>0.95272727272727264</v>
      </c>
      <c r="AC12" s="511">
        <f>AB17</f>
        <v>0.9567277844643961</v>
      </c>
    </row>
    <row r="13" spans="1:29" ht="16.5" customHeight="1">
      <c r="A13" s="542" t="s">
        <v>327</v>
      </c>
      <c r="B13" s="80" t="s">
        <v>10</v>
      </c>
      <c r="C13" s="533" t="s">
        <v>15</v>
      </c>
      <c r="D13" s="533"/>
      <c r="E13" s="62">
        <v>39.619999999999997</v>
      </c>
      <c r="F13" s="80">
        <v>4909</v>
      </c>
      <c r="G13" s="105">
        <f t="shared" si="15"/>
        <v>194494.58</v>
      </c>
      <c r="H13" s="90" t="s">
        <v>5</v>
      </c>
      <c r="I13" s="110">
        <v>19</v>
      </c>
      <c r="J13" s="63">
        <v>1500</v>
      </c>
      <c r="K13" s="64">
        <f t="shared" si="1"/>
        <v>78.94736842105263</v>
      </c>
      <c r="L13" s="110">
        <v>19</v>
      </c>
      <c r="M13" s="65">
        <f t="shared" si="16"/>
        <v>1429.8058252427184</v>
      </c>
      <c r="N13" s="64">
        <f t="shared" si="3"/>
        <v>75.252938170669381</v>
      </c>
      <c r="O13" s="66">
        <f t="shared" si="4"/>
        <v>0</v>
      </c>
      <c r="P13" s="67">
        <f t="shared" si="5"/>
        <v>-3.6944302503832489</v>
      </c>
      <c r="Q13" s="106">
        <f t="shared" si="6"/>
        <v>0.95320388349514551</v>
      </c>
      <c r="R13" s="511"/>
      <c r="S13" s="68">
        <v>0.21944444444444444</v>
      </c>
      <c r="T13" s="68">
        <v>0.36249999999999999</v>
      </c>
      <c r="U13" s="105">
        <f t="shared" ref="U13:U16" si="18">IF(S13=TIME(17,0,0),"",(S13-T12)*24*60)</f>
        <v>25.999999999999986</v>
      </c>
      <c r="V13" s="111">
        <f t="shared" si="17"/>
        <v>206</v>
      </c>
      <c r="W13" s="69"/>
      <c r="X13" s="69"/>
      <c r="Y13" s="510"/>
      <c r="Z13" s="510"/>
      <c r="AA13" s="66">
        <f t="shared" si="8"/>
        <v>-70.194174757281644</v>
      </c>
      <c r="AB13" s="106">
        <f t="shared" si="9"/>
        <v>0.95320388349514562</v>
      </c>
      <c r="AC13" s="511"/>
    </row>
    <row r="14" spans="1:29" ht="16.5" customHeight="1">
      <c r="A14" s="542" t="s">
        <v>327</v>
      </c>
      <c r="B14" s="80" t="s">
        <v>77</v>
      </c>
      <c r="C14" s="533" t="s">
        <v>76</v>
      </c>
      <c r="D14" s="533"/>
      <c r="E14" s="62">
        <v>57.3</v>
      </c>
      <c r="F14" s="80">
        <v>1419</v>
      </c>
      <c r="G14" s="105">
        <f t="shared" si="15"/>
        <v>81308.7</v>
      </c>
      <c r="H14" s="90" t="s">
        <v>5</v>
      </c>
      <c r="I14" s="110">
        <v>17</v>
      </c>
      <c r="J14" s="63">
        <v>1500</v>
      </c>
      <c r="K14" s="64">
        <f t="shared" si="1"/>
        <v>88.235294117647058</v>
      </c>
      <c r="L14" s="110">
        <v>17</v>
      </c>
      <c r="M14" s="65">
        <f t="shared" si="16"/>
        <v>1443.0508474576263</v>
      </c>
      <c r="N14" s="64">
        <f t="shared" si="3"/>
        <v>84.885343968095668</v>
      </c>
      <c r="O14" s="66">
        <f t="shared" si="4"/>
        <v>0</v>
      </c>
      <c r="P14" s="67">
        <f t="shared" si="5"/>
        <v>-3.3499501495513897</v>
      </c>
      <c r="Q14" s="106">
        <f t="shared" si="6"/>
        <v>0.96203389830508423</v>
      </c>
      <c r="R14" s="511"/>
      <c r="S14" s="68">
        <v>0.36666666666666664</v>
      </c>
      <c r="T14" s="68">
        <v>0.40763888888888888</v>
      </c>
      <c r="U14" s="105">
        <f t="shared" si="18"/>
        <v>5.9999999999999787</v>
      </c>
      <c r="V14" s="111">
        <f t="shared" si="17"/>
        <v>59.000000000000028</v>
      </c>
      <c r="W14" s="69"/>
      <c r="X14" s="69"/>
      <c r="Y14" s="510"/>
      <c r="Z14" s="510"/>
      <c r="AA14" s="66">
        <f t="shared" si="8"/>
        <v>-56.949152542373668</v>
      </c>
      <c r="AB14" s="106">
        <f t="shared" si="9"/>
        <v>0.96203389830508423</v>
      </c>
      <c r="AC14" s="511"/>
    </row>
    <row r="15" spans="1:29" ht="16.5" customHeight="1">
      <c r="A15" s="542" t="s">
        <v>327</v>
      </c>
      <c r="B15" s="80" t="s">
        <v>6</v>
      </c>
      <c r="C15" s="533" t="s">
        <v>19</v>
      </c>
      <c r="D15" s="533"/>
      <c r="E15" s="62">
        <v>50.98</v>
      </c>
      <c r="F15" s="80">
        <v>3103</v>
      </c>
      <c r="G15" s="105">
        <f t="shared" si="15"/>
        <v>158190.94</v>
      </c>
      <c r="H15" s="90" t="s">
        <v>5</v>
      </c>
      <c r="I15" s="110">
        <v>16</v>
      </c>
      <c r="J15" s="63">
        <v>2000</v>
      </c>
      <c r="K15" s="64">
        <f t="shared" si="1"/>
        <v>125</v>
      </c>
      <c r="L15" s="110">
        <v>16</v>
      </c>
      <c r="M15" s="65">
        <f t="shared" si="16"/>
        <v>1919.3814432989698</v>
      </c>
      <c r="N15" s="64">
        <f t="shared" si="3"/>
        <v>119.96134020618561</v>
      </c>
      <c r="O15" s="66">
        <f t="shared" si="4"/>
        <v>0</v>
      </c>
      <c r="P15" s="67">
        <f t="shared" si="5"/>
        <v>-5.0386597938143893</v>
      </c>
      <c r="Q15" s="106">
        <f t="shared" si="6"/>
        <v>0.95969072164948488</v>
      </c>
      <c r="R15" s="511"/>
      <c r="S15" s="68">
        <v>0.70833333333333337</v>
      </c>
      <c r="T15" s="68">
        <v>0.77569444444444446</v>
      </c>
      <c r="U15" s="105" t="str">
        <f t="shared" si="18"/>
        <v/>
      </c>
      <c r="V15" s="111">
        <f t="shared" si="17"/>
        <v>96.999999999999972</v>
      </c>
      <c r="W15" s="69"/>
      <c r="X15" s="69"/>
      <c r="Y15" s="510"/>
      <c r="Z15" s="510"/>
      <c r="AA15" s="66">
        <f t="shared" si="8"/>
        <v>-80.618556701030229</v>
      </c>
      <c r="AB15" s="106">
        <f t="shared" si="9"/>
        <v>0.95969072164948488</v>
      </c>
      <c r="AC15" s="511"/>
    </row>
    <row r="16" spans="1:29" ht="16.5" customHeight="1">
      <c r="A16" s="542" t="s">
        <v>327</v>
      </c>
      <c r="B16" s="80" t="s">
        <v>6</v>
      </c>
      <c r="C16" s="533" t="s">
        <v>20</v>
      </c>
      <c r="D16" s="533"/>
      <c r="E16" s="62">
        <v>50.92</v>
      </c>
      <c r="F16" s="80">
        <v>3344</v>
      </c>
      <c r="G16" s="105">
        <f t="shared" si="15"/>
        <v>170276.48000000001</v>
      </c>
      <c r="H16" s="90" t="s">
        <v>5</v>
      </c>
      <c r="I16" s="110">
        <v>15</v>
      </c>
      <c r="J16" s="63">
        <v>2000</v>
      </c>
      <c r="K16" s="64">
        <f t="shared" si="1"/>
        <v>133.33333333333334</v>
      </c>
      <c r="L16" s="110">
        <v>15</v>
      </c>
      <c r="M16" s="65">
        <f t="shared" si="16"/>
        <v>1910.857142857144</v>
      </c>
      <c r="N16" s="64">
        <f t="shared" si="3"/>
        <v>127.39047619047626</v>
      </c>
      <c r="O16" s="66">
        <f t="shared" si="4"/>
        <v>0</v>
      </c>
      <c r="P16" s="67">
        <f t="shared" si="5"/>
        <v>-5.9428571428570791</v>
      </c>
      <c r="Q16" s="106">
        <f t="shared" si="6"/>
        <v>0.95542857142857196</v>
      </c>
      <c r="R16" s="511"/>
      <c r="S16" s="68">
        <v>0.78055555555555556</v>
      </c>
      <c r="T16" s="68">
        <v>0.85347222222222219</v>
      </c>
      <c r="U16" s="105">
        <f t="shared" si="18"/>
        <v>6.9999999999999751</v>
      </c>
      <c r="V16" s="111">
        <f t="shared" si="17"/>
        <v>104.99999999999994</v>
      </c>
      <c r="W16" s="69"/>
      <c r="X16" s="69"/>
      <c r="Y16" s="510"/>
      <c r="Z16" s="510"/>
      <c r="AA16" s="66">
        <f t="shared" si="8"/>
        <v>-89.142857142855974</v>
      </c>
      <c r="AB16" s="106">
        <f t="shared" si="9"/>
        <v>0.95542857142857196</v>
      </c>
      <c r="AC16" s="511"/>
    </row>
    <row r="17" spans="1:29" ht="16.5" customHeight="1">
      <c r="A17" s="542" t="s">
        <v>327</v>
      </c>
      <c r="B17" s="62" t="s">
        <v>326</v>
      </c>
      <c r="C17" s="513"/>
      <c r="D17" s="513"/>
      <c r="E17" s="107"/>
      <c r="F17" s="71"/>
      <c r="G17" s="64"/>
      <c r="H17" s="80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1626.4372335894734</v>
      </c>
      <c r="N17" s="64">
        <f t="shared" si="3"/>
        <v>87.44286202093943</v>
      </c>
      <c r="O17" s="66">
        <f t="shared" si="4"/>
        <v>0</v>
      </c>
      <c r="P17" s="67">
        <f t="shared" si="5"/>
        <v>-3.9549874414261552</v>
      </c>
      <c r="Q17" s="106">
        <f t="shared" si="6"/>
        <v>0.95672778446439621</v>
      </c>
      <c r="R17" s="511"/>
      <c r="S17" s="68"/>
      <c r="T17" s="68"/>
      <c r="U17" s="105"/>
      <c r="V17" s="111"/>
      <c r="W17" s="64"/>
      <c r="X17" s="64"/>
      <c r="Y17" s="510"/>
      <c r="Z17" s="510"/>
      <c r="AA17" s="66">
        <f t="shared" si="8"/>
        <v>-73.562766410526592</v>
      </c>
      <c r="AB17" s="106">
        <f t="shared" si="9"/>
        <v>0.9567277844643961</v>
      </c>
      <c r="AC17" s="511"/>
    </row>
    <row r="18" spans="1:29" ht="15.75" customHeight="1">
      <c r="A18" s="537" t="s">
        <v>328</v>
      </c>
      <c r="B18" s="62" t="s">
        <v>13</v>
      </c>
      <c r="C18" s="533" t="s">
        <v>21</v>
      </c>
      <c r="D18" s="533"/>
      <c r="E18" s="62">
        <v>43.14</v>
      </c>
      <c r="F18" s="80">
        <v>1528</v>
      </c>
      <c r="G18" s="105">
        <f t="shared" ref="G18:G22" si="19">E18*F18</f>
        <v>65917.919999999998</v>
      </c>
      <c r="H18" s="90" t="s">
        <v>5</v>
      </c>
      <c r="I18" s="110">
        <v>17</v>
      </c>
      <c r="J18" s="63">
        <v>2000</v>
      </c>
      <c r="K18" s="64">
        <f t="shared" si="1"/>
        <v>117.64705882352941</v>
      </c>
      <c r="L18" s="110">
        <v>17</v>
      </c>
      <c r="M18" s="65">
        <f t="shared" ref="M18:M22" si="20">F18/V18*60</f>
        <v>1910.0000000000005</v>
      </c>
      <c r="N18" s="64">
        <f t="shared" si="3"/>
        <v>112.35294117647061</v>
      </c>
      <c r="O18" s="66">
        <f t="shared" si="4"/>
        <v>0</v>
      </c>
      <c r="P18" s="67">
        <f t="shared" si="5"/>
        <v>-5.2941176470587976</v>
      </c>
      <c r="Q18" s="106">
        <f t="shared" si="6"/>
        <v>0.95500000000000018</v>
      </c>
      <c r="R18" s="511">
        <f>Q23</f>
        <v>0.95662379521929708</v>
      </c>
      <c r="S18" s="68">
        <v>0.20833333333333334</v>
      </c>
      <c r="T18" s="68">
        <v>0.24166666666666667</v>
      </c>
      <c r="U18" s="105"/>
      <c r="V18" s="111">
        <f t="shared" ref="V18:V22" si="21">(T18-S18)*24*60</f>
        <v>47.999999999999986</v>
      </c>
      <c r="W18" s="73"/>
      <c r="X18" s="73"/>
      <c r="Y18" s="510"/>
      <c r="Z18" s="510"/>
      <c r="AA18" s="66">
        <f t="shared" si="8"/>
        <v>-89.999999999999545</v>
      </c>
      <c r="AB18" s="106">
        <f t="shared" si="9"/>
        <v>0.95500000000000018</v>
      </c>
      <c r="AC18" s="511">
        <f>AB23</f>
        <v>0.95662379521929708</v>
      </c>
    </row>
    <row r="19" spans="1:29" ht="15.75" customHeight="1">
      <c r="A19" s="538" t="s">
        <v>329</v>
      </c>
      <c r="B19" s="62" t="s">
        <v>6</v>
      </c>
      <c r="C19" s="533" t="s">
        <v>23</v>
      </c>
      <c r="D19" s="533"/>
      <c r="E19" s="62">
        <v>53.68</v>
      </c>
      <c r="F19" s="80">
        <v>2128</v>
      </c>
      <c r="G19" s="105">
        <f t="shared" si="19"/>
        <v>114231.03999999999</v>
      </c>
      <c r="H19" s="90" t="s">
        <v>5</v>
      </c>
      <c r="I19" s="110">
        <v>16</v>
      </c>
      <c r="J19" s="63">
        <v>2000</v>
      </c>
      <c r="K19" s="64">
        <f t="shared" si="1"/>
        <v>125</v>
      </c>
      <c r="L19" s="110">
        <v>16</v>
      </c>
      <c r="M19" s="65">
        <f t="shared" si="20"/>
        <v>1905.6716417910461</v>
      </c>
      <c r="N19" s="64">
        <f t="shared" si="3"/>
        <v>119.10447761194038</v>
      </c>
      <c r="O19" s="66">
        <f t="shared" si="4"/>
        <v>0</v>
      </c>
      <c r="P19" s="67">
        <f t="shared" si="5"/>
        <v>-5.8955223880596179</v>
      </c>
      <c r="Q19" s="106">
        <f t="shared" si="6"/>
        <v>0.9528358208955231</v>
      </c>
      <c r="R19" s="511"/>
      <c r="S19" s="68">
        <v>0.24513888888888888</v>
      </c>
      <c r="T19" s="68">
        <v>0.29166666666666663</v>
      </c>
      <c r="U19" s="105">
        <f t="shared" ref="U19:U22" si="22">IF(S19=TIME(17,0,0),"",(S19-T18)*24*60)</f>
        <v>4.9999999999999822</v>
      </c>
      <c r="V19" s="111">
        <f t="shared" si="21"/>
        <v>66.999999999999957</v>
      </c>
      <c r="W19" s="69"/>
      <c r="X19" s="105"/>
      <c r="Y19" s="510"/>
      <c r="Z19" s="510"/>
      <c r="AA19" s="66">
        <f t="shared" si="8"/>
        <v>-94.328358208953887</v>
      </c>
      <c r="AB19" s="106">
        <f t="shared" si="9"/>
        <v>0.9528358208955231</v>
      </c>
      <c r="AC19" s="511"/>
    </row>
    <row r="20" spans="1:29" ht="15.75" customHeight="1">
      <c r="A20" s="538" t="s">
        <v>330</v>
      </c>
      <c r="B20" s="62" t="s">
        <v>6</v>
      </c>
      <c r="C20" s="533" t="s">
        <v>22</v>
      </c>
      <c r="D20" s="533"/>
      <c r="E20" s="62">
        <v>57.73</v>
      </c>
      <c r="F20" s="80">
        <v>3337</v>
      </c>
      <c r="G20" s="105">
        <f t="shared" si="19"/>
        <v>192645.00999999998</v>
      </c>
      <c r="H20" s="90" t="s">
        <v>5</v>
      </c>
      <c r="I20" s="110">
        <v>15</v>
      </c>
      <c r="J20" s="63">
        <v>2000</v>
      </c>
      <c r="K20" s="64">
        <f t="shared" si="1"/>
        <v>133.33333333333334</v>
      </c>
      <c r="L20" s="110">
        <v>15</v>
      </c>
      <c r="M20" s="65">
        <f t="shared" si="20"/>
        <v>1906.8571428571422</v>
      </c>
      <c r="N20" s="64">
        <f t="shared" si="3"/>
        <v>127.12380952380948</v>
      </c>
      <c r="O20" s="66">
        <f t="shared" si="4"/>
        <v>0</v>
      </c>
      <c r="P20" s="67">
        <f t="shared" si="5"/>
        <v>-6.2095238095238585</v>
      </c>
      <c r="Q20" s="106">
        <f t="shared" si="6"/>
        <v>0.95342857142857107</v>
      </c>
      <c r="R20" s="511"/>
      <c r="S20" s="68">
        <v>0.29652777777777772</v>
      </c>
      <c r="T20" s="68">
        <v>0.36944444444444441</v>
      </c>
      <c r="U20" s="105">
        <f t="shared" si="22"/>
        <v>6.9999999999999751</v>
      </c>
      <c r="V20" s="111">
        <f t="shared" si="21"/>
        <v>105.00000000000003</v>
      </c>
      <c r="W20" s="69"/>
      <c r="X20" s="105"/>
      <c r="Y20" s="510"/>
      <c r="Z20" s="510"/>
      <c r="AA20" s="66">
        <f t="shared" si="8"/>
        <v>-93.142857142857792</v>
      </c>
      <c r="AB20" s="106">
        <f t="shared" si="9"/>
        <v>0.95342857142857107</v>
      </c>
      <c r="AC20" s="511"/>
    </row>
    <row r="21" spans="1:29" ht="15.75" customHeight="1">
      <c r="A21" s="538" t="s">
        <v>331</v>
      </c>
      <c r="B21" s="62" t="s">
        <v>6</v>
      </c>
      <c r="C21" s="533" t="s">
        <v>24</v>
      </c>
      <c r="D21" s="533"/>
      <c r="E21" s="62">
        <v>54.09</v>
      </c>
      <c r="F21" s="80">
        <v>2488</v>
      </c>
      <c r="G21" s="105">
        <f t="shared" si="19"/>
        <v>134575.92000000001</v>
      </c>
      <c r="H21" s="90" t="s">
        <v>5</v>
      </c>
      <c r="I21" s="110">
        <v>19</v>
      </c>
      <c r="J21" s="63">
        <v>2000</v>
      </c>
      <c r="K21" s="64">
        <f t="shared" si="1"/>
        <v>105.26315789473684</v>
      </c>
      <c r="L21" s="110">
        <v>19</v>
      </c>
      <c r="M21" s="65">
        <f t="shared" si="20"/>
        <v>1913.8461538461529</v>
      </c>
      <c r="N21" s="64">
        <f t="shared" si="3"/>
        <v>100.72874493927121</v>
      </c>
      <c r="O21" s="66">
        <f t="shared" si="4"/>
        <v>0</v>
      </c>
      <c r="P21" s="67">
        <f t="shared" si="5"/>
        <v>-4.5344129554656263</v>
      </c>
      <c r="Q21" s="106">
        <f t="shared" si="6"/>
        <v>0.95692307692307654</v>
      </c>
      <c r="R21" s="511"/>
      <c r="S21" s="68">
        <v>0.70833333333333337</v>
      </c>
      <c r="T21" s="68">
        <v>0.76250000000000007</v>
      </c>
      <c r="U21" s="105" t="str">
        <f t="shared" si="22"/>
        <v/>
      </c>
      <c r="V21" s="111">
        <f t="shared" si="21"/>
        <v>78.000000000000043</v>
      </c>
      <c r="W21" s="69"/>
      <c r="X21" s="105"/>
      <c r="Y21" s="510"/>
      <c r="Z21" s="510"/>
      <c r="AA21" s="66">
        <f t="shared" si="8"/>
        <v>-86.153846153847098</v>
      </c>
      <c r="AB21" s="106">
        <f t="shared" si="9"/>
        <v>0.95692307692307643</v>
      </c>
      <c r="AC21" s="511"/>
    </row>
    <row r="22" spans="1:29" ht="15.75" customHeight="1">
      <c r="A22" s="538" t="s">
        <v>331</v>
      </c>
      <c r="B22" s="62" t="s">
        <v>6</v>
      </c>
      <c r="C22" s="533" t="s">
        <v>81</v>
      </c>
      <c r="D22" s="533"/>
      <c r="E22" s="62">
        <v>50.67</v>
      </c>
      <c r="F22" s="80">
        <v>2348</v>
      </c>
      <c r="G22" s="105">
        <f t="shared" si="19"/>
        <v>118973.16</v>
      </c>
      <c r="H22" s="90" t="s">
        <v>5</v>
      </c>
      <c r="I22" s="110">
        <v>15</v>
      </c>
      <c r="J22" s="63">
        <v>2000</v>
      </c>
      <c r="K22" s="64">
        <f t="shared" si="1"/>
        <v>133.33333333333334</v>
      </c>
      <c r="L22" s="110">
        <v>15</v>
      </c>
      <c r="M22" s="65">
        <f t="shared" si="20"/>
        <v>1929.8630136986285</v>
      </c>
      <c r="N22" s="64">
        <f t="shared" si="3"/>
        <v>128.65753424657524</v>
      </c>
      <c r="O22" s="66">
        <f t="shared" si="4"/>
        <v>0</v>
      </c>
      <c r="P22" s="67">
        <f t="shared" si="5"/>
        <v>-4.6757990867581043</v>
      </c>
      <c r="Q22" s="106">
        <f t="shared" si="6"/>
        <v>0.96493150684931417</v>
      </c>
      <c r="R22" s="511"/>
      <c r="S22" s="68">
        <v>0.76597222222222228</v>
      </c>
      <c r="T22" s="68">
        <v>0.81666666666666676</v>
      </c>
      <c r="U22" s="105">
        <f t="shared" si="22"/>
        <v>4.9999999999999822</v>
      </c>
      <c r="V22" s="111">
        <f t="shared" si="21"/>
        <v>73.000000000000057</v>
      </c>
      <c r="W22" s="69"/>
      <c r="X22" s="105"/>
      <c r="Y22" s="510"/>
      <c r="Z22" s="510"/>
      <c r="AA22" s="66">
        <f t="shared" si="8"/>
        <v>-70.136986301371508</v>
      </c>
      <c r="AB22" s="106">
        <f t="shared" si="9"/>
        <v>0.96493150684931428</v>
      </c>
      <c r="AC22" s="511"/>
    </row>
    <row r="23" spans="1:29" ht="15.75" customHeight="1">
      <c r="A23" s="538" t="s">
        <v>331</v>
      </c>
      <c r="B23" s="62" t="s">
        <v>332</v>
      </c>
      <c r="C23" s="513"/>
      <c r="D23" s="513"/>
      <c r="E23" s="107"/>
      <c r="F23" s="80"/>
      <c r="G23" s="105"/>
      <c r="H23" s="80"/>
      <c r="I23" s="72">
        <v>16.399999999999999</v>
      </c>
      <c r="J23" s="63">
        <v>2000</v>
      </c>
      <c r="K23" s="64">
        <f t="shared" si="1"/>
        <v>121.95121951219514</v>
      </c>
      <c r="L23" s="72">
        <v>16.399999999999999</v>
      </c>
      <c r="M23" s="65">
        <f>AVERAGE(M18:M22)</f>
        <v>1913.2475904385942</v>
      </c>
      <c r="N23" s="64">
        <f t="shared" si="3"/>
        <v>116.66143844137771</v>
      </c>
      <c r="O23" s="66">
        <f t="shared" si="4"/>
        <v>0</v>
      </c>
      <c r="P23" s="67">
        <f t="shared" si="5"/>
        <v>-5.2897810708174262</v>
      </c>
      <c r="Q23" s="106">
        <f t="shared" si="6"/>
        <v>0.95662379521929708</v>
      </c>
      <c r="R23" s="511"/>
      <c r="S23" s="68"/>
      <c r="T23" s="68"/>
      <c r="U23" s="64"/>
      <c r="V23" s="111"/>
      <c r="W23" s="64"/>
      <c r="X23" s="64"/>
      <c r="Y23" s="510"/>
      <c r="Z23" s="510"/>
      <c r="AA23" s="66">
        <f t="shared" si="8"/>
        <v>-86.752409561405784</v>
      </c>
      <c r="AB23" s="106">
        <f t="shared" si="9"/>
        <v>0.95662379521929708</v>
      </c>
      <c r="AC23" s="511"/>
    </row>
    <row r="24" spans="1:29" ht="15.75" customHeight="1">
      <c r="A24" s="536" t="s">
        <v>333</v>
      </c>
      <c r="B24" s="62" t="s">
        <v>16</v>
      </c>
      <c r="C24" s="533" t="s">
        <v>30</v>
      </c>
      <c r="D24" s="533"/>
      <c r="E24" s="62">
        <v>31.29</v>
      </c>
      <c r="F24" s="80">
        <v>4500</v>
      </c>
      <c r="G24" s="105">
        <f t="shared" ref="G24:G31" si="23">E24*F24</f>
        <v>140805</v>
      </c>
      <c r="H24" s="90">
        <v>2</v>
      </c>
      <c r="I24" s="110">
        <v>18</v>
      </c>
      <c r="J24" s="63">
        <v>2400</v>
      </c>
      <c r="K24" s="64">
        <f t="shared" si="1"/>
        <v>133.33333333333334</v>
      </c>
      <c r="L24" s="110">
        <v>18</v>
      </c>
      <c r="M24" s="65">
        <f t="shared" ref="M24:M31" si="24">F24/V24*60</f>
        <v>2288.1355932203396</v>
      </c>
      <c r="N24" s="64">
        <f t="shared" si="3"/>
        <v>127.11864406779665</v>
      </c>
      <c r="O24" s="66">
        <f t="shared" si="4"/>
        <v>0</v>
      </c>
      <c r="P24" s="67">
        <f t="shared" si="5"/>
        <v>-6.2146892655366912</v>
      </c>
      <c r="Q24" s="106">
        <f t="shared" si="6"/>
        <v>0.95338983050847481</v>
      </c>
      <c r="R24" s="511">
        <f>Q32</f>
        <v>0.95602837897988935</v>
      </c>
      <c r="S24" s="68">
        <v>0.125</v>
      </c>
      <c r="T24" s="68">
        <v>0.20694444444444443</v>
      </c>
      <c r="U24" s="105"/>
      <c r="V24" s="111">
        <f t="shared" ref="V24:V31" si="25">(T24-S24)*24*60</f>
        <v>117.99999999999999</v>
      </c>
      <c r="W24" s="69">
        <f>T24</f>
        <v>0.20694444444444443</v>
      </c>
      <c r="X24" s="69">
        <f>S25</f>
        <v>0.22708333333333333</v>
      </c>
      <c r="Y24" s="510"/>
      <c r="Z24" s="510"/>
      <c r="AA24" s="66">
        <f t="shared" si="8"/>
        <v>-111.86440677966038</v>
      </c>
      <c r="AB24" s="106">
        <f t="shared" si="9"/>
        <v>0.95338983050847481</v>
      </c>
      <c r="AC24" s="511">
        <f>AB32</f>
        <v>0.95602837897988935</v>
      </c>
    </row>
    <row r="25" spans="1:29" ht="15.75" customHeight="1">
      <c r="A25" s="536" t="s">
        <v>334</v>
      </c>
      <c r="B25" s="62" t="s">
        <v>16</v>
      </c>
      <c r="C25" s="533" t="s">
        <v>28</v>
      </c>
      <c r="D25" s="533"/>
      <c r="E25" s="62">
        <v>26.18</v>
      </c>
      <c r="F25" s="80">
        <v>3834</v>
      </c>
      <c r="G25" s="105">
        <f t="shared" si="23"/>
        <v>100374.12</v>
      </c>
      <c r="H25" s="90" t="s">
        <v>5</v>
      </c>
      <c r="I25" s="110">
        <v>19</v>
      </c>
      <c r="J25" s="63">
        <v>2400</v>
      </c>
      <c r="K25" s="64">
        <f t="shared" si="1"/>
        <v>126.31578947368421</v>
      </c>
      <c r="L25" s="110">
        <v>19</v>
      </c>
      <c r="M25" s="65">
        <f t="shared" si="24"/>
        <v>2300.4</v>
      </c>
      <c r="N25" s="64">
        <f t="shared" si="3"/>
        <v>121.07368421052632</v>
      </c>
      <c r="O25" s="66">
        <f t="shared" si="4"/>
        <v>0</v>
      </c>
      <c r="P25" s="67">
        <f t="shared" si="5"/>
        <v>-5.2421052631578817</v>
      </c>
      <c r="Q25" s="106">
        <f t="shared" si="6"/>
        <v>0.95850000000000013</v>
      </c>
      <c r="R25" s="511"/>
      <c r="S25" s="68">
        <v>0.22708333333333333</v>
      </c>
      <c r="T25" s="68">
        <v>0.29652777777777778</v>
      </c>
      <c r="U25" s="105">
        <f t="shared" ref="U25:U31" si="26">(S25-T24)*24*60</f>
        <v>29.000000000000018</v>
      </c>
      <c r="V25" s="111">
        <f t="shared" si="25"/>
        <v>100</v>
      </c>
      <c r="W25" s="69"/>
      <c r="X25" s="69"/>
      <c r="Y25" s="510"/>
      <c r="Z25" s="510"/>
      <c r="AA25" s="66">
        <f t="shared" si="8"/>
        <v>-99.599999999999909</v>
      </c>
      <c r="AB25" s="106">
        <f t="shared" si="9"/>
        <v>0.95850000000000002</v>
      </c>
      <c r="AC25" s="511"/>
    </row>
    <row r="26" spans="1:29" ht="15.75" customHeight="1">
      <c r="A26" s="536" t="s">
        <v>333</v>
      </c>
      <c r="B26" s="62" t="s">
        <v>16</v>
      </c>
      <c r="C26" s="533" t="s">
        <v>29</v>
      </c>
      <c r="D26" s="533"/>
      <c r="E26" s="62">
        <v>26.2</v>
      </c>
      <c r="F26" s="80">
        <v>4966</v>
      </c>
      <c r="G26" s="105">
        <f t="shared" si="23"/>
        <v>130109.2</v>
      </c>
      <c r="H26" s="90" t="s">
        <v>5</v>
      </c>
      <c r="I26" s="110">
        <v>19</v>
      </c>
      <c r="J26" s="63">
        <v>2400</v>
      </c>
      <c r="K26" s="64">
        <f t="shared" si="1"/>
        <v>126.31578947368421</v>
      </c>
      <c r="L26" s="110">
        <v>19</v>
      </c>
      <c r="M26" s="65">
        <f t="shared" si="24"/>
        <v>2291.9999999999991</v>
      </c>
      <c r="N26" s="64">
        <f t="shared" si="3"/>
        <v>120.63157894736837</v>
      </c>
      <c r="O26" s="66">
        <f t="shared" si="4"/>
        <v>0</v>
      </c>
      <c r="P26" s="67">
        <f t="shared" si="5"/>
        <v>-5.6842105263158373</v>
      </c>
      <c r="Q26" s="106">
        <f t="shared" si="6"/>
        <v>0.95499999999999963</v>
      </c>
      <c r="R26" s="511"/>
      <c r="S26" s="68">
        <v>0.30208333333333331</v>
      </c>
      <c r="T26" s="68">
        <v>0.3923611111111111</v>
      </c>
      <c r="U26" s="105">
        <f t="shared" si="26"/>
        <v>7.9999999999999716</v>
      </c>
      <c r="V26" s="111">
        <f t="shared" si="25"/>
        <v>130.00000000000003</v>
      </c>
      <c r="W26" s="69"/>
      <c r="X26" s="69"/>
      <c r="Y26" s="510"/>
      <c r="Z26" s="510"/>
      <c r="AA26" s="66">
        <f t="shared" si="8"/>
        <v>-108.00000000000091</v>
      </c>
      <c r="AB26" s="106">
        <f t="shared" si="9"/>
        <v>0.95499999999999963</v>
      </c>
      <c r="AC26" s="511"/>
    </row>
    <row r="27" spans="1:29" ht="15.75" customHeight="1">
      <c r="A27" s="536" t="s">
        <v>334</v>
      </c>
      <c r="B27" s="62" t="s">
        <v>16</v>
      </c>
      <c r="C27" s="533" t="s">
        <v>25</v>
      </c>
      <c r="D27" s="533"/>
      <c r="E27" s="62">
        <v>26.2</v>
      </c>
      <c r="F27" s="80">
        <v>3300</v>
      </c>
      <c r="G27" s="105">
        <f t="shared" si="23"/>
        <v>86460</v>
      </c>
      <c r="H27" s="90">
        <v>2</v>
      </c>
      <c r="I27" s="110">
        <v>20</v>
      </c>
      <c r="J27" s="63">
        <v>2400</v>
      </c>
      <c r="K27" s="64">
        <f t="shared" si="1"/>
        <v>120</v>
      </c>
      <c r="L27" s="110">
        <v>20</v>
      </c>
      <c r="M27" s="65">
        <f t="shared" si="24"/>
        <v>2302.3255813953483</v>
      </c>
      <c r="N27" s="64">
        <f t="shared" si="3"/>
        <v>115.11627906976742</v>
      </c>
      <c r="O27" s="66">
        <f t="shared" si="4"/>
        <v>0</v>
      </c>
      <c r="P27" s="67">
        <f t="shared" si="5"/>
        <v>-4.8837209302325846</v>
      </c>
      <c r="Q27" s="106">
        <f t="shared" si="6"/>
        <v>0.95930232558139517</v>
      </c>
      <c r="R27" s="511"/>
      <c r="S27" s="68">
        <v>0.3972222222222222</v>
      </c>
      <c r="T27" s="68">
        <v>0.45694444444444443</v>
      </c>
      <c r="U27" s="105">
        <f t="shared" si="26"/>
        <v>6.9999999999999751</v>
      </c>
      <c r="V27" s="111">
        <f t="shared" si="25"/>
        <v>86.000000000000014</v>
      </c>
      <c r="W27" s="69"/>
      <c r="X27" s="69"/>
      <c r="Y27" s="510"/>
      <c r="Z27" s="510"/>
      <c r="AA27" s="66">
        <f t="shared" si="8"/>
        <v>-97.674418604651692</v>
      </c>
      <c r="AB27" s="106">
        <f t="shared" si="9"/>
        <v>0.95930232558139517</v>
      </c>
      <c r="AC27" s="511"/>
    </row>
    <row r="28" spans="1:29" ht="15.75" customHeight="1">
      <c r="A28" s="536" t="s">
        <v>333</v>
      </c>
      <c r="B28" s="62" t="s">
        <v>16</v>
      </c>
      <c r="C28" s="533" t="s">
        <v>83</v>
      </c>
      <c r="D28" s="533"/>
      <c r="E28" s="62">
        <v>25.99</v>
      </c>
      <c r="F28" s="80">
        <v>3800</v>
      </c>
      <c r="G28" s="105">
        <f t="shared" si="23"/>
        <v>98762</v>
      </c>
      <c r="H28" s="90">
        <v>2</v>
      </c>
      <c r="I28" s="110">
        <v>15</v>
      </c>
      <c r="J28" s="63">
        <v>2400</v>
      </c>
      <c r="K28" s="64">
        <f t="shared" si="1"/>
        <v>160</v>
      </c>
      <c r="L28" s="110">
        <v>15</v>
      </c>
      <c r="M28" s="65">
        <f t="shared" si="24"/>
        <v>2303.0303030303021</v>
      </c>
      <c r="N28" s="64">
        <f t="shared" si="3"/>
        <v>153.53535353535347</v>
      </c>
      <c r="O28" s="66">
        <f t="shared" si="4"/>
        <v>0</v>
      </c>
      <c r="P28" s="67">
        <f t="shared" si="5"/>
        <v>-6.4646464646465347</v>
      </c>
      <c r="Q28" s="106">
        <f t="shared" si="6"/>
        <v>0.95959595959595911</v>
      </c>
      <c r="R28" s="511"/>
      <c r="S28" s="68">
        <v>0.46041666666666664</v>
      </c>
      <c r="T28" s="68">
        <v>0.52916666666666667</v>
      </c>
      <c r="U28" s="105">
        <f t="shared" si="26"/>
        <v>4.9999999999999822</v>
      </c>
      <c r="V28" s="111">
        <f t="shared" si="25"/>
        <v>99.000000000000043</v>
      </c>
      <c r="W28" s="69">
        <f>T28</f>
        <v>0.52916666666666667</v>
      </c>
      <c r="X28" s="69">
        <f>S29</f>
        <v>0.56944444444444442</v>
      </c>
      <c r="Y28" s="510"/>
      <c r="Z28" s="510"/>
      <c r="AA28" s="66">
        <f t="shared" si="8"/>
        <v>-96.969696969697907</v>
      </c>
      <c r="AB28" s="106">
        <f t="shared" si="9"/>
        <v>0.95959595959595922</v>
      </c>
      <c r="AC28" s="511"/>
    </row>
    <row r="29" spans="1:29" ht="15.75" customHeight="1">
      <c r="A29" s="536" t="s">
        <v>333</v>
      </c>
      <c r="B29" s="62" t="s">
        <v>16</v>
      </c>
      <c r="C29" s="533" t="s">
        <v>30</v>
      </c>
      <c r="D29" s="533"/>
      <c r="E29" s="62">
        <v>31.29</v>
      </c>
      <c r="F29" s="80">
        <v>5979</v>
      </c>
      <c r="G29" s="105">
        <f t="shared" si="23"/>
        <v>187082.91</v>
      </c>
      <c r="H29" s="90" t="s">
        <v>5</v>
      </c>
      <c r="I29" s="110">
        <v>18</v>
      </c>
      <c r="J29" s="63">
        <v>2400</v>
      </c>
      <c r="K29" s="64">
        <f t="shared" si="1"/>
        <v>133.33333333333334</v>
      </c>
      <c r="L29" s="110">
        <v>18</v>
      </c>
      <c r="M29" s="65">
        <f t="shared" si="24"/>
        <v>2284.9681528662431</v>
      </c>
      <c r="N29" s="64">
        <f t="shared" si="3"/>
        <v>126.94267515923573</v>
      </c>
      <c r="O29" s="66">
        <f t="shared" si="4"/>
        <v>0</v>
      </c>
      <c r="P29" s="67">
        <f t="shared" si="5"/>
        <v>-6.3906581740976094</v>
      </c>
      <c r="Q29" s="106">
        <f t="shared" si="6"/>
        <v>0.95207006369426794</v>
      </c>
      <c r="R29" s="511"/>
      <c r="S29" s="68">
        <v>0.56944444444444442</v>
      </c>
      <c r="T29" s="68">
        <v>0.67847222222222214</v>
      </c>
      <c r="U29" s="105">
        <f t="shared" si="26"/>
        <v>57.999999999999957</v>
      </c>
      <c r="V29" s="111">
        <f t="shared" si="25"/>
        <v>156.99999999999991</v>
      </c>
      <c r="W29" s="69"/>
      <c r="X29" s="69"/>
      <c r="Y29" s="510"/>
      <c r="Z29" s="510"/>
      <c r="AA29" s="66">
        <f t="shared" si="8"/>
        <v>-115.03184713375686</v>
      </c>
      <c r="AB29" s="106">
        <f t="shared" si="9"/>
        <v>0.95207006369426794</v>
      </c>
      <c r="AC29" s="511"/>
    </row>
    <row r="30" spans="1:29" ht="15.75" customHeight="1">
      <c r="A30" s="536" t="s">
        <v>333</v>
      </c>
      <c r="B30" s="62" t="s">
        <v>16</v>
      </c>
      <c r="C30" s="533" t="s">
        <v>83</v>
      </c>
      <c r="D30" s="533"/>
      <c r="E30" s="62">
        <v>25.99</v>
      </c>
      <c r="F30" s="80">
        <v>2681</v>
      </c>
      <c r="G30" s="105">
        <f t="shared" si="23"/>
        <v>69679.19</v>
      </c>
      <c r="H30" s="90" t="s">
        <v>5</v>
      </c>
      <c r="I30" s="110">
        <v>15</v>
      </c>
      <c r="J30" s="63">
        <v>2400</v>
      </c>
      <c r="K30" s="64">
        <f t="shared" si="1"/>
        <v>160</v>
      </c>
      <c r="L30" s="110">
        <v>15</v>
      </c>
      <c r="M30" s="65">
        <f t="shared" si="24"/>
        <v>2297.9999999999977</v>
      </c>
      <c r="N30" s="64">
        <f t="shared" si="3"/>
        <v>153.19999999999985</v>
      </c>
      <c r="O30" s="66">
        <f t="shared" si="4"/>
        <v>0</v>
      </c>
      <c r="P30" s="67">
        <f t="shared" si="5"/>
        <v>-6.8000000000001535</v>
      </c>
      <c r="Q30" s="106">
        <f t="shared" si="6"/>
        <v>0.95749999999999902</v>
      </c>
      <c r="R30" s="511"/>
      <c r="S30" s="68">
        <v>0.6826388888888888</v>
      </c>
      <c r="T30" s="68">
        <v>0.73124999999999996</v>
      </c>
      <c r="U30" s="105">
        <f t="shared" si="26"/>
        <v>5.9999999999999787</v>
      </c>
      <c r="V30" s="111">
        <f t="shared" si="25"/>
        <v>70.000000000000071</v>
      </c>
      <c r="W30" s="69"/>
      <c r="X30" s="69"/>
      <c r="Y30" s="510"/>
      <c r="Z30" s="510"/>
      <c r="AA30" s="66">
        <f t="shared" si="8"/>
        <v>-102.00000000000227</v>
      </c>
      <c r="AB30" s="106">
        <f t="shared" si="9"/>
        <v>0.95749999999999902</v>
      </c>
      <c r="AC30" s="511"/>
    </row>
    <row r="31" spans="1:29" ht="15.75" customHeight="1">
      <c r="A31" s="536" t="s">
        <v>335</v>
      </c>
      <c r="B31" s="62" t="s">
        <v>16</v>
      </c>
      <c r="C31" s="533" t="s">
        <v>25</v>
      </c>
      <c r="D31" s="533"/>
      <c r="E31" s="62">
        <v>26.2</v>
      </c>
      <c r="F31" s="80">
        <v>2325</v>
      </c>
      <c r="G31" s="105">
        <f t="shared" si="23"/>
        <v>60915</v>
      </c>
      <c r="H31" s="90" t="s">
        <v>5</v>
      </c>
      <c r="I31" s="110">
        <v>20</v>
      </c>
      <c r="J31" s="63">
        <v>2400</v>
      </c>
      <c r="K31" s="64">
        <f t="shared" si="1"/>
        <v>120</v>
      </c>
      <c r="L31" s="110">
        <v>20</v>
      </c>
      <c r="M31" s="65">
        <f t="shared" si="24"/>
        <v>2286.8852459016416</v>
      </c>
      <c r="N31" s="64">
        <f t="shared" si="3"/>
        <v>114.34426229508207</v>
      </c>
      <c r="O31" s="66">
        <f t="shared" si="4"/>
        <v>0</v>
      </c>
      <c r="P31" s="67">
        <f t="shared" si="5"/>
        <v>-5.6557377049179252</v>
      </c>
      <c r="Q31" s="106">
        <f t="shared" si="6"/>
        <v>0.95286885245901731</v>
      </c>
      <c r="R31" s="511"/>
      <c r="S31" s="68">
        <v>0.73472222222222217</v>
      </c>
      <c r="T31" s="68">
        <v>0.77708333333333324</v>
      </c>
      <c r="U31" s="105">
        <f t="shared" si="26"/>
        <v>4.9999999999999822</v>
      </c>
      <c r="V31" s="111">
        <f t="shared" si="25"/>
        <v>60.999999999999943</v>
      </c>
      <c r="W31" s="69"/>
      <c r="X31" s="69"/>
      <c r="Y31" s="510"/>
      <c r="Z31" s="510"/>
      <c r="AA31" s="66">
        <f t="shared" si="8"/>
        <v>-113.11475409835839</v>
      </c>
      <c r="AB31" s="106">
        <f t="shared" si="9"/>
        <v>0.95286885245901731</v>
      </c>
      <c r="AC31" s="511"/>
    </row>
    <row r="32" spans="1:29" ht="15.75" customHeight="1">
      <c r="A32" s="536" t="s">
        <v>333</v>
      </c>
      <c r="B32" s="62" t="s">
        <v>332</v>
      </c>
      <c r="C32" s="513"/>
      <c r="D32" s="513"/>
      <c r="E32" s="107"/>
      <c r="F32" s="80"/>
      <c r="G32" s="105"/>
      <c r="H32" s="80"/>
      <c r="I32" s="72">
        <v>18</v>
      </c>
      <c r="J32" s="63">
        <v>2400</v>
      </c>
      <c r="K32" s="64">
        <f t="shared" si="1"/>
        <v>133.33333333333334</v>
      </c>
      <c r="L32" s="72">
        <v>18</v>
      </c>
      <c r="M32" s="65">
        <f>AVERAGE(M24:M31)</f>
        <v>2294.4681095517344</v>
      </c>
      <c r="N32" s="64">
        <f t="shared" si="3"/>
        <v>127.47045053065192</v>
      </c>
      <c r="O32" s="66">
        <f t="shared" si="4"/>
        <v>0</v>
      </c>
      <c r="P32" s="67">
        <f t="shared" si="5"/>
        <v>-5.8628828026814261</v>
      </c>
      <c r="Q32" s="106">
        <f t="shared" si="6"/>
        <v>0.95602837897988935</v>
      </c>
      <c r="R32" s="511"/>
      <c r="S32" s="68"/>
      <c r="T32" s="68"/>
      <c r="U32" s="105"/>
      <c r="V32" s="111"/>
      <c r="W32" s="105"/>
      <c r="X32" s="105"/>
      <c r="Y32" s="510"/>
      <c r="Z32" s="510"/>
      <c r="AA32" s="66">
        <f t="shared" si="8"/>
        <v>-105.53189044826559</v>
      </c>
      <c r="AB32" s="106">
        <f t="shared" si="9"/>
        <v>0.95602837897988935</v>
      </c>
      <c r="AC32" s="511"/>
    </row>
    <row r="33" spans="1:29" ht="15.75" customHeight="1">
      <c r="A33" s="531" t="s">
        <v>336</v>
      </c>
      <c r="B33" s="62" t="s">
        <v>16</v>
      </c>
      <c r="C33" s="512" t="s">
        <v>31</v>
      </c>
      <c r="D33" s="512"/>
      <c r="E33" s="62">
        <v>26.2</v>
      </c>
      <c r="F33" s="80">
        <v>4400</v>
      </c>
      <c r="G33" s="105">
        <f t="shared" ref="G33:G40" si="27">E33*F33</f>
        <v>115280</v>
      </c>
      <c r="H33" s="90">
        <v>2</v>
      </c>
      <c r="I33" s="110">
        <v>18</v>
      </c>
      <c r="J33" s="63">
        <v>2400</v>
      </c>
      <c r="K33" s="64">
        <f t="shared" si="1"/>
        <v>133.33333333333334</v>
      </c>
      <c r="L33" s="110">
        <v>18</v>
      </c>
      <c r="M33" s="65">
        <f t="shared" ref="M33:M40" si="28">F33/V33*60</f>
        <v>2295.652173913044</v>
      </c>
      <c r="N33" s="64">
        <f t="shared" si="3"/>
        <v>127.536231884058</v>
      </c>
      <c r="O33" s="66">
        <f t="shared" si="4"/>
        <v>0</v>
      </c>
      <c r="P33" s="67">
        <f t="shared" si="5"/>
        <v>-5.7971014492753454</v>
      </c>
      <c r="Q33" s="106">
        <f t="shared" si="6"/>
        <v>0.95652173913043492</v>
      </c>
      <c r="R33" s="511">
        <f>Q41</f>
        <v>0.95432702242576495</v>
      </c>
      <c r="S33" s="68">
        <v>0.125</v>
      </c>
      <c r="T33" s="68">
        <v>0.2048611111111111</v>
      </c>
      <c r="U33" s="105"/>
      <c r="V33" s="111">
        <f t="shared" ref="V33:V40" si="29">(T33-S33)*24*60</f>
        <v>114.99999999999999</v>
      </c>
      <c r="W33" s="73">
        <f>T33</f>
        <v>0.2048611111111111</v>
      </c>
      <c r="X33" s="73">
        <f>S34</f>
        <v>0.22361111111111109</v>
      </c>
      <c r="Y33" s="510"/>
      <c r="Z33" s="510"/>
      <c r="AA33" s="66">
        <f t="shared" si="8"/>
        <v>-104.34782608695605</v>
      </c>
      <c r="AB33" s="106">
        <f t="shared" si="9"/>
        <v>0.95652173913043503</v>
      </c>
      <c r="AC33" s="511">
        <f>AB41</f>
        <v>0.95432702242576495</v>
      </c>
    </row>
    <row r="34" spans="1:29" ht="15.75" customHeight="1">
      <c r="A34" s="531" t="s">
        <v>336</v>
      </c>
      <c r="B34" s="62" t="s">
        <v>16</v>
      </c>
      <c r="C34" s="512" t="s">
        <v>32</v>
      </c>
      <c r="D34" s="512"/>
      <c r="E34" s="62">
        <v>26.39</v>
      </c>
      <c r="F34" s="80">
        <v>4300</v>
      </c>
      <c r="G34" s="105">
        <f t="shared" si="27"/>
        <v>113477</v>
      </c>
      <c r="H34" s="90">
        <v>2</v>
      </c>
      <c r="I34" s="110">
        <v>19</v>
      </c>
      <c r="J34" s="63">
        <v>2400</v>
      </c>
      <c r="K34" s="64">
        <f t="shared" si="1"/>
        <v>126.31578947368421</v>
      </c>
      <c r="L34" s="110">
        <v>19</v>
      </c>
      <c r="M34" s="65">
        <f t="shared" si="28"/>
        <v>2283.1858407079644</v>
      </c>
      <c r="N34" s="64">
        <f t="shared" si="3"/>
        <v>120.16767582673496</v>
      </c>
      <c r="O34" s="66">
        <f t="shared" si="4"/>
        <v>0</v>
      </c>
      <c r="P34" s="67">
        <f t="shared" si="5"/>
        <v>-6.1481136469492412</v>
      </c>
      <c r="Q34" s="106">
        <f t="shared" si="6"/>
        <v>0.95132743362831851</v>
      </c>
      <c r="R34" s="511"/>
      <c r="S34" s="68">
        <v>0.22361111111111109</v>
      </c>
      <c r="T34" s="68">
        <v>0.30208333333333331</v>
      </c>
      <c r="U34" s="105">
        <f t="shared" ref="U34:U40" si="30">(S34-T33)*24*60</f>
        <v>26.999999999999986</v>
      </c>
      <c r="V34" s="111">
        <f t="shared" si="29"/>
        <v>113</v>
      </c>
      <c r="W34" s="105"/>
      <c r="X34" s="105"/>
      <c r="Y34" s="510"/>
      <c r="Z34" s="510"/>
      <c r="AA34" s="66">
        <f t="shared" si="8"/>
        <v>-116.81415929203558</v>
      </c>
      <c r="AB34" s="106">
        <f t="shared" si="9"/>
        <v>0.95132743362831851</v>
      </c>
      <c r="AC34" s="511"/>
    </row>
    <row r="35" spans="1:29">
      <c r="A35" s="532" t="s">
        <v>336</v>
      </c>
      <c r="B35" s="62" t="s">
        <v>16</v>
      </c>
      <c r="C35" s="512" t="s">
        <v>50</v>
      </c>
      <c r="D35" s="512"/>
      <c r="E35" s="62">
        <v>20.52</v>
      </c>
      <c r="F35" s="80">
        <v>5602</v>
      </c>
      <c r="G35" s="105">
        <f t="shared" si="27"/>
        <v>114953.04</v>
      </c>
      <c r="H35" s="90" t="s">
        <v>5</v>
      </c>
      <c r="I35" s="110">
        <v>18</v>
      </c>
      <c r="J35" s="63">
        <v>2400</v>
      </c>
      <c r="K35" s="64">
        <f t="shared" si="1"/>
        <v>133.33333333333334</v>
      </c>
      <c r="L35" s="110">
        <v>18</v>
      </c>
      <c r="M35" s="65">
        <f t="shared" si="28"/>
        <v>2286.5306122448974</v>
      </c>
      <c r="N35" s="64">
        <f t="shared" si="3"/>
        <v>127.02947845804985</v>
      </c>
      <c r="O35" s="66">
        <f t="shared" si="4"/>
        <v>0</v>
      </c>
      <c r="P35" s="67">
        <f t="shared" si="5"/>
        <v>-6.3038548752834913</v>
      </c>
      <c r="Q35" s="106">
        <f t="shared" si="6"/>
        <v>0.95272108843537384</v>
      </c>
      <c r="R35" s="511"/>
      <c r="S35" s="68">
        <v>0.30555555555555552</v>
      </c>
      <c r="T35" s="68">
        <v>0.40763888888888888</v>
      </c>
      <c r="U35" s="105">
        <f t="shared" si="30"/>
        <v>4.9999999999999822</v>
      </c>
      <c r="V35" s="111">
        <f t="shared" si="29"/>
        <v>147.00000000000003</v>
      </c>
      <c r="W35" s="105"/>
      <c r="X35" s="105"/>
      <c r="Y35" s="510"/>
      <c r="Z35" s="510"/>
      <c r="AA35" s="66">
        <f t="shared" si="8"/>
        <v>-113.46938775510262</v>
      </c>
      <c r="AB35" s="106">
        <f t="shared" si="9"/>
        <v>0.95272108843537395</v>
      </c>
      <c r="AC35" s="511"/>
    </row>
    <row r="36" spans="1:29">
      <c r="A36" s="532" t="s">
        <v>336</v>
      </c>
      <c r="B36" s="62" t="s">
        <v>16</v>
      </c>
      <c r="C36" s="512" t="s">
        <v>18</v>
      </c>
      <c r="D36" s="512"/>
      <c r="E36" s="62">
        <v>22.35</v>
      </c>
      <c r="F36" s="80">
        <v>2073</v>
      </c>
      <c r="G36" s="105">
        <f t="shared" si="27"/>
        <v>46331.55</v>
      </c>
      <c r="H36" s="90" t="s">
        <v>5</v>
      </c>
      <c r="I36" s="110">
        <v>16</v>
      </c>
      <c r="J36" s="63">
        <v>2400</v>
      </c>
      <c r="K36" s="64">
        <f t="shared" si="1"/>
        <v>150</v>
      </c>
      <c r="L36" s="110">
        <v>16</v>
      </c>
      <c r="M36" s="65">
        <f t="shared" si="28"/>
        <v>2303.3333333333344</v>
      </c>
      <c r="N36" s="64">
        <f t="shared" si="3"/>
        <v>143.9583333333334</v>
      </c>
      <c r="O36" s="66">
        <f t="shared" si="4"/>
        <v>0</v>
      </c>
      <c r="P36" s="67">
        <f t="shared" si="5"/>
        <v>-6.0416666666666003</v>
      </c>
      <c r="Q36" s="106">
        <f t="shared" si="6"/>
        <v>0.9597222222222227</v>
      </c>
      <c r="R36" s="511"/>
      <c r="S36" s="68">
        <v>0.41111111111111109</v>
      </c>
      <c r="T36" s="68">
        <v>0.44861111111111107</v>
      </c>
      <c r="U36" s="105">
        <f t="shared" si="30"/>
        <v>4.9999999999999822</v>
      </c>
      <c r="V36" s="111">
        <f t="shared" si="29"/>
        <v>53.999999999999972</v>
      </c>
      <c r="W36" s="69"/>
      <c r="X36" s="69"/>
      <c r="Y36" s="510"/>
      <c r="Z36" s="510"/>
      <c r="AA36" s="66">
        <f t="shared" si="8"/>
        <v>-96.666666666665606</v>
      </c>
      <c r="AB36" s="106">
        <f t="shared" si="9"/>
        <v>0.9597222222222227</v>
      </c>
      <c r="AC36" s="511"/>
    </row>
    <row r="37" spans="1:29">
      <c r="A37" s="532" t="s">
        <v>336</v>
      </c>
      <c r="B37" s="62" t="s">
        <v>16</v>
      </c>
      <c r="C37" s="512" t="s">
        <v>33</v>
      </c>
      <c r="D37" s="512"/>
      <c r="E37" s="62">
        <v>24.43</v>
      </c>
      <c r="F37" s="80">
        <v>3800</v>
      </c>
      <c r="G37" s="105">
        <f t="shared" si="27"/>
        <v>92834</v>
      </c>
      <c r="H37" s="90">
        <v>2</v>
      </c>
      <c r="I37" s="110">
        <v>15</v>
      </c>
      <c r="J37" s="63">
        <v>2400</v>
      </c>
      <c r="K37" s="64">
        <f t="shared" si="1"/>
        <v>160</v>
      </c>
      <c r="L37" s="110">
        <v>15</v>
      </c>
      <c r="M37" s="65">
        <f t="shared" si="28"/>
        <v>2280.0000000000009</v>
      </c>
      <c r="N37" s="64">
        <f t="shared" si="3"/>
        <v>152.00000000000006</v>
      </c>
      <c r="O37" s="66">
        <f t="shared" si="4"/>
        <v>0</v>
      </c>
      <c r="P37" s="67">
        <f t="shared" si="5"/>
        <v>-7.9999999999999432</v>
      </c>
      <c r="Q37" s="106">
        <f t="shared" si="6"/>
        <v>0.9500000000000004</v>
      </c>
      <c r="R37" s="511"/>
      <c r="S37" s="68">
        <v>0.45208333333333328</v>
      </c>
      <c r="T37" s="68">
        <v>0.5215277777777777</v>
      </c>
      <c r="U37" s="105">
        <f t="shared" si="30"/>
        <v>4.9999999999999822</v>
      </c>
      <c r="V37" s="111">
        <f t="shared" si="29"/>
        <v>99.999999999999972</v>
      </c>
      <c r="W37" s="69">
        <v>0.2048611111111111</v>
      </c>
      <c r="X37" s="69">
        <v>0.22430555555555554</v>
      </c>
      <c r="Y37" s="510"/>
      <c r="Z37" s="510"/>
      <c r="AA37" s="66">
        <f t="shared" si="8"/>
        <v>-119.99999999999909</v>
      </c>
      <c r="AB37" s="106">
        <f t="shared" si="9"/>
        <v>0.9500000000000004</v>
      </c>
      <c r="AC37" s="511"/>
    </row>
    <row r="38" spans="1:29">
      <c r="A38" s="532" t="s">
        <v>336</v>
      </c>
      <c r="B38" s="62" t="s">
        <v>16</v>
      </c>
      <c r="C38" s="512" t="s">
        <v>33</v>
      </c>
      <c r="D38" s="512"/>
      <c r="E38" s="62">
        <v>24.43</v>
      </c>
      <c r="F38" s="80">
        <v>5722</v>
      </c>
      <c r="G38" s="105">
        <f t="shared" si="27"/>
        <v>139788.46</v>
      </c>
      <c r="H38" s="90" t="s">
        <v>5</v>
      </c>
      <c r="I38" s="110">
        <v>15</v>
      </c>
      <c r="J38" s="63">
        <v>2400</v>
      </c>
      <c r="K38" s="64">
        <f t="shared" si="1"/>
        <v>160</v>
      </c>
      <c r="L38" s="110">
        <v>15</v>
      </c>
      <c r="M38" s="65">
        <f t="shared" si="28"/>
        <v>2288.8000000000011</v>
      </c>
      <c r="N38" s="64">
        <f t="shared" si="3"/>
        <v>152.58666666666673</v>
      </c>
      <c r="O38" s="66">
        <f t="shared" si="4"/>
        <v>0</v>
      </c>
      <c r="P38" s="67">
        <f t="shared" si="5"/>
        <v>-7.41333333333327</v>
      </c>
      <c r="Q38" s="106">
        <f t="shared" si="6"/>
        <v>0.95366666666666711</v>
      </c>
      <c r="R38" s="511"/>
      <c r="S38" s="68">
        <v>0.56041666666666656</v>
      </c>
      <c r="T38" s="68">
        <v>0.66458333333333319</v>
      </c>
      <c r="U38" s="105">
        <f t="shared" si="30"/>
        <v>55.999999999999957</v>
      </c>
      <c r="V38" s="111">
        <f t="shared" si="29"/>
        <v>149.99999999999994</v>
      </c>
      <c r="W38" s="69"/>
      <c r="X38" s="69"/>
      <c r="Y38" s="510"/>
      <c r="Z38" s="510"/>
      <c r="AA38" s="66">
        <f t="shared" si="8"/>
        <v>-111.19999999999891</v>
      </c>
      <c r="AB38" s="106">
        <f t="shared" si="9"/>
        <v>0.95366666666666711</v>
      </c>
      <c r="AC38" s="511"/>
    </row>
    <row r="39" spans="1:29">
      <c r="A39" s="532" t="s">
        <v>336</v>
      </c>
      <c r="B39" s="62" t="s">
        <v>16</v>
      </c>
      <c r="C39" s="512" t="s">
        <v>31</v>
      </c>
      <c r="D39" s="512"/>
      <c r="E39" s="62">
        <v>26.2</v>
      </c>
      <c r="F39" s="80">
        <v>3408</v>
      </c>
      <c r="G39" s="105">
        <f t="shared" si="27"/>
        <v>89289.599999999991</v>
      </c>
      <c r="H39" s="90" t="s">
        <v>5</v>
      </c>
      <c r="I39" s="110">
        <v>18</v>
      </c>
      <c r="J39" s="63">
        <v>2400</v>
      </c>
      <c r="K39" s="64">
        <f t="shared" si="1"/>
        <v>133.33333333333334</v>
      </c>
      <c r="L39" s="110">
        <v>18</v>
      </c>
      <c r="M39" s="65">
        <f t="shared" si="28"/>
        <v>2297.5280898876404</v>
      </c>
      <c r="N39" s="64">
        <f t="shared" si="3"/>
        <v>127.64044943820224</v>
      </c>
      <c r="O39" s="66">
        <f t="shared" si="4"/>
        <v>0</v>
      </c>
      <c r="P39" s="67">
        <f t="shared" si="5"/>
        <v>-5.6928838951311036</v>
      </c>
      <c r="Q39" s="106">
        <f t="shared" si="6"/>
        <v>0.95730337078651673</v>
      </c>
      <c r="R39" s="511"/>
      <c r="S39" s="68">
        <v>0.6680555555555554</v>
      </c>
      <c r="T39" s="68">
        <v>0.72986111111111096</v>
      </c>
      <c r="U39" s="105">
        <f t="shared" si="30"/>
        <v>4.9999999999999822</v>
      </c>
      <c r="V39" s="111">
        <f t="shared" si="29"/>
        <v>89</v>
      </c>
      <c r="W39" s="69"/>
      <c r="X39" s="69"/>
      <c r="Y39" s="517"/>
      <c r="Z39" s="518"/>
      <c r="AA39" s="66">
        <f t="shared" si="8"/>
        <v>-102.47191011235964</v>
      </c>
      <c r="AB39" s="106">
        <f t="shared" si="9"/>
        <v>0.95730337078651684</v>
      </c>
      <c r="AC39" s="511"/>
    </row>
    <row r="40" spans="1:29">
      <c r="A40" s="532" t="s">
        <v>336</v>
      </c>
      <c r="B40" s="62" t="s">
        <v>16</v>
      </c>
      <c r="C40" s="512" t="s">
        <v>32</v>
      </c>
      <c r="D40" s="512"/>
      <c r="E40" s="62">
        <v>26.39</v>
      </c>
      <c r="F40" s="80">
        <v>3127</v>
      </c>
      <c r="G40" s="105">
        <f t="shared" si="27"/>
        <v>82521.53</v>
      </c>
      <c r="H40" s="90" t="s">
        <v>5</v>
      </c>
      <c r="I40" s="110">
        <v>19</v>
      </c>
      <c r="J40" s="63">
        <v>2400</v>
      </c>
      <c r="K40" s="64">
        <f t="shared" si="1"/>
        <v>126.31578947368421</v>
      </c>
      <c r="L40" s="110">
        <v>19</v>
      </c>
      <c r="M40" s="65">
        <f t="shared" si="28"/>
        <v>2288.0487804878039</v>
      </c>
      <c r="N40" s="64">
        <f t="shared" si="3"/>
        <v>120.42362002567388</v>
      </c>
      <c r="O40" s="66">
        <f t="shared" si="4"/>
        <v>0</v>
      </c>
      <c r="P40" s="67">
        <f t="shared" si="5"/>
        <v>-5.8921694480103213</v>
      </c>
      <c r="Q40" s="106">
        <f t="shared" si="6"/>
        <v>0.95335365853658494</v>
      </c>
      <c r="R40" s="511"/>
      <c r="S40" s="68">
        <v>0.73402777777777761</v>
      </c>
      <c r="T40" s="68">
        <v>0.79097222222222208</v>
      </c>
      <c r="U40" s="105">
        <f t="shared" si="30"/>
        <v>5.9999999999999787</v>
      </c>
      <c r="V40" s="111">
        <f t="shared" si="29"/>
        <v>82.000000000000028</v>
      </c>
      <c r="W40" s="69"/>
      <c r="X40" s="69"/>
      <c r="Y40" s="517"/>
      <c r="Z40" s="518"/>
      <c r="AA40" s="66">
        <f t="shared" si="8"/>
        <v>-111.95121951219608</v>
      </c>
      <c r="AB40" s="106">
        <f t="shared" si="9"/>
        <v>0.95335365853658494</v>
      </c>
      <c r="AC40" s="511"/>
    </row>
    <row r="41" spans="1:29">
      <c r="A41" s="532" t="s">
        <v>336</v>
      </c>
      <c r="B41" s="71" t="s">
        <v>332</v>
      </c>
      <c r="C41" s="513"/>
      <c r="D41" s="513"/>
      <c r="E41" s="107"/>
      <c r="F41" s="71"/>
      <c r="G41" s="64"/>
      <c r="H41" s="80"/>
      <c r="I41" s="72">
        <v>17.25</v>
      </c>
      <c r="J41" s="63">
        <v>2400</v>
      </c>
      <c r="K41" s="64">
        <f t="shared" si="1"/>
        <v>139.13043478260869</v>
      </c>
      <c r="L41" s="72">
        <v>17.25</v>
      </c>
      <c r="M41" s="65">
        <f>AVERAGE(M33:M40)</f>
        <v>2290.3848538218358</v>
      </c>
      <c r="N41" s="64">
        <f t="shared" si="3"/>
        <v>132.77593355488904</v>
      </c>
      <c r="O41" s="66">
        <f t="shared" si="4"/>
        <v>0</v>
      </c>
      <c r="P41" s="67">
        <f t="shared" si="5"/>
        <v>-6.354501227719652</v>
      </c>
      <c r="Q41" s="106">
        <f t="shared" si="6"/>
        <v>0.95432702242576495</v>
      </c>
      <c r="R41" s="511"/>
      <c r="S41" s="68"/>
      <c r="T41" s="68"/>
      <c r="U41" s="64"/>
      <c r="V41" s="111"/>
      <c r="W41" s="64"/>
      <c r="X41" s="64"/>
      <c r="Y41" s="510"/>
      <c r="Z41" s="510"/>
      <c r="AA41" s="66">
        <f t="shared" si="8"/>
        <v>-109.6151461781642</v>
      </c>
      <c r="AB41" s="106">
        <f t="shared" si="9"/>
        <v>0.95432702242576495</v>
      </c>
      <c r="AC41" s="511"/>
    </row>
    <row r="42" spans="1:29" ht="15.75" customHeight="1">
      <c r="A42" s="525" t="s">
        <v>337</v>
      </c>
      <c r="B42" s="62" t="s">
        <v>35</v>
      </c>
      <c r="C42" s="521" t="s">
        <v>36</v>
      </c>
      <c r="D42" s="522"/>
      <c r="E42" s="62">
        <v>21.13</v>
      </c>
      <c r="F42" s="80">
        <v>3300</v>
      </c>
      <c r="G42" s="105">
        <f t="shared" ref="G42:G52" si="31">E42*F42</f>
        <v>69729</v>
      </c>
      <c r="H42" s="90">
        <v>2</v>
      </c>
      <c r="I42" s="110">
        <v>10</v>
      </c>
      <c r="J42" s="63">
        <v>3000</v>
      </c>
      <c r="K42" s="64">
        <f t="shared" si="1"/>
        <v>300</v>
      </c>
      <c r="L42" s="110">
        <v>10</v>
      </c>
      <c r="M42" s="65">
        <f t="shared" ref="M42:M52" si="32">F42/V42*60</f>
        <v>2869.5652173913045</v>
      </c>
      <c r="N42" s="65">
        <f t="shared" si="3"/>
        <v>286.95652173913044</v>
      </c>
      <c r="O42" s="66">
        <f t="shared" si="4"/>
        <v>0</v>
      </c>
      <c r="P42" s="67">
        <f t="shared" si="5"/>
        <v>-13.043478260869563</v>
      </c>
      <c r="Q42" s="106">
        <f t="shared" si="6"/>
        <v>0.95652173913043481</v>
      </c>
      <c r="R42" s="528">
        <f>Q53</f>
        <v>0.95672635501324621</v>
      </c>
      <c r="S42" s="68">
        <v>0.125</v>
      </c>
      <c r="T42" s="68">
        <v>0.17291666666666666</v>
      </c>
      <c r="U42" s="73"/>
      <c r="V42" s="111">
        <f t="shared" ref="V42:V52" si="33">(T42-S42)*24*60</f>
        <v>69</v>
      </c>
      <c r="W42" s="69">
        <f>T42</f>
        <v>0.17291666666666666</v>
      </c>
      <c r="X42" s="69">
        <f>S43</f>
        <v>0.19375000000000001</v>
      </c>
      <c r="Y42" s="517"/>
      <c r="Z42" s="518"/>
      <c r="AA42" s="66">
        <f t="shared" si="8"/>
        <v>-130.43478260869551</v>
      </c>
      <c r="AB42" s="106">
        <f t="shared" si="9"/>
        <v>0.95652173913043481</v>
      </c>
      <c r="AC42" s="528">
        <f>AB53</f>
        <v>0.95672635501324621</v>
      </c>
    </row>
    <row r="43" spans="1:29" ht="15.75" customHeight="1">
      <c r="A43" s="526" t="s">
        <v>337</v>
      </c>
      <c r="B43" s="62" t="s">
        <v>35</v>
      </c>
      <c r="C43" s="521" t="s">
        <v>37</v>
      </c>
      <c r="D43" s="522"/>
      <c r="E43" s="62">
        <v>27.17</v>
      </c>
      <c r="F43" s="80">
        <v>4100</v>
      </c>
      <c r="G43" s="105">
        <f t="shared" si="31"/>
        <v>111397</v>
      </c>
      <c r="H43" s="90">
        <v>2</v>
      </c>
      <c r="I43" s="110">
        <v>10</v>
      </c>
      <c r="J43" s="63">
        <v>3000</v>
      </c>
      <c r="K43" s="64">
        <f t="shared" si="1"/>
        <v>300</v>
      </c>
      <c r="L43" s="110">
        <v>10</v>
      </c>
      <c r="M43" s="65">
        <f t="shared" si="32"/>
        <v>2860.4651162790706</v>
      </c>
      <c r="N43" s="65">
        <f t="shared" si="3"/>
        <v>286.04651162790708</v>
      </c>
      <c r="O43" s="66">
        <f t="shared" si="4"/>
        <v>0</v>
      </c>
      <c r="P43" s="67">
        <f t="shared" si="5"/>
        <v>-13.95348837209292</v>
      </c>
      <c r="Q43" s="106">
        <f t="shared" si="6"/>
        <v>0.95348837209302362</v>
      </c>
      <c r="R43" s="529"/>
      <c r="S43" s="68">
        <v>0.19375000000000001</v>
      </c>
      <c r="T43" s="68">
        <v>0.25347222222222221</v>
      </c>
      <c r="U43" s="105">
        <f t="shared" ref="U43:U52" si="34">(S43-T42)*24*60</f>
        <v>30.000000000000014</v>
      </c>
      <c r="V43" s="111">
        <f t="shared" si="33"/>
        <v>85.999999999999972</v>
      </c>
      <c r="W43" s="69"/>
      <c r="X43" s="69"/>
      <c r="Y43" s="517"/>
      <c r="Z43" s="518"/>
      <c r="AA43" s="66">
        <f t="shared" si="8"/>
        <v>-139.53488372092943</v>
      </c>
      <c r="AB43" s="106">
        <f t="shared" si="9"/>
        <v>0.95348837209302351</v>
      </c>
      <c r="AC43" s="529"/>
    </row>
    <row r="44" spans="1:29" ht="15.75" customHeight="1">
      <c r="A44" s="526" t="s">
        <v>337</v>
      </c>
      <c r="B44" s="62" t="s">
        <v>35</v>
      </c>
      <c r="C44" s="521" t="s">
        <v>38</v>
      </c>
      <c r="D44" s="522"/>
      <c r="E44" s="62">
        <v>35.119999999999997</v>
      </c>
      <c r="F44" s="80">
        <v>3000</v>
      </c>
      <c r="G44" s="105">
        <f t="shared" si="31"/>
        <v>105359.99999999999</v>
      </c>
      <c r="H44" s="90">
        <v>2</v>
      </c>
      <c r="I44" s="110">
        <v>10</v>
      </c>
      <c r="J44" s="63">
        <v>3000</v>
      </c>
      <c r="K44" s="64">
        <f t="shared" si="1"/>
        <v>300</v>
      </c>
      <c r="L44" s="110">
        <v>10</v>
      </c>
      <c r="M44" s="65">
        <f t="shared" si="32"/>
        <v>2857.1428571428564</v>
      </c>
      <c r="N44" s="65">
        <f t="shared" si="3"/>
        <v>285.71428571428567</v>
      </c>
      <c r="O44" s="66">
        <f t="shared" si="4"/>
        <v>0</v>
      </c>
      <c r="P44" s="67">
        <f t="shared" si="5"/>
        <v>-14.285714285714334</v>
      </c>
      <c r="Q44" s="106">
        <f t="shared" si="6"/>
        <v>0.95238095238095222</v>
      </c>
      <c r="R44" s="529"/>
      <c r="S44" s="68">
        <v>0.25694444444444442</v>
      </c>
      <c r="T44" s="68">
        <v>0.30069444444444443</v>
      </c>
      <c r="U44" s="105">
        <f t="shared" si="34"/>
        <v>4.9999999999999822</v>
      </c>
      <c r="V44" s="111">
        <f t="shared" si="33"/>
        <v>63.000000000000014</v>
      </c>
      <c r="W44" s="69"/>
      <c r="X44" s="69"/>
      <c r="Y44" s="517"/>
      <c r="Z44" s="518"/>
      <c r="AA44" s="66">
        <f t="shared" si="8"/>
        <v>-142.85714285714357</v>
      </c>
      <c r="AB44" s="106">
        <f t="shared" si="9"/>
        <v>0.95238095238095211</v>
      </c>
      <c r="AC44" s="529"/>
    </row>
    <row r="45" spans="1:29" ht="15.75" customHeight="1">
      <c r="A45" s="526" t="s">
        <v>337</v>
      </c>
      <c r="B45" s="62" t="s">
        <v>35</v>
      </c>
      <c r="C45" s="521" t="s">
        <v>39</v>
      </c>
      <c r="D45" s="522"/>
      <c r="E45" s="62">
        <v>35.869999999999997</v>
      </c>
      <c r="F45" s="80">
        <v>3218</v>
      </c>
      <c r="G45" s="105">
        <f t="shared" si="31"/>
        <v>115429.65999999999</v>
      </c>
      <c r="H45" s="90" t="s">
        <v>5</v>
      </c>
      <c r="I45" s="110">
        <v>10</v>
      </c>
      <c r="J45" s="63">
        <v>3000</v>
      </c>
      <c r="K45" s="64">
        <f t="shared" si="1"/>
        <v>300</v>
      </c>
      <c r="L45" s="110">
        <v>10</v>
      </c>
      <c r="M45" s="65">
        <f t="shared" si="32"/>
        <v>2881.7910447761196</v>
      </c>
      <c r="N45" s="65">
        <f t="shared" si="3"/>
        <v>288.17910447761199</v>
      </c>
      <c r="O45" s="66">
        <f t="shared" si="4"/>
        <v>0</v>
      </c>
      <c r="P45" s="67">
        <f t="shared" si="5"/>
        <v>-11.820895522388014</v>
      </c>
      <c r="Q45" s="106">
        <f t="shared" si="6"/>
        <v>0.9605970149253733</v>
      </c>
      <c r="R45" s="529"/>
      <c r="S45" s="68">
        <v>0.30555555555555552</v>
      </c>
      <c r="T45" s="68">
        <v>0.3520833333333333</v>
      </c>
      <c r="U45" s="105">
        <f t="shared" si="34"/>
        <v>6.9999999999999751</v>
      </c>
      <c r="V45" s="111">
        <f t="shared" si="33"/>
        <v>67</v>
      </c>
      <c r="W45" s="69"/>
      <c r="X45" s="69"/>
      <c r="Y45" s="517"/>
      <c r="Z45" s="518"/>
      <c r="AA45" s="66">
        <f t="shared" si="8"/>
        <v>-118.20895522388037</v>
      </c>
      <c r="AB45" s="106">
        <f t="shared" si="9"/>
        <v>0.96059701492537319</v>
      </c>
      <c r="AC45" s="529"/>
    </row>
    <row r="46" spans="1:29" ht="15.75" customHeight="1">
      <c r="A46" s="526" t="s">
        <v>337</v>
      </c>
      <c r="B46" s="62" t="s">
        <v>35</v>
      </c>
      <c r="C46" s="521" t="s">
        <v>40</v>
      </c>
      <c r="D46" s="522"/>
      <c r="E46" s="62">
        <v>36.14</v>
      </c>
      <c r="F46" s="80">
        <v>1667</v>
      </c>
      <c r="G46" s="105">
        <f t="shared" si="31"/>
        <v>60245.38</v>
      </c>
      <c r="H46" s="90" t="s">
        <v>5</v>
      </c>
      <c r="I46" s="110">
        <v>8</v>
      </c>
      <c r="J46" s="63">
        <v>3000</v>
      </c>
      <c r="K46" s="64">
        <f t="shared" si="1"/>
        <v>375</v>
      </c>
      <c r="L46" s="110">
        <v>8</v>
      </c>
      <c r="M46" s="65">
        <f t="shared" si="32"/>
        <v>2857.7142857142831</v>
      </c>
      <c r="N46" s="65">
        <f t="shared" si="3"/>
        <v>357.21428571428538</v>
      </c>
      <c r="O46" s="66">
        <f t="shared" si="4"/>
        <v>0</v>
      </c>
      <c r="P46" s="67">
        <f t="shared" si="5"/>
        <v>-17.785714285714619</v>
      </c>
      <c r="Q46" s="106">
        <f t="shared" si="6"/>
        <v>0.95257142857142774</v>
      </c>
      <c r="R46" s="529"/>
      <c r="S46" s="68">
        <v>0.3569444444444444</v>
      </c>
      <c r="T46" s="68">
        <v>0.38124999999999998</v>
      </c>
      <c r="U46" s="105">
        <f t="shared" si="34"/>
        <v>6.9999999999999751</v>
      </c>
      <c r="V46" s="111">
        <f t="shared" si="33"/>
        <v>35.000000000000036</v>
      </c>
      <c r="W46" s="69"/>
      <c r="X46" s="69"/>
      <c r="Y46" s="517"/>
      <c r="Z46" s="518"/>
      <c r="AA46" s="66">
        <f t="shared" si="8"/>
        <v>-142.28571428571695</v>
      </c>
      <c r="AB46" s="106">
        <f t="shared" si="9"/>
        <v>0.95257142857142774</v>
      </c>
      <c r="AC46" s="529"/>
    </row>
    <row r="47" spans="1:29" ht="15.75" customHeight="1">
      <c r="A47" s="526" t="s">
        <v>338</v>
      </c>
      <c r="B47" s="62" t="s">
        <v>35</v>
      </c>
      <c r="C47" s="521" t="s">
        <v>74</v>
      </c>
      <c r="D47" s="522"/>
      <c r="E47" s="62">
        <v>34.36</v>
      </c>
      <c r="F47" s="80">
        <v>3198</v>
      </c>
      <c r="G47" s="105">
        <f t="shared" si="31"/>
        <v>109883.28</v>
      </c>
      <c r="H47" s="90" t="s">
        <v>5</v>
      </c>
      <c r="I47" s="110">
        <v>10</v>
      </c>
      <c r="J47" s="63">
        <v>3000</v>
      </c>
      <c r="K47" s="64">
        <f t="shared" si="1"/>
        <v>300</v>
      </c>
      <c r="L47" s="110">
        <v>10</v>
      </c>
      <c r="M47" s="65">
        <f t="shared" si="32"/>
        <v>2863.8805970149256</v>
      </c>
      <c r="N47" s="65">
        <f t="shared" si="3"/>
        <v>286.38805970149258</v>
      </c>
      <c r="O47" s="66">
        <f t="shared" si="4"/>
        <v>0</v>
      </c>
      <c r="P47" s="67">
        <f t="shared" si="5"/>
        <v>-13.61194029850742</v>
      </c>
      <c r="Q47" s="106">
        <f t="shared" si="6"/>
        <v>0.9546268656716419</v>
      </c>
      <c r="R47" s="529"/>
      <c r="S47" s="68">
        <v>0.38472222222222219</v>
      </c>
      <c r="T47" s="68">
        <v>0.43124999999999997</v>
      </c>
      <c r="U47" s="105">
        <f t="shared" si="34"/>
        <v>4.9999999999999822</v>
      </c>
      <c r="V47" s="111">
        <f t="shared" si="33"/>
        <v>67</v>
      </c>
      <c r="W47" s="69"/>
      <c r="X47" s="69"/>
      <c r="Y47" s="517"/>
      <c r="Z47" s="518"/>
      <c r="AA47" s="66">
        <f t="shared" si="8"/>
        <v>-136.11940298507443</v>
      </c>
      <c r="AB47" s="106">
        <f t="shared" si="9"/>
        <v>0.9546268656716419</v>
      </c>
      <c r="AC47" s="529"/>
    </row>
    <row r="48" spans="1:29" ht="15.75" customHeight="1">
      <c r="A48" s="526" t="s">
        <v>337</v>
      </c>
      <c r="B48" s="62" t="s">
        <v>35</v>
      </c>
      <c r="C48" s="521" t="s">
        <v>84</v>
      </c>
      <c r="D48" s="522"/>
      <c r="E48" s="62">
        <v>31</v>
      </c>
      <c r="F48" s="80">
        <v>3800</v>
      </c>
      <c r="G48" s="105">
        <f t="shared" si="31"/>
        <v>117800</v>
      </c>
      <c r="H48" s="90">
        <v>2</v>
      </c>
      <c r="I48" s="110">
        <v>13</v>
      </c>
      <c r="J48" s="63">
        <v>2000</v>
      </c>
      <c r="K48" s="64">
        <f t="shared" si="1"/>
        <v>153.84615384615384</v>
      </c>
      <c r="L48" s="110">
        <v>13</v>
      </c>
      <c r="M48" s="65">
        <f t="shared" si="32"/>
        <v>1915.9663865546222</v>
      </c>
      <c r="N48" s="65">
        <f t="shared" si="3"/>
        <v>147.38202973497093</v>
      </c>
      <c r="O48" s="66">
        <f t="shared" si="4"/>
        <v>0</v>
      </c>
      <c r="P48" s="67">
        <f t="shared" si="5"/>
        <v>-6.4641241111829117</v>
      </c>
      <c r="Q48" s="106">
        <f t="shared" si="6"/>
        <v>0.95798319327731107</v>
      </c>
      <c r="R48" s="529"/>
      <c r="S48" s="68">
        <v>0.43472222222222218</v>
      </c>
      <c r="T48" s="68">
        <v>0.51736111111111105</v>
      </c>
      <c r="U48" s="105">
        <f t="shared" si="34"/>
        <v>4.9999999999999822</v>
      </c>
      <c r="V48" s="111">
        <f t="shared" si="33"/>
        <v>118.99999999999997</v>
      </c>
      <c r="W48" s="69">
        <f>T48</f>
        <v>0.51736111111111105</v>
      </c>
      <c r="X48" s="69">
        <f>S49</f>
        <v>0.55555555555555547</v>
      </c>
      <c r="Y48" s="517"/>
      <c r="Z48" s="518"/>
      <c r="AA48" s="66">
        <f t="shared" si="8"/>
        <v>-84.033613445377796</v>
      </c>
      <c r="AB48" s="106">
        <f t="shared" si="9"/>
        <v>0.95798319327731107</v>
      </c>
      <c r="AC48" s="529"/>
    </row>
    <row r="49" spans="1:29" ht="15.75" customHeight="1">
      <c r="A49" s="526" t="s">
        <v>337</v>
      </c>
      <c r="B49" s="62" t="s">
        <v>35</v>
      </c>
      <c r="C49" s="521" t="s">
        <v>84</v>
      </c>
      <c r="D49" s="522"/>
      <c r="E49" s="62">
        <v>31</v>
      </c>
      <c r="F49" s="80">
        <v>4525</v>
      </c>
      <c r="G49" s="105">
        <f t="shared" si="31"/>
        <v>140275</v>
      </c>
      <c r="H49" s="90" t="s">
        <v>5</v>
      </c>
      <c r="I49" s="110">
        <v>13</v>
      </c>
      <c r="J49" s="63">
        <v>2000</v>
      </c>
      <c r="K49" s="64">
        <f t="shared" si="1"/>
        <v>153.84615384615384</v>
      </c>
      <c r="L49" s="110">
        <v>13</v>
      </c>
      <c r="M49" s="65">
        <f t="shared" si="32"/>
        <v>1911.9718309859159</v>
      </c>
      <c r="N49" s="65">
        <f t="shared" si="3"/>
        <v>147.07475622968585</v>
      </c>
      <c r="O49" s="66">
        <f t="shared" si="4"/>
        <v>0</v>
      </c>
      <c r="P49" s="67">
        <f t="shared" si="5"/>
        <v>-6.7713976164679934</v>
      </c>
      <c r="Q49" s="106">
        <f t="shared" si="6"/>
        <v>0.95598591549295808</v>
      </c>
      <c r="R49" s="529"/>
      <c r="S49" s="68">
        <v>0.55555555555555547</v>
      </c>
      <c r="T49" s="68">
        <v>0.65416666666666656</v>
      </c>
      <c r="U49" s="105">
        <f t="shared" si="34"/>
        <v>54.999999999999964</v>
      </c>
      <c r="V49" s="111">
        <f t="shared" si="33"/>
        <v>141.99999999999997</v>
      </c>
      <c r="W49" s="69"/>
      <c r="X49" s="69"/>
      <c r="Y49" s="517"/>
      <c r="Z49" s="518"/>
      <c r="AA49" s="66">
        <f t="shared" si="8"/>
        <v>-88.028169014084142</v>
      </c>
      <c r="AB49" s="106">
        <f t="shared" si="9"/>
        <v>0.95598591549295797</v>
      </c>
      <c r="AC49" s="529"/>
    </row>
    <row r="50" spans="1:29" ht="15.75" customHeight="1">
      <c r="A50" s="526" t="s">
        <v>337</v>
      </c>
      <c r="B50" s="62" t="s">
        <v>35</v>
      </c>
      <c r="C50" s="521" t="s">
        <v>37</v>
      </c>
      <c r="D50" s="522"/>
      <c r="E50" s="62">
        <v>27.17</v>
      </c>
      <c r="F50" s="80">
        <v>2989</v>
      </c>
      <c r="G50" s="105">
        <f t="shared" si="31"/>
        <v>81211.13</v>
      </c>
      <c r="H50" s="90" t="s">
        <v>5</v>
      </c>
      <c r="I50" s="110">
        <v>10</v>
      </c>
      <c r="J50" s="63">
        <v>3000</v>
      </c>
      <c r="K50" s="64">
        <f t="shared" si="1"/>
        <v>300</v>
      </c>
      <c r="L50" s="110">
        <v>10</v>
      </c>
      <c r="M50" s="65">
        <f t="shared" si="32"/>
        <v>2892.580645161293</v>
      </c>
      <c r="N50" s="65">
        <f t="shared" si="3"/>
        <v>289.25806451612931</v>
      </c>
      <c r="O50" s="66">
        <f t="shared" si="4"/>
        <v>0</v>
      </c>
      <c r="P50" s="67">
        <f t="shared" si="5"/>
        <v>-10.741935483870691</v>
      </c>
      <c r="Q50" s="106">
        <f t="shared" si="6"/>
        <v>0.9641935483870977</v>
      </c>
      <c r="R50" s="529"/>
      <c r="S50" s="68">
        <v>0.65763888888888877</v>
      </c>
      <c r="T50" s="68">
        <v>0.70069444444444429</v>
      </c>
      <c r="U50" s="105">
        <f t="shared" si="34"/>
        <v>4.9999999999999822</v>
      </c>
      <c r="V50" s="111">
        <f t="shared" si="33"/>
        <v>61.999999999999943</v>
      </c>
      <c r="W50" s="69"/>
      <c r="X50" s="69"/>
      <c r="Y50" s="517"/>
      <c r="Z50" s="518"/>
      <c r="AA50" s="66">
        <f t="shared" si="8"/>
        <v>-107.41935483870702</v>
      </c>
      <c r="AB50" s="106">
        <f t="shared" si="9"/>
        <v>0.9641935483870977</v>
      </c>
      <c r="AC50" s="529"/>
    </row>
    <row r="51" spans="1:29" ht="15.75" customHeight="1">
      <c r="A51" s="526" t="s">
        <v>337</v>
      </c>
      <c r="B51" s="62" t="s">
        <v>35</v>
      </c>
      <c r="C51" s="521" t="s">
        <v>36</v>
      </c>
      <c r="D51" s="522"/>
      <c r="E51" s="62">
        <v>21.13</v>
      </c>
      <c r="F51" s="80">
        <v>2308</v>
      </c>
      <c r="G51" s="105">
        <f t="shared" si="31"/>
        <v>48768.04</v>
      </c>
      <c r="H51" s="90" t="s">
        <v>5</v>
      </c>
      <c r="I51" s="110">
        <v>10</v>
      </c>
      <c r="J51" s="63">
        <v>3000</v>
      </c>
      <c r="K51" s="64">
        <f t="shared" si="1"/>
        <v>300</v>
      </c>
      <c r="L51" s="110">
        <v>10</v>
      </c>
      <c r="M51" s="65">
        <f t="shared" si="32"/>
        <v>2885.0000000000009</v>
      </c>
      <c r="N51" s="65">
        <f t="shared" si="3"/>
        <v>288.50000000000011</v>
      </c>
      <c r="O51" s="66">
        <f t="shared" si="4"/>
        <v>0</v>
      </c>
      <c r="P51" s="67">
        <f t="shared" si="5"/>
        <v>-11.499999999999886</v>
      </c>
      <c r="Q51" s="106">
        <f t="shared" si="6"/>
        <v>0.961666666666667</v>
      </c>
      <c r="R51" s="529"/>
      <c r="S51" s="68">
        <v>0.70624999999999982</v>
      </c>
      <c r="T51" s="68">
        <v>0.73958333333333315</v>
      </c>
      <c r="U51" s="105">
        <f t="shared" si="34"/>
        <v>7.9999999999999716</v>
      </c>
      <c r="V51" s="111">
        <f t="shared" si="33"/>
        <v>47.999999999999986</v>
      </c>
      <c r="W51" s="69"/>
      <c r="X51" s="69"/>
      <c r="Y51" s="517"/>
      <c r="Z51" s="518"/>
      <c r="AA51" s="66">
        <f t="shared" si="8"/>
        <v>-114.99999999999909</v>
      </c>
      <c r="AB51" s="106">
        <f t="shared" si="9"/>
        <v>0.961666666666667</v>
      </c>
      <c r="AC51" s="529"/>
    </row>
    <row r="52" spans="1:29" ht="15.75" customHeight="1">
      <c r="A52" s="526" t="s">
        <v>337</v>
      </c>
      <c r="B52" s="62" t="s">
        <v>35</v>
      </c>
      <c r="C52" s="521" t="s">
        <v>38</v>
      </c>
      <c r="D52" s="522"/>
      <c r="E52" s="62">
        <v>35.119999999999997</v>
      </c>
      <c r="F52" s="80">
        <v>1956</v>
      </c>
      <c r="G52" s="105">
        <f t="shared" si="31"/>
        <v>68694.720000000001</v>
      </c>
      <c r="H52" s="90" t="s">
        <v>5</v>
      </c>
      <c r="I52" s="110">
        <v>10</v>
      </c>
      <c r="J52" s="63">
        <v>3000</v>
      </c>
      <c r="K52" s="64">
        <f t="shared" si="1"/>
        <v>300</v>
      </c>
      <c r="L52" s="110">
        <v>10</v>
      </c>
      <c r="M52" s="65">
        <f t="shared" si="32"/>
        <v>2862.4390243902426</v>
      </c>
      <c r="N52" s="65">
        <f t="shared" si="3"/>
        <v>286.24390243902428</v>
      </c>
      <c r="O52" s="66">
        <f t="shared" si="4"/>
        <v>0</v>
      </c>
      <c r="P52" s="67">
        <f t="shared" si="5"/>
        <v>-13.756097560975718</v>
      </c>
      <c r="Q52" s="106">
        <f t="shared" si="6"/>
        <v>0.95414634146341426</v>
      </c>
      <c r="R52" s="529"/>
      <c r="S52" s="68">
        <v>0.74513888888888868</v>
      </c>
      <c r="T52" s="68">
        <v>0.77361111111111092</v>
      </c>
      <c r="U52" s="105">
        <f t="shared" si="34"/>
        <v>7.9999999999999716</v>
      </c>
      <c r="V52" s="111">
        <f t="shared" si="33"/>
        <v>41.000000000000014</v>
      </c>
      <c r="W52" s="69"/>
      <c r="X52" s="69"/>
      <c r="Y52" s="517"/>
      <c r="Z52" s="518"/>
      <c r="AA52" s="66">
        <f t="shared" si="8"/>
        <v>-137.56097560975741</v>
      </c>
      <c r="AB52" s="106">
        <f t="shared" si="9"/>
        <v>0.95414634146341415</v>
      </c>
      <c r="AC52" s="529"/>
    </row>
    <row r="53" spans="1:29" ht="15.75" customHeight="1">
      <c r="A53" s="527" t="s">
        <v>337</v>
      </c>
      <c r="B53" s="62" t="s">
        <v>332</v>
      </c>
      <c r="C53" s="508"/>
      <c r="D53" s="509"/>
      <c r="E53" s="104"/>
      <c r="F53" s="80"/>
      <c r="G53" s="105"/>
      <c r="H53" s="80"/>
      <c r="I53" s="72">
        <v>10.363636363636363</v>
      </c>
      <c r="J53" s="63">
        <v>2818.181818181818</v>
      </c>
      <c r="K53" s="64">
        <f t="shared" si="1"/>
        <v>271.92982456140351</v>
      </c>
      <c r="L53" s="72">
        <v>10.363636363636363</v>
      </c>
      <c r="M53" s="65">
        <f>AVERAGE(M42:M52)</f>
        <v>2696.2288186736937</v>
      </c>
      <c r="N53" s="64">
        <f t="shared" si="3"/>
        <v>260.1624298720231</v>
      </c>
      <c r="O53" s="66">
        <f t="shared" si="4"/>
        <v>0</v>
      </c>
      <c r="P53" s="67">
        <f t="shared" si="5"/>
        <v>-11.76739468938041</v>
      </c>
      <c r="Q53" s="106">
        <f t="shared" si="6"/>
        <v>0.95672635501324621</v>
      </c>
      <c r="R53" s="530"/>
      <c r="S53" s="68"/>
      <c r="T53" s="68"/>
      <c r="U53" s="105"/>
      <c r="V53" s="111"/>
      <c r="W53" s="69"/>
      <c r="X53" s="69"/>
      <c r="Y53" s="517"/>
      <c r="Z53" s="518"/>
      <c r="AA53" s="66">
        <f t="shared" si="8"/>
        <v>-121.95299950812432</v>
      </c>
      <c r="AB53" s="106">
        <f t="shared" si="9"/>
        <v>0.95672635501324621</v>
      </c>
      <c r="AC53" s="530"/>
    </row>
    <row r="54" spans="1:29" ht="15.75" customHeight="1">
      <c r="A54" s="523" t="s">
        <v>339</v>
      </c>
      <c r="B54" s="62" t="s">
        <v>10</v>
      </c>
      <c r="C54" s="512" t="s">
        <v>41</v>
      </c>
      <c r="D54" s="512"/>
      <c r="E54" s="62">
        <v>46</v>
      </c>
      <c r="F54" s="74">
        <v>2897</v>
      </c>
      <c r="G54" s="105">
        <f t="shared" ref="G54:G59" si="35">E54*F54</f>
        <v>133262</v>
      </c>
      <c r="H54" s="90" t="s">
        <v>5</v>
      </c>
      <c r="I54" s="110">
        <v>17</v>
      </c>
      <c r="J54" s="63">
        <v>2000</v>
      </c>
      <c r="K54" s="64">
        <f t="shared" si="1"/>
        <v>117.64705882352941</v>
      </c>
      <c r="L54" s="110">
        <v>17</v>
      </c>
      <c r="M54" s="65">
        <f t="shared" ref="M54:M59" si="36">F54/V54*60</f>
        <v>1910.1098901098892</v>
      </c>
      <c r="N54" s="65">
        <f t="shared" si="3"/>
        <v>112.35940530058171</v>
      </c>
      <c r="O54" s="66">
        <f t="shared" si="4"/>
        <v>0</v>
      </c>
      <c r="P54" s="67">
        <f t="shared" si="5"/>
        <v>-5.2876535229476929</v>
      </c>
      <c r="Q54" s="106">
        <f t="shared" si="6"/>
        <v>0.95505494505494459</v>
      </c>
      <c r="R54" s="511">
        <f>Q60</f>
        <v>0.9549838829203583</v>
      </c>
      <c r="S54" s="68">
        <v>0.20833333333333334</v>
      </c>
      <c r="T54" s="68">
        <v>0.27152777777777781</v>
      </c>
      <c r="U54" s="73"/>
      <c r="V54" s="111">
        <f t="shared" ref="V54:V59" si="37">(T54-S54)*24*60</f>
        <v>91.000000000000043</v>
      </c>
      <c r="W54" s="73"/>
      <c r="X54" s="73"/>
      <c r="Y54" s="510"/>
      <c r="Z54" s="510"/>
      <c r="AA54" s="66">
        <f t="shared" si="8"/>
        <v>-89.890109890110807</v>
      </c>
      <c r="AB54" s="106">
        <f t="shared" si="9"/>
        <v>0.95505494505494459</v>
      </c>
      <c r="AC54" s="511">
        <f>AB60</f>
        <v>0.9549838829203583</v>
      </c>
    </row>
    <row r="55" spans="1:29" ht="15.75" customHeight="1">
      <c r="A55" s="523" t="s">
        <v>339</v>
      </c>
      <c r="B55" s="62" t="s">
        <v>10</v>
      </c>
      <c r="C55" s="512" t="s">
        <v>42</v>
      </c>
      <c r="D55" s="512"/>
      <c r="E55" s="62">
        <v>46</v>
      </c>
      <c r="F55" s="74">
        <v>3051</v>
      </c>
      <c r="G55" s="105">
        <f t="shared" si="35"/>
        <v>140346</v>
      </c>
      <c r="H55" s="90" t="s">
        <v>5</v>
      </c>
      <c r="I55" s="110">
        <v>17</v>
      </c>
      <c r="J55" s="63">
        <v>2000</v>
      </c>
      <c r="K55" s="64">
        <f t="shared" si="1"/>
        <v>117.64705882352941</v>
      </c>
      <c r="L55" s="110">
        <v>17</v>
      </c>
      <c r="M55" s="65">
        <f t="shared" si="36"/>
        <v>1906.8750000000007</v>
      </c>
      <c r="N55" s="65">
        <f t="shared" si="3"/>
        <v>112.16911764705887</v>
      </c>
      <c r="O55" s="66">
        <f t="shared" si="4"/>
        <v>0</v>
      </c>
      <c r="P55" s="67">
        <f t="shared" si="5"/>
        <v>-5.4779411764705372</v>
      </c>
      <c r="Q55" s="106">
        <f t="shared" si="6"/>
        <v>0.95343750000000038</v>
      </c>
      <c r="R55" s="511"/>
      <c r="S55" s="68">
        <v>0.27569444444444446</v>
      </c>
      <c r="T55" s="68">
        <v>0.34236111111111112</v>
      </c>
      <c r="U55" s="105">
        <f t="shared" ref="U55:U59" si="38">IF(S55=TIME(17,0,0),"",(S55-T54)*24*60)</f>
        <v>5.9999999999999787</v>
      </c>
      <c r="V55" s="111">
        <f t="shared" si="37"/>
        <v>95.999999999999972</v>
      </c>
      <c r="W55" s="69"/>
      <c r="X55" s="69"/>
      <c r="Y55" s="510"/>
      <c r="Z55" s="510"/>
      <c r="AA55" s="66">
        <f t="shared" si="8"/>
        <v>-93.124999999999318</v>
      </c>
      <c r="AB55" s="106">
        <f t="shared" si="9"/>
        <v>0.95343750000000038</v>
      </c>
      <c r="AC55" s="511"/>
    </row>
    <row r="56" spans="1:29" ht="15.75" customHeight="1">
      <c r="A56" s="523" t="s">
        <v>340</v>
      </c>
      <c r="B56" s="62" t="s">
        <v>6</v>
      </c>
      <c r="C56" s="521" t="s">
        <v>43</v>
      </c>
      <c r="D56" s="522"/>
      <c r="E56" s="62">
        <v>55.56</v>
      </c>
      <c r="F56" s="74">
        <v>2483</v>
      </c>
      <c r="G56" s="105">
        <f t="shared" si="35"/>
        <v>137955.48000000001</v>
      </c>
      <c r="H56" s="90" t="s">
        <v>5</v>
      </c>
      <c r="I56" s="110">
        <v>17</v>
      </c>
      <c r="J56" s="63">
        <v>2000</v>
      </c>
      <c r="K56" s="64">
        <f t="shared" si="1"/>
        <v>117.64705882352941</v>
      </c>
      <c r="L56" s="110">
        <v>17</v>
      </c>
      <c r="M56" s="65">
        <f t="shared" si="36"/>
        <v>1909.9999999999989</v>
      </c>
      <c r="N56" s="65">
        <f t="shared" si="3"/>
        <v>112.35294117647052</v>
      </c>
      <c r="O56" s="66">
        <f t="shared" si="4"/>
        <v>0</v>
      </c>
      <c r="P56" s="67">
        <f t="shared" si="5"/>
        <v>-5.2941176470588829</v>
      </c>
      <c r="Q56" s="106">
        <f t="shared" si="6"/>
        <v>0.95499999999999952</v>
      </c>
      <c r="R56" s="511"/>
      <c r="S56" s="68">
        <v>0.70833333333333337</v>
      </c>
      <c r="T56" s="68">
        <v>0.76250000000000007</v>
      </c>
      <c r="U56" s="105" t="str">
        <f t="shared" si="38"/>
        <v/>
      </c>
      <c r="V56" s="111">
        <f t="shared" si="37"/>
        <v>78.000000000000043</v>
      </c>
      <c r="W56" s="69"/>
      <c r="X56" s="69"/>
      <c r="Y56" s="102"/>
      <c r="Z56" s="103"/>
      <c r="AA56" s="66">
        <f t="shared" si="8"/>
        <v>-90.000000000001137</v>
      </c>
      <c r="AB56" s="106">
        <f t="shared" si="9"/>
        <v>0.9549999999999994</v>
      </c>
      <c r="AC56" s="511"/>
    </row>
    <row r="57" spans="1:29" ht="15.75" customHeight="1">
      <c r="A57" s="523" t="s">
        <v>339</v>
      </c>
      <c r="B57" s="62" t="s">
        <v>6</v>
      </c>
      <c r="C57" s="108" t="s">
        <v>44</v>
      </c>
      <c r="D57" s="109"/>
      <c r="E57" s="62">
        <v>55.32</v>
      </c>
      <c r="F57" s="74">
        <v>1951</v>
      </c>
      <c r="G57" s="105">
        <f t="shared" si="35"/>
        <v>107929.32</v>
      </c>
      <c r="H57" s="90" t="s">
        <v>5</v>
      </c>
      <c r="I57" s="110">
        <v>15</v>
      </c>
      <c r="J57" s="63">
        <v>2000</v>
      </c>
      <c r="K57" s="64">
        <f t="shared" si="1"/>
        <v>133.33333333333334</v>
      </c>
      <c r="L57" s="110">
        <v>15</v>
      </c>
      <c r="M57" s="65">
        <f t="shared" si="36"/>
        <v>1919.0163934426248</v>
      </c>
      <c r="N57" s="65">
        <f t="shared" si="3"/>
        <v>127.93442622950832</v>
      </c>
      <c r="O57" s="66">
        <f t="shared" si="4"/>
        <v>0</v>
      </c>
      <c r="P57" s="67">
        <f t="shared" si="5"/>
        <v>-5.3989071038250245</v>
      </c>
      <c r="Q57" s="106">
        <f t="shared" si="6"/>
        <v>0.95950819672131227</v>
      </c>
      <c r="R57" s="511"/>
      <c r="S57" s="68">
        <v>0.76597222222222228</v>
      </c>
      <c r="T57" s="68">
        <v>0.80833333333333335</v>
      </c>
      <c r="U57" s="105">
        <f t="shared" si="38"/>
        <v>4.9999999999999822</v>
      </c>
      <c r="V57" s="111">
        <f t="shared" si="37"/>
        <v>60.999999999999943</v>
      </c>
      <c r="W57" s="69"/>
      <c r="X57" s="69"/>
      <c r="Y57" s="102"/>
      <c r="Z57" s="103"/>
      <c r="AA57" s="66">
        <f t="shared" si="8"/>
        <v>-80.983606557375197</v>
      </c>
      <c r="AB57" s="106">
        <f t="shared" si="9"/>
        <v>0.95950819672131238</v>
      </c>
      <c r="AC57" s="511"/>
    </row>
    <row r="58" spans="1:29" ht="15.75" customHeight="1">
      <c r="A58" s="523" t="s">
        <v>339</v>
      </c>
      <c r="B58" s="62" t="s">
        <v>6</v>
      </c>
      <c r="C58" s="108" t="s">
        <v>82</v>
      </c>
      <c r="D58" s="109"/>
      <c r="E58" s="62">
        <v>57.73</v>
      </c>
      <c r="F58" s="74">
        <v>1000</v>
      </c>
      <c r="G58" s="105">
        <f t="shared" si="35"/>
        <v>57730</v>
      </c>
      <c r="H58" s="90">
        <v>2</v>
      </c>
      <c r="I58" s="110">
        <v>16</v>
      </c>
      <c r="J58" s="63">
        <v>1500</v>
      </c>
      <c r="K58" s="64">
        <f t="shared" si="1"/>
        <v>93.75</v>
      </c>
      <c r="L58" s="110">
        <v>16</v>
      </c>
      <c r="M58" s="65">
        <f t="shared" si="36"/>
        <v>1428.5714285714282</v>
      </c>
      <c r="N58" s="65">
        <f t="shared" si="3"/>
        <v>89.285714285714263</v>
      </c>
      <c r="O58" s="66">
        <f t="shared" si="4"/>
        <v>0</v>
      </c>
      <c r="P58" s="67">
        <f t="shared" si="5"/>
        <v>-4.4642857142857366</v>
      </c>
      <c r="Q58" s="106">
        <f t="shared" si="6"/>
        <v>0.95238095238095211</v>
      </c>
      <c r="R58" s="511"/>
      <c r="S58" s="68">
        <v>0.81180555555555556</v>
      </c>
      <c r="T58" s="68">
        <v>0.84097222222222223</v>
      </c>
      <c r="U58" s="105">
        <f t="shared" si="38"/>
        <v>4.9999999999999822</v>
      </c>
      <c r="V58" s="111">
        <f t="shared" si="37"/>
        <v>42.000000000000014</v>
      </c>
      <c r="W58" s="69">
        <v>0.52013888888888882</v>
      </c>
      <c r="X58" s="69">
        <v>0.56041666666666656</v>
      </c>
      <c r="Y58" s="102"/>
      <c r="Z58" s="103"/>
      <c r="AA58" s="66">
        <f t="shared" si="8"/>
        <v>-71.428571428571786</v>
      </c>
      <c r="AB58" s="106">
        <f t="shared" si="9"/>
        <v>0.95238095238095211</v>
      </c>
      <c r="AC58" s="511"/>
    </row>
    <row r="59" spans="1:29" ht="15.75" customHeight="1">
      <c r="A59" s="523" t="s">
        <v>339</v>
      </c>
      <c r="B59" s="62" t="s">
        <v>6</v>
      </c>
      <c r="C59" s="521" t="s">
        <v>82</v>
      </c>
      <c r="D59" s="522"/>
      <c r="E59" s="62">
        <v>57.73</v>
      </c>
      <c r="F59" s="74">
        <v>1907</v>
      </c>
      <c r="G59" s="105">
        <f t="shared" si="35"/>
        <v>110091.11</v>
      </c>
      <c r="H59" s="90" t="s">
        <v>5</v>
      </c>
      <c r="I59" s="110">
        <v>16</v>
      </c>
      <c r="J59" s="63">
        <v>1500</v>
      </c>
      <c r="K59" s="64">
        <f t="shared" si="1"/>
        <v>93.75</v>
      </c>
      <c r="L59" s="110">
        <v>16</v>
      </c>
      <c r="M59" s="65">
        <f t="shared" si="36"/>
        <v>1430.2499999999995</v>
      </c>
      <c r="N59" s="65">
        <f t="shared" si="3"/>
        <v>89.390624999999972</v>
      </c>
      <c r="O59" s="66">
        <f t="shared" si="4"/>
        <v>0</v>
      </c>
      <c r="P59" s="67">
        <f t="shared" si="5"/>
        <v>-4.3593750000000284</v>
      </c>
      <c r="Q59" s="106">
        <f t="shared" si="6"/>
        <v>0.95349999999999968</v>
      </c>
      <c r="R59" s="511"/>
      <c r="S59" s="68">
        <v>0.88055555555555554</v>
      </c>
      <c r="T59" s="68">
        <v>0.93611111111111112</v>
      </c>
      <c r="U59" s="105">
        <f t="shared" si="38"/>
        <v>56.999999999999957</v>
      </c>
      <c r="V59" s="111">
        <f t="shared" si="37"/>
        <v>80.000000000000028</v>
      </c>
      <c r="W59" s="69"/>
      <c r="X59" s="69"/>
      <c r="Y59" s="517"/>
      <c r="Z59" s="518"/>
      <c r="AA59" s="66">
        <f t="shared" si="8"/>
        <v>-69.750000000000455</v>
      </c>
      <c r="AB59" s="106">
        <f t="shared" si="9"/>
        <v>0.95349999999999968</v>
      </c>
      <c r="AC59" s="511"/>
    </row>
    <row r="60" spans="1:29">
      <c r="A60" s="524" t="s">
        <v>339</v>
      </c>
      <c r="B60" s="62" t="s">
        <v>326</v>
      </c>
      <c r="C60" s="513"/>
      <c r="D60" s="513"/>
      <c r="E60" s="107"/>
      <c r="F60" s="71"/>
      <c r="G60" s="64"/>
      <c r="H60" s="80"/>
      <c r="I60" s="72">
        <v>16.333333333333332</v>
      </c>
      <c r="J60" s="63">
        <v>1833.3333333333333</v>
      </c>
      <c r="K60" s="64">
        <f t="shared" si="1"/>
        <v>112.24489795918367</v>
      </c>
      <c r="L60" s="72">
        <v>16.333333333333332</v>
      </c>
      <c r="M60" s="65">
        <f>AVERAGE(M54:M59)</f>
        <v>1750.8037853539902</v>
      </c>
      <c r="N60" s="64">
        <f t="shared" si="3"/>
        <v>107.19206849106062</v>
      </c>
      <c r="O60" s="66">
        <f t="shared" si="4"/>
        <v>0</v>
      </c>
      <c r="P60" s="67">
        <f t="shared" si="5"/>
        <v>-5.0528294681230506</v>
      </c>
      <c r="Q60" s="106">
        <f t="shared" si="6"/>
        <v>0.9549838829203583</v>
      </c>
      <c r="R60" s="511"/>
      <c r="S60" s="75"/>
      <c r="T60" s="68"/>
      <c r="U60" s="64"/>
      <c r="V60" s="111"/>
      <c r="W60" s="64"/>
      <c r="X60" s="64"/>
      <c r="Y60" s="510"/>
      <c r="Z60" s="510"/>
      <c r="AA60" s="66">
        <f t="shared" si="8"/>
        <v>-82.529547979343079</v>
      </c>
      <c r="AB60" s="106">
        <f t="shared" si="9"/>
        <v>0.9549838829203583</v>
      </c>
      <c r="AC60" s="511"/>
    </row>
    <row r="61" spans="1:29" ht="15.75" customHeight="1">
      <c r="A61" s="519" t="s">
        <v>341</v>
      </c>
      <c r="B61" s="80" t="s">
        <v>10</v>
      </c>
      <c r="C61" s="512" t="s">
        <v>46</v>
      </c>
      <c r="D61" s="512"/>
      <c r="E61" s="62">
        <v>26.97</v>
      </c>
      <c r="F61" s="74">
        <v>3479</v>
      </c>
      <c r="G61" s="105">
        <f t="shared" ref="G61:G65" si="39">E61*F61</f>
        <v>93828.62999999999</v>
      </c>
      <c r="H61" s="90" t="s">
        <v>5</v>
      </c>
      <c r="I61" s="110">
        <v>8</v>
      </c>
      <c r="J61" s="63">
        <v>1500</v>
      </c>
      <c r="K61" s="64">
        <f t="shared" si="1"/>
        <v>187.5</v>
      </c>
      <c r="L61" s="110">
        <v>8</v>
      </c>
      <c r="M61" s="65">
        <f t="shared" ref="M61:M65" si="40">F61/V61*60</f>
        <v>1429.7260273972604</v>
      </c>
      <c r="N61" s="64">
        <f t="shared" si="3"/>
        <v>178.71575342465755</v>
      </c>
      <c r="O61" s="66">
        <f t="shared" si="4"/>
        <v>0</v>
      </c>
      <c r="P61" s="67">
        <f t="shared" si="5"/>
        <v>-8.7842465753424506</v>
      </c>
      <c r="Q61" s="106">
        <f t="shared" si="6"/>
        <v>0.9531506849315069</v>
      </c>
      <c r="R61" s="511">
        <f>Q66</f>
        <v>0.95744022718753097</v>
      </c>
      <c r="S61" s="68">
        <v>0.20833333333333334</v>
      </c>
      <c r="T61" s="68">
        <v>0.30972222222222223</v>
      </c>
      <c r="U61" s="105"/>
      <c r="V61" s="111">
        <f t="shared" ref="V61:V65" si="41">(T61-S61)*24*60</f>
        <v>146</v>
      </c>
      <c r="W61" s="73"/>
      <c r="X61" s="73"/>
      <c r="Y61" s="510"/>
      <c r="Z61" s="510"/>
      <c r="AA61" s="66">
        <f t="shared" si="8"/>
        <v>-70.273972602739605</v>
      </c>
      <c r="AB61" s="106">
        <f t="shared" si="9"/>
        <v>0.9531506849315069</v>
      </c>
      <c r="AC61" s="511">
        <f>AB66</f>
        <v>0.95744022718753108</v>
      </c>
    </row>
    <row r="62" spans="1:29" ht="15.75" customHeight="1">
      <c r="A62" s="519" t="s">
        <v>341</v>
      </c>
      <c r="B62" s="80" t="s">
        <v>35</v>
      </c>
      <c r="C62" s="512" t="s">
        <v>45</v>
      </c>
      <c r="D62" s="512"/>
      <c r="E62" s="62">
        <v>26.78</v>
      </c>
      <c r="F62" s="74">
        <v>2903</v>
      </c>
      <c r="G62" s="105">
        <f t="shared" si="39"/>
        <v>77742.34</v>
      </c>
      <c r="H62" s="90" t="s">
        <v>5</v>
      </c>
      <c r="I62" s="110">
        <v>10</v>
      </c>
      <c r="J62" s="63">
        <v>3000</v>
      </c>
      <c r="K62" s="64">
        <f t="shared" si="1"/>
        <v>300</v>
      </c>
      <c r="L62" s="110">
        <v>10</v>
      </c>
      <c r="M62" s="65">
        <f t="shared" si="40"/>
        <v>2855.409836065573</v>
      </c>
      <c r="N62" s="64">
        <f t="shared" si="3"/>
        <v>285.54098360655729</v>
      </c>
      <c r="O62" s="66">
        <f t="shared" si="4"/>
        <v>0</v>
      </c>
      <c r="P62" s="67">
        <f t="shared" si="5"/>
        <v>-14.45901639344271</v>
      </c>
      <c r="Q62" s="106">
        <f t="shared" si="6"/>
        <v>0.95180327868852432</v>
      </c>
      <c r="R62" s="511"/>
      <c r="S62" s="68">
        <v>0.31319444444444444</v>
      </c>
      <c r="T62" s="68">
        <v>0.35555555555555557</v>
      </c>
      <c r="U62" s="105">
        <f t="shared" ref="U62:U65" si="42">(S62-T61)*24*60</f>
        <v>4.9999999999999822</v>
      </c>
      <c r="V62" s="111">
        <f t="shared" si="41"/>
        <v>61.000000000000021</v>
      </c>
      <c r="W62" s="105"/>
      <c r="X62" s="105"/>
      <c r="Y62" s="510"/>
      <c r="Z62" s="510"/>
      <c r="AA62" s="66">
        <f t="shared" si="8"/>
        <v>-144.59016393442698</v>
      </c>
      <c r="AB62" s="106">
        <f t="shared" si="9"/>
        <v>0.95180327868852432</v>
      </c>
      <c r="AC62" s="511"/>
    </row>
    <row r="63" spans="1:29" ht="15.75" customHeight="1">
      <c r="A63" s="519" t="s">
        <v>341</v>
      </c>
      <c r="B63" s="80" t="s">
        <v>35</v>
      </c>
      <c r="C63" s="512" t="s">
        <v>47</v>
      </c>
      <c r="D63" s="512"/>
      <c r="E63" s="62">
        <v>35.369999999999997</v>
      </c>
      <c r="F63" s="74">
        <v>1510</v>
      </c>
      <c r="G63" s="105">
        <f t="shared" si="39"/>
        <v>53408.7</v>
      </c>
      <c r="H63" s="90" t="s">
        <v>5</v>
      </c>
      <c r="I63" s="110">
        <v>10</v>
      </c>
      <c r="J63" s="63">
        <v>3000</v>
      </c>
      <c r="K63" s="64">
        <f t="shared" si="1"/>
        <v>300</v>
      </c>
      <c r="L63" s="110">
        <v>10</v>
      </c>
      <c r="M63" s="65">
        <f t="shared" si="40"/>
        <v>2922.580645161293</v>
      </c>
      <c r="N63" s="64">
        <f t="shared" si="3"/>
        <v>292.25806451612931</v>
      </c>
      <c r="O63" s="66">
        <f t="shared" si="4"/>
        <v>0</v>
      </c>
      <c r="P63" s="67">
        <f t="shared" si="5"/>
        <v>-7.7419354838706909</v>
      </c>
      <c r="Q63" s="106">
        <f t="shared" si="6"/>
        <v>0.97419354838709771</v>
      </c>
      <c r="R63" s="511"/>
      <c r="S63" s="68">
        <v>0.35902777777777778</v>
      </c>
      <c r="T63" s="68">
        <v>0.38055555555555554</v>
      </c>
      <c r="U63" s="105">
        <f t="shared" si="42"/>
        <v>4.9999999999999822</v>
      </c>
      <c r="V63" s="111">
        <f t="shared" si="41"/>
        <v>30.999999999999972</v>
      </c>
      <c r="W63" s="105"/>
      <c r="X63" s="105"/>
      <c r="Y63" s="510"/>
      <c r="Z63" s="510"/>
      <c r="AA63" s="66">
        <f t="shared" si="8"/>
        <v>-77.419354838707022</v>
      </c>
      <c r="AB63" s="106">
        <f t="shared" si="9"/>
        <v>0.97419354838709771</v>
      </c>
      <c r="AC63" s="511"/>
    </row>
    <row r="64" spans="1:29" ht="15.75" customHeight="1">
      <c r="A64" s="519" t="s">
        <v>341</v>
      </c>
      <c r="B64" s="80" t="s">
        <v>35</v>
      </c>
      <c r="C64" s="512" t="s">
        <v>75</v>
      </c>
      <c r="D64" s="512"/>
      <c r="E64" s="62">
        <v>37.880000000000003</v>
      </c>
      <c r="F64" s="74">
        <v>3958</v>
      </c>
      <c r="G64" s="105">
        <f t="shared" si="39"/>
        <v>149929.04</v>
      </c>
      <c r="H64" s="90" t="s">
        <v>5</v>
      </c>
      <c r="I64" s="110">
        <v>11</v>
      </c>
      <c r="J64" s="63">
        <v>3000</v>
      </c>
      <c r="K64" s="64">
        <f t="shared" si="1"/>
        <v>272.72727272727275</v>
      </c>
      <c r="L64" s="110">
        <v>11</v>
      </c>
      <c r="M64" s="65">
        <f t="shared" si="40"/>
        <v>2861.2048192771076</v>
      </c>
      <c r="N64" s="64">
        <f t="shared" si="3"/>
        <v>260.10952902519159</v>
      </c>
      <c r="O64" s="66">
        <f t="shared" si="4"/>
        <v>0</v>
      </c>
      <c r="P64" s="67">
        <f t="shared" si="5"/>
        <v>-12.617743702081157</v>
      </c>
      <c r="Q64" s="106">
        <f t="shared" si="6"/>
        <v>0.95373493975903578</v>
      </c>
      <c r="R64" s="511"/>
      <c r="S64" s="68">
        <v>0.38402777777777775</v>
      </c>
      <c r="T64" s="68">
        <v>0.44166666666666665</v>
      </c>
      <c r="U64" s="105">
        <f t="shared" si="42"/>
        <v>4.9999999999999822</v>
      </c>
      <c r="V64" s="111">
        <f t="shared" si="41"/>
        <v>83.000000000000028</v>
      </c>
      <c r="W64" s="105"/>
      <c r="X64" s="105"/>
      <c r="Y64" s="510"/>
      <c r="Z64" s="510"/>
      <c r="AA64" s="66">
        <f t="shared" si="8"/>
        <v>-138.79518072289238</v>
      </c>
      <c r="AB64" s="106">
        <f t="shared" si="9"/>
        <v>0.95373493975903589</v>
      </c>
      <c r="AC64" s="511"/>
    </row>
    <row r="65" spans="1:29">
      <c r="A65" s="520" t="s">
        <v>341</v>
      </c>
      <c r="B65" s="80" t="s">
        <v>35</v>
      </c>
      <c r="C65" s="512" t="s">
        <v>85</v>
      </c>
      <c r="D65" s="512"/>
      <c r="E65" s="62">
        <v>40.51</v>
      </c>
      <c r="F65" s="74">
        <v>3285</v>
      </c>
      <c r="G65" s="105">
        <f t="shared" si="39"/>
        <v>133075.35</v>
      </c>
      <c r="H65" s="90" t="s">
        <v>5</v>
      </c>
      <c r="I65" s="110">
        <v>10</v>
      </c>
      <c r="J65" s="63">
        <v>3000</v>
      </c>
      <c r="K65" s="64">
        <f t="shared" si="1"/>
        <v>300</v>
      </c>
      <c r="L65" s="110">
        <v>10</v>
      </c>
      <c r="M65" s="65">
        <f t="shared" si="40"/>
        <v>2856.521739130435</v>
      </c>
      <c r="N65" s="64">
        <f t="shared" si="3"/>
        <v>285.6521739130435</v>
      </c>
      <c r="O65" s="66">
        <f t="shared" si="4"/>
        <v>0</v>
      </c>
      <c r="P65" s="67">
        <f t="shared" si="5"/>
        <v>-14.347826086956502</v>
      </c>
      <c r="Q65" s="106">
        <f t="shared" si="6"/>
        <v>0.95217391304347831</v>
      </c>
      <c r="R65" s="511"/>
      <c r="S65" s="68">
        <v>0.4458333333333333</v>
      </c>
      <c r="T65" s="68">
        <v>0.49374999999999997</v>
      </c>
      <c r="U65" s="105">
        <f t="shared" si="42"/>
        <v>5.9999999999999787</v>
      </c>
      <c r="V65" s="111">
        <f t="shared" si="41"/>
        <v>69</v>
      </c>
      <c r="W65" s="69"/>
      <c r="X65" s="69"/>
      <c r="Y65" s="510"/>
      <c r="Z65" s="510"/>
      <c r="AA65" s="66">
        <f t="shared" si="8"/>
        <v>-143.47826086956502</v>
      </c>
      <c r="AB65" s="106">
        <f t="shared" si="9"/>
        <v>0.95217391304347831</v>
      </c>
      <c r="AC65" s="511"/>
    </row>
    <row r="66" spans="1:29">
      <c r="A66" s="520" t="s">
        <v>341</v>
      </c>
      <c r="B66" s="62" t="s">
        <v>332</v>
      </c>
      <c r="C66" s="513"/>
      <c r="D66" s="513"/>
      <c r="E66" s="107"/>
      <c r="F66" s="71"/>
      <c r="G66" s="64"/>
      <c r="H66" s="80"/>
      <c r="I66" s="72">
        <v>9.8000000000000007</v>
      </c>
      <c r="J66" s="63">
        <v>2700</v>
      </c>
      <c r="K66" s="64">
        <f t="shared" si="1"/>
        <v>275.51020408163265</v>
      </c>
      <c r="L66" s="72">
        <v>9.8000000000000007</v>
      </c>
      <c r="M66" s="65">
        <f>AVERAGE(M61:M65)</f>
        <v>2585.0886134063339</v>
      </c>
      <c r="N66" s="64">
        <f t="shared" si="3"/>
        <v>263.78455238840138</v>
      </c>
      <c r="O66" s="66">
        <f t="shared" si="4"/>
        <v>0</v>
      </c>
      <c r="P66" s="67">
        <f t="shared" si="5"/>
        <v>-11.725651693231271</v>
      </c>
      <c r="Q66" s="106">
        <f t="shared" si="6"/>
        <v>0.95744022718753097</v>
      </c>
      <c r="R66" s="511"/>
      <c r="S66" s="68"/>
      <c r="T66" s="68"/>
      <c r="U66" s="64"/>
      <c r="V66" s="111"/>
      <c r="W66" s="64"/>
      <c r="X66" s="64"/>
      <c r="Y66" s="510"/>
      <c r="Z66" s="510"/>
      <c r="AA66" s="66">
        <f t="shared" si="8"/>
        <v>-114.91138659366607</v>
      </c>
      <c r="AB66" s="106">
        <f t="shared" si="9"/>
        <v>0.95744022718753108</v>
      </c>
      <c r="AC66" s="511"/>
    </row>
    <row r="67" spans="1:29" ht="15.75" customHeight="1">
      <c r="A67" s="514" t="s">
        <v>342</v>
      </c>
      <c r="B67" s="80" t="s">
        <v>16</v>
      </c>
      <c r="C67" s="512" t="s">
        <v>48</v>
      </c>
      <c r="D67" s="512"/>
      <c r="E67" s="62">
        <v>20.2</v>
      </c>
      <c r="F67" s="80">
        <v>2792</v>
      </c>
      <c r="G67" s="105">
        <f t="shared" ref="G67:G76" si="43">E67*F67</f>
        <v>56398.400000000001</v>
      </c>
      <c r="H67" s="90" t="s">
        <v>5</v>
      </c>
      <c r="I67" s="110">
        <v>19</v>
      </c>
      <c r="J67" s="63">
        <v>2400</v>
      </c>
      <c r="K67" s="64">
        <f t="shared" si="1"/>
        <v>126.31578947368421</v>
      </c>
      <c r="L67" s="110">
        <v>19</v>
      </c>
      <c r="M67" s="65">
        <f t="shared" ref="M67:M76" si="44">F67/V67*60</f>
        <v>2294.7945205479455</v>
      </c>
      <c r="N67" s="64">
        <f t="shared" si="3"/>
        <v>120.77865897620765</v>
      </c>
      <c r="O67" s="66">
        <f t="shared" si="4"/>
        <v>0</v>
      </c>
      <c r="P67" s="67">
        <f t="shared" si="5"/>
        <v>-5.5371304974765536</v>
      </c>
      <c r="Q67" s="106">
        <f t="shared" si="6"/>
        <v>0.9561643835616439</v>
      </c>
      <c r="R67" s="511">
        <f>Q77</f>
        <v>0.95931609191488199</v>
      </c>
      <c r="S67" s="68">
        <v>0.125</v>
      </c>
      <c r="T67" s="68">
        <v>0.17569444444444443</v>
      </c>
      <c r="U67" s="73"/>
      <c r="V67" s="111">
        <f t="shared" ref="V67:V76" si="45">(T67-S67)*24*60</f>
        <v>72.999999999999986</v>
      </c>
      <c r="W67" s="69">
        <f>T67</f>
        <v>0.17569444444444443</v>
      </c>
      <c r="X67" s="69">
        <f>S68</f>
        <v>0.19444444444444442</v>
      </c>
      <c r="Y67" s="510"/>
      <c r="Z67" s="510"/>
      <c r="AA67" s="66">
        <f t="shared" si="8"/>
        <v>-105.20547945205453</v>
      </c>
      <c r="AB67" s="106">
        <f t="shared" si="9"/>
        <v>0.9561643835616439</v>
      </c>
      <c r="AC67" s="511">
        <f>AB77</f>
        <v>0.95931609191488199</v>
      </c>
    </row>
    <row r="68" spans="1:29" ht="15.75" customHeight="1">
      <c r="A68" s="515" t="s">
        <v>342</v>
      </c>
      <c r="B68" s="80" t="s">
        <v>16</v>
      </c>
      <c r="C68" s="512" t="s">
        <v>27</v>
      </c>
      <c r="D68" s="512"/>
      <c r="E68" s="62">
        <v>25.98</v>
      </c>
      <c r="F68" s="80">
        <v>1452</v>
      </c>
      <c r="G68" s="105">
        <f t="shared" si="43"/>
        <v>37722.959999999999</v>
      </c>
      <c r="H68" s="90" t="s">
        <v>5</v>
      </c>
      <c r="I68" s="110">
        <v>17</v>
      </c>
      <c r="J68" s="63">
        <v>2400</v>
      </c>
      <c r="K68" s="64">
        <f t="shared" si="1"/>
        <v>141.1764705882353</v>
      </c>
      <c r="L68" s="110">
        <v>17</v>
      </c>
      <c r="M68" s="65">
        <f t="shared" si="44"/>
        <v>2292.6315789473692</v>
      </c>
      <c r="N68" s="64">
        <f t="shared" si="3"/>
        <v>134.86068111455114</v>
      </c>
      <c r="O68" s="66">
        <f t="shared" si="4"/>
        <v>0</v>
      </c>
      <c r="P68" s="67">
        <f t="shared" si="5"/>
        <v>-6.3157894736841627</v>
      </c>
      <c r="Q68" s="106">
        <f t="shared" si="6"/>
        <v>0.95526315789473715</v>
      </c>
      <c r="R68" s="511"/>
      <c r="S68" s="68">
        <v>0.19444444444444442</v>
      </c>
      <c r="T68" s="68">
        <v>0.2208333333333333</v>
      </c>
      <c r="U68" s="105">
        <f t="shared" ref="U68:U76" si="46">(S68-T67)*24*60</f>
        <v>26.999999999999986</v>
      </c>
      <c r="V68" s="111">
        <f t="shared" si="45"/>
        <v>37.999999999999986</v>
      </c>
      <c r="W68" s="69"/>
      <c r="X68" s="69"/>
      <c r="Y68" s="510"/>
      <c r="Z68" s="510"/>
      <c r="AA68" s="66">
        <f t="shared" si="8"/>
        <v>-107.36842105263077</v>
      </c>
      <c r="AB68" s="106">
        <f t="shared" si="9"/>
        <v>0.95526315789473715</v>
      </c>
      <c r="AC68" s="511"/>
    </row>
    <row r="69" spans="1:29" ht="15.75" customHeight="1">
      <c r="A69" s="515" t="s">
        <v>342</v>
      </c>
      <c r="B69" s="80" t="s">
        <v>16</v>
      </c>
      <c r="C69" s="512" t="s">
        <v>51</v>
      </c>
      <c r="D69" s="512"/>
      <c r="E69" s="62">
        <v>24.25</v>
      </c>
      <c r="F69" s="80">
        <v>2999</v>
      </c>
      <c r="G69" s="105">
        <f t="shared" si="43"/>
        <v>72725.75</v>
      </c>
      <c r="H69" s="90" t="s">
        <v>5</v>
      </c>
      <c r="I69" s="110">
        <v>17</v>
      </c>
      <c r="J69" s="63">
        <v>2400</v>
      </c>
      <c r="K69" s="64">
        <f t="shared" ref="K69:K77" si="47">J69/I69</f>
        <v>141.1764705882353</v>
      </c>
      <c r="L69" s="110">
        <v>17</v>
      </c>
      <c r="M69" s="65">
        <f t="shared" si="44"/>
        <v>2306.9230769230771</v>
      </c>
      <c r="N69" s="64">
        <f t="shared" ref="N69:N77" si="48">M69/L69</f>
        <v>135.70135746606337</v>
      </c>
      <c r="O69" s="66">
        <f t="shared" ref="O69:O77" si="49">L69-I69</f>
        <v>0</v>
      </c>
      <c r="P69" s="67">
        <f t="shared" ref="P69:P77" si="50">N69-K69</f>
        <v>-5.4751131221719334</v>
      </c>
      <c r="Q69" s="106">
        <f t="shared" ref="Q69:Q77" si="51">N69/K69</f>
        <v>0.96121794871794886</v>
      </c>
      <c r="R69" s="511"/>
      <c r="S69" s="68">
        <v>0.22430555555555551</v>
      </c>
      <c r="T69" s="68">
        <v>0.27847222222222218</v>
      </c>
      <c r="U69" s="105">
        <f t="shared" si="46"/>
        <v>4.9999999999999822</v>
      </c>
      <c r="V69" s="111">
        <f t="shared" si="45"/>
        <v>78</v>
      </c>
      <c r="W69" s="69"/>
      <c r="X69" s="69"/>
      <c r="Y69" s="510"/>
      <c r="Z69" s="510"/>
      <c r="AA69" s="66">
        <f t="shared" ref="AA69:AA77" si="52">M69-J69</f>
        <v>-93.076923076922867</v>
      </c>
      <c r="AB69" s="106">
        <f t="shared" ref="AB69:AB77" si="53">M69/J69</f>
        <v>0.96121794871794886</v>
      </c>
      <c r="AC69" s="511"/>
    </row>
    <row r="70" spans="1:29" ht="15.75" customHeight="1">
      <c r="A70" s="515" t="s">
        <v>342</v>
      </c>
      <c r="B70" s="80" t="s">
        <v>16</v>
      </c>
      <c r="C70" s="512" t="s">
        <v>17</v>
      </c>
      <c r="D70" s="512"/>
      <c r="E70" s="62">
        <v>24.45</v>
      </c>
      <c r="F70" s="80">
        <v>2757</v>
      </c>
      <c r="G70" s="105">
        <f t="shared" si="43"/>
        <v>67408.649999999994</v>
      </c>
      <c r="H70" s="90" t="s">
        <v>5</v>
      </c>
      <c r="I70" s="110">
        <v>20</v>
      </c>
      <c r="J70" s="63">
        <v>2400</v>
      </c>
      <c r="K70" s="64">
        <f t="shared" si="47"/>
        <v>120</v>
      </c>
      <c r="L70" s="110">
        <v>20</v>
      </c>
      <c r="M70" s="65">
        <f t="shared" si="44"/>
        <v>2297.5000000000005</v>
      </c>
      <c r="N70" s="64">
        <f t="shared" si="48"/>
        <v>114.87500000000003</v>
      </c>
      <c r="O70" s="66">
        <f t="shared" si="49"/>
        <v>0</v>
      </c>
      <c r="P70" s="67">
        <f t="shared" si="50"/>
        <v>-5.1249999999999716</v>
      </c>
      <c r="Q70" s="106">
        <f t="shared" si="51"/>
        <v>0.95729166666666687</v>
      </c>
      <c r="R70" s="511"/>
      <c r="S70" s="68">
        <v>0.28263888888888883</v>
      </c>
      <c r="T70" s="68">
        <v>0.33263888888888882</v>
      </c>
      <c r="U70" s="105">
        <f t="shared" si="46"/>
        <v>5.9999999999999787</v>
      </c>
      <c r="V70" s="111">
        <f t="shared" si="45"/>
        <v>71.999999999999986</v>
      </c>
      <c r="W70" s="69"/>
      <c r="X70" s="69"/>
      <c r="Y70" s="510"/>
      <c r="Z70" s="510"/>
      <c r="AA70" s="66">
        <f t="shared" si="52"/>
        <v>-102.49999999999955</v>
      </c>
      <c r="AB70" s="106">
        <f t="shared" si="53"/>
        <v>0.95729166666666687</v>
      </c>
      <c r="AC70" s="511"/>
    </row>
    <row r="71" spans="1:29" ht="15.75" customHeight="1">
      <c r="A71" s="515" t="s">
        <v>342</v>
      </c>
      <c r="B71" s="80" t="s">
        <v>16</v>
      </c>
      <c r="C71" s="512" t="s">
        <v>34</v>
      </c>
      <c r="D71" s="512"/>
      <c r="E71" s="62">
        <v>24.25</v>
      </c>
      <c r="F71" s="80">
        <v>2800</v>
      </c>
      <c r="G71" s="105">
        <f t="shared" si="43"/>
        <v>67900</v>
      </c>
      <c r="H71" s="90">
        <v>2</v>
      </c>
      <c r="I71" s="110">
        <v>14</v>
      </c>
      <c r="J71" s="63">
        <v>2400</v>
      </c>
      <c r="K71" s="64">
        <f t="shared" si="47"/>
        <v>171.42857142857142</v>
      </c>
      <c r="L71" s="110">
        <v>14</v>
      </c>
      <c r="M71" s="65">
        <f t="shared" si="44"/>
        <v>2301.3698630136987</v>
      </c>
      <c r="N71" s="64">
        <f t="shared" si="48"/>
        <v>164.38356164383563</v>
      </c>
      <c r="O71" s="66">
        <f t="shared" si="49"/>
        <v>0</v>
      </c>
      <c r="P71" s="67">
        <f t="shared" si="50"/>
        <v>-7.0450097847357824</v>
      </c>
      <c r="Q71" s="106">
        <f t="shared" si="51"/>
        <v>0.95890410958904126</v>
      </c>
      <c r="R71" s="511"/>
      <c r="S71" s="68">
        <v>0.33680555555555547</v>
      </c>
      <c r="T71" s="68">
        <v>0.3874999999999999</v>
      </c>
      <c r="U71" s="105">
        <f t="shared" si="46"/>
        <v>5.9999999999999787</v>
      </c>
      <c r="V71" s="111">
        <f t="shared" si="45"/>
        <v>72.999999999999986</v>
      </c>
      <c r="W71" s="69"/>
      <c r="X71" s="69"/>
      <c r="Y71" s="510"/>
      <c r="Z71" s="510"/>
      <c r="AA71" s="66">
        <f t="shared" si="52"/>
        <v>-98.630136986301295</v>
      </c>
      <c r="AB71" s="106">
        <f t="shared" si="53"/>
        <v>0.95890410958904115</v>
      </c>
      <c r="AC71" s="511"/>
    </row>
    <row r="72" spans="1:29" ht="15.75" customHeight="1">
      <c r="A72" s="515" t="s">
        <v>342</v>
      </c>
      <c r="B72" s="80" t="s">
        <v>16</v>
      </c>
      <c r="C72" s="512" t="s">
        <v>26</v>
      </c>
      <c r="D72" s="512"/>
      <c r="E72" s="62">
        <v>20.52</v>
      </c>
      <c r="F72" s="80">
        <v>2300</v>
      </c>
      <c r="G72" s="105">
        <f t="shared" si="43"/>
        <v>47196</v>
      </c>
      <c r="H72" s="90">
        <v>2</v>
      </c>
      <c r="I72" s="110">
        <v>18</v>
      </c>
      <c r="J72" s="63">
        <v>2400</v>
      </c>
      <c r="K72" s="64">
        <f t="shared" si="47"/>
        <v>133.33333333333334</v>
      </c>
      <c r="L72" s="110">
        <v>18</v>
      </c>
      <c r="M72" s="65">
        <f t="shared" si="44"/>
        <v>2299.9999999999991</v>
      </c>
      <c r="N72" s="64">
        <f t="shared" si="48"/>
        <v>127.77777777777773</v>
      </c>
      <c r="O72" s="66">
        <f t="shared" si="49"/>
        <v>0</v>
      </c>
      <c r="P72" s="67">
        <f t="shared" si="50"/>
        <v>-5.555555555555614</v>
      </c>
      <c r="Q72" s="106">
        <f t="shared" si="51"/>
        <v>0.95833333333333293</v>
      </c>
      <c r="R72" s="511"/>
      <c r="S72" s="68">
        <v>0.39166666666666655</v>
      </c>
      <c r="T72" s="68">
        <v>0.43333333333333324</v>
      </c>
      <c r="U72" s="105">
        <f t="shared" si="46"/>
        <v>5.9999999999999787</v>
      </c>
      <c r="V72" s="111">
        <f t="shared" si="45"/>
        <v>60.000000000000028</v>
      </c>
      <c r="W72" s="69"/>
      <c r="X72" s="69"/>
      <c r="Y72" s="510"/>
      <c r="Z72" s="510"/>
      <c r="AA72" s="66">
        <f t="shared" si="52"/>
        <v>-100.00000000000091</v>
      </c>
      <c r="AB72" s="106">
        <f t="shared" si="53"/>
        <v>0.95833333333333293</v>
      </c>
      <c r="AC72" s="511"/>
    </row>
    <row r="73" spans="1:29" ht="15.75" customHeight="1">
      <c r="A73" s="515" t="s">
        <v>342</v>
      </c>
      <c r="B73" s="80" t="s">
        <v>16</v>
      </c>
      <c r="C73" s="512" t="s">
        <v>49</v>
      </c>
      <c r="D73" s="512"/>
      <c r="E73" s="62">
        <v>19.02</v>
      </c>
      <c r="F73" s="80">
        <v>4500</v>
      </c>
      <c r="G73" s="105">
        <f t="shared" si="43"/>
        <v>85590</v>
      </c>
      <c r="H73" s="90">
        <v>2</v>
      </c>
      <c r="I73" s="110">
        <v>15</v>
      </c>
      <c r="J73" s="63">
        <v>2400</v>
      </c>
      <c r="K73" s="64">
        <f t="shared" si="47"/>
        <v>160</v>
      </c>
      <c r="L73" s="110">
        <v>15</v>
      </c>
      <c r="M73" s="65">
        <f t="shared" si="44"/>
        <v>2288.1355932203378</v>
      </c>
      <c r="N73" s="64">
        <f t="shared" si="48"/>
        <v>152.54237288135585</v>
      </c>
      <c r="O73" s="66">
        <f t="shared" si="49"/>
        <v>0</v>
      </c>
      <c r="P73" s="67">
        <f t="shared" si="50"/>
        <v>-7.4576271186441545</v>
      </c>
      <c r="Q73" s="106">
        <f t="shared" si="51"/>
        <v>0.95338983050847403</v>
      </c>
      <c r="R73" s="511"/>
      <c r="S73" s="68">
        <v>0.43749999999999989</v>
      </c>
      <c r="T73" s="68">
        <v>0.51944444444444438</v>
      </c>
      <c r="U73" s="105">
        <f t="shared" si="46"/>
        <v>5.9999999999999787</v>
      </c>
      <c r="V73" s="111">
        <f t="shared" si="45"/>
        <v>118.00000000000006</v>
      </c>
      <c r="W73" s="69">
        <f>T73</f>
        <v>0.51944444444444438</v>
      </c>
      <c r="X73" s="69">
        <f>S74</f>
        <v>0.55833333333333324</v>
      </c>
      <c r="Y73" s="517"/>
      <c r="Z73" s="518"/>
      <c r="AA73" s="66">
        <f t="shared" si="52"/>
        <v>-111.8644067796622</v>
      </c>
      <c r="AB73" s="106">
        <f t="shared" si="53"/>
        <v>0.95338983050847403</v>
      </c>
      <c r="AC73" s="511"/>
    </row>
    <row r="74" spans="1:29" ht="15.75" customHeight="1">
      <c r="A74" s="515" t="s">
        <v>343</v>
      </c>
      <c r="B74" s="80" t="s">
        <v>16</v>
      </c>
      <c r="C74" s="512" t="s">
        <v>49</v>
      </c>
      <c r="D74" s="512"/>
      <c r="E74" s="62">
        <v>19.02</v>
      </c>
      <c r="F74" s="80">
        <v>6959</v>
      </c>
      <c r="G74" s="105">
        <f t="shared" si="43"/>
        <v>132360.18</v>
      </c>
      <c r="H74" s="90" t="s">
        <v>5</v>
      </c>
      <c r="I74" s="110">
        <v>15</v>
      </c>
      <c r="J74" s="63">
        <v>2400</v>
      </c>
      <c r="K74" s="64">
        <f t="shared" si="47"/>
        <v>160</v>
      </c>
      <c r="L74" s="110">
        <v>15</v>
      </c>
      <c r="M74" s="65">
        <f t="shared" si="44"/>
        <v>2294.1758241758243</v>
      </c>
      <c r="N74" s="64">
        <f t="shared" si="48"/>
        <v>152.94505494505495</v>
      </c>
      <c r="O74" s="66">
        <f t="shared" si="49"/>
        <v>0</v>
      </c>
      <c r="P74" s="67">
        <f t="shared" si="50"/>
        <v>-7.0549450549450512</v>
      </c>
      <c r="Q74" s="106">
        <f t="shared" si="51"/>
        <v>0.95590659340659345</v>
      </c>
      <c r="R74" s="511"/>
      <c r="S74" s="68">
        <v>0.55833333333333324</v>
      </c>
      <c r="T74" s="68">
        <v>0.68472222222222212</v>
      </c>
      <c r="U74" s="105">
        <f t="shared" si="46"/>
        <v>55.999999999999957</v>
      </c>
      <c r="V74" s="111">
        <f t="shared" si="45"/>
        <v>182</v>
      </c>
      <c r="W74" s="69"/>
      <c r="X74" s="69"/>
      <c r="Y74" s="517"/>
      <c r="Z74" s="518"/>
      <c r="AA74" s="66">
        <f t="shared" si="52"/>
        <v>-105.82417582417565</v>
      </c>
      <c r="AB74" s="106">
        <f t="shared" si="53"/>
        <v>0.95590659340659345</v>
      </c>
      <c r="AC74" s="511"/>
    </row>
    <row r="75" spans="1:29" ht="15.75" customHeight="1">
      <c r="A75" s="515" t="s">
        <v>343</v>
      </c>
      <c r="B75" s="80" t="s">
        <v>16</v>
      </c>
      <c r="C75" s="512" t="s">
        <v>34</v>
      </c>
      <c r="D75" s="512"/>
      <c r="E75" s="62">
        <v>24.25</v>
      </c>
      <c r="F75" s="80">
        <v>1576</v>
      </c>
      <c r="G75" s="105">
        <f t="shared" si="43"/>
        <v>38218</v>
      </c>
      <c r="H75" s="90" t="s">
        <v>5</v>
      </c>
      <c r="I75" s="110">
        <v>14</v>
      </c>
      <c r="J75" s="63">
        <v>2400</v>
      </c>
      <c r="K75" s="64">
        <f t="shared" si="47"/>
        <v>171.42857142857142</v>
      </c>
      <c r="L75" s="110">
        <v>14</v>
      </c>
      <c r="M75" s="65">
        <f t="shared" si="44"/>
        <v>2306.3414634146334</v>
      </c>
      <c r="N75" s="64">
        <f t="shared" si="48"/>
        <v>164.73867595818811</v>
      </c>
      <c r="O75" s="66">
        <f t="shared" si="49"/>
        <v>0</v>
      </c>
      <c r="P75" s="67">
        <f t="shared" si="50"/>
        <v>-6.6898954703833056</v>
      </c>
      <c r="Q75" s="106">
        <f t="shared" si="51"/>
        <v>0.96097560975609742</v>
      </c>
      <c r="R75" s="511"/>
      <c r="S75" s="68">
        <v>0.68888888888888877</v>
      </c>
      <c r="T75" s="68">
        <v>0.71736111111111101</v>
      </c>
      <c r="U75" s="105">
        <f t="shared" si="46"/>
        <v>5.9999999999999787</v>
      </c>
      <c r="V75" s="111">
        <f t="shared" si="45"/>
        <v>41.000000000000014</v>
      </c>
      <c r="W75" s="69"/>
      <c r="X75" s="69"/>
      <c r="Y75" s="517"/>
      <c r="Z75" s="518"/>
      <c r="AA75" s="66">
        <f t="shared" si="52"/>
        <v>-93.658536585366619</v>
      </c>
      <c r="AB75" s="106">
        <f t="shared" si="53"/>
        <v>0.96097560975609719</v>
      </c>
      <c r="AC75" s="511"/>
    </row>
    <row r="76" spans="1:29" ht="15.75" customHeight="1">
      <c r="A76" s="515" t="s">
        <v>343</v>
      </c>
      <c r="B76" s="80" t="s">
        <v>16</v>
      </c>
      <c r="C76" s="512" t="s">
        <v>26</v>
      </c>
      <c r="D76" s="512"/>
      <c r="E76" s="62">
        <v>20.52</v>
      </c>
      <c r="F76" s="80">
        <v>1366</v>
      </c>
      <c r="G76" s="105">
        <f t="shared" si="43"/>
        <v>28030.32</v>
      </c>
      <c r="H76" s="90" t="s">
        <v>5</v>
      </c>
      <c r="I76" s="110">
        <v>18</v>
      </c>
      <c r="J76" s="63">
        <v>2400</v>
      </c>
      <c r="K76" s="64">
        <f t="shared" si="47"/>
        <v>133.33333333333334</v>
      </c>
      <c r="L76" s="110">
        <v>18</v>
      </c>
      <c r="M76" s="65">
        <f t="shared" si="44"/>
        <v>2341.7142857142835</v>
      </c>
      <c r="N76" s="64">
        <f t="shared" si="48"/>
        <v>130.09523809523796</v>
      </c>
      <c r="O76" s="66">
        <f t="shared" si="49"/>
        <v>0</v>
      </c>
      <c r="P76" s="67">
        <f t="shared" si="50"/>
        <v>-3.2380952380953829</v>
      </c>
      <c r="Q76" s="106">
        <f t="shared" si="51"/>
        <v>0.97571428571428465</v>
      </c>
      <c r="R76" s="511"/>
      <c r="S76" s="68">
        <v>0.72291666666666654</v>
      </c>
      <c r="T76" s="68">
        <v>0.74722222222222212</v>
      </c>
      <c r="U76" s="105">
        <f t="shared" si="46"/>
        <v>7.9999999999999716</v>
      </c>
      <c r="V76" s="111">
        <f t="shared" si="45"/>
        <v>35.000000000000036</v>
      </c>
      <c r="W76" s="69"/>
      <c r="X76" s="69"/>
      <c r="Y76" s="517"/>
      <c r="Z76" s="518"/>
      <c r="AA76" s="66">
        <f t="shared" si="52"/>
        <v>-58.285714285716494</v>
      </c>
      <c r="AB76" s="106">
        <f t="shared" si="53"/>
        <v>0.97571428571428476</v>
      </c>
      <c r="AC76" s="511"/>
    </row>
    <row r="77" spans="1:29" ht="16.5" customHeight="1">
      <c r="A77" s="516" t="s">
        <v>343</v>
      </c>
      <c r="B77" s="62" t="s">
        <v>344</v>
      </c>
      <c r="C77" s="508"/>
      <c r="D77" s="509"/>
      <c r="E77" s="107"/>
      <c r="F77" s="71"/>
      <c r="G77" s="64"/>
      <c r="H77" s="80"/>
      <c r="I77" s="72">
        <v>16.7</v>
      </c>
      <c r="J77" s="63">
        <v>2400</v>
      </c>
      <c r="K77" s="64">
        <f t="shared" si="47"/>
        <v>143.7125748502994</v>
      </c>
      <c r="L77" s="72">
        <v>16.7</v>
      </c>
      <c r="M77" s="65">
        <f>AVERAGE(M67:M76)</f>
        <v>2302.3586205957167</v>
      </c>
      <c r="N77" s="64">
        <f t="shared" si="48"/>
        <v>137.86578566441418</v>
      </c>
      <c r="O77" s="66">
        <f t="shared" si="49"/>
        <v>0</v>
      </c>
      <c r="P77" s="67">
        <f t="shared" si="50"/>
        <v>-5.8467891858852283</v>
      </c>
      <c r="Q77" s="106">
        <f t="shared" si="51"/>
        <v>0.95931609191488199</v>
      </c>
      <c r="R77" s="511"/>
      <c r="S77" s="68"/>
      <c r="T77" s="68"/>
      <c r="U77" s="64"/>
      <c r="V77" s="111"/>
      <c r="W77" s="64"/>
      <c r="X77" s="64"/>
      <c r="Y77" s="510"/>
      <c r="Z77" s="510"/>
      <c r="AA77" s="66">
        <f t="shared" si="52"/>
        <v>-97.641379404283271</v>
      </c>
      <c r="AB77" s="106">
        <f t="shared" si="53"/>
        <v>0.95931609191488199</v>
      </c>
      <c r="AC77" s="511"/>
    </row>
    <row r="78" spans="1:29">
      <c r="D78" s="76"/>
      <c r="E78" s="76"/>
    </row>
  </sheetData>
  <mergeCells count="20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3"/>
    <mergeCell ref="C18:D18"/>
    <mergeCell ref="R18:R23"/>
    <mergeCell ref="Y18:Z18"/>
    <mergeCell ref="Y23:Z23"/>
    <mergeCell ref="A12:A17"/>
    <mergeCell ref="AC24:AC32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42:A53"/>
    <mergeCell ref="C42:D42"/>
    <mergeCell ref="R42:R53"/>
    <mergeCell ref="Y42:Z42"/>
    <mergeCell ref="Y47:Z47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Y53:Z53"/>
    <mergeCell ref="C63:D63"/>
    <mergeCell ref="Y63:Z63"/>
    <mergeCell ref="C60:D60"/>
    <mergeCell ref="Y60:Z60"/>
    <mergeCell ref="AC42:AC53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72:D72"/>
    <mergeCell ref="Y72:Z72"/>
    <mergeCell ref="A67:A77"/>
    <mergeCell ref="C67:D67"/>
    <mergeCell ref="R67:R77"/>
    <mergeCell ref="Y67:Z67"/>
    <mergeCell ref="AC54:AC60"/>
    <mergeCell ref="C55:D55"/>
    <mergeCell ref="Y55:Z55"/>
    <mergeCell ref="C56:D56"/>
    <mergeCell ref="C59:D59"/>
    <mergeCell ref="Y59:Z59"/>
    <mergeCell ref="A61:A66"/>
    <mergeCell ref="C61:D61"/>
    <mergeCell ref="R61:R66"/>
    <mergeCell ref="Y61:Z61"/>
    <mergeCell ref="Y66:Z66"/>
    <mergeCell ref="A54:A60"/>
    <mergeCell ref="C54:D54"/>
    <mergeCell ref="R54:R60"/>
    <mergeCell ref="Y54:Z54"/>
    <mergeCell ref="AC61:AC66"/>
    <mergeCell ref="C62:D62"/>
    <mergeCell ref="Y62:Z62"/>
    <mergeCell ref="C73:D73"/>
    <mergeCell ref="Y73:Z73"/>
    <mergeCell ref="C64:D64"/>
    <mergeCell ref="Y64:Z64"/>
    <mergeCell ref="C65:D65"/>
    <mergeCell ref="Y65:Z65"/>
    <mergeCell ref="C66:D66"/>
    <mergeCell ref="AC67:AC77"/>
    <mergeCell ref="C68:D68"/>
    <mergeCell ref="Y68:Z68"/>
    <mergeCell ref="C69:D69"/>
    <mergeCell ref="Y69:Z69"/>
    <mergeCell ref="C70:D70"/>
    <mergeCell ref="C77:D77"/>
    <mergeCell ref="Y77:Z77"/>
    <mergeCell ref="C74:D74"/>
    <mergeCell ref="Y74:Z74"/>
    <mergeCell ref="C75:D75"/>
    <mergeCell ref="Y75:Z75"/>
    <mergeCell ref="C76:D76"/>
    <mergeCell ref="Y76:Z76"/>
    <mergeCell ref="Y70:Z70"/>
    <mergeCell ref="C71:D71"/>
    <mergeCell ref="Y71:Z71"/>
  </mergeCells>
  <phoneticPr fontId="3" type="noConversion"/>
  <conditionalFormatting sqref="O64:O72 O77 O5:O9 O11:O13 O53:O61 O17:O47">
    <cfRule type="cellIs" dxfId="315" priority="86" operator="greaterThan">
      <formula>0</formula>
    </cfRule>
  </conditionalFormatting>
  <conditionalFormatting sqref="P5:P7 P64:P65 AA64:AA65 P67:P72 P24:P31 P61 P9 P11:P13 P18:P22 P54:P59 P33:P47 AA5:AA61 AA67:AA77">
    <cfRule type="cellIs" dxfId="314" priority="90" operator="lessThan">
      <formula>0</formula>
    </cfRule>
  </conditionalFormatting>
  <conditionalFormatting sqref="AB64:AB65 Q64:Q72 Q77 Q5:Q9 Q11:Q13 Q53:Q61 Q17:Q47 AB5:AB61 AB67:AB77">
    <cfRule type="cellIs" dxfId="313" priority="87" operator="greaterThan">
      <formula>1</formula>
    </cfRule>
    <cfRule type="cellIs" dxfId="312" priority="88" operator="lessThan">
      <formula>0.8</formula>
    </cfRule>
  </conditionalFormatting>
  <conditionalFormatting sqref="AC12:AC13 R12:R13 AC64 R64:R72 R77 AC5:AC9 R5:R9 R17:R47 AC17:AC47 AC53:AC61 R53:R61">
    <cfRule type="cellIs" dxfId="311" priority="92" operator="lessThan">
      <formula>0.8</formula>
    </cfRule>
  </conditionalFormatting>
  <conditionalFormatting sqref="AC42">
    <cfRule type="cellIs" dxfId="310" priority="94" operator="lessThan">
      <formula>0.8</formula>
    </cfRule>
  </conditionalFormatting>
  <conditionalFormatting sqref="AC18:AC22">
    <cfRule type="cellIs" dxfId="309" priority="91" operator="lessThan">
      <formula>0.8</formula>
    </cfRule>
  </conditionalFormatting>
  <conditionalFormatting sqref="AC24">
    <cfRule type="cellIs" dxfId="308" priority="93" operator="lessThan">
      <formula>0.8</formula>
    </cfRule>
  </conditionalFormatting>
  <conditionalFormatting sqref="AC33:AC40">
    <cfRule type="cellIs" dxfId="307" priority="89" operator="lessThan">
      <formula>0.8</formula>
    </cfRule>
  </conditionalFormatting>
  <conditionalFormatting sqref="AA66">
    <cfRule type="cellIs" dxfId="306" priority="85" operator="lessThan">
      <formula>0</formula>
    </cfRule>
  </conditionalFormatting>
  <conditionalFormatting sqref="AB66">
    <cfRule type="cellIs" dxfId="305" priority="83" operator="greaterThan">
      <formula>1</formula>
    </cfRule>
    <cfRule type="cellIs" dxfId="304" priority="84" operator="lessThan">
      <formula>0.8</formula>
    </cfRule>
  </conditionalFormatting>
  <conditionalFormatting sqref="O14:O15">
    <cfRule type="cellIs" dxfId="303" priority="78" operator="greaterThan">
      <formula>0</formula>
    </cfRule>
  </conditionalFormatting>
  <conditionalFormatting sqref="P14:P15">
    <cfRule type="cellIs" dxfId="302" priority="81" operator="lessThan">
      <formula>0</formula>
    </cfRule>
  </conditionalFormatting>
  <conditionalFormatting sqref="Q14:Q15">
    <cfRule type="cellIs" dxfId="301" priority="79" operator="greaterThan">
      <formula>1</formula>
    </cfRule>
    <cfRule type="cellIs" dxfId="300" priority="80" operator="lessThan">
      <formula>0.8</formula>
    </cfRule>
  </conditionalFormatting>
  <conditionalFormatting sqref="R14:R15 AC14:AC15">
    <cfRule type="cellIs" dxfId="299" priority="82" operator="lessThan">
      <formula>0.8</formula>
    </cfRule>
  </conditionalFormatting>
  <conditionalFormatting sqref="O10">
    <cfRule type="cellIs" dxfId="298" priority="74" operator="greaterThan">
      <formula>0</formula>
    </cfRule>
  </conditionalFormatting>
  <conditionalFormatting sqref="P10">
    <cfRule type="cellIs" dxfId="297" priority="77" operator="lessThan">
      <formula>0</formula>
    </cfRule>
  </conditionalFormatting>
  <conditionalFormatting sqref="Q10">
    <cfRule type="cellIs" dxfId="296" priority="75" operator="greaterThan">
      <formula>1</formula>
    </cfRule>
    <cfRule type="cellIs" dxfId="295" priority="76" operator="lessThan">
      <formula>0.8</formula>
    </cfRule>
  </conditionalFormatting>
  <conditionalFormatting sqref="O63">
    <cfRule type="cellIs" dxfId="294" priority="69" operator="greaterThan">
      <formula>0</formula>
    </cfRule>
  </conditionalFormatting>
  <conditionalFormatting sqref="P63 AA63">
    <cfRule type="cellIs" dxfId="293" priority="72" operator="lessThan">
      <formula>0</formula>
    </cfRule>
  </conditionalFormatting>
  <conditionalFormatting sqref="Q63 AB63">
    <cfRule type="cellIs" dxfId="292" priority="70" operator="greaterThan">
      <formula>1</formula>
    </cfRule>
    <cfRule type="cellIs" dxfId="291" priority="71" operator="lessThan">
      <formula>0.8</formula>
    </cfRule>
  </conditionalFormatting>
  <conditionalFormatting sqref="R63 AC63">
    <cfRule type="cellIs" dxfId="290" priority="73" operator="lessThan">
      <formula>0.8</formula>
    </cfRule>
  </conditionalFormatting>
  <conditionalFormatting sqref="O73">
    <cfRule type="cellIs" dxfId="289" priority="64" operator="greaterThan">
      <formula>0</formula>
    </cfRule>
  </conditionalFormatting>
  <conditionalFormatting sqref="P73">
    <cfRule type="cellIs" dxfId="288" priority="67" operator="lessThan">
      <formula>0</formula>
    </cfRule>
  </conditionalFormatting>
  <conditionalFormatting sqref="Q73">
    <cfRule type="cellIs" dxfId="287" priority="65" operator="greaterThan">
      <formula>1</formula>
    </cfRule>
    <cfRule type="cellIs" dxfId="286" priority="66" operator="lessThan">
      <formula>0.8</formula>
    </cfRule>
  </conditionalFormatting>
  <conditionalFormatting sqref="R73">
    <cfRule type="cellIs" dxfId="285" priority="68" operator="lessThan">
      <formula>0.8</formula>
    </cfRule>
  </conditionalFormatting>
  <conditionalFormatting sqref="O16">
    <cfRule type="cellIs" dxfId="284" priority="59" operator="greaterThan">
      <formula>0</formula>
    </cfRule>
  </conditionalFormatting>
  <conditionalFormatting sqref="P16">
    <cfRule type="cellIs" dxfId="283" priority="62" operator="lessThan">
      <formula>0</formula>
    </cfRule>
  </conditionalFormatting>
  <conditionalFormatting sqref="Q16">
    <cfRule type="cellIs" dxfId="282" priority="60" operator="greaterThan">
      <formula>1</formula>
    </cfRule>
    <cfRule type="cellIs" dxfId="281" priority="61" operator="lessThan">
      <formula>0.8</formula>
    </cfRule>
  </conditionalFormatting>
  <conditionalFormatting sqref="R16 AC16">
    <cfRule type="cellIs" dxfId="280" priority="63" operator="lessThan">
      <formula>0.8</formula>
    </cfRule>
  </conditionalFormatting>
  <conditionalFormatting sqref="O48">
    <cfRule type="cellIs" dxfId="279" priority="53" operator="greaterThan">
      <formula>0</formula>
    </cfRule>
  </conditionalFormatting>
  <conditionalFormatting sqref="P48">
    <cfRule type="cellIs" dxfId="278" priority="57" operator="lessThan">
      <formula>0</formula>
    </cfRule>
  </conditionalFormatting>
  <conditionalFormatting sqref="Q48">
    <cfRule type="cellIs" dxfId="277" priority="54" operator="greaterThan">
      <formula>1</formula>
    </cfRule>
    <cfRule type="cellIs" dxfId="276" priority="55" operator="lessThan">
      <formula>0.8</formula>
    </cfRule>
  </conditionalFormatting>
  <conditionalFormatting sqref="R48 AC48">
    <cfRule type="cellIs" dxfId="275" priority="58" operator="lessThan">
      <formula>0.8</formula>
    </cfRule>
  </conditionalFormatting>
  <conditionalFormatting sqref="AC48">
    <cfRule type="cellIs" dxfId="274" priority="56" operator="lessThan">
      <formula>0.8</formula>
    </cfRule>
  </conditionalFormatting>
  <conditionalFormatting sqref="O49">
    <cfRule type="cellIs" dxfId="273" priority="47" operator="greaterThan">
      <formula>0</formula>
    </cfRule>
  </conditionalFormatting>
  <conditionalFormatting sqref="P49">
    <cfRule type="cellIs" dxfId="272" priority="51" operator="lessThan">
      <formula>0</formula>
    </cfRule>
  </conditionalFormatting>
  <conditionalFormatting sqref="Q49">
    <cfRule type="cellIs" dxfId="271" priority="48" operator="greaterThan">
      <formula>1</formula>
    </cfRule>
    <cfRule type="cellIs" dxfId="270" priority="49" operator="lessThan">
      <formula>0.8</formula>
    </cfRule>
  </conditionalFormatting>
  <conditionalFormatting sqref="R49 AC49">
    <cfRule type="cellIs" dxfId="269" priority="52" operator="lessThan">
      <formula>0.8</formula>
    </cfRule>
  </conditionalFormatting>
  <conditionalFormatting sqref="AC49">
    <cfRule type="cellIs" dxfId="268" priority="50" operator="lessThan">
      <formula>0.8</formula>
    </cfRule>
  </conditionalFormatting>
  <conditionalFormatting sqref="O50">
    <cfRule type="cellIs" dxfId="267" priority="41" operator="greaterThan">
      <formula>0</formula>
    </cfRule>
  </conditionalFormatting>
  <conditionalFormatting sqref="P50">
    <cfRule type="cellIs" dxfId="266" priority="45" operator="lessThan">
      <formula>0</formula>
    </cfRule>
  </conditionalFormatting>
  <conditionalFormatting sqref="Q50">
    <cfRule type="cellIs" dxfId="265" priority="42" operator="greaterThan">
      <formula>1</formula>
    </cfRule>
    <cfRule type="cellIs" dxfId="264" priority="43" operator="lessThan">
      <formula>0.8</formula>
    </cfRule>
  </conditionalFormatting>
  <conditionalFormatting sqref="R50 AC50">
    <cfRule type="cellIs" dxfId="263" priority="46" operator="lessThan">
      <formula>0.8</formula>
    </cfRule>
  </conditionalFormatting>
  <conditionalFormatting sqref="AC50">
    <cfRule type="cellIs" dxfId="262" priority="44" operator="lessThan">
      <formula>0.8</formula>
    </cfRule>
  </conditionalFormatting>
  <conditionalFormatting sqref="O51">
    <cfRule type="cellIs" dxfId="261" priority="35" operator="greaterThan">
      <formula>0</formula>
    </cfRule>
  </conditionalFormatting>
  <conditionalFormatting sqref="P51">
    <cfRule type="cellIs" dxfId="260" priority="39" operator="lessThan">
      <formula>0</formula>
    </cfRule>
  </conditionalFormatting>
  <conditionalFormatting sqref="Q51">
    <cfRule type="cellIs" dxfId="259" priority="36" operator="greaterThan">
      <formula>1</formula>
    </cfRule>
    <cfRule type="cellIs" dxfId="258" priority="37" operator="lessThan">
      <formula>0.8</formula>
    </cfRule>
  </conditionalFormatting>
  <conditionalFormatting sqref="R51 AC51">
    <cfRule type="cellIs" dxfId="257" priority="40" operator="lessThan">
      <formula>0.8</formula>
    </cfRule>
  </conditionalFormatting>
  <conditionalFormatting sqref="AC51">
    <cfRule type="cellIs" dxfId="256" priority="38" operator="lessThan">
      <formula>0.8</formula>
    </cfRule>
  </conditionalFormatting>
  <conditionalFormatting sqref="O52">
    <cfRule type="cellIs" dxfId="255" priority="29" operator="greaterThan">
      <formula>0</formula>
    </cfRule>
  </conditionalFormatting>
  <conditionalFormatting sqref="P52">
    <cfRule type="cellIs" dxfId="254" priority="33" operator="lessThan">
      <formula>0</formula>
    </cfRule>
  </conditionalFormatting>
  <conditionalFormatting sqref="Q52">
    <cfRule type="cellIs" dxfId="253" priority="30" operator="greaterThan">
      <formula>1</formula>
    </cfRule>
    <cfRule type="cellIs" dxfId="252" priority="31" operator="lessThan">
      <formula>0.8</formula>
    </cfRule>
  </conditionalFormatting>
  <conditionalFormatting sqref="R52 AC52">
    <cfRule type="cellIs" dxfId="251" priority="34" operator="lessThan">
      <formula>0.8</formula>
    </cfRule>
  </conditionalFormatting>
  <conditionalFormatting sqref="AC52">
    <cfRule type="cellIs" dxfId="250" priority="32" operator="lessThan">
      <formula>0.8</formula>
    </cfRule>
  </conditionalFormatting>
  <conditionalFormatting sqref="O62">
    <cfRule type="cellIs" dxfId="249" priority="24" operator="greaterThan">
      <formula>0</formula>
    </cfRule>
  </conditionalFormatting>
  <conditionalFormatting sqref="P62 AA62">
    <cfRule type="cellIs" dxfId="248" priority="27" operator="lessThan">
      <formula>0</formula>
    </cfRule>
  </conditionalFormatting>
  <conditionalFormatting sqref="Q62 AB62">
    <cfRule type="cellIs" dxfId="247" priority="25" operator="greaterThan">
      <formula>1</formula>
    </cfRule>
    <cfRule type="cellIs" dxfId="246" priority="26" operator="lessThan">
      <formula>0.8</formula>
    </cfRule>
  </conditionalFormatting>
  <conditionalFormatting sqref="R62 AC62">
    <cfRule type="cellIs" dxfId="245" priority="28" operator="lessThan">
      <formula>0.8</formula>
    </cfRule>
  </conditionalFormatting>
  <conditionalFormatting sqref="P8">
    <cfRule type="cellIs" dxfId="244" priority="23" operator="lessThan">
      <formula>0</formula>
    </cfRule>
  </conditionalFormatting>
  <conditionalFormatting sqref="P17">
    <cfRule type="cellIs" dxfId="243" priority="22" operator="lessThan">
      <formula>0</formula>
    </cfRule>
  </conditionalFormatting>
  <conditionalFormatting sqref="P23">
    <cfRule type="cellIs" dxfId="242" priority="21" operator="lessThan">
      <formula>0</formula>
    </cfRule>
  </conditionalFormatting>
  <conditionalFormatting sqref="P32">
    <cfRule type="cellIs" dxfId="241" priority="20" operator="lessThan">
      <formula>0</formula>
    </cfRule>
  </conditionalFormatting>
  <conditionalFormatting sqref="P53">
    <cfRule type="cellIs" dxfId="240" priority="19" operator="lessThan">
      <formula>0</formula>
    </cfRule>
  </conditionalFormatting>
  <conditionalFormatting sqref="P60">
    <cfRule type="cellIs" dxfId="239" priority="18" operator="lessThan">
      <formula>0</formula>
    </cfRule>
  </conditionalFormatting>
  <conditionalFormatting sqref="P66">
    <cfRule type="cellIs" dxfId="238" priority="17" operator="lessThan">
      <formula>0</formula>
    </cfRule>
  </conditionalFormatting>
  <conditionalFormatting sqref="P77">
    <cfRule type="cellIs" dxfId="237" priority="16" operator="lessThan">
      <formula>0</formula>
    </cfRule>
  </conditionalFormatting>
  <conditionalFormatting sqref="O74">
    <cfRule type="cellIs" dxfId="236" priority="11" operator="greaterThan">
      <formula>0</formula>
    </cfRule>
  </conditionalFormatting>
  <conditionalFormatting sqref="P74">
    <cfRule type="cellIs" dxfId="235" priority="14" operator="lessThan">
      <formula>0</formula>
    </cfRule>
  </conditionalFormatting>
  <conditionalFormatting sqref="Q74">
    <cfRule type="cellIs" dxfId="234" priority="12" operator="greaterThan">
      <formula>1</formula>
    </cfRule>
    <cfRule type="cellIs" dxfId="233" priority="13" operator="lessThan">
      <formula>0.8</formula>
    </cfRule>
  </conditionalFormatting>
  <conditionalFormatting sqref="R74">
    <cfRule type="cellIs" dxfId="232" priority="15" operator="lessThan">
      <formula>0.8</formula>
    </cfRule>
  </conditionalFormatting>
  <conditionalFormatting sqref="O75">
    <cfRule type="cellIs" dxfId="231" priority="6" operator="greaterThan">
      <formula>0</formula>
    </cfRule>
  </conditionalFormatting>
  <conditionalFormatting sqref="P75">
    <cfRule type="cellIs" dxfId="230" priority="9" operator="lessThan">
      <formula>0</formula>
    </cfRule>
  </conditionalFormatting>
  <conditionalFormatting sqref="Q75">
    <cfRule type="cellIs" dxfId="229" priority="7" operator="greaterThan">
      <formula>1</formula>
    </cfRule>
    <cfRule type="cellIs" dxfId="228" priority="8" operator="lessThan">
      <formula>0.8</formula>
    </cfRule>
  </conditionalFormatting>
  <conditionalFormatting sqref="R75">
    <cfRule type="cellIs" dxfId="227" priority="10" operator="lessThan">
      <formula>0.8</formula>
    </cfRule>
  </conditionalFormatting>
  <conditionalFormatting sqref="O76">
    <cfRule type="cellIs" dxfId="226" priority="1" operator="greaterThan">
      <formula>0</formula>
    </cfRule>
  </conditionalFormatting>
  <conditionalFormatting sqref="P76">
    <cfRule type="cellIs" dxfId="225" priority="4" operator="lessThan">
      <formula>0</formula>
    </cfRule>
  </conditionalFormatting>
  <conditionalFormatting sqref="Q76">
    <cfRule type="cellIs" dxfId="224" priority="2" operator="greaterThan">
      <formula>1</formula>
    </cfRule>
    <cfRule type="cellIs" dxfId="223" priority="3" operator="lessThan">
      <formula>0.8</formula>
    </cfRule>
  </conditionalFormatting>
  <conditionalFormatting sqref="R76">
    <cfRule type="cellIs" dxfId="222" priority="5" operator="lessThan">
      <formula>0.8</formula>
    </cfRule>
  </conditionalFormatting>
  <dataValidations count="1">
    <dataValidation type="list" allowBlank="1" showInputMessage="1" showErrorMessage="1" sqref="Z8 Z65 Y5:Z7 Y8:Y65 Z10:Z61 Y66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164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165</v>
      </c>
      <c r="C3" s="497" t="str">
        <f>TEXT('1102 4度C'!A2,"yyyy.mm.ddaaaa")</f>
        <v>2025.11.02星期日</v>
      </c>
      <c r="D3" s="498"/>
      <c r="E3" s="4" t="s">
        <v>166</v>
      </c>
      <c r="F3" s="499">
        <f>'1102 4度C'!D1</f>
        <v>204903</v>
      </c>
      <c r="G3" s="500"/>
      <c r="H3" s="4" t="s">
        <v>167</v>
      </c>
      <c r="I3" s="501">
        <f>'1102 4度C'!F1</f>
        <v>6734217.2299999995</v>
      </c>
      <c r="J3" s="502"/>
      <c r="K3" s="5"/>
      <c r="L3" s="6"/>
      <c r="M3" s="7"/>
      <c r="N3" s="7"/>
    </row>
    <row r="4" spans="2:17" ht="28.5" customHeight="1">
      <c r="B4" s="503" t="s">
        <v>168</v>
      </c>
      <c r="C4" s="485" t="s">
        <v>169</v>
      </c>
      <c r="D4" s="486"/>
      <c r="E4" s="506" t="s">
        <v>170</v>
      </c>
      <c r="F4" s="507"/>
      <c r="G4" s="506" t="s">
        <v>171</v>
      </c>
      <c r="H4" s="507"/>
      <c r="I4" s="506" t="s">
        <v>172</v>
      </c>
      <c r="J4" s="507"/>
      <c r="L4" s="7"/>
      <c r="M4" s="7"/>
      <c r="N4" s="7"/>
    </row>
    <row r="5" spans="2:17" ht="28.5" customHeight="1">
      <c r="B5" s="504"/>
      <c r="C5" s="485" t="s">
        <v>173</v>
      </c>
      <c r="D5" s="486"/>
      <c r="E5" s="485" t="s">
        <v>174</v>
      </c>
      <c r="F5" s="486"/>
      <c r="G5" s="487" t="s">
        <v>175</v>
      </c>
      <c r="H5" s="488"/>
      <c r="I5" s="489" t="s">
        <v>176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149.38462323961892</v>
      </c>
      <c r="F6" s="492">
        <f>AVERAGE(D27:O27,D13:J13)</f>
        <v>153.77371733246102</v>
      </c>
      <c r="G6" s="493">
        <f>AVERAGE(D13:J13)</f>
        <v>153.77371733246102</v>
      </c>
      <c r="H6" s="494"/>
      <c r="I6" s="493">
        <f>AVERAGE(K13:M13)</f>
        <v>139.14340368965404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143.03035604780547</v>
      </c>
      <c r="F7" s="478">
        <f>AVERAGE(D28:O28,D14:J14)</f>
        <v>147.29758376581944</v>
      </c>
      <c r="G7" s="479">
        <f>AVERAGE(D14:J14)</f>
        <v>147.29758376581944</v>
      </c>
      <c r="H7" s="480"/>
      <c r="I7" s="479">
        <f>AVERAGE(K14:M14)</f>
        <v>133.07349137243946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0.95699034758426982</v>
      </c>
      <c r="F8" s="482">
        <f>AVERAGE(D15:J15,D29:O29)</f>
        <v>0.95726238813683884</v>
      </c>
      <c r="G8" s="483">
        <f>AVERAGE(D15:J15)</f>
        <v>0.95726238813683884</v>
      </c>
      <c r="H8" s="484"/>
      <c r="I8" s="483">
        <f>AVERAGE(K15:M15)</f>
        <v>0.95635558629494233</v>
      </c>
      <c r="J8" s="484"/>
      <c r="K8" s="8" t="s">
        <v>177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178</v>
      </c>
      <c r="C10" s="459"/>
      <c r="D10" s="460" t="s">
        <v>179</v>
      </c>
      <c r="E10" s="461"/>
      <c r="F10" s="461"/>
      <c r="G10" s="461"/>
      <c r="H10" s="461"/>
      <c r="I10" s="461"/>
      <c r="J10" s="462"/>
      <c r="K10" s="463" t="s">
        <v>180</v>
      </c>
      <c r="L10" s="464"/>
      <c r="M10" s="465"/>
      <c r="P10" s="11"/>
      <c r="Q10" s="11"/>
    </row>
    <row r="11" spans="2:17" ht="17.25" customHeight="1">
      <c r="B11" s="466" t="s">
        <v>181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182</v>
      </c>
      <c r="C13" s="18" t="s">
        <v>183</v>
      </c>
      <c r="D13" s="19">
        <f>SUMIFS('1102 4度C'!$K:$K,'1102 4度C'!$A:$A,"新豐6線",'1102 4度C'!$B:$B,"平均")</f>
        <v>125</v>
      </c>
      <c r="E13" s="20">
        <f>SUMIFS('1102 4度C'!$K:$K,'1102 4度C'!$A:$A,"新豐2線",'1102 4度C'!$B:$B,"平均")</f>
        <v>81.081081081081081</v>
      </c>
      <c r="F13" s="21">
        <f>SUMIFS('1102 4度C'!$K:$K,'1102 4度C'!$A:$A,"新豐5線",'1102 4度C'!$B:$B,"平均")</f>
        <v>91.397849462365585</v>
      </c>
      <c r="G13" s="21">
        <f>SUMIFS('1102 4度C'!$K:$K,'1102 4度C'!$A:$A,"新豐7線",'1102 4度C'!$B:$B,"平均")</f>
        <v>121.95121951219514</v>
      </c>
      <c r="H13" s="21">
        <f>SUMIFS('1102 4度C'!$K:$K,'1102 4度C'!$A:$A,"新豐3線",'1102 4度C'!$B:$B,"平均")</f>
        <v>269.23076923076923</v>
      </c>
      <c r="I13" s="21">
        <f>SUMIFS('1102 4度C'!$K:$K,'1102 4度C'!$A:$A,"新豐1線",'1102 4度C'!$B:$B,"平均")</f>
        <v>112.24489795918367</v>
      </c>
      <c r="J13" s="22">
        <f>SUMIFS('1102 4度C'!$K:$K,'1102 4度C'!$A:$A,"新豐10線",'1102 4度C'!$B:$B,"平均")</f>
        <v>275.51020408163265</v>
      </c>
      <c r="K13" s="23">
        <f>SUMIFS('1102 4度C'!$K:$K,'1102 4度C'!$A:$A,"新豐8線",'1102 4度C'!$B:$B,"平均")</f>
        <v>133.33333333333334</v>
      </c>
      <c r="L13" s="24">
        <f>SUMIFS('1102 4度C'!$K:$K,'1102 4度C'!$A:$A,"新豐9線",'1102 4度C'!$B:$B,"平均")</f>
        <v>139.13043478260869</v>
      </c>
      <c r="M13" s="22">
        <f>SUMIFS('1102 4度C'!$K:$K,'1102 4度C'!$A:$A,"新豐4線",'1102 4度C'!$B:$B,"平均")</f>
        <v>144.96644295302013</v>
      </c>
    </row>
    <row r="14" spans="2:17" ht="39.6" customHeight="1">
      <c r="B14" s="471"/>
      <c r="C14" s="25" t="s">
        <v>184</v>
      </c>
      <c r="D14" s="26">
        <f>SUMIFS('1102 4度C'!$N:$N,'1102 4度C'!$A:$A,"新豐6線",'1102 4度C'!$B:$B,"平均")</f>
        <v>119.44201631701628</v>
      </c>
      <c r="E14" s="27">
        <f>SUMIFS('1102 4度C'!$N:$N,'1102 4度C'!$A:$A,"新豐2線",'1102 4度C'!$B:$B,"平均")</f>
        <v>77.182456159940145</v>
      </c>
      <c r="F14" s="27">
        <f>SUMIFS('1102 4度C'!$N:$N,'1102 4度C'!$A:$A,"新豐5線",'1102 4度C'!$B:$B,"平均")</f>
        <v>87.693765249866232</v>
      </c>
      <c r="G14" s="27">
        <f>SUMIFS('1102 4度C'!$N:$N,'1102 4度C'!$A:$A,"新豐7線",'1102 4度C'!$B:$B,"平均")</f>
        <v>116.68476085214388</v>
      </c>
      <c r="H14" s="27">
        <f>SUMIFS('1102 4度C'!$N:$N,'1102 4度C'!$A:$A,"新豐3線",'1102 4度C'!$B:$B,"平均")</f>
        <v>257.69712519251925</v>
      </c>
      <c r="I14" s="27">
        <f>SUMIFS('1102 4度C'!$N:$N,'1102 4度C'!$A:$A,"新豐1線",'1102 4度C'!$B:$B,"平均")</f>
        <v>107.64784734226215</v>
      </c>
      <c r="J14" s="28">
        <f>SUMIFS('1102 4度C'!$N:$N,'1102 4度C'!$A:$A,"新豐10線",'1102 4度C'!$B:$B,"平均")</f>
        <v>264.7351152469883</v>
      </c>
      <c r="K14" s="29">
        <f>SUMIFS('1102 4度C'!$N:$N,'1102 4度C'!$A:$A,"新豐8線",'1102 4度C'!$B:$B,"平均")</f>
        <v>127.50315402380309</v>
      </c>
      <c r="L14" s="30">
        <f>SUMIFS('1102 4度C'!$N:$N,'1102 4度C'!$A:$A,"新豐9線",'1102 4度C'!$B:$B,"平均")</f>
        <v>132.87205537958192</v>
      </c>
      <c r="M14" s="28">
        <f>SUMIFS('1102 4度C'!$N:$N,'1102 4度C'!$A:$A,"新豐4線",'1102 4度C'!$B:$B,"平均")</f>
        <v>138.84526471393337</v>
      </c>
    </row>
    <row r="15" spans="2:17" ht="40.15" customHeight="1">
      <c r="B15" s="472"/>
      <c r="C15" s="31" t="s">
        <v>185</v>
      </c>
      <c r="D15" s="32">
        <f t="shared" ref="D15:M15" si="0">D14/D13</f>
        <v>0.95553613053613029</v>
      </c>
      <c r="E15" s="33">
        <f t="shared" si="0"/>
        <v>0.95191695930592846</v>
      </c>
      <c r="F15" s="33">
        <f t="shared" si="0"/>
        <v>0.95947296096912471</v>
      </c>
      <c r="G15" s="33">
        <f t="shared" si="0"/>
        <v>0.95681503898757969</v>
      </c>
      <c r="H15" s="33">
        <f t="shared" si="0"/>
        <v>0.95716075071507156</v>
      </c>
      <c r="I15" s="33">
        <f t="shared" si="0"/>
        <v>0.95904445814015371</v>
      </c>
      <c r="J15" s="34">
        <f t="shared" si="0"/>
        <v>0.96089041830388344</v>
      </c>
      <c r="K15" s="32">
        <f t="shared" si="0"/>
        <v>0.95627365517852314</v>
      </c>
      <c r="L15" s="33">
        <f t="shared" si="0"/>
        <v>0.95501789804074511</v>
      </c>
      <c r="M15" s="34">
        <f t="shared" si="0"/>
        <v>0.95777520566555896</v>
      </c>
    </row>
    <row r="16" spans="2:17" ht="17.25" customHeight="1">
      <c r="B16" s="473" t="s">
        <v>186</v>
      </c>
      <c r="C16" s="35" t="s">
        <v>187</v>
      </c>
      <c r="D16" s="49">
        <f>VLOOKUP("新豐6線",'1102 4度C'!$A:$T,19,0)</f>
        <v>0.70833333333333337</v>
      </c>
      <c r="E16" s="50">
        <f>VLOOKUP("新豐2線",'1102 4度C'!$A:$T,19,0)</f>
        <v>0.20833333333333334</v>
      </c>
      <c r="F16" s="50">
        <f>VLOOKUP("新豐5線",'1102 4度C'!$A:$T,19,0)</f>
        <v>0.125</v>
      </c>
      <c r="G16" s="50">
        <f>VLOOKUP("新豐7線",'1102 4度C'!$A:$T,19,0)</f>
        <v>0.20833333333333334</v>
      </c>
      <c r="H16" s="50">
        <f>VLOOKUP("新豐3線",'1102 4度C'!$A:$T,19,0)</f>
        <v>8.3333333333333329E-2</v>
      </c>
      <c r="I16" s="50">
        <f>VLOOKUP("新豐1線",'1102 4度C'!$A:$T,19,0)</f>
        <v>0.20833333333333334</v>
      </c>
      <c r="J16" s="51">
        <f>VLOOKUP("新豐10線",'1102 4度C'!$A:$T,19,0)</f>
        <v>0.20833333333333334</v>
      </c>
      <c r="K16" s="36">
        <f>VLOOKUP("新豐8線",'1102 4度C'!$A:$T,19,0)</f>
        <v>8.3333333333333329E-2</v>
      </c>
      <c r="L16" s="37">
        <f>VLOOKUP("新豐9線",'1102 4度C'!$A:$T,19,0)</f>
        <v>8.3333333333333329E-2</v>
      </c>
      <c r="M16" s="38">
        <f>VLOOKUP("新豐4線",'1102 4度C'!$A:$T,19,0)</f>
        <v>8.3333333333333329E-2</v>
      </c>
    </row>
    <row r="17" spans="2:13" ht="17.25" customHeight="1">
      <c r="B17" s="474"/>
      <c r="C17" s="35" t="s">
        <v>188</v>
      </c>
      <c r="D17" s="36">
        <f>LOOKUP(2,1/(('1102 4度C'!$A:$A="新豐6線")*('1102 4度C'!$T:$T&lt;&gt;"")),'1102 4度C'!$T:$T)</f>
        <v>0.84097222222222223</v>
      </c>
      <c r="E17" s="50">
        <f>LOOKUP(2,1/(('1102 4度C'!$A:$A="新豐2線")*('1102 4度C'!$T:$T&lt;&gt;"")),'1102 4度C'!$T:$T)</f>
        <v>0.4916666666666667</v>
      </c>
      <c r="F17" s="50">
        <f>LOOKUP(2,1/(('1102 4度C'!$A:$A="新豐5線")*('1102 4度C'!$T:$T&lt;&gt;"")),'1102 4度C'!$T:$T)</f>
        <v>0.85277777777777775</v>
      </c>
      <c r="G17" s="50">
        <f>LOOKUP(2,1/(('1102 4度C'!$A:$A="新豐7線")*('1102 4度C'!$T:$T&lt;&gt;"")),'1102 4度C'!$T:$T)</f>
        <v>0.81944444444444453</v>
      </c>
      <c r="H17" s="50">
        <f>LOOKUP(2,1/(('1102 4度C'!$A:$A="新豐3線")*('1102 4度C'!$T:$T&lt;&gt;"")),'1102 4度C'!$T:$T)</f>
        <v>0.77777777777777757</v>
      </c>
      <c r="I17" s="50">
        <f>LOOKUP(2,1/(('1102 4度C'!$A:$A="新豐1線")*('1102 4度C'!$T:$T&lt;&gt;"")),'1102 4度C'!$T:$T)</f>
        <v>0.93402777777777779</v>
      </c>
      <c r="J17" s="51">
        <f>LOOKUP(2,1/(('1102 4度C'!$A:$A="新豐10線")*('1102 4度C'!$T:$T&lt;&gt;"")),'1102 4度C'!$T:$T)</f>
        <v>0.52847222222222223</v>
      </c>
      <c r="K17" s="49">
        <f>LOOKUP(2,1/(('1102 4度C'!$A:$A="新豐8線")*('1102 4度C'!$T:$T&lt;&gt;"")),'1102 4度C'!$T:$T)</f>
        <v>0.76111111111111107</v>
      </c>
      <c r="L17" s="50">
        <f>LOOKUP(2,1/(('1102 4度C'!$A:$A="新豐9線")*('1102 4度C'!$T:$T&lt;&gt;"")),'1102 4度C'!$T:$T)</f>
        <v>0.7583333333333333</v>
      </c>
      <c r="M17" s="51">
        <f>LOOKUP(2,1/(('1102 4度C'!$A:$A="新豐4線")*('1102 4度C'!$T:$T&lt;&gt;"")),'1102 4度C'!$T:$T)</f>
        <v>0.71874999999999989</v>
      </c>
    </row>
    <row r="18" spans="2:13" ht="17.25" customHeight="1">
      <c r="B18" s="452" t="s">
        <v>189</v>
      </c>
      <c r="C18" s="453"/>
      <c r="D18" s="39">
        <f>SUMIFS('1102 4度C'!$I:$I,'1102 4度C'!$A:$A,"新豐6線",'1102 4度C'!$B:$B,"平均")</f>
        <v>16</v>
      </c>
      <c r="E18" s="40">
        <f>SUMIFS('1102 4度C'!$I:$I,'1102 4度C'!$A:$A,"新豐2線",'1102 4度C'!$B:$B,"平均")</f>
        <v>18.5</v>
      </c>
      <c r="F18" s="40">
        <f>SUMIFS('1102 4度C'!$I:$I,'1102 4度C'!$A:$A,"新豐5線",'1102 4度C'!$B:$B,"平均")</f>
        <v>18.600000000000001</v>
      </c>
      <c r="G18" s="40">
        <f>SUMIFS('1102 4度C'!$I:$I,'1102 4度C'!$A:$A,"新豐7線",'1102 4度C'!$B:$B,"平均")</f>
        <v>16.399999999999999</v>
      </c>
      <c r="H18" s="40">
        <f>SUMIFS('1102 4度C'!$I:$I,'1102 4度C'!$A:$A,"新豐3線",'1102 4度C'!$B:$B,"平均")</f>
        <v>10.4</v>
      </c>
      <c r="I18" s="40">
        <f>SUMIFS('1102 4度C'!$I:$I,'1102 4度C'!$A:$A,"新豐1線",'1102 4度C'!$B:$B,"平均")</f>
        <v>16.333333333333332</v>
      </c>
      <c r="J18" s="41">
        <f>SUMIFS('1102 4度C'!$I:$I,'1102 4度C'!$A:$A,"新豐10線",'1102 4度C'!$B:$B,"平均")</f>
        <v>9.8000000000000007</v>
      </c>
      <c r="K18" s="39">
        <f>SUMIFS('1102 4度C'!$I:$I,'1102 4度C'!$A:$A,"新豐8線",'1102 4度C'!$B:$B,"平均")</f>
        <v>18</v>
      </c>
      <c r="L18" s="40">
        <f>SUMIFS('1102 4度C'!$I:$I,'1102 4度C'!$A:$A,"新豐9線",'1102 4度C'!$B:$B,"平均")</f>
        <v>17.25</v>
      </c>
      <c r="M18" s="41">
        <f>SUMIFS('1102 4度C'!$I:$I,'1102 4度C'!$A:$A,"新豐4線",'1102 4度C'!$B:$B,"平均")</f>
        <v>16.555555555555557</v>
      </c>
    </row>
    <row r="19" spans="2:13" ht="17.25" customHeight="1">
      <c r="B19" s="452" t="s">
        <v>190</v>
      </c>
      <c r="C19" s="453"/>
      <c r="D19" s="42" t="s">
        <v>65</v>
      </c>
      <c r="E19" s="43" t="s">
        <v>66</v>
      </c>
      <c r="F19" s="43" t="s">
        <v>191</v>
      </c>
      <c r="G19" s="43" t="s">
        <v>192</v>
      </c>
      <c r="H19" s="43" t="s">
        <v>67</v>
      </c>
      <c r="I19" s="43" t="s">
        <v>65</v>
      </c>
      <c r="J19" s="44" t="s">
        <v>67</v>
      </c>
      <c r="K19" s="42" t="s">
        <v>193</v>
      </c>
      <c r="L19" s="43" t="s">
        <v>194</v>
      </c>
      <c r="M19" s="44" t="s">
        <v>193</v>
      </c>
    </row>
    <row r="20" spans="2:13" ht="17.25" customHeight="1">
      <c r="B20" s="452" t="s">
        <v>195</v>
      </c>
      <c r="C20" s="453"/>
      <c r="D20" s="42"/>
      <c r="E20" s="43"/>
      <c r="F20" s="43" t="s">
        <v>196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197</v>
      </c>
      <c r="C21" s="455"/>
      <c r="D21" s="45"/>
      <c r="E21" s="46" t="s">
        <v>198</v>
      </c>
      <c r="F21" s="456" t="s">
        <v>199</v>
      </c>
      <c r="G21" s="457"/>
      <c r="H21" s="46" t="s">
        <v>200</v>
      </c>
      <c r="I21" s="46" t="s">
        <v>201</v>
      </c>
      <c r="J21" s="47" t="s">
        <v>202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2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A9" sqref="A9"/>
      <selection pane="bottomLeft" activeCell="Y5" sqref="Y5:Z5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203</v>
      </c>
      <c r="B1" s="52"/>
      <c r="C1" s="53" t="s">
        <v>204</v>
      </c>
      <c r="D1" s="54">
        <f>SUM(F5:F75)</f>
        <v>204903</v>
      </c>
      <c r="E1" s="94" t="s">
        <v>205</v>
      </c>
      <c r="F1" s="52">
        <f>SUM(G5:G75)</f>
        <v>6734217.2299999995</v>
      </c>
      <c r="G1" s="52" t="s">
        <v>206</v>
      </c>
      <c r="H1" s="55">
        <f>L8+L11+L52+L59+L17+L65+L32+L41+L23+L75</f>
        <v>157.8388888888889</v>
      </c>
      <c r="I1" s="556" t="s">
        <v>207</v>
      </c>
      <c r="J1" s="556"/>
      <c r="K1" s="556"/>
      <c r="L1" s="556" t="s">
        <v>208</v>
      </c>
      <c r="M1" s="556"/>
      <c r="N1" s="556"/>
      <c r="O1" s="556" t="s">
        <v>209</v>
      </c>
      <c r="P1" s="556"/>
      <c r="Q1" s="556"/>
      <c r="R1" s="556"/>
      <c r="S1" s="556" t="s">
        <v>210</v>
      </c>
      <c r="T1" s="556"/>
      <c r="U1" s="556"/>
      <c r="V1" s="556"/>
      <c r="W1" s="556"/>
      <c r="X1" s="556"/>
      <c r="Y1" s="556" t="s">
        <v>211</v>
      </c>
      <c r="Z1" s="556"/>
      <c r="AA1" s="556" t="s">
        <v>212</v>
      </c>
      <c r="AB1" s="557"/>
      <c r="AC1" s="557"/>
    </row>
    <row r="2" spans="1:29" ht="26.25" customHeight="1">
      <c r="A2" s="57">
        <v>45963</v>
      </c>
      <c r="B2" s="58" t="s">
        <v>213</v>
      </c>
      <c r="C2" s="53" t="s">
        <v>214</v>
      </c>
      <c r="D2" s="59">
        <f>AVERAGE(N8,N11,N52,N59,N17,N65,N23,N32,N41,N75)</f>
        <v>143.03035604780547</v>
      </c>
      <c r="E2" s="60" t="s">
        <v>0</v>
      </c>
      <c r="F2" s="61">
        <f>F1/D1</f>
        <v>32.865391087490174</v>
      </c>
      <c r="G2" s="52" t="s">
        <v>215</v>
      </c>
      <c r="H2" s="101">
        <f>COUNT(H5:H75)</f>
        <v>12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216</v>
      </c>
      <c r="B3" s="510" t="s">
        <v>132</v>
      </c>
      <c r="C3" s="510" t="s">
        <v>217</v>
      </c>
      <c r="D3" s="510"/>
      <c r="E3" s="554" t="s">
        <v>218</v>
      </c>
      <c r="F3" s="510" t="s">
        <v>219</v>
      </c>
      <c r="G3" s="554" t="s">
        <v>220</v>
      </c>
      <c r="H3" s="547" t="s">
        <v>221</v>
      </c>
      <c r="I3" s="545" t="s">
        <v>222</v>
      </c>
      <c r="J3" s="550" t="s">
        <v>139</v>
      </c>
      <c r="K3" s="552" t="s">
        <v>214</v>
      </c>
      <c r="L3" s="545" t="s">
        <v>223</v>
      </c>
      <c r="M3" s="550" t="s">
        <v>224</v>
      </c>
      <c r="N3" s="552" t="s">
        <v>214</v>
      </c>
      <c r="O3" s="545" t="s">
        <v>223</v>
      </c>
      <c r="P3" s="552" t="s">
        <v>182</v>
      </c>
      <c r="Q3" s="551" t="s">
        <v>225</v>
      </c>
      <c r="R3" s="523" t="s">
        <v>226</v>
      </c>
      <c r="S3" s="510" t="s">
        <v>1</v>
      </c>
      <c r="T3" s="510"/>
      <c r="U3" s="547" t="s">
        <v>2</v>
      </c>
      <c r="V3" s="547" t="s">
        <v>227</v>
      </c>
      <c r="W3" s="510" t="s">
        <v>228</v>
      </c>
      <c r="X3" s="510"/>
      <c r="Y3" s="548" t="s">
        <v>229</v>
      </c>
      <c r="Z3" s="549"/>
      <c r="AA3" s="550" t="s">
        <v>224</v>
      </c>
      <c r="AB3" s="551" t="s">
        <v>230</v>
      </c>
      <c r="AC3" s="523" t="s">
        <v>231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94" t="s">
        <v>3</v>
      </c>
      <c r="T4" s="94" t="s">
        <v>4</v>
      </c>
      <c r="U4" s="547"/>
      <c r="V4" s="547"/>
      <c r="W4" s="94" t="s">
        <v>232</v>
      </c>
      <c r="X4" s="94" t="s">
        <v>233</v>
      </c>
      <c r="Y4" s="549"/>
      <c r="Z4" s="549"/>
      <c r="AA4" s="550"/>
      <c r="AB4" s="551"/>
      <c r="AC4" s="523"/>
    </row>
    <row r="5" spans="1:29">
      <c r="A5" s="544" t="s">
        <v>234</v>
      </c>
      <c r="B5" s="62" t="s">
        <v>6</v>
      </c>
      <c r="C5" s="546" t="s">
        <v>7</v>
      </c>
      <c r="D5" s="546"/>
      <c r="E5" s="62">
        <v>46.93</v>
      </c>
      <c r="F5" s="80">
        <v>1055</v>
      </c>
      <c r="G5" s="94">
        <f t="shared" ref="G5:G7" si="0">E5*F5</f>
        <v>49511.15</v>
      </c>
      <c r="H5" s="90" t="s">
        <v>5</v>
      </c>
      <c r="I5" s="99">
        <v>16</v>
      </c>
      <c r="J5" s="63">
        <v>2000</v>
      </c>
      <c r="K5" s="64">
        <f t="shared" ref="K5:K68" si="1">J5/I5</f>
        <v>125</v>
      </c>
      <c r="L5" s="99">
        <v>16</v>
      </c>
      <c r="M5" s="65">
        <f t="shared" ref="M5:M7" si="2">F5/V5*60</f>
        <v>1918.1818181818157</v>
      </c>
      <c r="N5" s="64">
        <f t="shared" ref="N5:N68" si="3">M5/L5</f>
        <v>119.88636363636348</v>
      </c>
      <c r="O5" s="66">
        <f t="shared" ref="O5:O68" si="4">L5-I5</f>
        <v>0</v>
      </c>
      <c r="P5" s="67">
        <f t="shared" ref="P5:P68" si="5">N5-K5</f>
        <v>-5.1136363636365161</v>
      </c>
      <c r="Q5" s="95">
        <f t="shared" ref="Q5:Q68" si="6">N5/K5</f>
        <v>0.95909090909090788</v>
      </c>
      <c r="R5" s="511">
        <f>Q8</f>
        <v>0.95553613053613029</v>
      </c>
      <c r="S5" s="68">
        <v>0.70833333333333337</v>
      </c>
      <c r="T5" s="68">
        <v>0.73125000000000007</v>
      </c>
      <c r="U5" s="94"/>
      <c r="V5" s="100">
        <f t="shared" ref="V5:V7" si="7">(T5-S5)*24*60</f>
        <v>33.000000000000043</v>
      </c>
      <c r="W5" s="69"/>
      <c r="X5" s="70"/>
      <c r="Y5" s="510"/>
      <c r="Z5" s="510"/>
      <c r="AA5" s="66">
        <f t="shared" ref="AA5:AA68" si="8">M5-J5</f>
        <v>-81.818181818184257</v>
      </c>
      <c r="AB5" s="95">
        <f t="shared" ref="AB5:AB68" si="9">M5/J5</f>
        <v>0.95909090909090788</v>
      </c>
      <c r="AC5" s="511">
        <f>AB8</f>
        <v>0.95553613053613029</v>
      </c>
    </row>
    <row r="6" spans="1:29">
      <c r="A6" s="545" t="s">
        <v>235</v>
      </c>
      <c r="B6" s="62" t="s">
        <v>6</v>
      </c>
      <c r="C6" s="546" t="s">
        <v>8</v>
      </c>
      <c r="D6" s="546"/>
      <c r="E6" s="62">
        <v>50.49</v>
      </c>
      <c r="F6" s="80">
        <v>2486</v>
      </c>
      <c r="G6" s="94">
        <f t="shared" si="0"/>
        <v>125518.14</v>
      </c>
      <c r="H6" s="90" t="s">
        <v>5</v>
      </c>
      <c r="I6" s="99">
        <v>15</v>
      </c>
      <c r="J6" s="63">
        <v>2000</v>
      </c>
      <c r="K6" s="64">
        <f t="shared" si="1"/>
        <v>133.33333333333334</v>
      </c>
      <c r="L6" s="99">
        <v>15</v>
      </c>
      <c r="M6" s="65">
        <f t="shared" si="2"/>
        <v>1912.3076923076912</v>
      </c>
      <c r="N6" s="64">
        <f t="shared" si="3"/>
        <v>127.48717948717942</v>
      </c>
      <c r="O6" s="66">
        <f t="shared" si="4"/>
        <v>0</v>
      </c>
      <c r="P6" s="67">
        <f t="shared" si="5"/>
        <v>-5.8461538461539249</v>
      </c>
      <c r="Q6" s="95">
        <f t="shared" si="6"/>
        <v>0.95615384615384558</v>
      </c>
      <c r="R6" s="511"/>
      <c r="S6" s="68">
        <v>0.73611111111111116</v>
      </c>
      <c r="T6" s="68">
        <v>0.79027777777777786</v>
      </c>
      <c r="U6" s="94">
        <f t="shared" ref="U6:U7" si="10">IF(S6=TIME(17,0,0),"",(S6-T5)*24*60)</f>
        <v>6.9999999999999751</v>
      </c>
      <c r="V6" s="100">
        <f t="shared" si="7"/>
        <v>78.000000000000043</v>
      </c>
      <c r="W6" s="69"/>
      <c r="X6" s="69"/>
      <c r="Y6" s="510"/>
      <c r="Z6" s="510"/>
      <c r="AA6" s="66">
        <f t="shared" si="8"/>
        <v>-87.692307692308759</v>
      </c>
      <c r="AB6" s="95">
        <f t="shared" si="9"/>
        <v>0.95615384615384558</v>
      </c>
      <c r="AC6" s="511"/>
    </row>
    <row r="7" spans="1:29">
      <c r="A7" s="545" t="s">
        <v>235</v>
      </c>
      <c r="B7" s="62" t="s">
        <v>6</v>
      </c>
      <c r="C7" s="539" t="s">
        <v>9</v>
      </c>
      <c r="D7" s="540"/>
      <c r="E7" s="62">
        <v>50.67</v>
      </c>
      <c r="F7" s="80">
        <v>2093</v>
      </c>
      <c r="G7" s="94">
        <f t="shared" si="0"/>
        <v>106052.31</v>
      </c>
      <c r="H7" s="90" t="s">
        <v>5</v>
      </c>
      <c r="I7" s="99">
        <v>17</v>
      </c>
      <c r="J7" s="63">
        <v>2000</v>
      </c>
      <c r="K7" s="64">
        <f t="shared" si="1"/>
        <v>117.64705882352941</v>
      </c>
      <c r="L7" s="99">
        <v>17</v>
      </c>
      <c r="M7" s="65">
        <f t="shared" si="2"/>
        <v>1902.7272727272748</v>
      </c>
      <c r="N7" s="64">
        <f t="shared" si="3"/>
        <v>111.9251336898397</v>
      </c>
      <c r="O7" s="66">
        <f t="shared" si="4"/>
        <v>0</v>
      </c>
      <c r="P7" s="67">
        <f t="shared" si="5"/>
        <v>-5.7219251336897088</v>
      </c>
      <c r="Q7" s="95">
        <f t="shared" si="6"/>
        <v>0.95136363636363752</v>
      </c>
      <c r="R7" s="511"/>
      <c r="S7" s="68">
        <v>0.79513888888888895</v>
      </c>
      <c r="T7" s="68">
        <v>0.84097222222222223</v>
      </c>
      <c r="U7" s="94">
        <f t="shared" si="10"/>
        <v>6.9999999999999751</v>
      </c>
      <c r="V7" s="100">
        <f t="shared" si="7"/>
        <v>65.999999999999929</v>
      </c>
      <c r="W7" s="69"/>
      <c r="X7" s="69"/>
      <c r="Y7" s="517"/>
      <c r="Z7" s="518"/>
      <c r="AA7" s="66">
        <f t="shared" si="8"/>
        <v>-97.272727272725206</v>
      </c>
      <c r="AB7" s="95">
        <f t="shared" si="9"/>
        <v>0.95136363636363741</v>
      </c>
      <c r="AC7" s="511"/>
    </row>
    <row r="8" spans="1:29">
      <c r="A8" s="545" t="s">
        <v>236</v>
      </c>
      <c r="B8" s="62" t="s">
        <v>237</v>
      </c>
      <c r="C8" s="513"/>
      <c r="D8" s="513"/>
      <c r="E8" s="96"/>
      <c r="F8" s="71"/>
      <c r="G8" s="64"/>
      <c r="H8" s="80"/>
      <c r="I8" s="72">
        <v>16</v>
      </c>
      <c r="J8" s="63">
        <v>2000</v>
      </c>
      <c r="K8" s="64">
        <f t="shared" si="1"/>
        <v>125</v>
      </c>
      <c r="L8" s="72">
        <v>16</v>
      </c>
      <c r="M8" s="65">
        <f>AVERAGE(M5:M7)</f>
        <v>1911.0722610722605</v>
      </c>
      <c r="N8" s="64">
        <f t="shared" si="3"/>
        <v>119.44201631701628</v>
      </c>
      <c r="O8" s="66">
        <f t="shared" si="4"/>
        <v>0</v>
      </c>
      <c r="P8" s="67">
        <f t="shared" si="5"/>
        <v>-5.5579836829837177</v>
      </c>
      <c r="Q8" s="95">
        <f t="shared" si="6"/>
        <v>0.95553613053613029</v>
      </c>
      <c r="R8" s="511"/>
      <c r="S8" s="68"/>
      <c r="T8" s="68"/>
      <c r="U8" s="94"/>
      <c r="V8" s="100"/>
      <c r="W8" s="64"/>
      <c r="X8" s="64"/>
      <c r="Y8" s="510"/>
      <c r="Z8" s="510"/>
      <c r="AA8" s="66">
        <f t="shared" si="8"/>
        <v>-88.927738927739483</v>
      </c>
      <c r="AB8" s="95">
        <f t="shared" si="9"/>
        <v>0.95553613053613029</v>
      </c>
      <c r="AC8" s="511"/>
    </row>
    <row r="9" spans="1:29" ht="15.75" customHeight="1">
      <c r="A9" s="543" t="s">
        <v>238</v>
      </c>
      <c r="B9" s="62" t="s">
        <v>10</v>
      </c>
      <c r="C9" s="539" t="s">
        <v>12</v>
      </c>
      <c r="D9" s="540"/>
      <c r="E9" s="62">
        <v>39.36</v>
      </c>
      <c r="F9" s="80">
        <v>2239</v>
      </c>
      <c r="G9" s="94">
        <f t="shared" ref="G9:G10" si="11">E9*F9</f>
        <v>88127.039999999994</v>
      </c>
      <c r="H9" s="90" t="s">
        <v>5</v>
      </c>
      <c r="I9" s="99">
        <v>20</v>
      </c>
      <c r="J9" s="63">
        <v>1500</v>
      </c>
      <c r="K9" s="64">
        <f t="shared" si="1"/>
        <v>75</v>
      </c>
      <c r="L9" s="99">
        <v>20</v>
      </c>
      <c r="M9" s="65">
        <f t="shared" ref="M9:M10" si="12">F9/V9*60</f>
        <v>1429.1489361702122</v>
      </c>
      <c r="N9" s="64">
        <f t="shared" si="3"/>
        <v>71.45744680851061</v>
      </c>
      <c r="O9" s="66">
        <f t="shared" si="4"/>
        <v>0</v>
      </c>
      <c r="P9" s="67">
        <f t="shared" si="5"/>
        <v>-3.5425531914893895</v>
      </c>
      <c r="Q9" s="95">
        <f t="shared" si="6"/>
        <v>0.95276595744680814</v>
      </c>
      <c r="R9" s="511">
        <f>Q11</f>
        <v>0.95191695930592846</v>
      </c>
      <c r="S9" s="68">
        <v>0.20833333333333334</v>
      </c>
      <c r="T9" s="68">
        <v>0.27361111111111114</v>
      </c>
      <c r="U9" s="94"/>
      <c r="V9" s="100">
        <f t="shared" ref="V9:V10" si="13">(T9-S9)*24*60</f>
        <v>94.000000000000028</v>
      </c>
      <c r="W9" s="69"/>
      <c r="X9" s="69"/>
      <c r="Y9" s="510"/>
      <c r="Z9" s="510"/>
      <c r="AA9" s="66">
        <f t="shared" si="8"/>
        <v>-70.85106382978779</v>
      </c>
      <c r="AB9" s="95">
        <f t="shared" si="9"/>
        <v>0.95276595744680814</v>
      </c>
      <c r="AC9" s="511">
        <f>AB11</f>
        <v>0.95191695930592835</v>
      </c>
    </row>
    <row r="10" spans="1:29" ht="15.75" customHeight="1">
      <c r="A10" s="543" t="s">
        <v>239</v>
      </c>
      <c r="B10" s="62" t="s">
        <v>10</v>
      </c>
      <c r="C10" s="539" t="s">
        <v>11</v>
      </c>
      <c r="D10" s="540"/>
      <c r="E10" s="62">
        <v>39.799999999999997</v>
      </c>
      <c r="F10" s="80">
        <v>7347</v>
      </c>
      <c r="G10" s="94">
        <f t="shared" si="11"/>
        <v>292410.59999999998</v>
      </c>
      <c r="H10" s="90" t="s">
        <v>5</v>
      </c>
      <c r="I10" s="99">
        <v>17</v>
      </c>
      <c r="J10" s="63">
        <v>1500</v>
      </c>
      <c r="K10" s="64">
        <f t="shared" si="1"/>
        <v>88.235294117647058</v>
      </c>
      <c r="L10" s="99">
        <v>17</v>
      </c>
      <c r="M10" s="65">
        <f t="shared" si="12"/>
        <v>1426.6019417475727</v>
      </c>
      <c r="N10" s="64">
        <f t="shared" si="3"/>
        <v>83.917761279268987</v>
      </c>
      <c r="O10" s="66">
        <f t="shared" si="4"/>
        <v>0</v>
      </c>
      <c r="P10" s="67">
        <f t="shared" si="5"/>
        <v>-4.3175328383780709</v>
      </c>
      <c r="Q10" s="95">
        <f t="shared" si="6"/>
        <v>0.95106796116504855</v>
      </c>
      <c r="R10" s="511"/>
      <c r="S10" s="68">
        <v>0.27708333333333335</v>
      </c>
      <c r="T10" s="68">
        <v>0.4916666666666667</v>
      </c>
      <c r="U10" s="94">
        <f t="shared" ref="U10" si="14">IF(S10=TIME(17,0,0),"",(S10-T9)*24*60)</f>
        <v>4.9999999999999822</v>
      </c>
      <c r="V10" s="100">
        <f t="shared" si="13"/>
        <v>309</v>
      </c>
      <c r="W10" s="69"/>
      <c r="X10" s="69"/>
      <c r="Y10" s="510"/>
      <c r="Z10" s="510"/>
      <c r="AA10" s="66">
        <f t="shared" si="8"/>
        <v>-73.39805825242729</v>
      </c>
      <c r="AB10" s="95">
        <f t="shared" si="9"/>
        <v>0.95106796116504844</v>
      </c>
      <c r="AC10" s="511"/>
    </row>
    <row r="11" spans="1:29" ht="16.5" customHeight="1">
      <c r="A11" s="543" t="s">
        <v>239</v>
      </c>
      <c r="B11" s="62" t="s">
        <v>240</v>
      </c>
      <c r="C11" s="513"/>
      <c r="D11" s="513"/>
      <c r="E11" s="96"/>
      <c r="F11" s="63"/>
      <c r="G11" s="65"/>
      <c r="H11" s="80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1427.8754389588926</v>
      </c>
      <c r="N11" s="64">
        <f t="shared" si="3"/>
        <v>77.182456159940145</v>
      </c>
      <c r="O11" s="66">
        <f t="shared" si="4"/>
        <v>0</v>
      </c>
      <c r="P11" s="67">
        <f t="shared" si="5"/>
        <v>-3.8986249211409358</v>
      </c>
      <c r="Q11" s="95">
        <f t="shared" si="6"/>
        <v>0.95191695930592846</v>
      </c>
      <c r="R11" s="511"/>
      <c r="S11" s="68"/>
      <c r="T11" s="68"/>
      <c r="U11" s="64"/>
      <c r="V11" s="100"/>
      <c r="W11" s="64"/>
      <c r="X11" s="64"/>
      <c r="Y11" s="510"/>
      <c r="Z11" s="510"/>
      <c r="AA11" s="66">
        <f t="shared" si="8"/>
        <v>-72.124561041107427</v>
      </c>
      <c r="AB11" s="95">
        <f t="shared" si="9"/>
        <v>0.95191695930592835</v>
      </c>
      <c r="AC11" s="511"/>
    </row>
    <row r="12" spans="1:29" ht="16.5" customHeight="1">
      <c r="A12" s="541" t="s">
        <v>241</v>
      </c>
      <c r="B12" s="80" t="s">
        <v>13</v>
      </c>
      <c r="C12" s="533" t="s">
        <v>14</v>
      </c>
      <c r="D12" s="533"/>
      <c r="E12" s="62">
        <v>41</v>
      </c>
      <c r="F12" s="80">
        <v>2589</v>
      </c>
      <c r="G12" s="94">
        <f t="shared" ref="G12:G16" si="15">E12*F12</f>
        <v>106149</v>
      </c>
      <c r="H12" s="90" t="s">
        <v>5</v>
      </c>
      <c r="I12" s="99">
        <v>26</v>
      </c>
      <c r="J12" s="63">
        <v>1500</v>
      </c>
      <c r="K12" s="64">
        <f t="shared" si="1"/>
        <v>57.692307692307693</v>
      </c>
      <c r="L12" s="99">
        <v>26</v>
      </c>
      <c r="M12" s="65">
        <f t="shared" ref="M12:M16" si="16">F12/V12*60</f>
        <v>1438.333333333333</v>
      </c>
      <c r="N12" s="64">
        <f t="shared" si="3"/>
        <v>55.32051282051281</v>
      </c>
      <c r="O12" s="66">
        <f t="shared" si="4"/>
        <v>0</v>
      </c>
      <c r="P12" s="67">
        <f t="shared" si="5"/>
        <v>-2.3717948717948829</v>
      </c>
      <c r="Q12" s="95">
        <f t="shared" si="6"/>
        <v>0.95888888888888868</v>
      </c>
      <c r="R12" s="511">
        <f>Q17</f>
        <v>0.95947296096912471</v>
      </c>
      <c r="S12" s="68">
        <v>0.125</v>
      </c>
      <c r="T12" s="68">
        <v>0.2</v>
      </c>
      <c r="U12" s="94"/>
      <c r="V12" s="100">
        <f t="shared" ref="V12:V16" si="17">(T12-S12)*24*60</f>
        <v>108.00000000000001</v>
      </c>
      <c r="W12" s="69">
        <f>T12</f>
        <v>0.2</v>
      </c>
      <c r="X12" s="69">
        <f>S13</f>
        <v>0.22083333333333335</v>
      </c>
      <c r="Y12" s="510"/>
      <c r="Z12" s="510"/>
      <c r="AA12" s="66">
        <f t="shared" si="8"/>
        <v>-61.66666666666697</v>
      </c>
      <c r="AB12" s="95">
        <f t="shared" si="9"/>
        <v>0.95888888888888868</v>
      </c>
      <c r="AC12" s="511">
        <f>AB17</f>
        <v>0.95947296096912471</v>
      </c>
    </row>
    <row r="13" spans="1:29" ht="16.5" customHeight="1">
      <c r="A13" s="542" t="s">
        <v>242</v>
      </c>
      <c r="B13" s="80" t="s">
        <v>10</v>
      </c>
      <c r="C13" s="533" t="s">
        <v>15</v>
      </c>
      <c r="D13" s="533"/>
      <c r="E13" s="62">
        <v>39.619999999999997</v>
      </c>
      <c r="F13" s="80">
        <v>4944</v>
      </c>
      <c r="G13" s="94">
        <f t="shared" si="15"/>
        <v>195881.28</v>
      </c>
      <c r="H13" s="90" t="s">
        <v>5</v>
      </c>
      <c r="I13" s="99">
        <v>19</v>
      </c>
      <c r="J13" s="63">
        <v>1500</v>
      </c>
      <c r="K13" s="64">
        <f t="shared" si="1"/>
        <v>78.94736842105263</v>
      </c>
      <c r="L13" s="99">
        <v>19</v>
      </c>
      <c r="M13" s="65">
        <f t="shared" si="16"/>
        <v>1433.0434782608695</v>
      </c>
      <c r="N13" s="64">
        <f t="shared" si="3"/>
        <v>75.42334096109839</v>
      </c>
      <c r="O13" s="66">
        <f t="shared" si="4"/>
        <v>0</v>
      </c>
      <c r="P13" s="67">
        <f t="shared" si="5"/>
        <v>-3.5240274599542403</v>
      </c>
      <c r="Q13" s="95">
        <f t="shared" si="6"/>
        <v>0.95536231884057965</v>
      </c>
      <c r="R13" s="511"/>
      <c r="S13" s="68">
        <v>0.22083333333333335</v>
      </c>
      <c r="T13" s="68">
        <v>0.36458333333333337</v>
      </c>
      <c r="U13" s="94">
        <f t="shared" ref="U13:U16" si="18">IF(S13=TIME(17,0,0),"",(S13-T12)*24*60)</f>
        <v>30.000000000000014</v>
      </c>
      <c r="V13" s="100">
        <f t="shared" si="17"/>
        <v>207</v>
      </c>
      <c r="W13" s="69"/>
      <c r="X13" s="69"/>
      <c r="Y13" s="510"/>
      <c r="Z13" s="510"/>
      <c r="AA13" s="66">
        <f t="shared" si="8"/>
        <v>-66.956521739130494</v>
      </c>
      <c r="AB13" s="95">
        <f t="shared" si="9"/>
        <v>0.95536231884057965</v>
      </c>
      <c r="AC13" s="511"/>
    </row>
    <row r="14" spans="1:29" ht="16.5" customHeight="1">
      <c r="A14" s="542" t="s">
        <v>241</v>
      </c>
      <c r="B14" s="80" t="s">
        <v>77</v>
      </c>
      <c r="C14" s="533" t="s">
        <v>76</v>
      </c>
      <c r="D14" s="533"/>
      <c r="E14" s="62">
        <v>57.3</v>
      </c>
      <c r="F14" s="80">
        <v>1593</v>
      </c>
      <c r="G14" s="94">
        <f t="shared" si="15"/>
        <v>91278.9</v>
      </c>
      <c r="H14" s="90" t="s">
        <v>5</v>
      </c>
      <c r="I14" s="99">
        <v>17</v>
      </c>
      <c r="J14" s="63">
        <v>1500</v>
      </c>
      <c r="K14" s="64">
        <f t="shared" si="1"/>
        <v>88.235294117647058</v>
      </c>
      <c r="L14" s="99">
        <v>17</v>
      </c>
      <c r="M14" s="65">
        <f t="shared" si="16"/>
        <v>1448.1818181818182</v>
      </c>
      <c r="N14" s="64">
        <f t="shared" si="3"/>
        <v>85.18716577540107</v>
      </c>
      <c r="O14" s="66">
        <f t="shared" si="4"/>
        <v>0</v>
      </c>
      <c r="P14" s="67">
        <f t="shared" si="5"/>
        <v>-3.0481283422459882</v>
      </c>
      <c r="Q14" s="95">
        <f t="shared" si="6"/>
        <v>0.96545454545454545</v>
      </c>
      <c r="R14" s="511"/>
      <c r="S14" s="68">
        <v>0.36875000000000002</v>
      </c>
      <c r="T14" s="68">
        <v>0.41458333333333336</v>
      </c>
      <c r="U14" s="94">
        <f t="shared" si="18"/>
        <v>5.9999999999999787</v>
      </c>
      <c r="V14" s="100">
        <f t="shared" si="17"/>
        <v>66</v>
      </c>
      <c r="W14" s="69"/>
      <c r="X14" s="69"/>
      <c r="Y14" s="510"/>
      <c r="Z14" s="510"/>
      <c r="AA14" s="66">
        <f t="shared" si="8"/>
        <v>-51.818181818181756</v>
      </c>
      <c r="AB14" s="95">
        <f t="shared" si="9"/>
        <v>0.96545454545454545</v>
      </c>
      <c r="AC14" s="511"/>
    </row>
    <row r="15" spans="1:29" ht="16.5" customHeight="1">
      <c r="A15" s="542" t="s">
        <v>241</v>
      </c>
      <c r="B15" s="80" t="s">
        <v>6</v>
      </c>
      <c r="C15" s="533" t="s">
        <v>19</v>
      </c>
      <c r="D15" s="533"/>
      <c r="E15" s="62">
        <v>50.98</v>
      </c>
      <c r="F15" s="80">
        <v>3104</v>
      </c>
      <c r="G15" s="94">
        <f t="shared" si="15"/>
        <v>158241.91999999998</v>
      </c>
      <c r="H15" s="90" t="s">
        <v>5</v>
      </c>
      <c r="I15" s="99">
        <v>16</v>
      </c>
      <c r="J15" s="63">
        <v>2000</v>
      </c>
      <c r="K15" s="64">
        <f t="shared" si="1"/>
        <v>125</v>
      </c>
      <c r="L15" s="99">
        <v>16</v>
      </c>
      <c r="M15" s="65">
        <f t="shared" si="16"/>
        <v>1920.0000000000005</v>
      </c>
      <c r="N15" s="64">
        <f t="shared" si="3"/>
        <v>120.00000000000003</v>
      </c>
      <c r="O15" s="66">
        <f t="shared" si="4"/>
        <v>0</v>
      </c>
      <c r="P15" s="67">
        <f t="shared" si="5"/>
        <v>-4.9999999999999716</v>
      </c>
      <c r="Q15" s="95">
        <f t="shared" si="6"/>
        <v>0.96000000000000019</v>
      </c>
      <c r="R15" s="511"/>
      <c r="S15" s="68">
        <v>0.70833333333333337</v>
      </c>
      <c r="T15" s="68">
        <v>0.77569444444444446</v>
      </c>
      <c r="U15" s="94" t="str">
        <f t="shared" si="18"/>
        <v/>
      </c>
      <c r="V15" s="100">
        <f t="shared" si="17"/>
        <v>96.999999999999972</v>
      </c>
      <c r="W15" s="69"/>
      <c r="X15" s="69"/>
      <c r="Y15" s="510"/>
      <c r="Z15" s="510"/>
      <c r="AA15" s="66">
        <f t="shared" si="8"/>
        <v>-79.999999999999545</v>
      </c>
      <c r="AB15" s="95">
        <f t="shared" si="9"/>
        <v>0.96000000000000019</v>
      </c>
      <c r="AC15" s="511"/>
    </row>
    <row r="16" spans="1:29" ht="16.5" customHeight="1">
      <c r="A16" s="542" t="s">
        <v>243</v>
      </c>
      <c r="B16" s="80" t="s">
        <v>6</v>
      </c>
      <c r="C16" s="533" t="s">
        <v>20</v>
      </c>
      <c r="D16" s="533"/>
      <c r="E16" s="62">
        <v>50.92</v>
      </c>
      <c r="F16" s="80">
        <v>3321</v>
      </c>
      <c r="G16" s="94">
        <f t="shared" si="15"/>
        <v>169105.32</v>
      </c>
      <c r="H16" s="90" t="s">
        <v>5</v>
      </c>
      <c r="I16" s="99">
        <v>15</v>
      </c>
      <c r="J16" s="63">
        <v>2000</v>
      </c>
      <c r="K16" s="64">
        <f t="shared" si="1"/>
        <v>133.33333333333334</v>
      </c>
      <c r="L16" s="99">
        <v>15</v>
      </c>
      <c r="M16" s="65">
        <f t="shared" si="16"/>
        <v>1915.9615384615395</v>
      </c>
      <c r="N16" s="64">
        <f t="shared" si="3"/>
        <v>127.7307692307693</v>
      </c>
      <c r="O16" s="66">
        <f t="shared" si="4"/>
        <v>0</v>
      </c>
      <c r="P16" s="67">
        <f t="shared" si="5"/>
        <v>-5.6025641025640454</v>
      </c>
      <c r="Q16" s="95">
        <f t="shared" si="6"/>
        <v>0.95798076923076969</v>
      </c>
      <c r="R16" s="511"/>
      <c r="S16" s="68">
        <v>0.78055555555555556</v>
      </c>
      <c r="T16" s="68">
        <v>0.85277777777777775</v>
      </c>
      <c r="U16" s="94">
        <f t="shared" si="18"/>
        <v>6.9999999999999751</v>
      </c>
      <c r="V16" s="100">
        <f t="shared" si="17"/>
        <v>103.99999999999994</v>
      </c>
      <c r="W16" s="69"/>
      <c r="X16" s="69"/>
      <c r="Y16" s="510"/>
      <c r="Z16" s="510"/>
      <c r="AA16" s="66">
        <f t="shared" si="8"/>
        <v>-84.038461538460524</v>
      </c>
      <c r="AB16" s="95">
        <f t="shared" si="9"/>
        <v>0.95798076923076969</v>
      </c>
      <c r="AC16" s="511"/>
    </row>
    <row r="17" spans="1:29" ht="16.5" customHeight="1">
      <c r="A17" s="542" t="s">
        <v>241</v>
      </c>
      <c r="B17" s="62" t="s">
        <v>244</v>
      </c>
      <c r="C17" s="513"/>
      <c r="D17" s="513"/>
      <c r="E17" s="96"/>
      <c r="F17" s="71"/>
      <c r="G17" s="64"/>
      <c r="H17" s="80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1631.1040336475121</v>
      </c>
      <c r="N17" s="64">
        <f t="shared" si="3"/>
        <v>87.693765249866232</v>
      </c>
      <c r="O17" s="66">
        <f t="shared" si="4"/>
        <v>0</v>
      </c>
      <c r="P17" s="67">
        <f t="shared" si="5"/>
        <v>-3.7040842124993532</v>
      </c>
      <c r="Q17" s="95">
        <f t="shared" si="6"/>
        <v>0.95947296096912471</v>
      </c>
      <c r="R17" s="511"/>
      <c r="S17" s="68"/>
      <c r="T17" s="68"/>
      <c r="U17" s="94"/>
      <c r="V17" s="100"/>
      <c r="W17" s="64"/>
      <c r="X17" s="64"/>
      <c r="Y17" s="510"/>
      <c r="Z17" s="510"/>
      <c r="AA17" s="66">
        <f t="shared" si="8"/>
        <v>-68.895966352487903</v>
      </c>
      <c r="AB17" s="95">
        <f t="shared" si="9"/>
        <v>0.95947296096912471</v>
      </c>
      <c r="AC17" s="511"/>
    </row>
    <row r="18" spans="1:29" ht="15.75" customHeight="1">
      <c r="A18" s="537" t="s">
        <v>245</v>
      </c>
      <c r="B18" s="62" t="s">
        <v>13</v>
      </c>
      <c r="C18" s="533" t="s">
        <v>21</v>
      </c>
      <c r="D18" s="533"/>
      <c r="E18" s="62">
        <v>43.14</v>
      </c>
      <c r="F18" s="80">
        <v>1537</v>
      </c>
      <c r="G18" s="94">
        <f t="shared" ref="G18:G22" si="19">E18*F18</f>
        <v>66306.180000000008</v>
      </c>
      <c r="H18" s="90" t="s">
        <v>5</v>
      </c>
      <c r="I18" s="99">
        <v>17</v>
      </c>
      <c r="J18" s="63">
        <v>2000</v>
      </c>
      <c r="K18" s="64">
        <f t="shared" si="1"/>
        <v>117.64705882352941</v>
      </c>
      <c r="L18" s="99">
        <v>17</v>
      </c>
      <c r="M18" s="65">
        <f t="shared" ref="M18:M22" si="20">F18/V18*60</f>
        <v>1921.2500000000005</v>
      </c>
      <c r="N18" s="64">
        <f t="shared" si="3"/>
        <v>113.01470588235297</v>
      </c>
      <c r="O18" s="66">
        <f t="shared" si="4"/>
        <v>0</v>
      </c>
      <c r="P18" s="67">
        <f t="shared" si="5"/>
        <v>-4.6323529411764355</v>
      </c>
      <c r="Q18" s="95">
        <f t="shared" si="6"/>
        <v>0.96062500000000028</v>
      </c>
      <c r="R18" s="511">
        <f>Q23</f>
        <v>0.95681503898757969</v>
      </c>
      <c r="S18" s="68">
        <v>0.20833333333333334</v>
      </c>
      <c r="T18" s="68">
        <v>0.24166666666666667</v>
      </c>
      <c r="U18" s="94"/>
      <c r="V18" s="100">
        <f t="shared" ref="V18:V22" si="21">(T18-S18)*24*60</f>
        <v>47.999999999999986</v>
      </c>
      <c r="W18" s="73"/>
      <c r="X18" s="73"/>
      <c r="Y18" s="510"/>
      <c r="Z18" s="510"/>
      <c r="AA18" s="66">
        <f t="shared" si="8"/>
        <v>-78.749999999999545</v>
      </c>
      <c r="AB18" s="95">
        <f t="shared" si="9"/>
        <v>0.96062500000000017</v>
      </c>
      <c r="AC18" s="511">
        <f>AB23</f>
        <v>0.9568150389875798</v>
      </c>
    </row>
    <row r="19" spans="1:29" ht="15.75" customHeight="1">
      <c r="A19" s="538" t="s">
        <v>246</v>
      </c>
      <c r="B19" s="62" t="s">
        <v>6</v>
      </c>
      <c r="C19" s="533" t="s">
        <v>23</v>
      </c>
      <c r="D19" s="533"/>
      <c r="E19" s="62">
        <v>53.68</v>
      </c>
      <c r="F19" s="80">
        <v>2131</v>
      </c>
      <c r="G19" s="94">
        <f t="shared" si="19"/>
        <v>114392.08</v>
      </c>
      <c r="H19" s="90" t="s">
        <v>5</v>
      </c>
      <c r="I19" s="99">
        <v>16</v>
      </c>
      <c r="J19" s="63">
        <v>2000</v>
      </c>
      <c r="K19" s="64">
        <f t="shared" si="1"/>
        <v>125</v>
      </c>
      <c r="L19" s="99">
        <v>16</v>
      </c>
      <c r="M19" s="65">
        <f t="shared" si="20"/>
        <v>1908.358208955224</v>
      </c>
      <c r="N19" s="64">
        <f t="shared" si="3"/>
        <v>119.2723880597015</v>
      </c>
      <c r="O19" s="66">
        <f t="shared" si="4"/>
        <v>0</v>
      </c>
      <c r="P19" s="67">
        <f t="shared" si="5"/>
        <v>-5.7276119402985017</v>
      </c>
      <c r="Q19" s="95">
        <f t="shared" si="6"/>
        <v>0.95417910447761201</v>
      </c>
      <c r="R19" s="511"/>
      <c r="S19" s="68">
        <v>0.24583333333333335</v>
      </c>
      <c r="T19" s="68">
        <v>0.29236111111111113</v>
      </c>
      <c r="U19" s="94">
        <f t="shared" ref="U19:U22" si="22">IF(S19=TIME(17,0,0),"",(S19-T18)*24*60)</f>
        <v>6.0000000000000187</v>
      </c>
      <c r="V19" s="100">
        <f t="shared" si="21"/>
        <v>67</v>
      </c>
      <c r="W19" s="69"/>
      <c r="X19" s="94"/>
      <c r="Y19" s="510"/>
      <c r="Z19" s="510"/>
      <c r="AA19" s="66">
        <f t="shared" si="8"/>
        <v>-91.641791044776028</v>
      </c>
      <c r="AB19" s="95">
        <f t="shared" si="9"/>
        <v>0.95417910447761201</v>
      </c>
      <c r="AC19" s="511"/>
    </row>
    <row r="20" spans="1:29" ht="15.75" customHeight="1">
      <c r="A20" s="538" t="s">
        <v>246</v>
      </c>
      <c r="B20" s="62" t="s">
        <v>6</v>
      </c>
      <c r="C20" s="533" t="s">
        <v>22</v>
      </c>
      <c r="D20" s="533"/>
      <c r="E20" s="62">
        <v>57.73</v>
      </c>
      <c r="F20" s="80">
        <v>3098</v>
      </c>
      <c r="G20" s="94">
        <f t="shared" si="19"/>
        <v>178847.53999999998</v>
      </c>
      <c r="H20" s="90" t="s">
        <v>5</v>
      </c>
      <c r="I20" s="99">
        <v>15</v>
      </c>
      <c r="J20" s="63">
        <v>2000</v>
      </c>
      <c r="K20" s="64">
        <f t="shared" si="1"/>
        <v>133.33333333333334</v>
      </c>
      <c r="L20" s="99">
        <v>15</v>
      </c>
      <c r="M20" s="65">
        <f t="shared" si="20"/>
        <v>1916.288659793815</v>
      </c>
      <c r="N20" s="64">
        <f t="shared" si="3"/>
        <v>127.75257731958767</v>
      </c>
      <c r="O20" s="66">
        <f t="shared" si="4"/>
        <v>0</v>
      </c>
      <c r="P20" s="67">
        <f t="shared" si="5"/>
        <v>-5.5807560137456704</v>
      </c>
      <c r="Q20" s="95">
        <f t="shared" si="6"/>
        <v>0.95814432989690745</v>
      </c>
      <c r="R20" s="511"/>
      <c r="S20" s="68">
        <v>0.29652777777777778</v>
      </c>
      <c r="T20" s="68">
        <v>0.36388888888888887</v>
      </c>
      <c r="U20" s="94">
        <f t="shared" si="22"/>
        <v>5.9999999999999787</v>
      </c>
      <c r="V20" s="100">
        <f t="shared" si="21"/>
        <v>96.999999999999972</v>
      </c>
      <c r="W20" s="69"/>
      <c r="X20" s="94"/>
      <c r="Y20" s="510"/>
      <c r="Z20" s="510"/>
      <c r="AA20" s="66">
        <f t="shared" si="8"/>
        <v>-83.711340206185014</v>
      </c>
      <c r="AB20" s="95">
        <f t="shared" si="9"/>
        <v>0.95814432989690745</v>
      </c>
      <c r="AC20" s="511"/>
    </row>
    <row r="21" spans="1:29" ht="15.75" customHeight="1">
      <c r="A21" s="538" t="s">
        <v>246</v>
      </c>
      <c r="B21" s="62" t="s">
        <v>6</v>
      </c>
      <c r="C21" s="533" t="s">
        <v>24</v>
      </c>
      <c r="D21" s="533"/>
      <c r="E21" s="62">
        <v>54.09</v>
      </c>
      <c r="F21" s="80">
        <v>2656</v>
      </c>
      <c r="G21" s="94">
        <f t="shared" si="19"/>
        <v>143663.04000000001</v>
      </c>
      <c r="H21" s="90" t="s">
        <v>5</v>
      </c>
      <c r="I21" s="99">
        <v>19</v>
      </c>
      <c r="J21" s="63">
        <v>2000</v>
      </c>
      <c r="K21" s="64">
        <f t="shared" si="1"/>
        <v>105.26315789473684</v>
      </c>
      <c r="L21" s="99">
        <v>19</v>
      </c>
      <c r="M21" s="65">
        <f t="shared" si="20"/>
        <v>1919.9999999999993</v>
      </c>
      <c r="N21" s="64">
        <f t="shared" si="3"/>
        <v>101.05263157894733</v>
      </c>
      <c r="O21" s="66">
        <f t="shared" si="4"/>
        <v>0</v>
      </c>
      <c r="P21" s="67">
        <f t="shared" si="5"/>
        <v>-4.2105263157895081</v>
      </c>
      <c r="Q21" s="95">
        <f t="shared" si="6"/>
        <v>0.95999999999999963</v>
      </c>
      <c r="R21" s="511"/>
      <c r="S21" s="68">
        <v>0.70833333333333337</v>
      </c>
      <c r="T21" s="68">
        <v>0.76597222222222228</v>
      </c>
      <c r="U21" s="94" t="str">
        <f t="shared" si="22"/>
        <v/>
      </c>
      <c r="V21" s="100">
        <f t="shared" si="21"/>
        <v>83.000000000000028</v>
      </c>
      <c r="W21" s="69"/>
      <c r="X21" s="94"/>
      <c r="Y21" s="510"/>
      <c r="Z21" s="510"/>
      <c r="AA21" s="66">
        <f t="shared" si="8"/>
        <v>-80.000000000000682</v>
      </c>
      <c r="AB21" s="95">
        <f t="shared" si="9"/>
        <v>0.95999999999999963</v>
      </c>
      <c r="AC21" s="511"/>
    </row>
    <row r="22" spans="1:29" ht="15.75" customHeight="1">
      <c r="A22" s="538" t="s">
        <v>246</v>
      </c>
      <c r="B22" s="62" t="s">
        <v>6</v>
      </c>
      <c r="C22" s="533" t="s">
        <v>81</v>
      </c>
      <c r="D22" s="533"/>
      <c r="E22" s="62">
        <v>50.67</v>
      </c>
      <c r="F22" s="80">
        <v>2251</v>
      </c>
      <c r="G22" s="94">
        <f t="shared" si="19"/>
        <v>114058.17</v>
      </c>
      <c r="H22" s="90" t="s">
        <v>5</v>
      </c>
      <c r="I22" s="99">
        <v>15</v>
      </c>
      <c r="J22" s="63">
        <v>2000</v>
      </c>
      <c r="K22" s="64">
        <f t="shared" si="1"/>
        <v>133.33333333333334</v>
      </c>
      <c r="L22" s="99">
        <v>15</v>
      </c>
      <c r="M22" s="65">
        <f t="shared" si="20"/>
        <v>1902.2535211267586</v>
      </c>
      <c r="N22" s="64">
        <f t="shared" si="3"/>
        <v>126.81690140845058</v>
      </c>
      <c r="O22" s="66">
        <f t="shared" si="4"/>
        <v>0</v>
      </c>
      <c r="P22" s="67">
        <f t="shared" si="5"/>
        <v>-6.5164319248827667</v>
      </c>
      <c r="Q22" s="95">
        <f t="shared" si="6"/>
        <v>0.9511267605633793</v>
      </c>
      <c r="R22" s="511"/>
      <c r="S22" s="68">
        <v>0.77013888888888893</v>
      </c>
      <c r="T22" s="68">
        <v>0.81944444444444453</v>
      </c>
      <c r="U22" s="94">
        <f t="shared" si="22"/>
        <v>5.9999999999999787</v>
      </c>
      <c r="V22" s="100">
        <f t="shared" si="21"/>
        <v>71.000000000000071</v>
      </c>
      <c r="W22" s="69"/>
      <c r="X22" s="94"/>
      <c r="Y22" s="510"/>
      <c r="Z22" s="510"/>
      <c r="AA22" s="66">
        <f t="shared" si="8"/>
        <v>-97.746478873241358</v>
      </c>
      <c r="AB22" s="95">
        <f t="shared" si="9"/>
        <v>0.9511267605633793</v>
      </c>
      <c r="AC22" s="511"/>
    </row>
    <row r="23" spans="1:29" ht="15.75" customHeight="1">
      <c r="A23" s="538" t="s">
        <v>246</v>
      </c>
      <c r="B23" s="62" t="s">
        <v>247</v>
      </c>
      <c r="C23" s="513"/>
      <c r="D23" s="513"/>
      <c r="E23" s="96"/>
      <c r="F23" s="80"/>
      <c r="G23" s="94"/>
      <c r="H23" s="80"/>
      <c r="I23" s="72">
        <v>16.399999999999999</v>
      </c>
      <c r="J23" s="63">
        <v>2000</v>
      </c>
      <c r="K23" s="64">
        <f t="shared" si="1"/>
        <v>121.95121951219514</v>
      </c>
      <c r="L23" s="72">
        <v>16.399999999999999</v>
      </c>
      <c r="M23" s="65">
        <f>AVERAGE(M18:M22)</f>
        <v>1913.6300779751596</v>
      </c>
      <c r="N23" s="64">
        <f t="shared" si="3"/>
        <v>116.68476085214388</v>
      </c>
      <c r="O23" s="66">
        <f t="shared" si="4"/>
        <v>0</v>
      </c>
      <c r="P23" s="67">
        <f t="shared" si="5"/>
        <v>-5.2664586600512564</v>
      </c>
      <c r="Q23" s="95">
        <f t="shared" si="6"/>
        <v>0.95681503898757969</v>
      </c>
      <c r="R23" s="511"/>
      <c r="S23" s="68"/>
      <c r="T23" s="68"/>
      <c r="U23" s="64"/>
      <c r="V23" s="100"/>
      <c r="W23" s="64"/>
      <c r="X23" s="64"/>
      <c r="Y23" s="510"/>
      <c r="Z23" s="510"/>
      <c r="AA23" s="66">
        <f t="shared" si="8"/>
        <v>-86.369922024840434</v>
      </c>
      <c r="AB23" s="95">
        <f t="shared" si="9"/>
        <v>0.9568150389875798</v>
      </c>
      <c r="AC23" s="511"/>
    </row>
    <row r="24" spans="1:29" ht="15.75" customHeight="1">
      <c r="A24" s="536" t="s">
        <v>248</v>
      </c>
      <c r="B24" s="62" t="s">
        <v>16</v>
      </c>
      <c r="C24" s="533" t="s">
        <v>30</v>
      </c>
      <c r="D24" s="533"/>
      <c r="E24" s="62">
        <v>31.29</v>
      </c>
      <c r="F24" s="80">
        <v>4500</v>
      </c>
      <c r="G24" s="94">
        <f t="shared" ref="G24:G31" si="23">E24*F24</f>
        <v>140805</v>
      </c>
      <c r="H24" s="90">
        <v>2</v>
      </c>
      <c r="I24" s="99">
        <v>18</v>
      </c>
      <c r="J24" s="63">
        <v>2400</v>
      </c>
      <c r="K24" s="64">
        <f t="shared" si="1"/>
        <v>133.33333333333334</v>
      </c>
      <c r="L24" s="99">
        <v>18</v>
      </c>
      <c r="M24" s="65">
        <f t="shared" ref="M24:M31" si="24">F24/V24*60</f>
        <v>2288.1355932203392</v>
      </c>
      <c r="N24" s="64">
        <f t="shared" si="3"/>
        <v>127.11864406779662</v>
      </c>
      <c r="O24" s="66">
        <f t="shared" si="4"/>
        <v>0</v>
      </c>
      <c r="P24" s="67">
        <f t="shared" si="5"/>
        <v>-6.2146892655367196</v>
      </c>
      <c r="Q24" s="95">
        <f t="shared" si="6"/>
        <v>0.95338983050847459</v>
      </c>
      <c r="R24" s="511">
        <f>Q32</f>
        <v>0.95627365517852314</v>
      </c>
      <c r="S24" s="68">
        <v>8.3333333333333329E-2</v>
      </c>
      <c r="T24" s="68">
        <v>0.16527777777777777</v>
      </c>
      <c r="U24" s="94"/>
      <c r="V24" s="100">
        <f t="shared" ref="V24:V31" si="25">(T24-S24)*24*60</f>
        <v>118</v>
      </c>
      <c r="W24" s="69">
        <f>T24</f>
        <v>0.16527777777777777</v>
      </c>
      <c r="X24" s="69">
        <f>S25</f>
        <v>0.18472222222222223</v>
      </c>
      <c r="Y24" s="510"/>
      <c r="Z24" s="510"/>
      <c r="AA24" s="66">
        <f t="shared" si="8"/>
        <v>-111.86440677966084</v>
      </c>
      <c r="AB24" s="95">
        <f t="shared" si="9"/>
        <v>0.9533898305084747</v>
      </c>
      <c r="AC24" s="511">
        <f>AB32</f>
        <v>0.95627365517852314</v>
      </c>
    </row>
    <row r="25" spans="1:29" ht="15.75" customHeight="1">
      <c r="A25" s="536" t="s">
        <v>249</v>
      </c>
      <c r="B25" s="62" t="s">
        <v>16</v>
      </c>
      <c r="C25" s="533" t="s">
        <v>28</v>
      </c>
      <c r="D25" s="533"/>
      <c r="E25" s="62">
        <v>26.18</v>
      </c>
      <c r="F25" s="80">
        <v>3992</v>
      </c>
      <c r="G25" s="94">
        <f t="shared" si="23"/>
        <v>104510.56</v>
      </c>
      <c r="H25" s="90" t="s">
        <v>5</v>
      </c>
      <c r="I25" s="99">
        <v>19</v>
      </c>
      <c r="J25" s="63">
        <v>2400</v>
      </c>
      <c r="K25" s="64">
        <f t="shared" si="1"/>
        <v>126.31578947368421</v>
      </c>
      <c r="L25" s="99">
        <v>19</v>
      </c>
      <c r="M25" s="65">
        <f t="shared" si="24"/>
        <v>2303.0769230769224</v>
      </c>
      <c r="N25" s="64">
        <f t="shared" si="3"/>
        <v>121.21457489878539</v>
      </c>
      <c r="O25" s="66">
        <f t="shared" si="4"/>
        <v>0</v>
      </c>
      <c r="P25" s="67">
        <f t="shared" si="5"/>
        <v>-5.1012145748988189</v>
      </c>
      <c r="Q25" s="95">
        <f t="shared" si="6"/>
        <v>0.95961538461538431</v>
      </c>
      <c r="R25" s="511"/>
      <c r="S25" s="68">
        <v>0.18472222222222223</v>
      </c>
      <c r="T25" s="68">
        <v>0.25694444444444448</v>
      </c>
      <c r="U25" s="94">
        <f t="shared" ref="U25:U31" si="26">(S25-T24)*24*60</f>
        <v>28.000000000000021</v>
      </c>
      <c r="V25" s="100">
        <f t="shared" si="25"/>
        <v>104.00000000000003</v>
      </c>
      <c r="W25" s="69"/>
      <c r="X25" s="69"/>
      <c r="Y25" s="510"/>
      <c r="Z25" s="510"/>
      <c r="AA25" s="66">
        <f t="shared" si="8"/>
        <v>-96.923076923077588</v>
      </c>
      <c r="AB25" s="95">
        <f t="shared" si="9"/>
        <v>0.95961538461538431</v>
      </c>
      <c r="AC25" s="511"/>
    </row>
    <row r="26" spans="1:29" ht="15.75" customHeight="1">
      <c r="A26" s="536" t="s">
        <v>249</v>
      </c>
      <c r="B26" s="62" t="s">
        <v>16</v>
      </c>
      <c r="C26" s="533" t="s">
        <v>29</v>
      </c>
      <c r="D26" s="533"/>
      <c r="E26" s="62">
        <v>26.2</v>
      </c>
      <c r="F26" s="80">
        <v>5008</v>
      </c>
      <c r="G26" s="94">
        <f t="shared" si="23"/>
        <v>131209.60000000001</v>
      </c>
      <c r="H26" s="90" t="s">
        <v>5</v>
      </c>
      <c r="I26" s="99">
        <v>19</v>
      </c>
      <c r="J26" s="63">
        <v>2400</v>
      </c>
      <c r="K26" s="64">
        <f t="shared" si="1"/>
        <v>126.31578947368421</v>
      </c>
      <c r="L26" s="99">
        <v>19</v>
      </c>
      <c r="M26" s="65">
        <f t="shared" si="24"/>
        <v>2293.740458015267</v>
      </c>
      <c r="N26" s="64">
        <f t="shared" si="3"/>
        <v>120.72318200080353</v>
      </c>
      <c r="O26" s="66">
        <f t="shared" si="4"/>
        <v>0</v>
      </c>
      <c r="P26" s="67">
        <f t="shared" si="5"/>
        <v>-5.5926074728806725</v>
      </c>
      <c r="Q26" s="95">
        <f t="shared" si="6"/>
        <v>0.95572519083969465</v>
      </c>
      <c r="R26" s="511"/>
      <c r="S26" s="68">
        <v>0.26111111111111113</v>
      </c>
      <c r="T26" s="68">
        <v>0.35208333333333336</v>
      </c>
      <c r="U26" s="94">
        <f t="shared" si="26"/>
        <v>5.9999999999999787</v>
      </c>
      <c r="V26" s="100">
        <f t="shared" si="25"/>
        <v>131</v>
      </c>
      <c r="W26" s="69"/>
      <c r="X26" s="69"/>
      <c r="Y26" s="510"/>
      <c r="Z26" s="510"/>
      <c r="AA26" s="66">
        <f t="shared" si="8"/>
        <v>-106.259541984733</v>
      </c>
      <c r="AB26" s="95">
        <f t="shared" si="9"/>
        <v>0.95572519083969454</v>
      </c>
      <c r="AC26" s="511"/>
    </row>
    <row r="27" spans="1:29" ht="15.75" customHeight="1">
      <c r="A27" s="536" t="s">
        <v>249</v>
      </c>
      <c r="B27" s="62" t="s">
        <v>16</v>
      </c>
      <c r="C27" s="533" t="s">
        <v>25</v>
      </c>
      <c r="D27" s="533"/>
      <c r="E27" s="62">
        <v>26.2</v>
      </c>
      <c r="F27" s="80">
        <v>3300</v>
      </c>
      <c r="G27" s="94">
        <f t="shared" si="23"/>
        <v>86460</v>
      </c>
      <c r="H27" s="90">
        <v>2</v>
      </c>
      <c r="I27" s="99">
        <v>20</v>
      </c>
      <c r="J27" s="63">
        <v>2400</v>
      </c>
      <c r="K27" s="64">
        <f t="shared" si="1"/>
        <v>120</v>
      </c>
      <c r="L27" s="99">
        <v>20</v>
      </c>
      <c r="M27" s="65">
        <f t="shared" si="24"/>
        <v>2302.3255813953483</v>
      </c>
      <c r="N27" s="64">
        <f t="shared" si="3"/>
        <v>115.11627906976742</v>
      </c>
      <c r="O27" s="66">
        <f t="shared" si="4"/>
        <v>0</v>
      </c>
      <c r="P27" s="67">
        <f t="shared" si="5"/>
        <v>-4.8837209302325846</v>
      </c>
      <c r="Q27" s="95">
        <f t="shared" si="6"/>
        <v>0.95930232558139517</v>
      </c>
      <c r="R27" s="511"/>
      <c r="S27" s="68">
        <v>0.3576388888888889</v>
      </c>
      <c r="T27" s="68">
        <v>0.41736111111111113</v>
      </c>
      <c r="U27" s="94">
        <f t="shared" si="26"/>
        <v>7.9999999999999716</v>
      </c>
      <c r="V27" s="100">
        <f t="shared" si="25"/>
        <v>86.000000000000014</v>
      </c>
      <c r="W27" s="69"/>
      <c r="X27" s="69"/>
      <c r="Y27" s="510"/>
      <c r="Z27" s="510"/>
      <c r="AA27" s="66">
        <f t="shared" si="8"/>
        <v>-97.674418604651692</v>
      </c>
      <c r="AB27" s="95">
        <f t="shared" si="9"/>
        <v>0.95930232558139517</v>
      </c>
      <c r="AC27" s="511"/>
    </row>
    <row r="28" spans="1:29" ht="15.75" customHeight="1">
      <c r="A28" s="536" t="s">
        <v>249</v>
      </c>
      <c r="B28" s="62" t="s">
        <v>16</v>
      </c>
      <c r="C28" s="533" t="s">
        <v>83</v>
      </c>
      <c r="D28" s="533"/>
      <c r="E28" s="62">
        <v>25.99</v>
      </c>
      <c r="F28" s="80">
        <v>4500</v>
      </c>
      <c r="G28" s="94">
        <f t="shared" si="23"/>
        <v>116955</v>
      </c>
      <c r="H28" s="90">
        <v>2</v>
      </c>
      <c r="I28" s="99">
        <v>15</v>
      </c>
      <c r="J28" s="63">
        <v>2400</v>
      </c>
      <c r="K28" s="64">
        <f t="shared" si="1"/>
        <v>160</v>
      </c>
      <c r="L28" s="99">
        <v>15</v>
      </c>
      <c r="M28" s="65">
        <f t="shared" si="24"/>
        <v>2288.1355932203396</v>
      </c>
      <c r="N28" s="64">
        <f t="shared" si="3"/>
        <v>152.54237288135599</v>
      </c>
      <c r="O28" s="66">
        <f t="shared" si="4"/>
        <v>0</v>
      </c>
      <c r="P28" s="67">
        <f t="shared" si="5"/>
        <v>-7.4576271186440124</v>
      </c>
      <c r="Q28" s="95">
        <f t="shared" si="6"/>
        <v>0.95338983050847492</v>
      </c>
      <c r="R28" s="511"/>
      <c r="S28" s="68">
        <v>0.42152777777777778</v>
      </c>
      <c r="T28" s="68">
        <v>0.50347222222222221</v>
      </c>
      <c r="U28" s="94">
        <f t="shared" si="26"/>
        <v>5.9999999999999787</v>
      </c>
      <c r="V28" s="100">
        <f t="shared" si="25"/>
        <v>117.99999999999999</v>
      </c>
      <c r="W28" s="69">
        <f>T28</f>
        <v>0.50347222222222221</v>
      </c>
      <c r="X28" s="69">
        <f>S29</f>
        <v>0.54166666666666663</v>
      </c>
      <c r="Y28" s="510"/>
      <c r="Z28" s="510"/>
      <c r="AA28" s="66">
        <f t="shared" si="8"/>
        <v>-111.86440677966038</v>
      </c>
      <c r="AB28" s="95">
        <f t="shared" si="9"/>
        <v>0.95338983050847481</v>
      </c>
      <c r="AC28" s="511"/>
    </row>
    <row r="29" spans="1:29" ht="15.75" customHeight="1">
      <c r="A29" s="536" t="s">
        <v>249</v>
      </c>
      <c r="B29" s="62" t="s">
        <v>16</v>
      </c>
      <c r="C29" s="533" t="s">
        <v>30</v>
      </c>
      <c r="D29" s="533"/>
      <c r="E29" s="62">
        <v>31.29</v>
      </c>
      <c r="F29" s="80">
        <v>5966</v>
      </c>
      <c r="G29" s="94">
        <f t="shared" si="23"/>
        <v>186676.13999999998</v>
      </c>
      <c r="H29" s="90" t="s">
        <v>5</v>
      </c>
      <c r="I29" s="99">
        <v>18</v>
      </c>
      <c r="J29" s="63">
        <v>2400</v>
      </c>
      <c r="K29" s="64">
        <f t="shared" si="1"/>
        <v>133.33333333333334</v>
      </c>
      <c r="L29" s="99">
        <v>18</v>
      </c>
      <c r="M29" s="65">
        <f t="shared" si="24"/>
        <v>2279.9999999999986</v>
      </c>
      <c r="N29" s="64">
        <f t="shared" si="3"/>
        <v>126.66666666666659</v>
      </c>
      <c r="O29" s="66">
        <f t="shared" si="4"/>
        <v>0</v>
      </c>
      <c r="P29" s="67">
        <f t="shared" si="5"/>
        <v>-6.6666666666667567</v>
      </c>
      <c r="Q29" s="95">
        <f t="shared" si="6"/>
        <v>0.94999999999999929</v>
      </c>
      <c r="R29" s="511"/>
      <c r="S29" s="68">
        <v>0.54166666666666663</v>
      </c>
      <c r="T29" s="68">
        <v>0.65069444444444446</v>
      </c>
      <c r="U29" s="94">
        <f t="shared" si="26"/>
        <v>54.999999999999964</v>
      </c>
      <c r="V29" s="100">
        <f t="shared" si="25"/>
        <v>157.00000000000009</v>
      </c>
      <c r="W29" s="69"/>
      <c r="X29" s="69"/>
      <c r="Y29" s="510"/>
      <c r="Z29" s="510"/>
      <c r="AA29" s="66">
        <f t="shared" si="8"/>
        <v>-120.00000000000136</v>
      </c>
      <c r="AB29" s="95">
        <f t="shared" si="9"/>
        <v>0.9499999999999994</v>
      </c>
      <c r="AC29" s="511"/>
    </row>
    <row r="30" spans="1:29" ht="15.75" customHeight="1">
      <c r="A30" s="536" t="s">
        <v>249</v>
      </c>
      <c r="B30" s="62" t="s">
        <v>16</v>
      </c>
      <c r="C30" s="533" t="s">
        <v>83</v>
      </c>
      <c r="D30" s="533"/>
      <c r="E30" s="62">
        <v>25.99</v>
      </c>
      <c r="F30" s="80">
        <v>3310</v>
      </c>
      <c r="G30" s="94">
        <f t="shared" si="23"/>
        <v>86026.9</v>
      </c>
      <c r="H30" s="90" t="s">
        <v>5</v>
      </c>
      <c r="I30" s="99">
        <v>15</v>
      </c>
      <c r="J30" s="63">
        <v>2400</v>
      </c>
      <c r="K30" s="64">
        <f t="shared" si="1"/>
        <v>160</v>
      </c>
      <c r="L30" s="99">
        <v>15</v>
      </c>
      <c r="M30" s="65">
        <f t="shared" si="24"/>
        <v>2309.3023255813951</v>
      </c>
      <c r="N30" s="64">
        <f t="shared" si="3"/>
        <v>153.95348837209301</v>
      </c>
      <c r="O30" s="66">
        <f t="shared" si="4"/>
        <v>0</v>
      </c>
      <c r="P30" s="67">
        <f t="shared" si="5"/>
        <v>-6.0465116279069946</v>
      </c>
      <c r="Q30" s="95">
        <f t="shared" si="6"/>
        <v>0.96220930232558133</v>
      </c>
      <c r="R30" s="511"/>
      <c r="S30" s="68">
        <v>0.65486111111111112</v>
      </c>
      <c r="T30" s="68">
        <v>0.71458333333333335</v>
      </c>
      <c r="U30" s="94">
        <f t="shared" si="26"/>
        <v>5.9999999999999787</v>
      </c>
      <c r="V30" s="100">
        <f t="shared" si="25"/>
        <v>86.000000000000014</v>
      </c>
      <c r="W30" s="69"/>
      <c r="X30" s="69"/>
      <c r="Y30" s="510"/>
      <c r="Z30" s="510"/>
      <c r="AA30" s="66">
        <f t="shared" si="8"/>
        <v>-90.697674418604947</v>
      </c>
      <c r="AB30" s="95">
        <f t="shared" si="9"/>
        <v>0.96220930232558122</v>
      </c>
      <c r="AC30" s="511"/>
    </row>
    <row r="31" spans="1:29" ht="15.75" customHeight="1">
      <c r="A31" s="536" t="s">
        <v>249</v>
      </c>
      <c r="B31" s="62" t="s">
        <v>16</v>
      </c>
      <c r="C31" s="533" t="s">
        <v>25</v>
      </c>
      <c r="D31" s="533"/>
      <c r="E31" s="62">
        <v>26.2</v>
      </c>
      <c r="F31" s="80">
        <v>2334</v>
      </c>
      <c r="G31" s="94">
        <f t="shared" si="23"/>
        <v>61150.799999999996</v>
      </c>
      <c r="H31" s="90" t="s">
        <v>5</v>
      </c>
      <c r="I31" s="99">
        <v>20</v>
      </c>
      <c r="J31" s="63">
        <v>2400</v>
      </c>
      <c r="K31" s="64">
        <f t="shared" si="1"/>
        <v>120</v>
      </c>
      <c r="L31" s="99">
        <v>20</v>
      </c>
      <c r="M31" s="65">
        <f t="shared" si="24"/>
        <v>2295.7377049180345</v>
      </c>
      <c r="N31" s="64">
        <f t="shared" si="3"/>
        <v>114.78688524590173</v>
      </c>
      <c r="O31" s="66">
        <f t="shared" si="4"/>
        <v>0</v>
      </c>
      <c r="P31" s="67">
        <f t="shared" si="5"/>
        <v>-5.213114754098271</v>
      </c>
      <c r="Q31" s="95">
        <f t="shared" si="6"/>
        <v>0.95655737704918109</v>
      </c>
      <c r="R31" s="511"/>
      <c r="S31" s="68">
        <v>0.71875</v>
      </c>
      <c r="T31" s="68">
        <v>0.76111111111111107</v>
      </c>
      <c r="U31" s="94">
        <f t="shared" si="26"/>
        <v>5.9999999999999787</v>
      </c>
      <c r="V31" s="100">
        <f t="shared" si="25"/>
        <v>60.999999999999943</v>
      </c>
      <c r="W31" s="69"/>
      <c r="X31" s="69"/>
      <c r="Y31" s="510"/>
      <c r="Z31" s="510"/>
      <c r="AA31" s="66">
        <f t="shared" si="8"/>
        <v>-104.26229508196548</v>
      </c>
      <c r="AB31" s="95">
        <f t="shared" si="9"/>
        <v>0.95655737704918109</v>
      </c>
      <c r="AC31" s="511"/>
    </row>
    <row r="32" spans="1:29" ht="15.75" customHeight="1">
      <c r="A32" s="536" t="s">
        <v>249</v>
      </c>
      <c r="B32" s="62" t="s">
        <v>240</v>
      </c>
      <c r="C32" s="513"/>
      <c r="D32" s="513"/>
      <c r="E32" s="96"/>
      <c r="F32" s="80"/>
      <c r="G32" s="94"/>
      <c r="H32" s="80"/>
      <c r="I32" s="72">
        <v>18</v>
      </c>
      <c r="J32" s="63">
        <v>2400</v>
      </c>
      <c r="K32" s="64">
        <f t="shared" si="1"/>
        <v>133.33333333333334</v>
      </c>
      <c r="L32" s="72">
        <v>18</v>
      </c>
      <c r="M32" s="65">
        <f>AVERAGE(M24:M31)</f>
        <v>2295.0567724284556</v>
      </c>
      <c r="N32" s="64">
        <f t="shared" si="3"/>
        <v>127.50315402380309</v>
      </c>
      <c r="O32" s="66">
        <f t="shared" si="4"/>
        <v>0</v>
      </c>
      <c r="P32" s="67">
        <f t="shared" si="5"/>
        <v>-5.8301793095302514</v>
      </c>
      <c r="Q32" s="95">
        <f t="shared" si="6"/>
        <v>0.95627365517852314</v>
      </c>
      <c r="R32" s="511"/>
      <c r="S32" s="68"/>
      <c r="T32" s="68"/>
      <c r="U32" s="94"/>
      <c r="V32" s="100"/>
      <c r="W32" s="94"/>
      <c r="X32" s="94"/>
      <c r="Y32" s="510"/>
      <c r="Z32" s="510"/>
      <c r="AA32" s="66">
        <f t="shared" si="8"/>
        <v>-104.94322757154441</v>
      </c>
      <c r="AB32" s="95">
        <f t="shared" si="9"/>
        <v>0.95627365517852314</v>
      </c>
      <c r="AC32" s="511"/>
    </row>
    <row r="33" spans="1:29" ht="15.75" customHeight="1">
      <c r="A33" s="531" t="s">
        <v>250</v>
      </c>
      <c r="B33" s="62" t="s">
        <v>16</v>
      </c>
      <c r="C33" s="512" t="s">
        <v>31</v>
      </c>
      <c r="D33" s="512"/>
      <c r="E33" s="62">
        <v>26.2</v>
      </c>
      <c r="F33" s="80">
        <v>4500</v>
      </c>
      <c r="G33" s="94">
        <f t="shared" ref="G33:G40" si="27">E33*F33</f>
        <v>117900</v>
      </c>
      <c r="H33" s="90">
        <v>2</v>
      </c>
      <c r="I33" s="99">
        <v>18</v>
      </c>
      <c r="J33" s="63">
        <v>2400</v>
      </c>
      <c r="K33" s="64">
        <f t="shared" si="1"/>
        <v>133.33333333333334</v>
      </c>
      <c r="L33" s="99">
        <v>18</v>
      </c>
      <c r="M33" s="65">
        <f t="shared" ref="M33:M40" si="28">F33/V33*60</f>
        <v>2288.1355932203392</v>
      </c>
      <c r="N33" s="64">
        <f t="shared" si="3"/>
        <v>127.11864406779662</v>
      </c>
      <c r="O33" s="66">
        <f t="shared" si="4"/>
        <v>0</v>
      </c>
      <c r="P33" s="67">
        <f t="shared" si="5"/>
        <v>-6.2146892655367196</v>
      </c>
      <c r="Q33" s="95">
        <f t="shared" si="6"/>
        <v>0.95338983050847459</v>
      </c>
      <c r="R33" s="511">
        <f>Q41</f>
        <v>0.95501789804074511</v>
      </c>
      <c r="S33" s="68">
        <v>8.3333333333333329E-2</v>
      </c>
      <c r="T33" s="68">
        <v>0.16527777777777777</v>
      </c>
      <c r="U33" s="94"/>
      <c r="V33" s="100">
        <f t="shared" ref="V33:V40" si="29">(T33-S33)*24*60</f>
        <v>118</v>
      </c>
      <c r="W33" s="73">
        <f>T33</f>
        <v>0.16527777777777777</v>
      </c>
      <c r="X33" s="73">
        <f>S34</f>
        <v>0.18611111111111112</v>
      </c>
      <c r="Y33" s="510"/>
      <c r="Z33" s="510"/>
      <c r="AA33" s="66">
        <f t="shared" si="8"/>
        <v>-111.86440677966084</v>
      </c>
      <c r="AB33" s="95">
        <f t="shared" si="9"/>
        <v>0.9533898305084747</v>
      </c>
      <c r="AC33" s="511">
        <f>AB41</f>
        <v>0.95501789804074499</v>
      </c>
    </row>
    <row r="34" spans="1:29" ht="15.75" customHeight="1">
      <c r="A34" s="531" t="s">
        <v>250</v>
      </c>
      <c r="B34" s="62" t="s">
        <v>16</v>
      </c>
      <c r="C34" s="512" t="s">
        <v>32</v>
      </c>
      <c r="D34" s="512"/>
      <c r="E34" s="62">
        <v>26.39</v>
      </c>
      <c r="F34" s="80">
        <v>4500</v>
      </c>
      <c r="G34" s="94">
        <f t="shared" si="27"/>
        <v>118755</v>
      </c>
      <c r="H34" s="90">
        <v>2</v>
      </c>
      <c r="I34" s="99">
        <v>19</v>
      </c>
      <c r="J34" s="63">
        <v>2400</v>
      </c>
      <c r="K34" s="64">
        <f t="shared" si="1"/>
        <v>126.31578947368421</v>
      </c>
      <c r="L34" s="99">
        <v>19</v>
      </c>
      <c r="M34" s="65">
        <f t="shared" si="28"/>
        <v>2288.1355932203396</v>
      </c>
      <c r="N34" s="64">
        <f t="shared" si="3"/>
        <v>120.42818911685998</v>
      </c>
      <c r="O34" s="66">
        <f t="shared" si="4"/>
        <v>0</v>
      </c>
      <c r="P34" s="67">
        <f t="shared" si="5"/>
        <v>-5.8876003568242226</v>
      </c>
      <c r="Q34" s="95">
        <f t="shared" si="6"/>
        <v>0.95338983050847492</v>
      </c>
      <c r="R34" s="511"/>
      <c r="S34" s="68">
        <v>0.18611111111111112</v>
      </c>
      <c r="T34" s="68">
        <v>0.26805555555555555</v>
      </c>
      <c r="U34" s="94">
        <f t="shared" ref="U34:U40" si="30">(S34-T33)*24*60</f>
        <v>30.000000000000014</v>
      </c>
      <c r="V34" s="100">
        <f t="shared" si="29"/>
        <v>117.99999999999999</v>
      </c>
      <c r="W34" s="94"/>
      <c r="X34" s="94"/>
      <c r="Y34" s="510"/>
      <c r="Z34" s="510"/>
      <c r="AA34" s="66">
        <f t="shared" si="8"/>
        <v>-111.86440677966038</v>
      </c>
      <c r="AB34" s="95">
        <f t="shared" si="9"/>
        <v>0.95338983050847481</v>
      </c>
      <c r="AC34" s="511"/>
    </row>
    <row r="35" spans="1:29">
      <c r="A35" s="532" t="s">
        <v>250</v>
      </c>
      <c r="B35" s="62" t="s">
        <v>16</v>
      </c>
      <c r="C35" s="512" t="s">
        <v>50</v>
      </c>
      <c r="D35" s="512"/>
      <c r="E35" s="62">
        <v>20.52</v>
      </c>
      <c r="F35" s="80">
        <v>5883</v>
      </c>
      <c r="G35" s="94">
        <f t="shared" si="27"/>
        <v>120719.16</v>
      </c>
      <c r="H35" s="90" t="s">
        <v>5</v>
      </c>
      <c r="I35" s="99">
        <v>18</v>
      </c>
      <c r="J35" s="63">
        <v>2400</v>
      </c>
      <c r="K35" s="64">
        <f t="shared" si="1"/>
        <v>133.33333333333334</v>
      </c>
      <c r="L35" s="99">
        <v>18</v>
      </c>
      <c r="M35" s="65">
        <f t="shared" si="28"/>
        <v>2292.0779220779223</v>
      </c>
      <c r="N35" s="64">
        <f t="shared" si="3"/>
        <v>127.33766233766235</v>
      </c>
      <c r="O35" s="66">
        <f t="shared" si="4"/>
        <v>0</v>
      </c>
      <c r="P35" s="67">
        <f t="shared" si="5"/>
        <v>-5.9956709956709915</v>
      </c>
      <c r="Q35" s="95">
        <f t="shared" si="6"/>
        <v>0.95503246753246762</v>
      </c>
      <c r="R35" s="511"/>
      <c r="S35" s="68">
        <v>0.27361111111111108</v>
      </c>
      <c r="T35" s="68">
        <v>0.38055555555555554</v>
      </c>
      <c r="U35" s="94">
        <f t="shared" si="30"/>
        <v>7.9999999999999716</v>
      </c>
      <c r="V35" s="100">
        <f t="shared" si="29"/>
        <v>154</v>
      </c>
      <c r="W35" s="94"/>
      <c r="X35" s="94"/>
      <c r="Y35" s="510"/>
      <c r="Z35" s="510"/>
      <c r="AA35" s="66">
        <f t="shared" si="8"/>
        <v>-107.92207792207773</v>
      </c>
      <c r="AB35" s="95">
        <f t="shared" si="9"/>
        <v>0.95503246753246762</v>
      </c>
      <c r="AC35" s="511"/>
    </row>
    <row r="36" spans="1:29">
      <c r="A36" s="532" t="s">
        <v>250</v>
      </c>
      <c r="B36" s="62" t="s">
        <v>16</v>
      </c>
      <c r="C36" s="512" t="s">
        <v>18</v>
      </c>
      <c r="D36" s="512"/>
      <c r="E36" s="62">
        <v>22.35</v>
      </c>
      <c r="F36" s="80">
        <v>2153</v>
      </c>
      <c r="G36" s="94">
        <f t="shared" si="27"/>
        <v>48119.55</v>
      </c>
      <c r="H36" s="90" t="s">
        <v>5</v>
      </c>
      <c r="I36" s="99">
        <v>16</v>
      </c>
      <c r="J36" s="63">
        <v>2400</v>
      </c>
      <c r="K36" s="64">
        <f t="shared" si="1"/>
        <v>150</v>
      </c>
      <c r="L36" s="99">
        <v>16</v>
      </c>
      <c r="M36" s="65">
        <f t="shared" si="28"/>
        <v>2306.785714285716</v>
      </c>
      <c r="N36" s="64">
        <f t="shared" si="3"/>
        <v>144.17410714285725</v>
      </c>
      <c r="O36" s="66">
        <f t="shared" si="4"/>
        <v>0</v>
      </c>
      <c r="P36" s="67">
        <f t="shared" si="5"/>
        <v>-5.8258928571427475</v>
      </c>
      <c r="Q36" s="95">
        <f t="shared" si="6"/>
        <v>0.96116071428571503</v>
      </c>
      <c r="R36" s="511"/>
      <c r="S36" s="68">
        <v>0.38402777777777775</v>
      </c>
      <c r="T36" s="68">
        <v>0.42291666666666661</v>
      </c>
      <c r="U36" s="94">
        <f t="shared" si="30"/>
        <v>4.9999999999999822</v>
      </c>
      <c r="V36" s="100">
        <f t="shared" si="29"/>
        <v>55.999999999999957</v>
      </c>
      <c r="W36" s="69"/>
      <c r="X36" s="69"/>
      <c r="Y36" s="510"/>
      <c r="Z36" s="510"/>
      <c r="AA36" s="66">
        <f t="shared" si="8"/>
        <v>-93.21428571428396</v>
      </c>
      <c r="AB36" s="95">
        <f t="shared" si="9"/>
        <v>0.96116071428571503</v>
      </c>
      <c r="AC36" s="511"/>
    </row>
    <row r="37" spans="1:29">
      <c r="A37" s="532" t="s">
        <v>250</v>
      </c>
      <c r="B37" s="62" t="s">
        <v>16</v>
      </c>
      <c r="C37" s="512" t="s">
        <v>33</v>
      </c>
      <c r="D37" s="512"/>
      <c r="E37" s="62">
        <v>24.43</v>
      </c>
      <c r="F37" s="80">
        <v>4000</v>
      </c>
      <c r="G37" s="94">
        <f t="shared" si="27"/>
        <v>97720</v>
      </c>
      <c r="H37" s="90">
        <v>2</v>
      </c>
      <c r="I37" s="99">
        <v>15</v>
      </c>
      <c r="J37" s="63">
        <v>2400</v>
      </c>
      <c r="K37" s="64">
        <f t="shared" si="1"/>
        <v>160</v>
      </c>
      <c r="L37" s="99">
        <v>15</v>
      </c>
      <c r="M37" s="65">
        <f t="shared" si="28"/>
        <v>2285.7142857142853</v>
      </c>
      <c r="N37" s="64">
        <f t="shared" si="3"/>
        <v>152.38095238095235</v>
      </c>
      <c r="O37" s="66">
        <f t="shared" si="4"/>
        <v>0</v>
      </c>
      <c r="P37" s="67">
        <f t="shared" si="5"/>
        <v>-7.6190476190476488</v>
      </c>
      <c r="Q37" s="95">
        <f t="shared" si="6"/>
        <v>0.95238095238095222</v>
      </c>
      <c r="R37" s="511"/>
      <c r="S37" s="68">
        <v>0.42638888888888882</v>
      </c>
      <c r="T37" s="68">
        <v>0.4993055555555555</v>
      </c>
      <c r="U37" s="94">
        <f t="shared" si="30"/>
        <v>4.9999999999999822</v>
      </c>
      <c r="V37" s="100">
        <f t="shared" si="29"/>
        <v>105.00000000000003</v>
      </c>
      <c r="W37" s="73">
        <f>T37</f>
        <v>0.4993055555555555</v>
      </c>
      <c r="X37" s="73">
        <f>S38</f>
        <v>0.53749999999999998</v>
      </c>
      <c r="Y37" s="510"/>
      <c r="Z37" s="510"/>
      <c r="AA37" s="66">
        <f t="shared" si="8"/>
        <v>-114.28571428571468</v>
      </c>
      <c r="AB37" s="95">
        <f t="shared" si="9"/>
        <v>0.95238095238095222</v>
      </c>
      <c r="AC37" s="511"/>
    </row>
    <row r="38" spans="1:29">
      <c r="A38" s="532" t="s">
        <v>250</v>
      </c>
      <c r="B38" s="62" t="s">
        <v>16</v>
      </c>
      <c r="C38" s="512" t="s">
        <v>33</v>
      </c>
      <c r="D38" s="512"/>
      <c r="E38" s="62">
        <v>24.43</v>
      </c>
      <c r="F38" s="80">
        <v>5538</v>
      </c>
      <c r="G38" s="94">
        <f t="shared" si="27"/>
        <v>135293.34</v>
      </c>
      <c r="H38" s="90" t="s">
        <v>5</v>
      </c>
      <c r="I38" s="99">
        <v>15</v>
      </c>
      <c r="J38" s="63">
        <v>2400</v>
      </c>
      <c r="K38" s="64">
        <f t="shared" si="1"/>
        <v>160</v>
      </c>
      <c r="L38" s="99">
        <v>15</v>
      </c>
      <c r="M38" s="65">
        <f t="shared" si="28"/>
        <v>2291.5862068965521</v>
      </c>
      <c r="N38" s="64">
        <f t="shared" si="3"/>
        <v>152.77241379310348</v>
      </c>
      <c r="O38" s="66">
        <f t="shared" si="4"/>
        <v>0</v>
      </c>
      <c r="P38" s="67">
        <f t="shared" si="5"/>
        <v>-7.2275862068965182</v>
      </c>
      <c r="Q38" s="95">
        <f t="shared" si="6"/>
        <v>0.95482758620689678</v>
      </c>
      <c r="R38" s="511"/>
      <c r="S38" s="68">
        <v>0.53749999999999998</v>
      </c>
      <c r="T38" s="68">
        <v>0.6381944444444444</v>
      </c>
      <c r="U38" s="94">
        <f t="shared" si="30"/>
        <v>55.000000000000043</v>
      </c>
      <c r="V38" s="100">
        <f t="shared" si="29"/>
        <v>144.99999999999997</v>
      </c>
      <c r="W38" s="69"/>
      <c r="X38" s="69"/>
      <c r="Y38" s="510"/>
      <c r="Z38" s="510"/>
      <c r="AA38" s="66">
        <f t="shared" si="8"/>
        <v>-108.41379310344792</v>
      </c>
      <c r="AB38" s="95">
        <f t="shared" si="9"/>
        <v>0.95482758620689667</v>
      </c>
      <c r="AC38" s="511"/>
    </row>
    <row r="39" spans="1:29">
      <c r="A39" s="532" t="s">
        <v>250</v>
      </c>
      <c r="B39" s="62" t="s">
        <v>16</v>
      </c>
      <c r="C39" s="512" t="s">
        <v>31</v>
      </c>
      <c r="D39" s="512"/>
      <c r="E39" s="62">
        <v>26.2</v>
      </c>
      <c r="F39" s="80">
        <v>3244</v>
      </c>
      <c r="G39" s="94">
        <f t="shared" si="27"/>
        <v>84992.8</v>
      </c>
      <c r="H39" s="90" t="s">
        <v>5</v>
      </c>
      <c r="I39" s="99">
        <v>18</v>
      </c>
      <c r="J39" s="63">
        <v>2400</v>
      </c>
      <c r="K39" s="64">
        <f t="shared" si="1"/>
        <v>133.33333333333334</v>
      </c>
      <c r="L39" s="99">
        <v>18</v>
      </c>
      <c r="M39" s="65">
        <f t="shared" si="28"/>
        <v>2289.8823529411761</v>
      </c>
      <c r="N39" s="64">
        <f t="shared" si="3"/>
        <v>127.21568627450978</v>
      </c>
      <c r="O39" s="66">
        <f t="shared" si="4"/>
        <v>0</v>
      </c>
      <c r="P39" s="67">
        <f t="shared" si="5"/>
        <v>-6.1176470588235645</v>
      </c>
      <c r="Q39" s="95">
        <f t="shared" si="6"/>
        <v>0.95411764705882329</v>
      </c>
      <c r="R39" s="511"/>
      <c r="S39" s="68">
        <v>0.64236111111111105</v>
      </c>
      <c r="T39" s="68">
        <v>0.70138888888888884</v>
      </c>
      <c r="U39" s="94">
        <f t="shared" si="30"/>
        <v>5.9999999999999787</v>
      </c>
      <c r="V39" s="100">
        <f t="shared" si="29"/>
        <v>85.000000000000014</v>
      </c>
      <c r="W39" s="69"/>
      <c r="X39" s="69"/>
      <c r="Y39" s="517"/>
      <c r="Z39" s="518"/>
      <c r="AA39" s="66">
        <f t="shared" si="8"/>
        <v>-110.11764705882388</v>
      </c>
      <c r="AB39" s="95">
        <f t="shared" si="9"/>
        <v>0.9541176470588234</v>
      </c>
      <c r="AC39" s="511"/>
    </row>
    <row r="40" spans="1:29">
      <c r="A40" s="532" t="s">
        <v>250</v>
      </c>
      <c r="B40" s="62" t="s">
        <v>16</v>
      </c>
      <c r="C40" s="512" t="s">
        <v>32</v>
      </c>
      <c r="D40" s="512"/>
      <c r="E40" s="62">
        <v>26.39</v>
      </c>
      <c r="F40" s="80">
        <v>2944</v>
      </c>
      <c r="G40" s="94">
        <f t="shared" si="27"/>
        <v>77692.160000000003</v>
      </c>
      <c r="H40" s="90" t="s">
        <v>5</v>
      </c>
      <c r="I40" s="99">
        <v>19</v>
      </c>
      <c r="J40" s="63">
        <v>2400</v>
      </c>
      <c r="K40" s="64">
        <f t="shared" si="1"/>
        <v>126.31578947368421</v>
      </c>
      <c r="L40" s="99">
        <v>19</v>
      </c>
      <c r="M40" s="65">
        <f t="shared" si="28"/>
        <v>2294.0259740259726</v>
      </c>
      <c r="N40" s="64">
        <f t="shared" si="3"/>
        <v>120.73820915926171</v>
      </c>
      <c r="O40" s="66">
        <f t="shared" si="4"/>
        <v>0</v>
      </c>
      <c r="P40" s="67">
        <f t="shared" si="5"/>
        <v>-5.5775803144224909</v>
      </c>
      <c r="Q40" s="95">
        <f t="shared" si="6"/>
        <v>0.95584415584415527</v>
      </c>
      <c r="R40" s="511"/>
      <c r="S40" s="68">
        <v>0.70486111111111105</v>
      </c>
      <c r="T40" s="68">
        <v>0.7583333333333333</v>
      </c>
      <c r="U40" s="94">
        <f t="shared" si="30"/>
        <v>4.9999999999999822</v>
      </c>
      <c r="V40" s="100">
        <f t="shared" si="29"/>
        <v>77.000000000000043</v>
      </c>
      <c r="W40" s="69"/>
      <c r="X40" s="69"/>
      <c r="Y40" s="517"/>
      <c r="Z40" s="518"/>
      <c r="AA40" s="66">
        <f t="shared" si="8"/>
        <v>-105.97402597402743</v>
      </c>
      <c r="AB40" s="95">
        <f t="shared" si="9"/>
        <v>0.95584415584415527</v>
      </c>
      <c r="AC40" s="511"/>
    </row>
    <row r="41" spans="1:29">
      <c r="A41" s="532" t="s">
        <v>250</v>
      </c>
      <c r="B41" s="71" t="s">
        <v>240</v>
      </c>
      <c r="C41" s="513"/>
      <c r="D41" s="513"/>
      <c r="E41" s="96"/>
      <c r="F41" s="71"/>
      <c r="G41" s="64"/>
      <c r="H41" s="80"/>
      <c r="I41" s="72">
        <v>17.25</v>
      </c>
      <c r="J41" s="63">
        <v>2400</v>
      </c>
      <c r="K41" s="64">
        <f t="shared" si="1"/>
        <v>139.13043478260869</v>
      </c>
      <c r="L41" s="72">
        <v>17.25</v>
      </c>
      <c r="M41" s="65">
        <f>AVERAGE(M33:M40)</f>
        <v>2292.042955297788</v>
      </c>
      <c r="N41" s="64">
        <f t="shared" si="3"/>
        <v>132.87205537958192</v>
      </c>
      <c r="O41" s="66">
        <f t="shared" si="4"/>
        <v>0</v>
      </c>
      <c r="P41" s="67">
        <f t="shared" si="5"/>
        <v>-6.2583794030267654</v>
      </c>
      <c r="Q41" s="95">
        <f t="shared" si="6"/>
        <v>0.95501789804074511</v>
      </c>
      <c r="R41" s="511"/>
      <c r="S41" s="68"/>
      <c r="T41" s="68"/>
      <c r="U41" s="64"/>
      <c r="V41" s="100"/>
      <c r="W41" s="64"/>
      <c r="X41" s="64"/>
      <c r="Y41" s="510"/>
      <c r="Z41" s="510"/>
      <c r="AA41" s="66">
        <f t="shared" si="8"/>
        <v>-107.95704470221199</v>
      </c>
      <c r="AB41" s="95">
        <f t="shared" si="9"/>
        <v>0.95501789804074499</v>
      </c>
      <c r="AC41" s="511"/>
    </row>
    <row r="42" spans="1:29" ht="15.75" customHeight="1">
      <c r="A42" s="525" t="s">
        <v>251</v>
      </c>
      <c r="B42" s="62" t="s">
        <v>35</v>
      </c>
      <c r="C42" s="521" t="s">
        <v>36</v>
      </c>
      <c r="D42" s="522"/>
      <c r="E42" s="62">
        <v>21.13</v>
      </c>
      <c r="F42" s="80">
        <v>3200</v>
      </c>
      <c r="G42" s="94">
        <f t="shared" ref="G42:G51" si="31">E42*F42</f>
        <v>67616</v>
      </c>
      <c r="H42" s="90">
        <v>2</v>
      </c>
      <c r="I42" s="99">
        <v>10</v>
      </c>
      <c r="J42" s="63">
        <v>3000</v>
      </c>
      <c r="K42" s="64">
        <f t="shared" si="1"/>
        <v>300</v>
      </c>
      <c r="L42" s="99">
        <v>10</v>
      </c>
      <c r="M42" s="65">
        <f t="shared" ref="M42:M51" si="32">F42/V42*60</f>
        <v>2865.6716417910457</v>
      </c>
      <c r="N42" s="65">
        <f t="shared" si="3"/>
        <v>286.56716417910457</v>
      </c>
      <c r="O42" s="66">
        <f t="shared" si="4"/>
        <v>0</v>
      </c>
      <c r="P42" s="67">
        <f t="shared" si="5"/>
        <v>-13.432835820895434</v>
      </c>
      <c r="Q42" s="95">
        <f t="shared" si="6"/>
        <v>0.95522388059701524</v>
      </c>
      <c r="R42" s="528">
        <f>Q52</f>
        <v>0.95716075071507156</v>
      </c>
      <c r="S42" s="68">
        <v>8.3333333333333329E-2</v>
      </c>
      <c r="T42" s="68">
        <v>0.12986111111111109</v>
      </c>
      <c r="U42" s="73"/>
      <c r="V42" s="100">
        <f t="shared" ref="V42:V51" si="33">(T42-S42)*24*60</f>
        <v>66.999999999999972</v>
      </c>
      <c r="W42" s="69">
        <f>T42</f>
        <v>0.12986111111111109</v>
      </c>
      <c r="X42" s="69">
        <f>S43</f>
        <v>0.14930555555555552</v>
      </c>
      <c r="Y42" s="517"/>
      <c r="Z42" s="518"/>
      <c r="AA42" s="66">
        <f t="shared" si="8"/>
        <v>-134.32835820895434</v>
      </c>
      <c r="AB42" s="95">
        <f t="shared" si="9"/>
        <v>0.95522388059701524</v>
      </c>
      <c r="AC42" s="528">
        <f>AB52</f>
        <v>0.95716075071507156</v>
      </c>
    </row>
    <row r="43" spans="1:29" ht="15.75" customHeight="1">
      <c r="A43" s="526" t="s">
        <v>251</v>
      </c>
      <c r="B43" s="62" t="s">
        <v>35</v>
      </c>
      <c r="C43" s="521" t="s">
        <v>37</v>
      </c>
      <c r="D43" s="522"/>
      <c r="E43" s="62">
        <v>27.17</v>
      </c>
      <c r="F43" s="80">
        <v>4100</v>
      </c>
      <c r="G43" s="94">
        <f t="shared" si="31"/>
        <v>111397</v>
      </c>
      <c r="H43" s="90">
        <v>2</v>
      </c>
      <c r="I43" s="99">
        <v>10</v>
      </c>
      <c r="J43" s="63">
        <v>3000</v>
      </c>
      <c r="K43" s="64">
        <f t="shared" si="1"/>
        <v>300</v>
      </c>
      <c r="L43" s="99">
        <v>10</v>
      </c>
      <c r="M43" s="65">
        <f t="shared" si="32"/>
        <v>2860.4651162790692</v>
      </c>
      <c r="N43" s="65">
        <f t="shared" si="3"/>
        <v>286.04651162790691</v>
      </c>
      <c r="O43" s="66">
        <f t="shared" si="4"/>
        <v>0</v>
      </c>
      <c r="P43" s="67">
        <f t="shared" si="5"/>
        <v>-13.953488372093091</v>
      </c>
      <c r="Q43" s="95">
        <f t="shared" si="6"/>
        <v>0.95348837209302306</v>
      </c>
      <c r="R43" s="529"/>
      <c r="S43" s="68">
        <v>0.14930555555555552</v>
      </c>
      <c r="T43" s="68">
        <v>0.20902777777777776</v>
      </c>
      <c r="U43" s="94">
        <f t="shared" ref="U43:U51" si="34">(S43-T42)*24*60</f>
        <v>27.999999999999979</v>
      </c>
      <c r="V43" s="100">
        <f t="shared" si="33"/>
        <v>86.000000000000014</v>
      </c>
      <c r="W43" s="69"/>
      <c r="X43" s="69"/>
      <c r="Y43" s="517"/>
      <c r="Z43" s="518"/>
      <c r="AA43" s="66">
        <f t="shared" si="8"/>
        <v>-139.53488372093079</v>
      </c>
      <c r="AB43" s="95">
        <f t="shared" si="9"/>
        <v>0.95348837209302306</v>
      </c>
      <c r="AC43" s="529"/>
    </row>
    <row r="44" spans="1:29" ht="15.75" customHeight="1">
      <c r="A44" s="526" t="s">
        <v>251</v>
      </c>
      <c r="B44" s="62" t="s">
        <v>35</v>
      </c>
      <c r="C44" s="521" t="s">
        <v>38</v>
      </c>
      <c r="D44" s="522"/>
      <c r="E44" s="62">
        <v>35.119999999999997</v>
      </c>
      <c r="F44" s="80">
        <v>4836</v>
      </c>
      <c r="G44" s="94">
        <f t="shared" si="31"/>
        <v>169840.31999999998</v>
      </c>
      <c r="H44" s="90" t="s">
        <v>5</v>
      </c>
      <c r="I44" s="99">
        <v>10</v>
      </c>
      <c r="J44" s="63">
        <v>3000</v>
      </c>
      <c r="K44" s="64">
        <f t="shared" si="1"/>
        <v>300</v>
      </c>
      <c r="L44" s="99">
        <v>10</v>
      </c>
      <c r="M44" s="65">
        <f t="shared" si="32"/>
        <v>2872.871287128713</v>
      </c>
      <c r="N44" s="65">
        <f t="shared" si="3"/>
        <v>287.28712871287132</v>
      </c>
      <c r="O44" s="66">
        <f t="shared" si="4"/>
        <v>0</v>
      </c>
      <c r="P44" s="67">
        <f t="shared" si="5"/>
        <v>-12.712871287128678</v>
      </c>
      <c r="Q44" s="95">
        <f t="shared" si="6"/>
        <v>0.9576237623762377</v>
      </c>
      <c r="R44" s="529"/>
      <c r="S44" s="68">
        <v>0.21458333333333332</v>
      </c>
      <c r="T44" s="68">
        <v>0.28472222222222221</v>
      </c>
      <c r="U44" s="94">
        <f t="shared" si="34"/>
        <v>8.0000000000000107</v>
      </c>
      <c r="V44" s="100">
        <f t="shared" si="33"/>
        <v>101</v>
      </c>
      <c r="W44" s="69"/>
      <c r="X44" s="69"/>
      <c r="Y44" s="517"/>
      <c r="Z44" s="518"/>
      <c r="AA44" s="66">
        <f t="shared" si="8"/>
        <v>-127.12871287128701</v>
      </c>
      <c r="AB44" s="95">
        <f t="shared" si="9"/>
        <v>0.9576237623762377</v>
      </c>
      <c r="AC44" s="529"/>
    </row>
    <row r="45" spans="1:29" ht="15.75" customHeight="1">
      <c r="A45" s="526" t="s">
        <v>251</v>
      </c>
      <c r="B45" s="62" t="s">
        <v>35</v>
      </c>
      <c r="C45" s="521" t="s">
        <v>39</v>
      </c>
      <c r="D45" s="522"/>
      <c r="E45" s="62">
        <v>35.869999999999997</v>
      </c>
      <c r="F45" s="80">
        <v>3096</v>
      </c>
      <c r="G45" s="94">
        <f t="shared" si="31"/>
        <v>111053.51999999999</v>
      </c>
      <c r="H45" s="90" t="s">
        <v>5</v>
      </c>
      <c r="I45" s="99">
        <v>10</v>
      </c>
      <c r="J45" s="63">
        <v>3000</v>
      </c>
      <c r="K45" s="64">
        <f t="shared" si="1"/>
        <v>300</v>
      </c>
      <c r="L45" s="99">
        <v>10</v>
      </c>
      <c r="M45" s="65">
        <f t="shared" si="32"/>
        <v>2857.8461538461529</v>
      </c>
      <c r="N45" s="65">
        <f t="shared" si="3"/>
        <v>285.78461538461528</v>
      </c>
      <c r="O45" s="66">
        <f t="shared" si="4"/>
        <v>0</v>
      </c>
      <c r="P45" s="67">
        <f t="shared" si="5"/>
        <v>-14.215384615384721</v>
      </c>
      <c r="Q45" s="95">
        <f t="shared" si="6"/>
        <v>0.95261538461538431</v>
      </c>
      <c r="R45" s="529"/>
      <c r="S45" s="68">
        <v>0.29027777777777775</v>
      </c>
      <c r="T45" s="68">
        <v>0.33541666666666664</v>
      </c>
      <c r="U45" s="94">
        <f t="shared" si="34"/>
        <v>7.9999999999999716</v>
      </c>
      <c r="V45" s="100">
        <f t="shared" si="33"/>
        <v>65.000000000000014</v>
      </c>
      <c r="W45" s="69"/>
      <c r="X45" s="69"/>
      <c r="Y45" s="517"/>
      <c r="Z45" s="518"/>
      <c r="AA45" s="66">
        <f t="shared" si="8"/>
        <v>-142.1538461538471</v>
      </c>
      <c r="AB45" s="95">
        <f t="shared" si="9"/>
        <v>0.95261538461538431</v>
      </c>
      <c r="AC45" s="529"/>
    </row>
    <row r="46" spans="1:29" ht="15.75" customHeight="1">
      <c r="A46" s="526" t="s">
        <v>251</v>
      </c>
      <c r="B46" s="62" t="s">
        <v>35</v>
      </c>
      <c r="C46" s="521" t="s">
        <v>40</v>
      </c>
      <c r="D46" s="522"/>
      <c r="E46" s="62">
        <v>36.14</v>
      </c>
      <c r="F46" s="80">
        <v>1547</v>
      </c>
      <c r="G46" s="94">
        <f t="shared" si="31"/>
        <v>55908.58</v>
      </c>
      <c r="H46" s="90" t="s">
        <v>5</v>
      </c>
      <c r="I46" s="99">
        <v>8</v>
      </c>
      <c r="J46" s="63">
        <v>3000</v>
      </c>
      <c r="K46" s="64">
        <f t="shared" si="1"/>
        <v>375</v>
      </c>
      <c r="L46" s="99">
        <v>8</v>
      </c>
      <c r="M46" s="65">
        <f t="shared" si="32"/>
        <v>2900.6250000000036</v>
      </c>
      <c r="N46" s="65">
        <f t="shared" si="3"/>
        <v>362.57812500000045</v>
      </c>
      <c r="O46" s="66">
        <f t="shared" si="4"/>
        <v>0</v>
      </c>
      <c r="P46" s="67">
        <f t="shared" si="5"/>
        <v>-12.421874999999545</v>
      </c>
      <c r="Q46" s="95">
        <f t="shared" si="6"/>
        <v>0.96687500000000126</v>
      </c>
      <c r="R46" s="529"/>
      <c r="S46" s="68">
        <v>0.33958333333333329</v>
      </c>
      <c r="T46" s="68">
        <v>0.36180555555555549</v>
      </c>
      <c r="U46" s="94">
        <f t="shared" si="34"/>
        <v>5.9999999999999787</v>
      </c>
      <c r="V46" s="100">
        <f t="shared" si="33"/>
        <v>31.999999999999964</v>
      </c>
      <c r="W46" s="69"/>
      <c r="X46" s="69"/>
      <c r="Y46" s="517"/>
      <c r="Z46" s="518"/>
      <c r="AA46" s="66">
        <f t="shared" si="8"/>
        <v>-99.374999999996362</v>
      </c>
      <c r="AB46" s="95">
        <f t="shared" si="9"/>
        <v>0.96687500000000126</v>
      </c>
      <c r="AC46" s="529"/>
    </row>
    <row r="47" spans="1:29" ht="15.75" customHeight="1">
      <c r="A47" s="526" t="s">
        <v>251</v>
      </c>
      <c r="B47" s="62" t="s">
        <v>35</v>
      </c>
      <c r="C47" s="521" t="s">
        <v>74</v>
      </c>
      <c r="D47" s="522"/>
      <c r="E47" s="62">
        <v>34.36</v>
      </c>
      <c r="F47" s="80">
        <v>3225</v>
      </c>
      <c r="G47" s="94">
        <f t="shared" si="31"/>
        <v>110811</v>
      </c>
      <c r="H47" s="90" t="s">
        <v>5</v>
      </c>
      <c r="I47" s="99">
        <v>10</v>
      </c>
      <c r="J47" s="63">
        <v>3000</v>
      </c>
      <c r="K47" s="64">
        <f t="shared" si="1"/>
        <v>300</v>
      </c>
      <c r="L47" s="99">
        <v>10</v>
      </c>
      <c r="M47" s="65">
        <f t="shared" si="32"/>
        <v>2888.0597014925374</v>
      </c>
      <c r="N47" s="65">
        <f t="shared" si="3"/>
        <v>288.80597014925377</v>
      </c>
      <c r="O47" s="66">
        <f t="shared" si="4"/>
        <v>0</v>
      </c>
      <c r="P47" s="67">
        <f t="shared" si="5"/>
        <v>-11.194029850746233</v>
      </c>
      <c r="Q47" s="95">
        <f t="shared" si="6"/>
        <v>0.96268656716417922</v>
      </c>
      <c r="R47" s="529"/>
      <c r="S47" s="68">
        <v>0.36666666666666659</v>
      </c>
      <c r="T47" s="68">
        <v>0.41319444444444436</v>
      </c>
      <c r="U47" s="94">
        <f t="shared" si="34"/>
        <v>6.9999999999999751</v>
      </c>
      <c r="V47" s="100">
        <f t="shared" si="33"/>
        <v>67</v>
      </c>
      <c r="W47" s="69"/>
      <c r="X47" s="69"/>
      <c r="Y47" s="517"/>
      <c r="Z47" s="518"/>
      <c r="AA47" s="66">
        <f t="shared" si="8"/>
        <v>-111.94029850746256</v>
      </c>
      <c r="AB47" s="95">
        <f t="shared" si="9"/>
        <v>0.96268656716417911</v>
      </c>
      <c r="AC47" s="529"/>
    </row>
    <row r="48" spans="1:29" ht="15.75" customHeight="1">
      <c r="A48" s="526" t="s">
        <v>251</v>
      </c>
      <c r="B48" s="62" t="s">
        <v>35</v>
      </c>
      <c r="C48" s="521" t="s">
        <v>84</v>
      </c>
      <c r="D48" s="522"/>
      <c r="E48" s="62">
        <v>31</v>
      </c>
      <c r="F48" s="80">
        <v>4700</v>
      </c>
      <c r="G48" s="94">
        <f t="shared" si="31"/>
        <v>145700</v>
      </c>
      <c r="H48" s="90">
        <v>2</v>
      </c>
      <c r="I48" s="99">
        <v>13</v>
      </c>
      <c r="J48" s="63">
        <v>2000</v>
      </c>
      <c r="K48" s="64">
        <f t="shared" si="1"/>
        <v>153.84615384615384</v>
      </c>
      <c r="L48" s="99">
        <v>13</v>
      </c>
      <c r="M48" s="65">
        <f t="shared" si="32"/>
        <v>1905.405405405405</v>
      </c>
      <c r="N48" s="65">
        <f t="shared" si="3"/>
        <v>146.56964656964652</v>
      </c>
      <c r="O48" s="66">
        <f t="shared" si="4"/>
        <v>0</v>
      </c>
      <c r="P48" s="67">
        <f t="shared" si="5"/>
        <v>-7.2765072765073171</v>
      </c>
      <c r="Q48" s="95">
        <f t="shared" si="6"/>
        <v>0.95270270270270241</v>
      </c>
      <c r="R48" s="529"/>
      <c r="S48" s="68">
        <v>0.41736111111111102</v>
      </c>
      <c r="T48" s="68">
        <v>0.52013888888888882</v>
      </c>
      <c r="U48" s="94">
        <f t="shared" si="34"/>
        <v>5.9999999999999787</v>
      </c>
      <c r="V48" s="100">
        <f t="shared" si="33"/>
        <v>148.00000000000003</v>
      </c>
      <c r="W48" s="69">
        <f>T48</f>
        <v>0.52013888888888882</v>
      </c>
      <c r="X48" s="69">
        <f>S49</f>
        <v>0.56041666666666656</v>
      </c>
      <c r="Y48" s="517"/>
      <c r="Z48" s="518"/>
      <c r="AA48" s="66">
        <f t="shared" si="8"/>
        <v>-94.594594594595037</v>
      </c>
      <c r="AB48" s="95">
        <f t="shared" si="9"/>
        <v>0.95270270270270252</v>
      </c>
      <c r="AC48" s="529"/>
    </row>
    <row r="49" spans="1:29" ht="15.75" customHeight="1">
      <c r="A49" s="526" t="s">
        <v>251</v>
      </c>
      <c r="B49" s="62" t="s">
        <v>35</v>
      </c>
      <c r="C49" s="521" t="s">
        <v>84</v>
      </c>
      <c r="D49" s="522"/>
      <c r="E49" s="62">
        <v>31</v>
      </c>
      <c r="F49" s="80">
        <v>5814</v>
      </c>
      <c r="G49" s="94">
        <f t="shared" si="31"/>
        <v>180234</v>
      </c>
      <c r="H49" s="90" t="s">
        <v>5</v>
      </c>
      <c r="I49" s="99">
        <v>13</v>
      </c>
      <c r="J49" s="63">
        <v>2000</v>
      </c>
      <c r="K49" s="64">
        <f t="shared" si="1"/>
        <v>153.84615384615384</v>
      </c>
      <c r="L49" s="99">
        <v>13</v>
      </c>
      <c r="M49" s="65">
        <f t="shared" si="32"/>
        <v>1906.2295081967213</v>
      </c>
      <c r="N49" s="65">
        <f t="shared" si="3"/>
        <v>146.6330390920555</v>
      </c>
      <c r="O49" s="66">
        <f t="shared" si="4"/>
        <v>0</v>
      </c>
      <c r="P49" s="67">
        <f t="shared" si="5"/>
        <v>-7.213114754098342</v>
      </c>
      <c r="Q49" s="95">
        <f t="shared" si="6"/>
        <v>0.95311475409836077</v>
      </c>
      <c r="R49" s="529"/>
      <c r="S49" s="68">
        <v>0.56041666666666656</v>
      </c>
      <c r="T49" s="68">
        <v>0.68749999999999989</v>
      </c>
      <c r="U49" s="94">
        <f t="shared" si="34"/>
        <v>57.999999999999957</v>
      </c>
      <c r="V49" s="100">
        <f t="shared" si="33"/>
        <v>183</v>
      </c>
      <c r="W49" s="69"/>
      <c r="X49" s="69"/>
      <c r="Y49" s="517"/>
      <c r="Z49" s="518"/>
      <c r="AA49" s="66">
        <f t="shared" si="8"/>
        <v>-93.770491803278674</v>
      </c>
      <c r="AB49" s="95">
        <f t="shared" si="9"/>
        <v>0.95311475409836066</v>
      </c>
      <c r="AC49" s="529"/>
    </row>
    <row r="50" spans="1:29" ht="15.75" customHeight="1">
      <c r="A50" s="526" t="s">
        <v>251</v>
      </c>
      <c r="B50" s="62" t="s">
        <v>35</v>
      </c>
      <c r="C50" s="521" t="s">
        <v>37</v>
      </c>
      <c r="D50" s="522"/>
      <c r="E50" s="62">
        <v>27.17</v>
      </c>
      <c r="F50" s="80">
        <v>3063</v>
      </c>
      <c r="G50" s="94">
        <f t="shared" si="31"/>
        <v>83221.710000000006</v>
      </c>
      <c r="H50" s="90" t="s">
        <v>5</v>
      </c>
      <c r="I50" s="99">
        <v>10</v>
      </c>
      <c r="J50" s="63">
        <v>3000</v>
      </c>
      <c r="K50" s="64">
        <f t="shared" si="1"/>
        <v>300</v>
      </c>
      <c r="L50" s="99">
        <v>10</v>
      </c>
      <c r="M50" s="65">
        <f t="shared" si="32"/>
        <v>2871.5625000000032</v>
      </c>
      <c r="N50" s="65">
        <f t="shared" si="3"/>
        <v>287.15625000000034</v>
      </c>
      <c r="O50" s="66">
        <f t="shared" si="4"/>
        <v>0</v>
      </c>
      <c r="P50" s="67">
        <f t="shared" si="5"/>
        <v>-12.843749999999659</v>
      </c>
      <c r="Q50" s="95">
        <f t="shared" si="6"/>
        <v>0.95718750000000119</v>
      </c>
      <c r="R50" s="529"/>
      <c r="S50" s="68">
        <v>0.69305555555555542</v>
      </c>
      <c r="T50" s="68">
        <v>0.73749999999999982</v>
      </c>
      <c r="U50" s="94">
        <f t="shared" si="34"/>
        <v>7.9999999999999716</v>
      </c>
      <c r="V50" s="100">
        <f t="shared" si="33"/>
        <v>63.999999999999929</v>
      </c>
      <c r="W50" s="69"/>
      <c r="X50" s="69"/>
      <c r="Y50" s="517"/>
      <c r="Z50" s="518"/>
      <c r="AA50" s="66">
        <f t="shared" si="8"/>
        <v>-128.43749999999682</v>
      </c>
      <c r="AB50" s="95">
        <f t="shared" si="9"/>
        <v>0.95718750000000108</v>
      </c>
      <c r="AC50" s="529"/>
    </row>
    <row r="51" spans="1:29" ht="15.75" customHeight="1">
      <c r="A51" s="526" t="s">
        <v>251</v>
      </c>
      <c r="B51" s="62" t="s">
        <v>35</v>
      </c>
      <c r="C51" s="521" t="s">
        <v>36</v>
      </c>
      <c r="D51" s="522"/>
      <c r="E51" s="62">
        <v>21.13</v>
      </c>
      <c r="F51" s="80">
        <v>2441</v>
      </c>
      <c r="G51" s="94">
        <f t="shared" si="31"/>
        <v>51578.329999999994</v>
      </c>
      <c r="H51" s="90" t="s">
        <v>5</v>
      </c>
      <c r="I51" s="99">
        <v>10</v>
      </c>
      <c r="J51" s="63">
        <v>3000</v>
      </c>
      <c r="K51" s="64">
        <f t="shared" si="1"/>
        <v>300</v>
      </c>
      <c r="L51" s="99">
        <v>10</v>
      </c>
      <c r="M51" s="65">
        <f t="shared" si="32"/>
        <v>2871.7647058823541</v>
      </c>
      <c r="N51" s="65">
        <f t="shared" si="3"/>
        <v>287.17647058823542</v>
      </c>
      <c r="O51" s="66">
        <f t="shared" si="4"/>
        <v>0</v>
      </c>
      <c r="P51" s="67">
        <f t="shared" si="5"/>
        <v>-12.823529411764582</v>
      </c>
      <c r="Q51" s="95">
        <f t="shared" si="6"/>
        <v>0.95725490196078478</v>
      </c>
      <c r="R51" s="529"/>
      <c r="S51" s="68">
        <v>0.74236111111111092</v>
      </c>
      <c r="T51" s="68">
        <v>0.77777777777777757</v>
      </c>
      <c r="U51" s="94">
        <f t="shared" si="34"/>
        <v>6.9999999999999751</v>
      </c>
      <c r="V51" s="100">
        <f t="shared" si="33"/>
        <v>50.999999999999979</v>
      </c>
      <c r="W51" s="69"/>
      <c r="X51" s="69"/>
      <c r="Y51" s="517"/>
      <c r="Z51" s="518"/>
      <c r="AA51" s="66">
        <f t="shared" si="8"/>
        <v>-128.23529411764594</v>
      </c>
      <c r="AB51" s="95">
        <f t="shared" si="9"/>
        <v>0.95725490196078467</v>
      </c>
      <c r="AC51" s="529"/>
    </row>
    <row r="52" spans="1:29" ht="15.75" customHeight="1">
      <c r="A52" s="527" t="s">
        <v>251</v>
      </c>
      <c r="B52" s="62" t="s">
        <v>240</v>
      </c>
      <c r="C52" s="508"/>
      <c r="D52" s="509"/>
      <c r="E52" s="93"/>
      <c r="F52" s="80"/>
      <c r="G52" s="94"/>
      <c r="H52" s="80"/>
      <c r="I52" s="72">
        <v>10.4</v>
      </c>
      <c r="J52" s="63">
        <v>2800</v>
      </c>
      <c r="K52" s="64">
        <f t="shared" si="1"/>
        <v>269.23076923076923</v>
      </c>
      <c r="L52" s="72">
        <v>10.4</v>
      </c>
      <c r="M52" s="65">
        <f>AVERAGE(M42:M51)</f>
        <v>2680.0501020022002</v>
      </c>
      <c r="N52" s="64">
        <f t="shared" si="3"/>
        <v>257.69712519251925</v>
      </c>
      <c r="O52" s="66">
        <f t="shared" si="4"/>
        <v>0</v>
      </c>
      <c r="P52" s="67">
        <f t="shared" si="5"/>
        <v>-11.533644038249975</v>
      </c>
      <c r="Q52" s="95">
        <f t="shared" si="6"/>
        <v>0.95716075071507156</v>
      </c>
      <c r="R52" s="530"/>
      <c r="S52" s="68"/>
      <c r="T52" s="68"/>
      <c r="U52" s="94"/>
      <c r="V52" s="100"/>
      <c r="W52" s="69"/>
      <c r="X52" s="69"/>
      <c r="Y52" s="517"/>
      <c r="Z52" s="518"/>
      <c r="AA52" s="66">
        <f t="shared" si="8"/>
        <v>-119.94989799779978</v>
      </c>
      <c r="AB52" s="95">
        <f t="shared" si="9"/>
        <v>0.95716075071507156</v>
      </c>
      <c r="AC52" s="530"/>
    </row>
    <row r="53" spans="1:29" ht="15.75" customHeight="1">
      <c r="A53" s="523" t="s">
        <v>252</v>
      </c>
      <c r="B53" s="62" t="s">
        <v>10</v>
      </c>
      <c r="C53" s="512" t="s">
        <v>41</v>
      </c>
      <c r="D53" s="512"/>
      <c r="E53" s="62">
        <v>46</v>
      </c>
      <c r="F53" s="74">
        <v>3006</v>
      </c>
      <c r="G53" s="94">
        <f t="shared" ref="G53:G58" si="35">E53*F53</f>
        <v>138276</v>
      </c>
      <c r="H53" s="90" t="s">
        <v>5</v>
      </c>
      <c r="I53" s="99">
        <v>17</v>
      </c>
      <c r="J53" s="63">
        <v>2000</v>
      </c>
      <c r="K53" s="64">
        <f t="shared" si="1"/>
        <v>117.64705882352941</v>
      </c>
      <c r="L53" s="99">
        <v>17</v>
      </c>
      <c r="M53" s="65">
        <f t="shared" ref="M53:M58" si="36">F53/V53*60</f>
        <v>1918.7234042553184</v>
      </c>
      <c r="N53" s="65">
        <f t="shared" si="3"/>
        <v>112.86608260325403</v>
      </c>
      <c r="O53" s="66">
        <f t="shared" si="4"/>
        <v>0</v>
      </c>
      <c r="P53" s="67">
        <f t="shared" si="5"/>
        <v>-4.7809762202753774</v>
      </c>
      <c r="Q53" s="95">
        <f t="shared" si="6"/>
        <v>0.95936170212765925</v>
      </c>
      <c r="R53" s="511">
        <f>Q59</f>
        <v>0.95904445814015371</v>
      </c>
      <c r="S53" s="68">
        <v>0.20833333333333334</v>
      </c>
      <c r="T53" s="68">
        <v>0.27361111111111114</v>
      </c>
      <c r="U53" s="73"/>
      <c r="V53" s="100">
        <f t="shared" ref="V53:V58" si="37">(T53-S53)*24*60</f>
        <v>94.000000000000028</v>
      </c>
      <c r="W53" s="73"/>
      <c r="X53" s="73"/>
      <c r="Y53" s="510"/>
      <c r="Z53" s="510"/>
      <c r="AA53" s="66">
        <f t="shared" si="8"/>
        <v>-81.276595744681572</v>
      </c>
      <c r="AB53" s="95">
        <f t="shared" si="9"/>
        <v>0.95936170212765925</v>
      </c>
      <c r="AC53" s="511">
        <f>AB59</f>
        <v>0.95904445814015371</v>
      </c>
    </row>
    <row r="54" spans="1:29" ht="15.75" customHeight="1">
      <c r="A54" s="523" t="s">
        <v>252</v>
      </c>
      <c r="B54" s="62" t="s">
        <v>10</v>
      </c>
      <c r="C54" s="512" t="s">
        <v>42</v>
      </c>
      <c r="D54" s="512"/>
      <c r="E54" s="62">
        <v>46</v>
      </c>
      <c r="F54" s="74">
        <v>3135</v>
      </c>
      <c r="G54" s="94">
        <f t="shared" si="35"/>
        <v>144210</v>
      </c>
      <c r="H54" s="90" t="s">
        <v>5</v>
      </c>
      <c r="I54" s="99">
        <v>17</v>
      </c>
      <c r="J54" s="63">
        <v>2000</v>
      </c>
      <c r="K54" s="64">
        <f t="shared" si="1"/>
        <v>117.64705882352941</v>
      </c>
      <c r="L54" s="99">
        <v>17</v>
      </c>
      <c r="M54" s="65">
        <f t="shared" si="36"/>
        <v>1919.3877551020414</v>
      </c>
      <c r="N54" s="65">
        <f t="shared" si="3"/>
        <v>112.90516206482596</v>
      </c>
      <c r="O54" s="66">
        <f t="shared" si="4"/>
        <v>0</v>
      </c>
      <c r="P54" s="67">
        <f t="shared" si="5"/>
        <v>-4.7418967587034473</v>
      </c>
      <c r="Q54" s="95">
        <f t="shared" si="6"/>
        <v>0.95969387755102065</v>
      </c>
      <c r="R54" s="511"/>
      <c r="S54" s="68">
        <v>0.27777777777777779</v>
      </c>
      <c r="T54" s="68">
        <v>0.34583333333333333</v>
      </c>
      <c r="U54" s="94">
        <f t="shared" ref="U54:U58" si="38">IF(S54=TIME(17,0,0),"",(S54-T53)*24*60)</f>
        <v>5.9999999999999787</v>
      </c>
      <c r="V54" s="100">
        <f t="shared" si="37"/>
        <v>97.999999999999972</v>
      </c>
      <c r="W54" s="69"/>
      <c r="X54" s="69"/>
      <c r="Y54" s="510"/>
      <c r="Z54" s="510"/>
      <c r="AA54" s="66">
        <f t="shared" si="8"/>
        <v>-80.61224489795859</v>
      </c>
      <c r="AB54" s="95">
        <f t="shared" si="9"/>
        <v>0.95969387755102076</v>
      </c>
      <c r="AC54" s="511"/>
    </row>
    <row r="55" spans="1:29" ht="15.75" customHeight="1">
      <c r="A55" s="523" t="s">
        <v>252</v>
      </c>
      <c r="B55" s="62" t="s">
        <v>6</v>
      </c>
      <c r="C55" s="521" t="s">
        <v>43</v>
      </c>
      <c r="D55" s="522"/>
      <c r="E55" s="62">
        <v>55.56</v>
      </c>
      <c r="F55" s="74">
        <v>2564</v>
      </c>
      <c r="G55" s="94">
        <f t="shared" si="35"/>
        <v>142455.84</v>
      </c>
      <c r="H55" s="90" t="s">
        <v>5</v>
      </c>
      <c r="I55" s="99">
        <v>17</v>
      </c>
      <c r="J55" s="63">
        <v>2000</v>
      </c>
      <c r="K55" s="64">
        <f t="shared" si="1"/>
        <v>117.64705882352941</v>
      </c>
      <c r="L55" s="99">
        <v>17</v>
      </c>
      <c r="M55" s="65">
        <f t="shared" si="36"/>
        <v>1922.9999999999993</v>
      </c>
      <c r="N55" s="65">
        <f t="shared" si="3"/>
        <v>113.11764705882349</v>
      </c>
      <c r="O55" s="66">
        <f t="shared" si="4"/>
        <v>0</v>
      </c>
      <c r="P55" s="67">
        <f t="shared" si="5"/>
        <v>-4.5294117647059124</v>
      </c>
      <c r="Q55" s="95">
        <f t="shared" si="6"/>
        <v>0.96149999999999969</v>
      </c>
      <c r="R55" s="511"/>
      <c r="S55" s="68">
        <v>0.70833333333333337</v>
      </c>
      <c r="T55" s="68">
        <v>0.76388888888888895</v>
      </c>
      <c r="U55" s="94" t="str">
        <f t="shared" si="38"/>
        <v/>
      </c>
      <c r="V55" s="100">
        <f t="shared" si="37"/>
        <v>80.000000000000028</v>
      </c>
      <c r="W55" s="69"/>
      <c r="X55" s="69"/>
      <c r="Y55" s="91"/>
      <c r="Z55" s="92"/>
      <c r="AA55" s="66">
        <f t="shared" si="8"/>
        <v>-77.000000000000682</v>
      </c>
      <c r="AB55" s="95">
        <f t="shared" si="9"/>
        <v>0.96149999999999969</v>
      </c>
      <c r="AC55" s="511"/>
    </row>
    <row r="56" spans="1:29" ht="15.75" customHeight="1">
      <c r="A56" s="523" t="s">
        <v>252</v>
      </c>
      <c r="B56" s="62" t="s">
        <v>6</v>
      </c>
      <c r="C56" s="97" t="s">
        <v>44</v>
      </c>
      <c r="D56" s="98"/>
      <c r="E56" s="62">
        <v>55.32</v>
      </c>
      <c r="F56" s="74">
        <v>1990</v>
      </c>
      <c r="G56" s="94">
        <f t="shared" si="35"/>
        <v>110086.8</v>
      </c>
      <c r="H56" s="90" t="s">
        <v>5</v>
      </c>
      <c r="I56" s="99">
        <v>15</v>
      </c>
      <c r="J56" s="63">
        <v>2000</v>
      </c>
      <c r="K56" s="64">
        <f t="shared" si="1"/>
        <v>133.33333333333334</v>
      </c>
      <c r="L56" s="99">
        <v>15</v>
      </c>
      <c r="M56" s="65">
        <f t="shared" si="36"/>
        <v>1925.8064516129052</v>
      </c>
      <c r="N56" s="65">
        <f t="shared" si="3"/>
        <v>128.38709677419368</v>
      </c>
      <c r="O56" s="66">
        <f t="shared" si="4"/>
        <v>0</v>
      </c>
      <c r="P56" s="67">
        <f t="shared" si="5"/>
        <v>-4.9462365591396633</v>
      </c>
      <c r="Q56" s="95">
        <f t="shared" si="6"/>
        <v>0.96290322580645249</v>
      </c>
      <c r="R56" s="511"/>
      <c r="S56" s="68">
        <v>0.76944444444444449</v>
      </c>
      <c r="T56" s="68">
        <v>0.8125</v>
      </c>
      <c r="U56" s="94">
        <f t="shared" si="38"/>
        <v>7.9999999999999716</v>
      </c>
      <c r="V56" s="100">
        <f t="shared" si="37"/>
        <v>61.999999999999943</v>
      </c>
      <c r="W56" s="69"/>
      <c r="X56" s="69"/>
      <c r="Y56" s="91"/>
      <c r="Z56" s="92"/>
      <c r="AA56" s="66">
        <f t="shared" si="8"/>
        <v>-74.193548387094779</v>
      </c>
      <c r="AB56" s="95">
        <f t="shared" si="9"/>
        <v>0.9629032258064526</v>
      </c>
      <c r="AC56" s="511"/>
    </row>
    <row r="57" spans="1:29" ht="15.75" customHeight="1">
      <c r="A57" s="523" t="s">
        <v>252</v>
      </c>
      <c r="B57" s="62" t="s">
        <v>6</v>
      </c>
      <c r="C57" s="97" t="s">
        <v>82</v>
      </c>
      <c r="D57" s="98"/>
      <c r="E57" s="62">
        <v>57.73</v>
      </c>
      <c r="F57" s="74">
        <v>1000</v>
      </c>
      <c r="G57" s="94">
        <f t="shared" si="35"/>
        <v>57730</v>
      </c>
      <c r="H57" s="90">
        <v>2</v>
      </c>
      <c r="I57" s="99">
        <v>16</v>
      </c>
      <c r="J57" s="63">
        <v>1500</v>
      </c>
      <c r="K57" s="64">
        <f t="shared" si="1"/>
        <v>93.75</v>
      </c>
      <c r="L57" s="99">
        <v>16</v>
      </c>
      <c r="M57" s="65">
        <f t="shared" si="36"/>
        <v>1428.5714285714282</v>
      </c>
      <c r="N57" s="65">
        <f t="shared" si="3"/>
        <v>89.285714285714263</v>
      </c>
      <c r="O57" s="66">
        <f t="shared" si="4"/>
        <v>0</v>
      </c>
      <c r="P57" s="67">
        <f t="shared" si="5"/>
        <v>-4.4642857142857366</v>
      </c>
      <c r="Q57" s="95">
        <f t="shared" si="6"/>
        <v>0.95238095238095211</v>
      </c>
      <c r="R57" s="511"/>
      <c r="S57" s="68">
        <v>0.81666666666666665</v>
      </c>
      <c r="T57" s="68">
        <v>0.84583333333333333</v>
      </c>
      <c r="U57" s="94">
        <f t="shared" si="38"/>
        <v>5.9999999999999787</v>
      </c>
      <c r="V57" s="100">
        <f t="shared" si="37"/>
        <v>42.000000000000014</v>
      </c>
      <c r="W57" s="69">
        <f>T57</f>
        <v>0.84583333333333333</v>
      </c>
      <c r="X57" s="69">
        <f>S58</f>
        <v>0.88541666666666663</v>
      </c>
      <c r="Y57" s="91"/>
      <c r="Z57" s="92"/>
      <c r="AA57" s="66">
        <f t="shared" si="8"/>
        <v>-71.428571428571786</v>
      </c>
      <c r="AB57" s="95">
        <f t="shared" si="9"/>
        <v>0.95238095238095211</v>
      </c>
      <c r="AC57" s="511"/>
    </row>
    <row r="58" spans="1:29" ht="15.75" customHeight="1">
      <c r="A58" s="523" t="s">
        <v>252</v>
      </c>
      <c r="B58" s="62" t="s">
        <v>6</v>
      </c>
      <c r="C58" s="521" t="s">
        <v>82</v>
      </c>
      <c r="D58" s="522"/>
      <c r="E58" s="62">
        <v>57.73</v>
      </c>
      <c r="F58" s="74">
        <v>1673</v>
      </c>
      <c r="G58" s="94">
        <f t="shared" si="35"/>
        <v>96582.29</v>
      </c>
      <c r="H58" s="90" t="s">
        <v>5</v>
      </c>
      <c r="I58" s="99">
        <v>16</v>
      </c>
      <c r="J58" s="63">
        <v>1500</v>
      </c>
      <c r="K58" s="64">
        <f t="shared" si="1"/>
        <v>93.75</v>
      </c>
      <c r="L58" s="99">
        <v>16</v>
      </c>
      <c r="M58" s="65">
        <f t="shared" si="36"/>
        <v>1433.9999999999986</v>
      </c>
      <c r="N58" s="65">
        <f t="shared" si="3"/>
        <v>89.624999999999915</v>
      </c>
      <c r="O58" s="66">
        <f t="shared" si="4"/>
        <v>0</v>
      </c>
      <c r="P58" s="67">
        <f t="shared" si="5"/>
        <v>-4.1250000000000853</v>
      </c>
      <c r="Q58" s="95">
        <f t="shared" si="6"/>
        <v>0.95599999999999907</v>
      </c>
      <c r="R58" s="511"/>
      <c r="S58" s="68">
        <v>0.88541666666666663</v>
      </c>
      <c r="T58" s="68">
        <v>0.93402777777777779</v>
      </c>
      <c r="U58" s="94">
        <f t="shared" si="38"/>
        <v>56.999999999999957</v>
      </c>
      <c r="V58" s="100">
        <f t="shared" si="37"/>
        <v>70.000000000000071</v>
      </c>
      <c r="W58" s="69"/>
      <c r="X58" s="69"/>
      <c r="Y58" s="517"/>
      <c r="Z58" s="518"/>
      <c r="AA58" s="66">
        <f t="shared" si="8"/>
        <v>-66.000000000001364</v>
      </c>
      <c r="AB58" s="95">
        <f t="shared" si="9"/>
        <v>0.95599999999999907</v>
      </c>
      <c r="AC58" s="511"/>
    </row>
    <row r="59" spans="1:29">
      <c r="A59" s="524" t="s">
        <v>252</v>
      </c>
      <c r="B59" s="62" t="s">
        <v>240</v>
      </c>
      <c r="C59" s="513"/>
      <c r="D59" s="513"/>
      <c r="E59" s="96"/>
      <c r="F59" s="71"/>
      <c r="G59" s="64"/>
      <c r="H59" s="80"/>
      <c r="I59" s="72">
        <v>16.333333333333332</v>
      </c>
      <c r="J59" s="63">
        <v>1833.3333333333333</v>
      </c>
      <c r="K59" s="64">
        <f t="shared" si="1"/>
        <v>112.24489795918367</v>
      </c>
      <c r="L59" s="72">
        <v>16.333333333333332</v>
      </c>
      <c r="M59" s="65">
        <f>AVERAGE(M53:M58)</f>
        <v>1758.2481732569483</v>
      </c>
      <c r="N59" s="64">
        <f t="shared" si="3"/>
        <v>107.64784734226215</v>
      </c>
      <c r="O59" s="66">
        <f t="shared" si="4"/>
        <v>0</v>
      </c>
      <c r="P59" s="67">
        <f t="shared" si="5"/>
        <v>-4.5970506169215213</v>
      </c>
      <c r="Q59" s="95">
        <f t="shared" si="6"/>
        <v>0.95904445814015371</v>
      </c>
      <c r="R59" s="511"/>
      <c r="S59" s="75"/>
      <c r="T59" s="68"/>
      <c r="U59" s="64"/>
      <c r="V59" s="100"/>
      <c r="W59" s="64"/>
      <c r="X59" s="64"/>
      <c r="Y59" s="510"/>
      <c r="Z59" s="510"/>
      <c r="AA59" s="66">
        <f t="shared" si="8"/>
        <v>-75.085160076384909</v>
      </c>
      <c r="AB59" s="95">
        <f t="shared" si="9"/>
        <v>0.95904445814015371</v>
      </c>
      <c r="AC59" s="511"/>
    </row>
    <row r="60" spans="1:29" ht="15.75" customHeight="1">
      <c r="A60" s="519" t="s">
        <v>253</v>
      </c>
      <c r="B60" s="80" t="s">
        <v>10</v>
      </c>
      <c r="C60" s="512" t="s">
        <v>46</v>
      </c>
      <c r="D60" s="512"/>
      <c r="E60" s="62">
        <v>26.97</v>
      </c>
      <c r="F60" s="74">
        <v>3400</v>
      </c>
      <c r="G60" s="94">
        <f t="shared" ref="G60:G64" si="39">E60*F60</f>
        <v>91698</v>
      </c>
      <c r="H60" s="90" t="s">
        <v>5</v>
      </c>
      <c r="I60" s="99">
        <v>8</v>
      </c>
      <c r="J60" s="63">
        <v>1500</v>
      </c>
      <c r="K60" s="64">
        <f t="shared" si="1"/>
        <v>187.5</v>
      </c>
      <c r="L60" s="99">
        <v>8</v>
      </c>
      <c r="M60" s="65">
        <f t="shared" ref="M60:M64" si="40">F60/V60*60</f>
        <v>1436.6197183098589</v>
      </c>
      <c r="N60" s="64">
        <f t="shared" si="3"/>
        <v>179.57746478873236</v>
      </c>
      <c r="O60" s="66">
        <f t="shared" si="4"/>
        <v>0</v>
      </c>
      <c r="P60" s="67">
        <f t="shared" si="5"/>
        <v>-7.9225352112676433</v>
      </c>
      <c r="Q60" s="95">
        <f t="shared" si="6"/>
        <v>0.95774647887323927</v>
      </c>
      <c r="R60" s="511">
        <f>Q65</f>
        <v>0.96089041830388344</v>
      </c>
      <c r="S60" s="68">
        <v>0.20833333333333334</v>
      </c>
      <c r="T60" s="68">
        <v>0.30694444444444446</v>
      </c>
      <c r="U60" s="94"/>
      <c r="V60" s="100">
        <f t="shared" ref="V60:V64" si="41">(T60-S60)*24*60</f>
        <v>142.00000000000003</v>
      </c>
      <c r="W60" s="73"/>
      <c r="X60" s="73"/>
      <c r="Y60" s="510"/>
      <c r="Z60" s="510"/>
      <c r="AA60" s="66">
        <f t="shared" si="8"/>
        <v>-63.380281690141146</v>
      </c>
      <c r="AB60" s="95">
        <f t="shared" si="9"/>
        <v>0.95774647887323927</v>
      </c>
      <c r="AC60" s="511">
        <f>AB65</f>
        <v>0.96089041830388366</v>
      </c>
    </row>
    <row r="61" spans="1:29" ht="15.75" customHeight="1">
      <c r="A61" s="519" t="s">
        <v>253</v>
      </c>
      <c r="B61" s="80" t="s">
        <v>35</v>
      </c>
      <c r="C61" s="512" t="s">
        <v>45</v>
      </c>
      <c r="D61" s="512"/>
      <c r="E61" s="62">
        <v>26.78</v>
      </c>
      <c r="F61" s="74">
        <v>2898</v>
      </c>
      <c r="G61" s="94">
        <f t="shared" si="39"/>
        <v>77608.44</v>
      </c>
      <c r="H61" s="90" t="s">
        <v>5</v>
      </c>
      <c r="I61" s="99">
        <v>10</v>
      </c>
      <c r="J61" s="63">
        <v>3000</v>
      </c>
      <c r="K61" s="64">
        <f t="shared" si="1"/>
        <v>300</v>
      </c>
      <c r="L61" s="99">
        <v>10</v>
      </c>
      <c r="M61" s="65">
        <f t="shared" si="40"/>
        <v>2897.9999999999986</v>
      </c>
      <c r="N61" s="64">
        <f t="shared" si="3"/>
        <v>289.79999999999984</v>
      </c>
      <c r="O61" s="66">
        <f t="shared" si="4"/>
        <v>0</v>
      </c>
      <c r="P61" s="67">
        <f t="shared" si="5"/>
        <v>-10.200000000000159</v>
      </c>
      <c r="Q61" s="95">
        <f t="shared" si="6"/>
        <v>0.96599999999999941</v>
      </c>
      <c r="R61" s="511"/>
      <c r="S61" s="68">
        <v>0.31111111111111112</v>
      </c>
      <c r="T61" s="68">
        <v>0.3527777777777778</v>
      </c>
      <c r="U61" s="94">
        <f t="shared" ref="U61:U64" si="42">(S61-T60)*24*60</f>
        <v>5.9999999999999787</v>
      </c>
      <c r="V61" s="100">
        <f t="shared" si="41"/>
        <v>60.000000000000028</v>
      </c>
      <c r="W61" s="94"/>
      <c r="X61" s="94"/>
      <c r="Y61" s="510"/>
      <c r="Z61" s="510"/>
      <c r="AA61" s="66">
        <f t="shared" si="8"/>
        <v>-102.00000000000136</v>
      </c>
      <c r="AB61" s="95">
        <f t="shared" si="9"/>
        <v>0.96599999999999953</v>
      </c>
      <c r="AC61" s="511"/>
    </row>
    <row r="62" spans="1:29" ht="15.75" customHeight="1">
      <c r="A62" s="519" t="s">
        <v>253</v>
      </c>
      <c r="B62" s="80" t="s">
        <v>35</v>
      </c>
      <c r="C62" s="512" t="s">
        <v>47</v>
      </c>
      <c r="D62" s="512"/>
      <c r="E62" s="62">
        <v>35.369999999999997</v>
      </c>
      <c r="F62" s="74">
        <v>1556</v>
      </c>
      <c r="G62" s="94">
        <f t="shared" si="39"/>
        <v>55035.719999999994</v>
      </c>
      <c r="H62" s="90" t="s">
        <v>5</v>
      </c>
      <c r="I62" s="99">
        <v>10</v>
      </c>
      <c r="J62" s="63">
        <v>3000</v>
      </c>
      <c r="K62" s="64">
        <f t="shared" si="1"/>
        <v>300</v>
      </c>
      <c r="L62" s="99">
        <v>10</v>
      </c>
      <c r="M62" s="65">
        <f t="shared" si="40"/>
        <v>2917.5000000000036</v>
      </c>
      <c r="N62" s="64">
        <f t="shared" si="3"/>
        <v>291.75000000000034</v>
      </c>
      <c r="O62" s="66">
        <f t="shared" si="4"/>
        <v>0</v>
      </c>
      <c r="P62" s="67">
        <f t="shared" si="5"/>
        <v>-8.2499999999996589</v>
      </c>
      <c r="Q62" s="95">
        <f t="shared" si="6"/>
        <v>0.97250000000000114</v>
      </c>
      <c r="R62" s="511"/>
      <c r="S62" s="68">
        <v>0.35833333333333334</v>
      </c>
      <c r="T62" s="68">
        <v>0.38055555555555554</v>
      </c>
      <c r="U62" s="94">
        <f t="shared" si="42"/>
        <v>7.9999999999999716</v>
      </c>
      <c r="V62" s="100">
        <f t="shared" si="41"/>
        <v>31.999999999999964</v>
      </c>
      <c r="W62" s="94"/>
      <c r="X62" s="94"/>
      <c r="Y62" s="510"/>
      <c r="Z62" s="510"/>
      <c r="AA62" s="66">
        <f t="shared" si="8"/>
        <v>-82.499999999996362</v>
      </c>
      <c r="AB62" s="95">
        <f t="shared" si="9"/>
        <v>0.97250000000000125</v>
      </c>
      <c r="AC62" s="511"/>
    </row>
    <row r="63" spans="1:29" ht="15.75" customHeight="1">
      <c r="A63" s="519" t="s">
        <v>253</v>
      </c>
      <c r="B63" s="80" t="s">
        <v>35</v>
      </c>
      <c r="C63" s="512" t="s">
        <v>75</v>
      </c>
      <c r="D63" s="512"/>
      <c r="E63" s="62">
        <v>37.880000000000003</v>
      </c>
      <c r="F63" s="74">
        <v>4056</v>
      </c>
      <c r="G63" s="94">
        <f t="shared" si="39"/>
        <v>153641.28</v>
      </c>
      <c r="H63" s="90" t="s">
        <v>5</v>
      </c>
      <c r="I63" s="99">
        <v>11</v>
      </c>
      <c r="J63" s="63">
        <v>3000</v>
      </c>
      <c r="K63" s="64">
        <f t="shared" si="1"/>
        <v>272.72727272727275</v>
      </c>
      <c r="L63" s="99">
        <v>11</v>
      </c>
      <c r="M63" s="65">
        <f t="shared" si="40"/>
        <v>2863.0588235294113</v>
      </c>
      <c r="N63" s="64">
        <f t="shared" si="3"/>
        <v>260.27807486631013</v>
      </c>
      <c r="O63" s="66">
        <f t="shared" si="4"/>
        <v>0</v>
      </c>
      <c r="P63" s="67">
        <f t="shared" si="5"/>
        <v>-12.449197860962613</v>
      </c>
      <c r="Q63" s="95">
        <f t="shared" si="6"/>
        <v>0.9543529411764704</v>
      </c>
      <c r="R63" s="511"/>
      <c r="S63" s="68">
        <v>0.38541666666666663</v>
      </c>
      <c r="T63" s="68">
        <v>0.44444444444444442</v>
      </c>
      <c r="U63" s="94">
        <f t="shared" si="42"/>
        <v>6.9999999999999751</v>
      </c>
      <c r="V63" s="100">
        <f t="shared" si="41"/>
        <v>85.000000000000014</v>
      </c>
      <c r="W63" s="94"/>
      <c r="X63" s="94"/>
      <c r="Y63" s="510"/>
      <c r="Z63" s="510"/>
      <c r="AA63" s="66">
        <f t="shared" si="8"/>
        <v>-136.94117647058874</v>
      </c>
      <c r="AB63" s="95">
        <f t="shared" si="9"/>
        <v>0.9543529411764704</v>
      </c>
      <c r="AC63" s="511"/>
    </row>
    <row r="64" spans="1:29">
      <c r="A64" s="520" t="s">
        <v>253</v>
      </c>
      <c r="B64" s="80" t="s">
        <v>35</v>
      </c>
      <c r="C64" s="512" t="s">
        <v>85</v>
      </c>
      <c r="D64" s="512"/>
      <c r="E64" s="62">
        <v>40.51</v>
      </c>
      <c r="F64" s="74">
        <v>5428</v>
      </c>
      <c r="G64" s="94">
        <f t="shared" si="39"/>
        <v>219888.28</v>
      </c>
      <c r="H64" s="90" t="s">
        <v>5</v>
      </c>
      <c r="I64" s="99">
        <v>10</v>
      </c>
      <c r="J64" s="63">
        <v>3000</v>
      </c>
      <c r="K64" s="64">
        <f t="shared" si="1"/>
        <v>300</v>
      </c>
      <c r="L64" s="99">
        <v>10</v>
      </c>
      <c r="M64" s="65">
        <f t="shared" si="40"/>
        <v>2856.8421052631561</v>
      </c>
      <c r="N64" s="64">
        <f t="shared" si="3"/>
        <v>285.68421052631561</v>
      </c>
      <c r="O64" s="66">
        <f t="shared" si="4"/>
        <v>0</v>
      </c>
      <c r="P64" s="67">
        <f t="shared" si="5"/>
        <v>-14.31578947368439</v>
      </c>
      <c r="Q64" s="95">
        <f t="shared" si="6"/>
        <v>0.95228070175438539</v>
      </c>
      <c r="R64" s="511"/>
      <c r="S64" s="68">
        <v>0.44930555555555551</v>
      </c>
      <c r="T64" s="68">
        <v>0.52847222222222223</v>
      </c>
      <c r="U64" s="94">
        <f t="shared" si="42"/>
        <v>6.9999999999999751</v>
      </c>
      <c r="V64" s="100">
        <f t="shared" si="41"/>
        <v>114.00000000000007</v>
      </c>
      <c r="W64" s="69"/>
      <c r="X64" s="69"/>
      <c r="Y64" s="510"/>
      <c r="Z64" s="510"/>
      <c r="AA64" s="66">
        <f t="shared" si="8"/>
        <v>-143.1578947368439</v>
      </c>
      <c r="AB64" s="95">
        <f t="shared" si="9"/>
        <v>0.95228070175438539</v>
      </c>
      <c r="AC64" s="511"/>
    </row>
    <row r="65" spans="1:29">
      <c r="A65" s="520" t="s">
        <v>253</v>
      </c>
      <c r="B65" s="62" t="s">
        <v>240</v>
      </c>
      <c r="C65" s="513"/>
      <c r="D65" s="513"/>
      <c r="E65" s="96"/>
      <c r="F65" s="71"/>
      <c r="G65" s="64"/>
      <c r="H65" s="80"/>
      <c r="I65" s="72">
        <v>9.8000000000000007</v>
      </c>
      <c r="J65" s="63">
        <v>2700</v>
      </c>
      <c r="K65" s="64">
        <f t="shared" si="1"/>
        <v>275.51020408163265</v>
      </c>
      <c r="L65" s="72">
        <v>9.8000000000000007</v>
      </c>
      <c r="M65" s="65">
        <f>AVERAGE(M60:M64)</f>
        <v>2594.4041294204858</v>
      </c>
      <c r="N65" s="64">
        <f t="shared" si="3"/>
        <v>264.7351152469883</v>
      </c>
      <c r="O65" s="66">
        <f t="shared" si="4"/>
        <v>0</v>
      </c>
      <c r="P65" s="67">
        <f t="shared" si="5"/>
        <v>-10.77508883464435</v>
      </c>
      <c r="Q65" s="95">
        <f t="shared" si="6"/>
        <v>0.96089041830388344</v>
      </c>
      <c r="R65" s="511"/>
      <c r="S65" s="68"/>
      <c r="T65" s="68"/>
      <c r="U65" s="64"/>
      <c r="V65" s="100"/>
      <c r="W65" s="64"/>
      <c r="X65" s="64"/>
      <c r="Y65" s="510"/>
      <c r="Z65" s="510"/>
      <c r="AA65" s="66">
        <f t="shared" si="8"/>
        <v>-105.59587057951421</v>
      </c>
      <c r="AB65" s="95">
        <f t="shared" si="9"/>
        <v>0.96089041830388366</v>
      </c>
      <c r="AC65" s="511"/>
    </row>
    <row r="66" spans="1:29" ht="15.75" customHeight="1">
      <c r="A66" s="514" t="s">
        <v>254</v>
      </c>
      <c r="B66" s="80" t="s">
        <v>16</v>
      </c>
      <c r="C66" s="512" t="s">
        <v>48</v>
      </c>
      <c r="D66" s="512"/>
      <c r="E66" s="62">
        <v>20.2</v>
      </c>
      <c r="F66" s="80">
        <v>3186</v>
      </c>
      <c r="G66" s="94">
        <f t="shared" ref="G66:G74" si="43">E66*F66</f>
        <v>64357.2</v>
      </c>
      <c r="H66" s="90" t="s">
        <v>5</v>
      </c>
      <c r="I66" s="99">
        <v>19</v>
      </c>
      <c r="J66" s="63">
        <v>2400</v>
      </c>
      <c r="K66" s="64">
        <f t="shared" si="1"/>
        <v>126.31578947368421</v>
      </c>
      <c r="L66" s="99">
        <v>19</v>
      </c>
      <c r="M66" s="65">
        <f t="shared" ref="M66:M74" si="44">F66/V66*60</f>
        <v>2303.132530120482</v>
      </c>
      <c r="N66" s="64">
        <f t="shared" si="3"/>
        <v>121.21750158528853</v>
      </c>
      <c r="O66" s="66">
        <f t="shared" si="4"/>
        <v>0</v>
      </c>
      <c r="P66" s="67">
        <f t="shared" si="5"/>
        <v>-5.0982878883956744</v>
      </c>
      <c r="Q66" s="95">
        <f t="shared" si="6"/>
        <v>0.95963855421686761</v>
      </c>
      <c r="R66" s="511">
        <f>Q75</f>
        <v>0.95777520566555896</v>
      </c>
      <c r="S66" s="68">
        <v>8.3333333333333329E-2</v>
      </c>
      <c r="T66" s="68">
        <v>0.14097222222222222</v>
      </c>
      <c r="U66" s="73"/>
      <c r="V66" s="100">
        <f t="shared" ref="V66:V74" si="45">(T66-S66)*24*60</f>
        <v>83</v>
      </c>
      <c r="W66" s="69">
        <f>T66</f>
        <v>0.14097222222222222</v>
      </c>
      <c r="X66" s="69">
        <f>S67</f>
        <v>0.16111111111111112</v>
      </c>
      <c r="Y66" s="510"/>
      <c r="Z66" s="510"/>
      <c r="AA66" s="66">
        <f t="shared" si="8"/>
        <v>-96.867469879518012</v>
      </c>
      <c r="AB66" s="95">
        <f t="shared" si="9"/>
        <v>0.9596385542168675</v>
      </c>
      <c r="AC66" s="511">
        <f>AB75</f>
        <v>0.95777520566555896</v>
      </c>
    </row>
    <row r="67" spans="1:29" ht="15.75" customHeight="1">
      <c r="A67" s="515" t="s">
        <v>254</v>
      </c>
      <c r="B67" s="80" t="s">
        <v>16</v>
      </c>
      <c r="C67" s="512" t="s">
        <v>27</v>
      </c>
      <c r="D67" s="512"/>
      <c r="E67" s="62">
        <v>25.98</v>
      </c>
      <c r="F67" s="80">
        <v>1542</v>
      </c>
      <c r="G67" s="94">
        <f t="shared" si="43"/>
        <v>40061.160000000003</v>
      </c>
      <c r="H67" s="90" t="s">
        <v>5</v>
      </c>
      <c r="I67" s="99">
        <v>17</v>
      </c>
      <c r="J67" s="63">
        <v>2400</v>
      </c>
      <c r="K67" s="64">
        <f t="shared" si="1"/>
        <v>141.1764705882353</v>
      </c>
      <c r="L67" s="99">
        <v>17</v>
      </c>
      <c r="M67" s="65">
        <f t="shared" si="44"/>
        <v>2313.0000000000009</v>
      </c>
      <c r="N67" s="64">
        <f t="shared" si="3"/>
        <v>136.05882352941182</v>
      </c>
      <c r="O67" s="66">
        <f t="shared" si="4"/>
        <v>0</v>
      </c>
      <c r="P67" s="67">
        <f t="shared" si="5"/>
        <v>-5.1176470588234793</v>
      </c>
      <c r="Q67" s="95">
        <f t="shared" si="6"/>
        <v>0.96375000000000033</v>
      </c>
      <c r="R67" s="511"/>
      <c r="S67" s="68">
        <v>0.16111111111111112</v>
      </c>
      <c r="T67" s="68">
        <v>0.18888888888888888</v>
      </c>
      <c r="U67" s="94">
        <f t="shared" ref="U67:U74" si="46">(S67-T66)*24*60</f>
        <v>29.000000000000018</v>
      </c>
      <c r="V67" s="100">
        <f t="shared" si="45"/>
        <v>39.999999999999979</v>
      </c>
      <c r="W67" s="69"/>
      <c r="X67" s="69"/>
      <c r="Y67" s="510"/>
      <c r="Z67" s="510"/>
      <c r="AA67" s="66">
        <f t="shared" si="8"/>
        <v>-86.999999999999091</v>
      </c>
      <c r="AB67" s="95">
        <f t="shared" si="9"/>
        <v>0.96375000000000033</v>
      </c>
      <c r="AC67" s="511"/>
    </row>
    <row r="68" spans="1:29" ht="15.75" customHeight="1">
      <c r="A68" s="515" t="s">
        <v>254</v>
      </c>
      <c r="B68" s="80" t="s">
        <v>16</v>
      </c>
      <c r="C68" s="512" t="s">
        <v>51</v>
      </c>
      <c r="D68" s="512"/>
      <c r="E68" s="62">
        <v>24.25</v>
      </c>
      <c r="F68" s="80">
        <v>3040</v>
      </c>
      <c r="G68" s="94">
        <f t="shared" si="43"/>
        <v>73720</v>
      </c>
      <c r="H68" s="90" t="s">
        <v>5</v>
      </c>
      <c r="I68" s="99">
        <v>17</v>
      </c>
      <c r="J68" s="63">
        <v>2400</v>
      </c>
      <c r="K68" s="64">
        <f t="shared" si="1"/>
        <v>141.1764705882353</v>
      </c>
      <c r="L68" s="99">
        <v>17</v>
      </c>
      <c r="M68" s="65">
        <f t="shared" si="44"/>
        <v>2308.8607594936707</v>
      </c>
      <c r="N68" s="64">
        <f t="shared" si="3"/>
        <v>135.81533879374533</v>
      </c>
      <c r="O68" s="66">
        <f t="shared" si="4"/>
        <v>0</v>
      </c>
      <c r="P68" s="67">
        <f t="shared" si="5"/>
        <v>-5.3611317944899781</v>
      </c>
      <c r="Q68" s="95">
        <f t="shared" si="6"/>
        <v>0.962025316455696</v>
      </c>
      <c r="R68" s="511"/>
      <c r="S68" s="68">
        <v>0.19236111111111109</v>
      </c>
      <c r="T68" s="68">
        <v>0.2472222222222222</v>
      </c>
      <c r="U68" s="94">
        <f t="shared" si="46"/>
        <v>4.9999999999999822</v>
      </c>
      <c r="V68" s="100">
        <f t="shared" si="45"/>
        <v>79</v>
      </c>
      <c r="W68" s="69"/>
      <c r="X68" s="69"/>
      <c r="Y68" s="510"/>
      <c r="Z68" s="510"/>
      <c r="AA68" s="66">
        <f t="shared" si="8"/>
        <v>-91.139240506329315</v>
      </c>
      <c r="AB68" s="95">
        <f t="shared" si="9"/>
        <v>0.96202531645569611</v>
      </c>
      <c r="AC68" s="511"/>
    </row>
    <row r="69" spans="1:29" ht="15.75" customHeight="1">
      <c r="A69" s="515" t="s">
        <v>254</v>
      </c>
      <c r="B69" s="80" t="s">
        <v>16</v>
      </c>
      <c r="C69" s="512" t="s">
        <v>17</v>
      </c>
      <c r="D69" s="512"/>
      <c r="E69" s="62">
        <v>24.45</v>
      </c>
      <c r="F69" s="80">
        <v>2799</v>
      </c>
      <c r="G69" s="94">
        <f t="shared" si="43"/>
        <v>68435.55</v>
      </c>
      <c r="H69" s="90" t="s">
        <v>5</v>
      </c>
      <c r="I69" s="99">
        <v>20</v>
      </c>
      <c r="J69" s="63">
        <v>2400</v>
      </c>
      <c r="K69" s="64">
        <f t="shared" ref="K69:K75" si="47">J69/I69</f>
        <v>120</v>
      </c>
      <c r="L69" s="99">
        <v>20</v>
      </c>
      <c r="M69" s="65">
        <f t="shared" si="44"/>
        <v>2300.5479452054797</v>
      </c>
      <c r="N69" s="64">
        <f t="shared" ref="N69:N75" si="48">M69/L69</f>
        <v>115.02739726027399</v>
      </c>
      <c r="O69" s="66">
        <f t="shared" ref="O69:O75" si="49">L69-I69</f>
        <v>0</v>
      </c>
      <c r="P69" s="67">
        <f t="shared" ref="P69:P75" si="50">N69-K69</f>
        <v>-4.972602739726014</v>
      </c>
      <c r="Q69" s="95">
        <f t="shared" ref="Q69:Q75" si="51">N69/K69</f>
        <v>0.95856164383561659</v>
      </c>
      <c r="R69" s="511"/>
      <c r="S69" s="68">
        <v>0.25277777777777777</v>
      </c>
      <c r="T69" s="68">
        <v>0.3034722222222222</v>
      </c>
      <c r="U69" s="94">
        <f t="shared" si="46"/>
        <v>8.0000000000000107</v>
      </c>
      <c r="V69" s="100">
        <f t="shared" si="45"/>
        <v>72.999999999999986</v>
      </c>
      <c r="W69" s="69"/>
      <c r="X69" s="69"/>
      <c r="Y69" s="510"/>
      <c r="Z69" s="510"/>
      <c r="AA69" s="66">
        <f t="shared" ref="AA69:AA75" si="52">M69-J69</f>
        <v>-99.452054794520336</v>
      </c>
      <c r="AB69" s="95">
        <f t="shared" ref="AB69:AB75" si="53">M69/J69</f>
        <v>0.95856164383561648</v>
      </c>
      <c r="AC69" s="511"/>
    </row>
    <row r="70" spans="1:29" ht="15.75" customHeight="1">
      <c r="A70" s="515" t="s">
        <v>254</v>
      </c>
      <c r="B70" s="80" t="s">
        <v>16</v>
      </c>
      <c r="C70" s="512" t="s">
        <v>34</v>
      </c>
      <c r="D70" s="512"/>
      <c r="E70" s="62">
        <v>24.25</v>
      </c>
      <c r="F70" s="80">
        <v>2600</v>
      </c>
      <c r="G70" s="94">
        <f t="shared" si="43"/>
        <v>63050</v>
      </c>
      <c r="H70" s="90">
        <v>2</v>
      </c>
      <c r="I70" s="99">
        <v>14</v>
      </c>
      <c r="J70" s="63">
        <v>2400</v>
      </c>
      <c r="K70" s="64">
        <f t="shared" si="47"/>
        <v>171.42857142857142</v>
      </c>
      <c r="L70" s="99">
        <v>14</v>
      </c>
      <c r="M70" s="65">
        <f t="shared" si="44"/>
        <v>2294.1176470588234</v>
      </c>
      <c r="N70" s="64">
        <f t="shared" si="48"/>
        <v>163.8655462184874</v>
      </c>
      <c r="O70" s="66">
        <f t="shared" si="49"/>
        <v>0</v>
      </c>
      <c r="P70" s="67">
        <f t="shared" si="50"/>
        <v>-7.563025210084021</v>
      </c>
      <c r="Q70" s="95">
        <f t="shared" si="51"/>
        <v>0.95588235294117652</v>
      </c>
      <c r="R70" s="511"/>
      <c r="S70" s="68">
        <v>0.30902777777777773</v>
      </c>
      <c r="T70" s="68">
        <v>0.35624999999999996</v>
      </c>
      <c r="U70" s="94">
        <f t="shared" si="46"/>
        <v>7.9999999999999716</v>
      </c>
      <c r="V70" s="100">
        <f t="shared" si="45"/>
        <v>68</v>
      </c>
      <c r="W70" s="69"/>
      <c r="X70" s="69"/>
      <c r="Y70" s="510"/>
      <c r="Z70" s="510"/>
      <c r="AA70" s="66">
        <f t="shared" si="52"/>
        <v>-105.88235294117658</v>
      </c>
      <c r="AB70" s="95">
        <f t="shared" si="53"/>
        <v>0.95588235294117641</v>
      </c>
      <c r="AC70" s="511"/>
    </row>
    <row r="71" spans="1:29" ht="15.75" customHeight="1">
      <c r="A71" s="515" t="s">
        <v>254</v>
      </c>
      <c r="B71" s="80" t="s">
        <v>16</v>
      </c>
      <c r="C71" s="512" t="s">
        <v>26</v>
      </c>
      <c r="D71" s="512"/>
      <c r="E71" s="62">
        <v>20.52</v>
      </c>
      <c r="F71" s="80">
        <v>3707</v>
      </c>
      <c r="G71" s="94">
        <f t="shared" si="43"/>
        <v>76067.64</v>
      </c>
      <c r="H71" s="90" t="s">
        <v>5</v>
      </c>
      <c r="I71" s="99">
        <v>18</v>
      </c>
      <c r="J71" s="63">
        <v>2400</v>
      </c>
      <c r="K71" s="64">
        <f t="shared" si="47"/>
        <v>133.33333333333334</v>
      </c>
      <c r="L71" s="99">
        <v>18</v>
      </c>
      <c r="M71" s="65">
        <f t="shared" si="44"/>
        <v>2292.9896907216503</v>
      </c>
      <c r="N71" s="64">
        <f t="shared" si="48"/>
        <v>127.38831615120279</v>
      </c>
      <c r="O71" s="66">
        <f t="shared" si="49"/>
        <v>0</v>
      </c>
      <c r="P71" s="67">
        <f t="shared" si="50"/>
        <v>-5.945017182130556</v>
      </c>
      <c r="Q71" s="95">
        <f t="shared" si="51"/>
        <v>0.95541237113402089</v>
      </c>
      <c r="R71" s="511"/>
      <c r="S71" s="68">
        <v>0.36041666666666661</v>
      </c>
      <c r="T71" s="68">
        <v>0.4277777777777777</v>
      </c>
      <c r="U71" s="94">
        <f t="shared" si="46"/>
        <v>5.9999999999999787</v>
      </c>
      <c r="V71" s="100">
        <f t="shared" si="45"/>
        <v>96.999999999999972</v>
      </c>
      <c r="W71" s="69"/>
      <c r="X71" s="69"/>
      <c r="Y71" s="510"/>
      <c r="Z71" s="510"/>
      <c r="AA71" s="66">
        <f t="shared" si="52"/>
        <v>-107.01030927834972</v>
      </c>
      <c r="AB71" s="95">
        <f t="shared" si="53"/>
        <v>0.955412371134021</v>
      </c>
      <c r="AC71" s="511"/>
    </row>
    <row r="72" spans="1:29" ht="15.75" customHeight="1">
      <c r="A72" s="515" t="s">
        <v>254</v>
      </c>
      <c r="B72" s="80" t="s">
        <v>16</v>
      </c>
      <c r="C72" s="512" t="s">
        <v>49</v>
      </c>
      <c r="D72" s="512"/>
      <c r="E72" s="62">
        <v>19.02</v>
      </c>
      <c r="F72" s="80">
        <v>4500</v>
      </c>
      <c r="G72" s="94">
        <f t="shared" si="43"/>
        <v>85590</v>
      </c>
      <c r="H72" s="90">
        <v>2</v>
      </c>
      <c r="I72" s="99">
        <v>15</v>
      </c>
      <c r="J72" s="63">
        <v>2400</v>
      </c>
      <c r="K72" s="64">
        <f t="shared" si="47"/>
        <v>160</v>
      </c>
      <c r="L72" s="99">
        <v>15</v>
      </c>
      <c r="M72" s="65">
        <f t="shared" si="44"/>
        <v>2288.1355932203378</v>
      </c>
      <c r="N72" s="64">
        <f t="shared" si="48"/>
        <v>152.54237288135585</v>
      </c>
      <c r="O72" s="66">
        <f t="shared" si="49"/>
        <v>0</v>
      </c>
      <c r="P72" s="67">
        <f t="shared" si="50"/>
        <v>-7.4576271186441545</v>
      </c>
      <c r="Q72" s="95">
        <f t="shared" si="51"/>
        <v>0.95338983050847403</v>
      </c>
      <c r="R72" s="511"/>
      <c r="S72" s="68">
        <v>0.43333333333333324</v>
      </c>
      <c r="T72" s="68">
        <v>0.51527777777777772</v>
      </c>
      <c r="U72" s="94">
        <f t="shared" si="46"/>
        <v>7.9999999999999716</v>
      </c>
      <c r="V72" s="100">
        <f t="shared" si="45"/>
        <v>118.00000000000006</v>
      </c>
      <c r="W72" s="69">
        <f>T72</f>
        <v>0.51527777777777772</v>
      </c>
      <c r="X72" s="69">
        <f>S73</f>
        <v>0.55624999999999991</v>
      </c>
      <c r="Y72" s="517"/>
      <c r="Z72" s="518"/>
      <c r="AA72" s="66">
        <f t="shared" si="52"/>
        <v>-111.8644067796622</v>
      </c>
      <c r="AB72" s="95">
        <f t="shared" si="53"/>
        <v>0.95338983050847403</v>
      </c>
      <c r="AC72" s="511"/>
    </row>
    <row r="73" spans="1:29" ht="15.75" customHeight="1">
      <c r="A73" s="515" t="s">
        <v>254</v>
      </c>
      <c r="B73" s="80" t="s">
        <v>16</v>
      </c>
      <c r="C73" s="512" t="s">
        <v>49</v>
      </c>
      <c r="D73" s="512"/>
      <c r="E73" s="62">
        <v>19.02</v>
      </c>
      <c r="F73" s="80">
        <v>7032</v>
      </c>
      <c r="G73" s="94">
        <f t="shared" si="43"/>
        <v>133748.63999999998</v>
      </c>
      <c r="H73" s="90" t="s">
        <v>5</v>
      </c>
      <c r="I73" s="99">
        <v>15</v>
      </c>
      <c r="J73" s="63">
        <v>2400</v>
      </c>
      <c r="K73" s="64">
        <f t="shared" si="47"/>
        <v>160</v>
      </c>
      <c r="L73" s="99">
        <v>15</v>
      </c>
      <c r="M73" s="65">
        <f t="shared" si="44"/>
        <v>2280.6486486486492</v>
      </c>
      <c r="N73" s="64">
        <f t="shared" si="48"/>
        <v>152.04324324324327</v>
      </c>
      <c r="O73" s="66">
        <f t="shared" si="49"/>
        <v>0</v>
      </c>
      <c r="P73" s="67">
        <f t="shared" si="50"/>
        <v>-7.9567567567567323</v>
      </c>
      <c r="Q73" s="95">
        <f t="shared" si="51"/>
        <v>0.95027027027027045</v>
      </c>
      <c r="R73" s="511"/>
      <c r="S73" s="68">
        <v>0.55624999999999991</v>
      </c>
      <c r="T73" s="68">
        <v>0.68472222222222212</v>
      </c>
      <c r="U73" s="94">
        <f t="shared" si="46"/>
        <v>58.99999999999995</v>
      </c>
      <c r="V73" s="100">
        <f t="shared" si="45"/>
        <v>184.99999999999997</v>
      </c>
      <c r="W73" s="69"/>
      <c r="X73" s="69"/>
      <c r="Y73" s="517"/>
      <c r="Z73" s="518"/>
      <c r="AA73" s="66">
        <f t="shared" si="52"/>
        <v>-119.35135135135079</v>
      </c>
      <c r="AB73" s="95">
        <f t="shared" si="53"/>
        <v>0.95027027027027056</v>
      </c>
      <c r="AC73" s="511"/>
    </row>
    <row r="74" spans="1:29" ht="15.75" customHeight="1">
      <c r="A74" s="515" t="s">
        <v>254</v>
      </c>
      <c r="B74" s="80" t="s">
        <v>16</v>
      </c>
      <c r="C74" s="512" t="s">
        <v>34</v>
      </c>
      <c r="D74" s="512"/>
      <c r="E74" s="62">
        <v>24.25</v>
      </c>
      <c r="F74" s="80">
        <v>1653</v>
      </c>
      <c r="G74" s="94">
        <f t="shared" si="43"/>
        <v>40085.25</v>
      </c>
      <c r="H74" s="90" t="s">
        <v>5</v>
      </c>
      <c r="I74" s="99">
        <v>14</v>
      </c>
      <c r="J74" s="63">
        <v>2400</v>
      </c>
      <c r="K74" s="64">
        <f t="shared" si="47"/>
        <v>171.42857142857142</v>
      </c>
      <c r="L74" s="99">
        <v>14</v>
      </c>
      <c r="M74" s="65">
        <f t="shared" si="44"/>
        <v>2306.5116279069762</v>
      </c>
      <c r="N74" s="64">
        <f t="shared" si="48"/>
        <v>164.75083056478402</v>
      </c>
      <c r="O74" s="66">
        <f t="shared" si="49"/>
        <v>0</v>
      </c>
      <c r="P74" s="67">
        <f t="shared" si="50"/>
        <v>-6.6777408637873918</v>
      </c>
      <c r="Q74" s="95">
        <f t="shared" si="51"/>
        <v>0.96104651162790689</v>
      </c>
      <c r="R74" s="511"/>
      <c r="S74" s="68">
        <v>0.68888888888888877</v>
      </c>
      <c r="T74" s="68">
        <v>0.71874999999999989</v>
      </c>
      <c r="U74" s="94">
        <f t="shared" si="46"/>
        <v>5.9999999999999787</v>
      </c>
      <c r="V74" s="100">
        <f t="shared" si="45"/>
        <v>43.000000000000007</v>
      </c>
      <c r="W74" s="69"/>
      <c r="X74" s="69"/>
      <c r="Y74" s="517"/>
      <c r="Z74" s="518"/>
      <c r="AA74" s="66">
        <f t="shared" si="52"/>
        <v>-93.488372093023827</v>
      </c>
      <c r="AB74" s="95">
        <f t="shared" si="53"/>
        <v>0.96104651162790677</v>
      </c>
      <c r="AC74" s="511"/>
    </row>
    <row r="75" spans="1:29" ht="16.5" customHeight="1">
      <c r="A75" s="516" t="s">
        <v>254</v>
      </c>
      <c r="B75" s="62" t="s">
        <v>240</v>
      </c>
      <c r="C75" s="508"/>
      <c r="D75" s="509"/>
      <c r="E75" s="96"/>
      <c r="F75" s="71"/>
      <c r="G75" s="64"/>
      <c r="H75" s="80"/>
      <c r="I75" s="72">
        <v>16.555555555555557</v>
      </c>
      <c r="J75" s="63">
        <v>2400</v>
      </c>
      <c r="K75" s="64">
        <f t="shared" si="47"/>
        <v>144.96644295302013</v>
      </c>
      <c r="L75" s="72">
        <v>16.555555555555557</v>
      </c>
      <c r="M75" s="65">
        <f>AVERAGE(M66:M74)</f>
        <v>2298.6604935973414</v>
      </c>
      <c r="N75" s="64">
        <f t="shared" si="48"/>
        <v>138.84526471393337</v>
      </c>
      <c r="O75" s="66">
        <f t="shared" si="49"/>
        <v>0</v>
      </c>
      <c r="P75" s="67">
        <f t="shared" si="50"/>
        <v>-6.1211782390867597</v>
      </c>
      <c r="Q75" s="95">
        <f t="shared" si="51"/>
        <v>0.95777520566555896</v>
      </c>
      <c r="R75" s="511"/>
      <c r="S75" s="68"/>
      <c r="T75" s="68"/>
      <c r="U75" s="64"/>
      <c r="V75" s="100"/>
      <c r="W75" s="64"/>
      <c r="X75" s="64"/>
      <c r="Y75" s="510"/>
      <c r="Z75" s="510"/>
      <c r="AA75" s="66">
        <f t="shared" si="52"/>
        <v>-101.33950640265857</v>
      </c>
      <c r="AB75" s="95">
        <f t="shared" si="53"/>
        <v>0.95777520566555896</v>
      </c>
      <c r="AC75" s="511"/>
    </row>
    <row r="76" spans="1:29">
      <c r="D76" s="76"/>
      <c r="E76" s="76"/>
    </row>
  </sheetData>
  <mergeCells count="198">
    <mergeCell ref="AC66:AC75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  <mergeCell ref="A66:A75"/>
    <mergeCell ref="C66:D66"/>
    <mergeCell ref="R66:R75"/>
    <mergeCell ref="Y66:Z66"/>
    <mergeCell ref="Y71:Z71"/>
    <mergeCell ref="A60:A65"/>
    <mergeCell ref="C60:D60"/>
    <mergeCell ref="R60:R65"/>
    <mergeCell ref="Y60:Z60"/>
    <mergeCell ref="C75:D75"/>
    <mergeCell ref="Y75:Z75"/>
    <mergeCell ref="C72:D72"/>
    <mergeCell ref="Y72:Z72"/>
    <mergeCell ref="C73:D73"/>
    <mergeCell ref="Y73:Z73"/>
    <mergeCell ref="C74:D74"/>
    <mergeCell ref="Y74:Z74"/>
    <mergeCell ref="AC60:AC65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C65:D65"/>
    <mergeCell ref="Y65:Z65"/>
    <mergeCell ref="A53:A59"/>
    <mergeCell ref="C53:D53"/>
    <mergeCell ref="R53:R59"/>
    <mergeCell ref="Y53:Z53"/>
    <mergeCell ref="C48:D48"/>
    <mergeCell ref="Y48:Z48"/>
    <mergeCell ref="C49:D49"/>
    <mergeCell ref="Y49:Z49"/>
    <mergeCell ref="C50:D50"/>
    <mergeCell ref="Y50:Z50"/>
    <mergeCell ref="A42:A52"/>
    <mergeCell ref="C42:D42"/>
    <mergeCell ref="R42:R52"/>
    <mergeCell ref="Y42:Z42"/>
    <mergeCell ref="Y47:Z47"/>
    <mergeCell ref="AC42:AC52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51:D51"/>
    <mergeCell ref="Y51:Z51"/>
    <mergeCell ref="C52:D52"/>
    <mergeCell ref="Y52:Z5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18:A23"/>
    <mergeCell ref="C18:D18"/>
    <mergeCell ref="R18:R23"/>
    <mergeCell ref="Y18:Z18"/>
    <mergeCell ref="Y23:Z23"/>
    <mergeCell ref="A12:A17"/>
    <mergeCell ref="AC24:AC32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1 O75 O5:O9 O11:O13 O52:O60 O17:O47">
    <cfRule type="cellIs" dxfId="220" priority="75" operator="greaterThan">
      <formula>0</formula>
    </cfRule>
  </conditionalFormatting>
  <conditionalFormatting sqref="P5:P7 P63:P64 AA63:AA64 P66:P71 P24:P31 P60 P9 P11:P13 P18:P22 P53:P58 P33:P47 AA5:AA60 AA66:AA75">
    <cfRule type="cellIs" dxfId="219" priority="79" operator="lessThan">
      <formula>0</formula>
    </cfRule>
  </conditionalFormatting>
  <conditionalFormatting sqref="AB63:AB64 Q63:Q71 Q75 Q5:Q9 Q11:Q13 Q52:Q60 Q17:Q47 AB5:AB60 AB66:AB75">
    <cfRule type="cellIs" dxfId="218" priority="76" operator="greaterThan">
      <formula>1</formula>
    </cfRule>
    <cfRule type="cellIs" dxfId="217" priority="77" operator="lessThan">
      <formula>0.8</formula>
    </cfRule>
  </conditionalFormatting>
  <conditionalFormatting sqref="AC12:AC13 R12:R13 AC63 R63:R71 R75 AC5:AC9 R5:R9 R17:R47 AC17:AC47 AC52:AC60 R52:R60">
    <cfRule type="cellIs" dxfId="216" priority="81" operator="lessThan">
      <formula>0.8</formula>
    </cfRule>
  </conditionalFormatting>
  <conditionalFormatting sqref="AC42">
    <cfRule type="cellIs" dxfId="215" priority="83" operator="lessThan">
      <formula>0.8</formula>
    </cfRule>
  </conditionalFormatting>
  <conditionalFormatting sqref="AC18:AC22">
    <cfRule type="cellIs" dxfId="214" priority="80" operator="lessThan">
      <formula>0.8</formula>
    </cfRule>
  </conditionalFormatting>
  <conditionalFormatting sqref="AC24">
    <cfRule type="cellIs" dxfId="213" priority="82" operator="lessThan">
      <formula>0.8</formula>
    </cfRule>
  </conditionalFormatting>
  <conditionalFormatting sqref="AC33:AC40">
    <cfRule type="cellIs" dxfId="212" priority="78" operator="lessThan">
      <formula>0.8</formula>
    </cfRule>
  </conditionalFormatting>
  <conditionalFormatting sqref="AA65">
    <cfRule type="cellIs" dxfId="211" priority="74" operator="lessThan">
      <formula>0</formula>
    </cfRule>
  </conditionalFormatting>
  <conditionalFormatting sqref="AB65">
    <cfRule type="cellIs" dxfId="210" priority="72" operator="greaterThan">
      <formula>1</formula>
    </cfRule>
    <cfRule type="cellIs" dxfId="209" priority="73" operator="lessThan">
      <formula>0.8</formula>
    </cfRule>
  </conditionalFormatting>
  <conditionalFormatting sqref="O14:O15">
    <cfRule type="cellIs" dxfId="208" priority="67" operator="greaterThan">
      <formula>0</formula>
    </cfRule>
  </conditionalFormatting>
  <conditionalFormatting sqref="P14:P15">
    <cfRule type="cellIs" dxfId="207" priority="70" operator="lessThan">
      <formula>0</formula>
    </cfRule>
  </conditionalFormatting>
  <conditionalFormatting sqref="Q14:Q15">
    <cfRule type="cellIs" dxfId="206" priority="68" operator="greaterThan">
      <formula>1</formula>
    </cfRule>
    <cfRule type="cellIs" dxfId="205" priority="69" operator="lessThan">
      <formula>0.8</formula>
    </cfRule>
  </conditionalFormatting>
  <conditionalFormatting sqref="R14:R15 AC14:AC15">
    <cfRule type="cellIs" dxfId="204" priority="71" operator="lessThan">
      <formula>0.8</formula>
    </cfRule>
  </conditionalFormatting>
  <conditionalFormatting sqref="O10">
    <cfRule type="cellIs" dxfId="203" priority="63" operator="greaterThan">
      <formula>0</formula>
    </cfRule>
  </conditionalFormatting>
  <conditionalFormatting sqref="P10">
    <cfRule type="cellIs" dxfId="202" priority="66" operator="lessThan">
      <formula>0</formula>
    </cfRule>
  </conditionalFormatting>
  <conditionalFormatting sqref="Q10">
    <cfRule type="cellIs" dxfId="201" priority="64" operator="greaterThan">
      <formula>1</formula>
    </cfRule>
    <cfRule type="cellIs" dxfId="200" priority="65" operator="lessThan">
      <formula>0.8</formula>
    </cfRule>
  </conditionalFormatting>
  <conditionalFormatting sqref="O62">
    <cfRule type="cellIs" dxfId="199" priority="58" operator="greaterThan">
      <formula>0</formula>
    </cfRule>
  </conditionalFormatting>
  <conditionalFormatting sqref="P62 AA62">
    <cfRule type="cellIs" dxfId="198" priority="61" operator="lessThan">
      <formula>0</formula>
    </cfRule>
  </conditionalFormatting>
  <conditionalFormatting sqref="Q62 AB62">
    <cfRule type="cellIs" dxfId="197" priority="59" operator="greaterThan">
      <formula>1</formula>
    </cfRule>
    <cfRule type="cellIs" dxfId="196" priority="60" operator="lessThan">
      <formula>0.8</formula>
    </cfRule>
  </conditionalFormatting>
  <conditionalFormatting sqref="R62 AC62">
    <cfRule type="cellIs" dxfId="195" priority="62" operator="lessThan">
      <formula>0.8</formula>
    </cfRule>
  </conditionalFormatting>
  <conditionalFormatting sqref="O72">
    <cfRule type="cellIs" dxfId="194" priority="53" operator="greaterThan">
      <formula>0</formula>
    </cfRule>
  </conditionalFormatting>
  <conditionalFormatting sqref="P72">
    <cfRule type="cellIs" dxfId="193" priority="56" operator="lessThan">
      <formula>0</formula>
    </cfRule>
  </conditionalFormatting>
  <conditionalFormatting sqref="Q72">
    <cfRule type="cellIs" dxfId="192" priority="54" operator="greaterThan">
      <formula>1</formula>
    </cfRule>
    <cfRule type="cellIs" dxfId="191" priority="55" operator="lessThan">
      <formula>0.8</formula>
    </cfRule>
  </conditionalFormatting>
  <conditionalFormatting sqref="R72">
    <cfRule type="cellIs" dxfId="190" priority="57" operator="lessThan">
      <formula>0.8</formula>
    </cfRule>
  </conditionalFormatting>
  <conditionalFormatting sqref="O16">
    <cfRule type="cellIs" dxfId="189" priority="48" operator="greaterThan">
      <formula>0</formula>
    </cfRule>
  </conditionalFormatting>
  <conditionalFormatting sqref="P16">
    <cfRule type="cellIs" dxfId="188" priority="51" operator="lessThan">
      <formula>0</formula>
    </cfRule>
  </conditionalFormatting>
  <conditionalFormatting sqref="Q16">
    <cfRule type="cellIs" dxfId="187" priority="49" operator="greaterThan">
      <formula>1</formula>
    </cfRule>
    <cfRule type="cellIs" dxfId="186" priority="50" operator="lessThan">
      <formula>0.8</formula>
    </cfRule>
  </conditionalFormatting>
  <conditionalFormatting sqref="R16 AC16">
    <cfRule type="cellIs" dxfId="185" priority="52" operator="lessThan">
      <formula>0.8</formula>
    </cfRule>
  </conditionalFormatting>
  <conditionalFormatting sqref="O48">
    <cfRule type="cellIs" dxfId="184" priority="42" operator="greaterThan">
      <formula>0</formula>
    </cfRule>
  </conditionalFormatting>
  <conditionalFormatting sqref="P48">
    <cfRule type="cellIs" dxfId="183" priority="46" operator="lessThan">
      <formula>0</formula>
    </cfRule>
  </conditionalFormatting>
  <conditionalFormatting sqref="Q48">
    <cfRule type="cellIs" dxfId="182" priority="43" operator="greaterThan">
      <formula>1</formula>
    </cfRule>
    <cfRule type="cellIs" dxfId="181" priority="44" operator="lessThan">
      <formula>0.8</formula>
    </cfRule>
  </conditionalFormatting>
  <conditionalFormatting sqref="R48 AC48">
    <cfRule type="cellIs" dxfId="180" priority="47" operator="lessThan">
      <formula>0.8</formula>
    </cfRule>
  </conditionalFormatting>
  <conditionalFormatting sqref="AC48">
    <cfRule type="cellIs" dxfId="179" priority="45" operator="lessThan">
      <formula>0.8</formula>
    </cfRule>
  </conditionalFormatting>
  <conditionalFormatting sqref="O49">
    <cfRule type="cellIs" dxfId="178" priority="36" operator="greaterThan">
      <formula>0</formula>
    </cfRule>
  </conditionalFormatting>
  <conditionalFormatting sqref="P49">
    <cfRule type="cellIs" dxfId="177" priority="40" operator="lessThan">
      <formula>0</formula>
    </cfRule>
  </conditionalFormatting>
  <conditionalFormatting sqref="Q49">
    <cfRule type="cellIs" dxfId="176" priority="37" operator="greaterThan">
      <formula>1</formula>
    </cfRule>
    <cfRule type="cellIs" dxfId="175" priority="38" operator="lessThan">
      <formula>0.8</formula>
    </cfRule>
  </conditionalFormatting>
  <conditionalFormatting sqref="R49 AC49">
    <cfRule type="cellIs" dxfId="174" priority="41" operator="lessThan">
      <formula>0.8</formula>
    </cfRule>
  </conditionalFormatting>
  <conditionalFormatting sqref="AC49">
    <cfRule type="cellIs" dxfId="173" priority="39" operator="lessThan">
      <formula>0.8</formula>
    </cfRule>
  </conditionalFormatting>
  <conditionalFormatting sqref="O50">
    <cfRule type="cellIs" dxfId="172" priority="30" operator="greaterThan">
      <formula>0</formula>
    </cfRule>
  </conditionalFormatting>
  <conditionalFormatting sqref="P50">
    <cfRule type="cellIs" dxfId="171" priority="34" operator="lessThan">
      <formula>0</formula>
    </cfRule>
  </conditionalFormatting>
  <conditionalFormatting sqref="Q50">
    <cfRule type="cellIs" dxfId="170" priority="31" operator="greaterThan">
      <formula>1</formula>
    </cfRule>
    <cfRule type="cellIs" dxfId="169" priority="32" operator="lessThan">
      <formula>0.8</formula>
    </cfRule>
  </conditionalFormatting>
  <conditionalFormatting sqref="R50 AC50">
    <cfRule type="cellIs" dxfId="168" priority="35" operator="lessThan">
      <formula>0.8</formula>
    </cfRule>
  </conditionalFormatting>
  <conditionalFormatting sqref="AC50">
    <cfRule type="cellIs" dxfId="167" priority="33" operator="lessThan">
      <formula>0.8</formula>
    </cfRule>
  </conditionalFormatting>
  <conditionalFormatting sqref="O51">
    <cfRule type="cellIs" dxfId="166" priority="24" operator="greaterThan">
      <formula>0</formula>
    </cfRule>
  </conditionalFormatting>
  <conditionalFormatting sqref="P51">
    <cfRule type="cellIs" dxfId="165" priority="28" operator="lessThan">
      <formula>0</formula>
    </cfRule>
  </conditionalFormatting>
  <conditionalFormatting sqref="Q51">
    <cfRule type="cellIs" dxfId="164" priority="25" operator="greaterThan">
      <formula>1</formula>
    </cfRule>
    <cfRule type="cellIs" dxfId="163" priority="26" operator="lessThan">
      <formula>0.8</formula>
    </cfRule>
  </conditionalFormatting>
  <conditionalFormatting sqref="R51 AC51">
    <cfRule type="cellIs" dxfId="162" priority="29" operator="lessThan">
      <formula>0.8</formula>
    </cfRule>
  </conditionalFormatting>
  <conditionalFormatting sqref="AC51">
    <cfRule type="cellIs" dxfId="161" priority="27" operator="lessThan">
      <formula>0.8</formula>
    </cfRule>
  </conditionalFormatting>
  <conditionalFormatting sqref="O61">
    <cfRule type="cellIs" dxfId="160" priority="19" operator="greaterThan">
      <formula>0</formula>
    </cfRule>
  </conditionalFormatting>
  <conditionalFormatting sqref="P61 AA61">
    <cfRule type="cellIs" dxfId="159" priority="22" operator="lessThan">
      <formula>0</formula>
    </cfRule>
  </conditionalFormatting>
  <conditionalFormatting sqref="Q61 AB61">
    <cfRule type="cellIs" dxfId="158" priority="20" operator="greaterThan">
      <formula>1</formula>
    </cfRule>
    <cfRule type="cellIs" dxfId="157" priority="21" operator="lessThan">
      <formula>0.8</formula>
    </cfRule>
  </conditionalFormatting>
  <conditionalFormatting sqref="R61 AC61">
    <cfRule type="cellIs" dxfId="156" priority="23" operator="lessThan">
      <formula>0.8</formula>
    </cfRule>
  </conditionalFormatting>
  <conditionalFormatting sqref="P8">
    <cfRule type="cellIs" dxfId="155" priority="18" operator="lessThan">
      <formula>0</formula>
    </cfRule>
  </conditionalFormatting>
  <conditionalFormatting sqref="P17">
    <cfRule type="cellIs" dxfId="154" priority="17" operator="lessThan">
      <formula>0</formula>
    </cfRule>
  </conditionalFormatting>
  <conditionalFormatting sqref="P23">
    <cfRule type="cellIs" dxfId="153" priority="16" operator="lessThan">
      <formula>0</formula>
    </cfRule>
  </conditionalFormatting>
  <conditionalFormatting sqref="P32">
    <cfRule type="cellIs" dxfId="152" priority="15" operator="lessThan">
      <formula>0</formula>
    </cfRule>
  </conditionalFormatting>
  <conditionalFormatting sqref="P52">
    <cfRule type="cellIs" dxfId="151" priority="14" operator="lessThan">
      <formula>0</formula>
    </cfRule>
  </conditionalFormatting>
  <conditionalFormatting sqref="P59">
    <cfRule type="cellIs" dxfId="150" priority="13" operator="lessThan">
      <formula>0</formula>
    </cfRule>
  </conditionalFormatting>
  <conditionalFormatting sqref="P65">
    <cfRule type="cellIs" dxfId="149" priority="12" operator="lessThan">
      <formula>0</formula>
    </cfRule>
  </conditionalFormatting>
  <conditionalFormatting sqref="P75">
    <cfRule type="cellIs" dxfId="148" priority="11" operator="lessThan">
      <formula>0</formula>
    </cfRule>
  </conditionalFormatting>
  <conditionalFormatting sqref="O73">
    <cfRule type="cellIs" dxfId="147" priority="6" operator="greaterThan">
      <formula>0</formula>
    </cfRule>
  </conditionalFormatting>
  <conditionalFormatting sqref="P73">
    <cfRule type="cellIs" dxfId="146" priority="9" operator="lessThan">
      <formula>0</formula>
    </cfRule>
  </conditionalFormatting>
  <conditionalFormatting sqref="Q73">
    <cfRule type="cellIs" dxfId="145" priority="7" operator="greaterThan">
      <formula>1</formula>
    </cfRule>
    <cfRule type="cellIs" dxfId="144" priority="8" operator="lessThan">
      <formula>0.8</formula>
    </cfRule>
  </conditionalFormatting>
  <conditionalFormatting sqref="R73">
    <cfRule type="cellIs" dxfId="143" priority="10" operator="lessThan">
      <formula>0.8</formula>
    </cfRule>
  </conditionalFormatting>
  <conditionalFormatting sqref="O74">
    <cfRule type="cellIs" dxfId="142" priority="1" operator="greaterThan">
      <formula>0</formula>
    </cfRule>
  </conditionalFormatting>
  <conditionalFormatting sqref="P74">
    <cfRule type="cellIs" dxfId="141" priority="4" operator="lessThan">
      <formula>0</formula>
    </cfRule>
  </conditionalFormatting>
  <conditionalFormatting sqref="Q74">
    <cfRule type="cellIs" dxfId="140" priority="2" operator="greaterThan">
      <formula>1</formula>
    </cfRule>
    <cfRule type="cellIs" dxfId="139" priority="3" operator="lessThan">
      <formula>0.8</formula>
    </cfRule>
  </conditionalFormatting>
  <conditionalFormatting sqref="R74">
    <cfRule type="cellIs" dxfId="138" priority="5" operator="lessThan">
      <formula>0.8</formula>
    </cfRule>
  </conditionalFormatting>
  <dataValidations count="1">
    <dataValidation type="list" allowBlank="1" showInputMessage="1" showErrorMessage="1" sqref="Z8 Z64 Y5:Z7 Y8:Y64 Z10:Z60 Y65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23" sqref="B2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495" t="s">
        <v>87</v>
      </c>
      <c r="C1" s="495"/>
      <c r="D1" s="495"/>
      <c r="E1" s="495"/>
      <c r="F1" s="495"/>
      <c r="G1" s="495"/>
      <c r="H1" s="495"/>
      <c r="I1" s="495"/>
      <c r="J1" s="495"/>
      <c r="K1" s="1"/>
      <c r="L1" s="1"/>
      <c r="M1" s="1"/>
      <c r="N1" s="1"/>
      <c r="O1" s="1"/>
      <c r="P1" s="1"/>
    </row>
    <row r="2" spans="2:17" ht="27.75" customHeight="1">
      <c r="B2" s="496"/>
      <c r="C2" s="496"/>
      <c r="D2" s="496"/>
      <c r="E2" s="496"/>
      <c r="F2" s="496"/>
      <c r="G2" s="496"/>
      <c r="H2" s="496"/>
      <c r="I2" s="496"/>
      <c r="J2" s="496"/>
      <c r="K2" s="3"/>
      <c r="L2" s="3"/>
      <c r="M2" s="3"/>
      <c r="N2" s="1"/>
      <c r="O2" s="1"/>
      <c r="P2" s="1"/>
    </row>
    <row r="3" spans="2:17" ht="46.5" customHeight="1">
      <c r="B3" s="4" t="s">
        <v>88</v>
      </c>
      <c r="C3" s="497" t="str">
        <f>TEXT('1101 4度C'!A2,"yyyy.mm.ddaaaa")</f>
        <v>2025.11.01星期六</v>
      </c>
      <c r="D3" s="498"/>
      <c r="E3" s="4" t="s">
        <v>89</v>
      </c>
      <c r="F3" s="499">
        <f>'1101 4度C'!D1</f>
        <v>154607</v>
      </c>
      <c r="G3" s="500"/>
      <c r="H3" s="4" t="s">
        <v>90</v>
      </c>
      <c r="I3" s="501">
        <f>'1101 4度C'!F1</f>
        <v>5140908.55</v>
      </c>
      <c r="J3" s="502"/>
      <c r="K3" s="5"/>
      <c r="L3" s="6"/>
      <c r="M3" s="7"/>
      <c r="N3" s="7"/>
    </row>
    <row r="4" spans="2:17" ht="28.5" customHeight="1">
      <c r="B4" s="503" t="s">
        <v>91</v>
      </c>
      <c r="C4" s="485" t="s">
        <v>92</v>
      </c>
      <c r="D4" s="486"/>
      <c r="E4" s="506" t="s">
        <v>93</v>
      </c>
      <c r="F4" s="507"/>
      <c r="G4" s="506" t="s">
        <v>94</v>
      </c>
      <c r="H4" s="507"/>
      <c r="I4" s="506" t="s">
        <v>95</v>
      </c>
      <c r="J4" s="507"/>
      <c r="L4" s="7"/>
      <c r="M4" s="7"/>
      <c r="N4" s="7"/>
    </row>
    <row r="5" spans="2:17" ht="28.5" customHeight="1">
      <c r="B5" s="504"/>
      <c r="C5" s="485" t="s">
        <v>96</v>
      </c>
      <c r="D5" s="486"/>
      <c r="E5" s="485" t="s">
        <v>97</v>
      </c>
      <c r="F5" s="486"/>
      <c r="G5" s="487" t="s">
        <v>98</v>
      </c>
      <c r="H5" s="488"/>
      <c r="I5" s="489" t="s">
        <v>99</v>
      </c>
      <c r="J5" s="490"/>
      <c r="K5" s="7"/>
      <c r="L5" s="7"/>
      <c r="M5" s="7"/>
      <c r="N5" s="7"/>
    </row>
    <row r="6" spans="2:17" ht="28.5" customHeight="1">
      <c r="B6" s="504"/>
      <c r="C6" s="485" t="s">
        <v>52</v>
      </c>
      <c r="D6" s="486"/>
      <c r="E6" s="491">
        <f>AVERAGE(D13:M13)</f>
        <v>148.80827149033257</v>
      </c>
      <c r="F6" s="492">
        <f>AVERAGE(D27:O27,D13:J13)</f>
        <v>153.24268208266025</v>
      </c>
      <c r="G6" s="493">
        <f>AVERAGE(D13:J13)</f>
        <v>153.24268208266025</v>
      </c>
      <c r="H6" s="494"/>
      <c r="I6" s="493">
        <f>AVERAGE(K13:M13)</f>
        <v>138.46131344156791</v>
      </c>
      <c r="J6" s="494"/>
      <c r="K6" s="7"/>
      <c r="L6" s="7"/>
      <c r="M6" s="7"/>
      <c r="N6" s="7"/>
    </row>
    <row r="7" spans="2:17" ht="28.5" customHeight="1">
      <c r="B7" s="504"/>
      <c r="C7" s="475" t="s">
        <v>53</v>
      </c>
      <c r="D7" s="476"/>
      <c r="E7" s="477">
        <f>AVERAGE(D14:M14)</f>
        <v>142.86109794010906</v>
      </c>
      <c r="F7" s="478">
        <f>AVERAGE(D28:O28,D14:J14)</f>
        <v>147.23346574869493</v>
      </c>
      <c r="G7" s="479">
        <f>AVERAGE(D14:J14)</f>
        <v>147.23346574869493</v>
      </c>
      <c r="H7" s="480"/>
      <c r="I7" s="479">
        <f>AVERAGE(K14:M14)</f>
        <v>132.65890638674205</v>
      </c>
      <c r="J7" s="480"/>
      <c r="K7" s="7"/>
      <c r="L7" s="7"/>
      <c r="M7" s="7"/>
      <c r="N7" s="7"/>
    </row>
    <row r="8" spans="2:17" ht="28.5" customHeight="1">
      <c r="B8" s="505"/>
      <c r="C8" s="475" t="s">
        <v>54</v>
      </c>
      <c r="D8" s="476"/>
      <c r="E8" s="481">
        <f>AVERAGE(D15:M15)</f>
        <v>0.95924398982975223</v>
      </c>
      <c r="F8" s="482">
        <f>AVERAGE(D15:J15,D29:O29)</f>
        <v>0.95974589728393478</v>
      </c>
      <c r="G8" s="483">
        <f>AVERAGE(D15:J15)</f>
        <v>0.95974589728393478</v>
      </c>
      <c r="H8" s="484"/>
      <c r="I8" s="483">
        <f>AVERAGE(K15:M15)</f>
        <v>0.95807287243665995</v>
      </c>
      <c r="J8" s="484"/>
      <c r="K8" s="8" t="s">
        <v>68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458" t="s">
        <v>100</v>
      </c>
      <c r="C10" s="459"/>
      <c r="D10" s="460" t="s">
        <v>101</v>
      </c>
      <c r="E10" s="461"/>
      <c r="F10" s="461"/>
      <c r="G10" s="461"/>
      <c r="H10" s="461"/>
      <c r="I10" s="461"/>
      <c r="J10" s="462"/>
      <c r="K10" s="463" t="s">
        <v>102</v>
      </c>
      <c r="L10" s="464"/>
      <c r="M10" s="465"/>
      <c r="P10" s="11"/>
      <c r="Q10" s="11"/>
    </row>
    <row r="11" spans="2:17" ht="17.25" customHeight="1">
      <c r="B11" s="466" t="s">
        <v>103</v>
      </c>
      <c r="C11" s="467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468"/>
      <c r="C12" s="469"/>
      <c r="D12" s="15" t="s">
        <v>55</v>
      </c>
      <c r="E12" s="16" t="s">
        <v>56</v>
      </c>
      <c r="F12" s="16" t="s">
        <v>57</v>
      </c>
      <c r="G12" s="16" t="s">
        <v>58</v>
      </c>
      <c r="H12" s="16" t="s">
        <v>59</v>
      </c>
      <c r="I12" s="16" t="s">
        <v>60</v>
      </c>
      <c r="J12" s="17" t="s">
        <v>61</v>
      </c>
      <c r="K12" s="15" t="s">
        <v>62</v>
      </c>
      <c r="L12" s="16" t="s">
        <v>63</v>
      </c>
      <c r="M12" s="17" t="s">
        <v>64</v>
      </c>
    </row>
    <row r="13" spans="2:17" ht="40.15" customHeight="1">
      <c r="B13" s="470" t="s">
        <v>78</v>
      </c>
      <c r="C13" s="18" t="s">
        <v>104</v>
      </c>
      <c r="D13" s="19">
        <f>SUMIFS('1101 4度C'!$K:$K,'1101 4度C'!$A:$A,"新豐6線",'1101 4度C'!$B:$B,"平均")</f>
        <v>125</v>
      </c>
      <c r="E13" s="20">
        <f>SUMIFS('1101 4度C'!$K:$K,'1101 4度C'!$A:$A,"新豐2線",'1101 4度C'!$B:$B,"平均")</f>
        <v>81.081081081081081</v>
      </c>
      <c r="F13" s="21">
        <f>SUMIFS('1101 4度C'!$K:$K,'1101 4度C'!$A:$A,"新豐5線",'1101 4度C'!$B:$B,"平均")</f>
        <v>91.397849462365585</v>
      </c>
      <c r="G13" s="21">
        <f>SUMIFS('1101 4度C'!$K:$K,'1101 4度C'!$A:$A,"新豐7線",'1101 4度C'!$B:$B,"平均")</f>
        <v>121.95121951219514</v>
      </c>
      <c r="H13" s="21">
        <f>SUMIFS('1101 4度C'!$K:$K,'1101 4度C'!$A:$A,"新豐3線",'1101 4度C'!$B:$B,"平均")</f>
        <v>261.90476190476193</v>
      </c>
      <c r="I13" s="21">
        <f>SUMIFS('1101 4度C'!$K:$K,'1101 4度C'!$A:$A,"新豐1線",'1101 4度C'!$B:$B,"平均")</f>
        <v>115.85365853658537</v>
      </c>
      <c r="J13" s="22">
        <f>SUMIFS('1101 4度C'!$K:$K,'1101 4度C'!$A:$A,"新豐10線",'1101 4度C'!$B:$B,"平均")</f>
        <v>275.51020408163265</v>
      </c>
      <c r="K13" s="23">
        <f>SUMIFS('1101 4度C'!$K:$K,'1101 4度C'!$A:$A,"新豐8線",'1101 4度C'!$B:$B,"平均")</f>
        <v>135.84905660377356</v>
      </c>
      <c r="L13" s="24">
        <f>SUMIFS('1101 4度C'!$K:$K,'1101 4度C'!$A:$A,"新豐9線",'1101 4度C'!$B:$B,"平均")</f>
        <v>139.53488372093022</v>
      </c>
      <c r="M13" s="22">
        <f>SUMIFS('1101 4度C'!$K:$K,'1101 4度C'!$A:$A,"新豐4線",'1101 4度C'!$B:$B,"平均")</f>
        <v>140</v>
      </c>
    </row>
    <row r="14" spans="2:17" ht="39.6" customHeight="1">
      <c r="B14" s="471"/>
      <c r="C14" s="25" t="s">
        <v>105</v>
      </c>
      <c r="D14" s="26">
        <f>SUMIFS('1101 4度C'!$N:$N,'1101 4度C'!$A:$A,"新豐6線",'1101 4度C'!$B:$B,"平均")</f>
        <v>120.19861820821988</v>
      </c>
      <c r="E14" s="27">
        <f>SUMIFS('1101 4度C'!$N:$N,'1101 4度C'!$A:$A,"新豐2線",'1101 4度C'!$B:$B,"平均")</f>
        <v>77.507754483455415</v>
      </c>
      <c r="F14" s="27">
        <f>SUMIFS('1101 4度C'!$N:$N,'1101 4度C'!$A:$A,"新豐5線",'1101 4度C'!$B:$B,"平均")</f>
        <v>87.340863737328235</v>
      </c>
      <c r="G14" s="27">
        <f>SUMIFS('1101 4度C'!$N:$N,'1101 4度C'!$A:$A,"新豐7線",'1101 4度C'!$B:$B,"平均")</f>
        <v>117.19583728951949</v>
      </c>
      <c r="H14" s="27">
        <f>SUMIFS('1101 4度C'!$N:$N,'1101 4度C'!$A:$A,"新豐3線",'1101 4度C'!$B:$B,"平均")</f>
        <v>251.2823781691896</v>
      </c>
      <c r="I14" s="27">
        <f>SUMIFS('1101 4度C'!$N:$N,'1101 4度C'!$A:$A,"新豐1線",'1101 4度C'!$B:$B,"平均")</f>
        <v>111.13239001083757</v>
      </c>
      <c r="J14" s="28">
        <f>SUMIFS('1101 4度C'!$N:$N,'1101 4度C'!$A:$A,"新豐10線",'1101 4度C'!$B:$B,"平均")</f>
        <v>265.97641834231428</v>
      </c>
      <c r="K14" s="29">
        <f>SUMIFS('1101 4度C'!$N:$N,'1101 4度C'!$A:$A,"新豐8線",'1101 4度C'!$B:$B,"平均")</f>
        <v>129.87357475167798</v>
      </c>
      <c r="L14" s="30">
        <f>SUMIFS('1101 4度C'!$N:$N,'1101 4度C'!$A:$A,"新豐9線",'1101 4度C'!$B:$B,"平均")</f>
        <v>133.65841039427323</v>
      </c>
      <c r="M14" s="28">
        <f>SUMIFS('1101 4度C'!$N:$N,'1101 4度C'!$A:$A,"新豐4線",'1101 4度C'!$B:$B,"平均")</f>
        <v>134.4447340142749</v>
      </c>
    </row>
    <row r="15" spans="2:17" ht="40.15" customHeight="1">
      <c r="B15" s="472"/>
      <c r="C15" s="31" t="s">
        <v>106</v>
      </c>
      <c r="D15" s="32">
        <f t="shared" ref="D15:M15" si="0">D14/D13</f>
        <v>0.96158894566575903</v>
      </c>
      <c r="E15" s="33">
        <f t="shared" si="0"/>
        <v>0.95592897196261684</v>
      </c>
      <c r="F15" s="33">
        <f t="shared" si="0"/>
        <v>0.95561180324370898</v>
      </c>
      <c r="G15" s="33">
        <f t="shared" si="0"/>
        <v>0.96100586577405966</v>
      </c>
      <c r="H15" s="33">
        <f t="shared" si="0"/>
        <v>0.95944180755508746</v>
      </c>
      <c r="I15" s="33">
        <f t="shared" si="0"/>
        <v>0.95924799798828209</v>
      </c>
      <c r="J15" s="34">
        <f t="shared" si="0"/>
        <v>0.96539588879802962</v>
      </c>
      <c r="K15" s="32">
        <f t="shared" si="0"/>
        <v>0.95601381414429643</v>
      </c>
      <c r="L15" s="33">
        <f t="shared" si="0"/>
        <v>0.95788527449229155</v>
      </c>
      <c r="M15" s="34">
        <f t="shared" si="0"/>
        <v>0.9603195286733921</v>
      </c>
    </row>
    <row r="16" spans="2:17" ht="17.25" customHeight="1">
      <c r="B16" s="473" t="s">
        <v>107</v>
      </c>
      <c r="C16" s="35" t="s">
        <v>69</v>
      </c>
      <c r="D16" s="49">
        <f>VLOOKUP("新豐6線",'1101 4度C'!$A:$T,19,0)</f>
        <v>0.70833333333333337</v>
      </c>
      <c r="E16" s="50">
        <f>VLOOKUP("新豐2線",'1101 4度C'!$A:$T,19,0)</f>
        <v>0.20833333333333334</v>
      </c>
      <c r="F16" s="50">
        <f>VLOOKUP("新豐5線",'1101 4度C'!$A:$T,19,0)</f>
        <v>0.125</v>
      </c>
      <c r="G16" s="50">
        <f>VLOOKUP("新豐7線",'1101 4度C'!$A:$T,19,0)</f>
        <v>0.20833333333333334</v>
      </c>
      <c r="H16" s="50">
        <f>VLOOKUP("新豐3線",'1101 4度C'!$A:$T,19,0)</f>
        <v>8.3333333333333329E-2</v>
      </c>
      <c r="I16" s="50">
        <f>VLOOKUP("新豐1線",'1101 4度C'!$A:$T,19,0)</f>
        <v>0.20833333333333334</v>
      </c>
      <c r="J16" s="51">
        <f>VLOOKUP("新豐10線",'1101 4度C'!$A:$T,19,0)</f>
        <v>0.20833333333333334</v>
      </c>
      <c r="K16" s="36">
        <f>VLOOKUP("新豐8線",'1101 4度C'!$A:$T,19,0)</f>
        <v>8.3333333333333329E-2</v>
      </c>
      <c r="L16" s="37">
        <f>VLOOKUP("新豐9線",'1101 4度C'!$A:$T,19,0)</f>
        <v>8.3333333333333329E-2</v>
      </c>
      <c r="M16" s="38">
        <f>VLOOKUP("新豐4線",'1101 4度C'!$A:$T,19,0)</f>
        <v>8.3333333333333329E-2</v>
      </c>
    </row>
    <row r="17" spans="2:13" ht="17.25" customHeight="1">
      <c r="B17" s="474"/>
      <c r="C17" s="35" t="s">
        <v>108</v>
      </c>
      <c r="D17" s="36">
        <f>LOOKUP(2,1/(('1101 4度C'!$A:$A="新豐6線")*('1101 4度C'!$T:$T&lt;&gt;"")),'1101 4度C'!$T:$T)</f>
        <v>0.82291666666666674</v>
      </c>
      <c r="E17" s="50">
        <f>LOOKUP(2,1/(('1101 4度C'!$A:$A="新豐2線")*('1101 4度C'!$T:$T&lt;&gt;"")),'1101 4度C'!$T:$T)</f>
        <v>0.41388888888888886</v>
      </c>
      <c r="F17" s="50">
        <f>LOOKUP(2,1/(('1101 4度C'!$A:$A="新豐5線")*('1101 4度C'!$T:$T&lt;&gt;"")),'1101 4度C'!$T:$T)</f>
        <v>0.8305555555555556</v>
      </c>
      <c r="G17" s="50">
        <f>LOOKUP(2,1/(('1101 4度C'!$A:$A="新豐7線")*('1101 4度C'!$T:$T&lt;&gt;"")),'1101 4度C'!$T:$T)</f>
        <v>0.80138888888888893</v>
      </c>
      <c r="H17" s="50">
        <f>LOOKUP(2,1/(('1101 4度C'!$A:$A="新豐3線")*('1101 4度C'!$T:$T&lt;&gt;"")),'1101 4度C'!$T:$T)</f>
        <v>0.68541666666666656</v>
      </c>
      <c r="I17" s="50">
        <f>LOOKUP(2,1/(('1101 4度C'!$A:$A="新豐1線")*('1101 4度C'!$T:$T&lt;&gt;"")),'1101 4度C'!$T:$T)</f>
        <v>0.86180555555555549</v>
      </c>
      <c r="J17" s="51">
        <f>LOOKUP(2,1/(('1101 4度C'!$A:$A="新豐10線")*('1101 4度C'!$T:$T&lt;&gt;"")),'1101 4度C'!$T:$T)</f>
        <v>0.45347222222222217</v>
      </c>
      <c r="K17" s="49">
        <f>LOOKUP(2,1/(('1101 4度C'!$A:$A="新豐8線")*('1101 4度C'!$T:$T&lt;&gt;"")),'1101 4度C'!$T:$T)</f>
        <v>0.6</v>
      </c>
      <c r="L17" s="50">
        <f>LOOKUP(2,1/(('1101 4度C'!$A:$A="新豐9線")*('1101 4度C'!$T:$T&lt;&gt;"")),'1101 4度C'!$T:$T)</f>
        <v>0.52430555555555547</v>
      </c>
      <c r="M17" s="51">
        <f>LOOKUP(2,1/(('1101 4度C'!$A:$A="新豐4線")*('1101 4度C'!$T:$T&lt;&gt;"")),'1101 4度C'!$T:$T)</f>
        <v>0.51388888888888884</v>
      </c>
    </row>
    <row r="18" spans="2:13" ht="17.25" customHeight="1">
      <c r="B18" s="452" t="s">
        <v>109</v>
      </c>
      <c r="C18" s="453"/>
      <c r="D18" s="39">
        <f>SUMIFS('1101 4度C'!$I:$I,'1101 4度C'!$A:$A,"新豐6線",'1101 4度C'!$B:$B,"平均")</f>
        <v>16</v>
      </c>
      <c r="E18" s="40">
        <f>SUMIFS('1101 4度C'!$I:$I,'1101 4度C'!$A:$A,"新豐2線",'1101 4度C'!$B:$B,"平均")</f>
        <v>18.5</v>
      </c>
      <c r="F18" s="40">
        <f>SUMIFS('1101 4度C'!$I:$I,'1101 4度C'!$A:$A,"新豐5線",'1101 4度C'!$B:$B,"平均")</f>
        <v>18.600000000000001</v>
      </c>
      <c r="G18" s="40">
        <f>SUMIFS('1101 4度C'!$I:$I,'1101 4度C'!$A:$A,"新豐7線",'1101 4度C'!$B:$B,"平均")</f>
        <v>16.399999999999999</v>
      </c>
      <c r="H18" s="40">
        <f>SUMIFS('1101 4度C'!$I:$I,'1101 4度C'!$A:$A,"新豐3線",'1101 4度C'!$B:$B,"平均")</f>
        <v>10.5</v>
      </c>
      <c r="I18" s="40">
        <f>SUMIFS('1101 4度C'!$I:$I,'1101 4度C'!$A:$A,"新豐1線",'1101 4度C'!$B:$B,"平均")</f>
        <v>16.399999999999999</v>
      </c>
      <c r="J18" s="41">
        <f>SUMIFS('1101 4度C'!$I:$I,'1101 4度C'!$A:$A,"新豐10線",'1101 4度C'!$B:$B,"平均")</f>
        <v>9.8000000000000007</v>
      </c>
      <c r="K18" s="39">
        <f>SUMIFS('1101 4度C'!$I:$I,'1101 4度C'!$A:$A,"新豐8線",'1101 4度C'!$B:$B,"平均")</f>
        <v>17.666666666666668</v>
      </c>
      <c r="L18" s="40">
        <f>SUMIFS('1101 4度C'!$I:$I,'1101 4度C'!$A:$A,"新豐9線",'1101 4度C'!$B:$B,"平均")</f>
        <v>17.2</v>
      </c>
      <c r="M18" s="41">
        <f>SUMIFS('1101 4度C'!$I:$I,'1101 4度C'!$A:$A,"新豐4線",'1101 4度C'!$B:$B,"平均")</f>
        <v>17.142857142857142</v>
      </c>
    </row>
    <row r="19" spans="2:13" ht="17.25" customHeight="1">
      <c r="B19" s="452" t="s">
        <v>110</v>
      </c>
      <c r="C19" s="453"/>
      <c r="D19" s="42" t="s">
        <v>65</v>
      </c>
      <c r="E19" s="43" t="s">
        <v>66</v>
      </c>
      <c r="F19" s="43" t="s">
        <v>70</v>
      </c>
      <c r="G19" s="43" t="s">
        <v>86</v>
      </c>
      <c r="H19" s="43" t="s">
        <v>67</v>
      </c>
      <c r="I19" s="43" t="s">
        <v>65</v>
      </c>
      <c r="J19" s="44" t="s">
        <v>67</v>
      </c>
      <c r="K19" s="42" t="s">
        <v>111</v>
      </c>
      <c r="L19" s="43" t="s">
        <v>112</v>
      </c>
      <c r="M19" s="44" t="s">
        <v>71</v>
      </c>
    </row>
    <row r="20" spans="2:13" ht="17.25" customHeight="1">
      <c r="B20" s="452" t="s">
        <v>113</v>
      </c>
      <c r="C20" s="453"/>
      <c r="D20" s="42"/>
      <c r="E20" s="43"/>
      <c r="F20" s="43" t="s">
        <v>114</v>
      </c>
      <c r="G20" s="43" t="s">
        <v>65</v>
      </c>
      <c r="H20" s="43"/>
      <c r="I20" s="43"/>
      <c r="J20" s="44"/>
      <c r="K20" s="42"/>
      <c r="L20" s="43"/>
      <c r="M20" s="44"/>
    </row>
    <row r="21" spans="2:13" ht="17.25" customHeight="1" thickBot="1">
      <c r="B21" s="454" t="s">
        <v>115</v>
      </c>
      <c r="C21" s="455"/>
      <c r="D21" s="45"/>
      <c r="E21" s="46" t="s">
        <v>116</v>
      </c>
      <c r="F21" s="456" t="s">
        <v>117</v>
      </c>
      <c r="G21" s="457"/>
      <c r="H21" s="46" t="s">
        <v>118</v>
      </c>
      <c r="I21" s="46" t="s">
        <v>119</v>
      </c>
      <c r="J21" s="47" t="s">
        <v>118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6"/>
  <sheetViews>
    <sheetView topLeftCell="C1" zoomScale="80" zoomScaleNormal="80" workbookViewId="0">
      <pane ySplit="4" topLeftCell="A5" activePane="bottomLeft" state="frozen"/>
      <selection activeCell="L4" sqref="L4"/>
      <selection pane="bottomLeft" activeCell="L3" sqref="L3:L4"/>
    </sheetView>
  </sheetViews>
  <sheetFormatPr defaultColWidth="8" defaultRowHeight="15.75"/>
  <cols>
    <col min="1" max="1" width="15.125" style="56" customWidth="1"/>
    <col min="2" max="2" width="19.375" style="56" customWidth="1"/>
    <col min="3" max="3" width="15.25" style="56" customWidth="1"/>
    <col min="4" max="4" width="17.5" style="56" customWidth="1"/>
    <col min="5" max="5" width="7.5" style="56" bestFit="1" customWidth="1"/>
    <col min="6" max="6" width="14.375" style="56" bestFit="1" customWidth="1"/>
    <col min="7" max="7" width="14.375" style="56" customWidth="1"/>
    <col min="8" max="8" width="8" style="56" customWidth="1"/>
    <col min="9" max="9" width="5.875" style="56" customWidth="1"/>
    <col min="10" max="10" width="10.625" style="56" customWidth="1"/>
    <col min="11" max="11" width="14.625" style="56" customWidth="1"/>
    <col min="12" max="12" width="7.25" style="56" bestFit="1" customWidth="1"/>
    <col min="13" max="13" width="8" style="56" customWidth="1"/>
    <col min="14" max="14" width="12" style="56" customWidth="1"/>
    <col min="15" max="15" width="6" style="56" customWidth="1"/>
    <col min="16" max="16" width="9.25" style="56" customWidth="1"/>
    <col min="17" max="17" width="11.5" style="56" customWidth="1"/>
    <col min="18" max="18" width="8.5" style="56" customWidth="1"/>
    <col min="19" max="19" width="10.125" style="56" bestFit="1" customWidth="1"/>
    <col min="20" max="20" width="7.625" style="56" bestFit="1" customWidth="1"/>
    <col min="21" max="21" width="10.25" style="56" bestFit="1" customWidth="1"/>
    <col min="22" max="22" width="8.75" style="77" customWidth="1"/>
    <col min="23" max="23" width="7.375" style="56" customWidth="1"/>
    <col min="24" max="24" width="6.875" style="56" bestFit="1" customWidth="1"/>
    <col min="25" max="25" width="12.75" style="56" customWidth="1"/>
    <col min="26" max="26" width="18.875" style="56" customWidth="1"/>
    <col min="27" max="27" width="13.125" style="56" bestFit="1" customWidth="1"/>
    <col min="28" max="28" width="10.375" style="56" customWidth="1"/>
    <col min="29" max="29" width="9.375" style="56" customWidth="1"/>
    <col min="30" max="30" width="8" style="56"/>
    <col min="31" max="31" width="24.625" style="56" bestFit="1" customWidth="1"/>
    <col min="32" max="16384" width="8" style="56"/>
  </cols>
  <sheetData>
    <row r="1" spans="1:29" ht="26.25" customHeight="1">
      <c r="A1" s="52" t="s">
        <v>120</v>
      </c>
      <c r="B1" s="52"/>
      <c r="C1" s="53" t="s">
        <v>121</v>
      </c>
      <c r="D1" s="54">
        <f>SUM(F5:F65)</f>
        <v>154607</v>
      </c>
      <c r="E1" s="79" t="s">
        <v>73</v>
      </c>
      <c r="F1" s="52">
        <f>SUM(G5:G65)</f>
        <v>5140908.55</v>
      </c>
      <c r="G1" s="52" t="s">
        <v>122</v>
      </c>
      <c r="H1" s="55">
        <f>L8+L11+L45+L51+L17+L57+L30+L36+L23+L65</f>
        <v>158.2095238095238</v>
      </c>
      <c r="I1" s="556" t="s">
        <v>123</v>
      </c>
      <c r="J1" s="556"/>
      <c r="K1" s="556"/>
      <c r="L1" s="556" t="s">
        <v>124</v>
      </c>
      <c r="M1" s="556"/>
      <c r="N1" s="556"/>
      <c r="O1" s="556" t="s">
        <v>125</v>
      </c>
      <c r="P1" s="556"/>
      <c r="Q1" s="556"/>
      <c r="R1" s="556"/>
      <c r="S1" s="556" t="s">
        <v>126</v>
      </c>
      <c r="T1" s="556"/>
      <c r="U1" s="556"/>
      <c r="V1" s="556"/>
      <c r="W1" s="556"/>
      <c r="X1" s="556"/>
      <c r="Y1" s="556" t="s">
        <v>127</v>
      </c>
      <c r="Z1" s="556"/>
      <c r="AA1" s="556" t="s">
        <v>128</v>
      </c>
      <c r="AB1" s="557"/>
      <c r="AC1" s="557"/>
    </row>
    <row r="2" spans="1:29" ht="26.25" customHeight="1">
      <c r="A2" s="57">
        <v>45962</v>
      </c>
      <c r="B2" s="58" t="s">
        <v>72</v>
      </c>
      <c r="C2" s="53" t="s">
        <v>129</v>
      </c>
      <c r="D2" s="59">
        <f>AVERAGE(N8,N11,N45,N51,N17,N57,N23,N30,N36,N65)</f>
        <v>142.86109794010906</v>
      </c>
      <c r="E2" s="60" t="s">
        <v>0</v>
      </c>
      <c r="F2" s="61">
        <f>F1/D1</f>
        <v>33.25146047720996</v>
      </c>
      <c r="G2" s="52" t="s">
        <v>130</v>
      </c>
      <c r="H2" s="78">
        <f>COUNT(H5:H65)</f>
        <v>2</v>
      </c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7"/>
      <c r="AB2" s="557"/>
      <c r="AC2" s="557"/>
    </row>
    <row r="3" spans="1:29" ht="23.25" customHeight="1">
      <c r="A3" s="510" t="s">
        <v>131</v>
      </c>
      <c r="B3" s="510" t="s">
        <v>132</v>
      </c>
      <c r="C3" s="510" t="s">
        <v>133</v>
      </c>
      <c r="D3" s="510"/>
      <c r="E3" s="554" t="s">
        <v>134</v>
      </c>
      <c r="F3" s="510" t="s">
        <v>135</v>
      </c>
      <c r="G3" s="554" t="s">
        <v>136</v>
      </c>
      <c r="H3" s="547" t="s">
        <v>137</v>
      </c>
      <c r="I3" s="545" t="s">
        <v>138</v>
      </c>
      <c r="J3" s="550" t="s">
        <v>139</v>
      </c>
      <c r="K3" s="552" t="s">
        <v>129</v>
      </c>
      <c r="L3" s="545" t="s">
        <v>140</v>
      </c>
      <c r="M3" s="550" t="s">
        <v>139</v>
      </c>
      <c r="N3" s="552" t="s">
        <v>129</v>
      </c>
      <c r="O3" s="545" t="s">
        <v>140</v>
      </c>
      <c r="P3" s="552" t="s">
        <v>129</v>
      </c>
      <c r="Q3" s="551" t="s">
        <v>141</v>
      </c>
      <c r="R3" s="523" t="s">
        <v>142</v>
      </c>
      <c r="S3" s="510" t="s">
        <v>1</v>
      </c>
      <c r="T3" s="510"/>
      <c r="U3" s="547" t="s">
        <v>2</v>
      </c>
      <c r="V3" s="547" t="s">
        <v>143</v>
      </c>
      <c r="W3" s="510" t="s">
        <v>144</v>
      </c>
      <c r="X3" s="510"/>
      <c r="Y3" s="548" t="s">
        <v>145</v>
      </c>
      <c r="Z3" s="549"/>
      <c r="AA3" s="550" t="s">
        <v>139</v>
      </c>
      <c r="AB3" s="551" t="s">
        <v>141</v>
      </c>
      <c r="AC3" s="523" t="s">
        <v>142</v>
      </c>
    </row>
    <row r="4" spans="1:29">
      <c r="A4" s="510"/>
      <c r="B4" s="510"/>
      <c r="C4" s="510"/>
      <c r="D4" s="510"/>
      <c r="E4" s="555"/>
      <c r="F4" s="510"/>
      <c r="G4" s="555"/>
      <c r="H4" s="547"/>
      <c r="I4" s="545"/>
      <c r="J4" s="550"/>
      <c r="K4" s="552"/>
      <c r="L4" s="545"/>
      <c r="M4" s="550"/>
      <c r="N4" s="552"/>
      <c r="O4" s="545"/>
      <c r="P4" s="552"/>
      <c r="Q4" s="551"/>
      <c r="R4" s="523"/>
      <c r="S4" s="79" t="s">
        <v>3</v>
      </c>
      <c r="T4" s="79" t="s">
        <v>4</v>
      </c>
      <c r="U4" s="547"/>
      <c r="V4" s="547"/>
      <c r="W4" s="79" t="s">
        <v>146</v>
      </c>
      <c r="X4" s="79" t="s">
        <v>147</v>
      </c>
      <c r="Y4" s="549"/>
      <c r="Z4" s="549"/>
      <c r="AA4" s="550"/>
      <c r="AB4" s="551"/>
      <c r="AC4" s="523"/>
    </row>
    <row r="5" spans="1:29">
      <c r="A5" s="544" t="s">
        <v>148</v>
      </c>
      <c r="B5" s="62" t="s">
        <v>6</v>
      </c>
      <c r="C5" s="546" t="s">
        <v>7</v>
      </c>
      <c r="D5" s="546"/>
      <c r="E5" s="62">
        <v>46.93</v>
      </c>
      <c r="F5" s="80">
        <v>939</v>
      </c>
      <c r="G5" s="79">
        <f t="shared" ref="G5:G7" si="0">E5*F5</f>
        <v>44067.27</v>
      </c>
      <c r="H5" s="90" t="s">
        <v>5</v>
      </c>
      <c r="I5" s="82">
        <v>16</v>
      </c>
      <c r="J5" s="63">
        <v>2000</v>
      </c>
      <c r="K5" s="64">
        <f t="shared" ref="K5:K65" si="1">J5/I5</f>
        <v>125</v>
      </c>
      <c r="L5" s="82">
        <v>16</v>
      </c>
      <c r="M5" s="65">
        <f t="shared" ref="M5:M7" si="2">F5/V5*60</f>
        <v>1942.7586206896515</v>
      </c>
      <c r="N5" s="64">
        <f t="shared" ref="N5:N65" si="3">M5/L5</f>
        <v>121.42241379310322</v>
      </c>
      <c r="O5" s="66">
        <f t="shared" ref="O5:O65" si="4">L5-I5</f>
        <v>0</v>
      </c>
      <c r="P5" s="67">
        <f t="shared" ref="P5:P65" si="5">N5-K5</f>
        <v>-3.5775862068967825</v>
      </c>
      <c r="Q5" s="84">
        <f t="shared" ref="Q5:Q65" si="6">N5/K5</f>
        <v>0.97137931034482572</v>
      </c>
      <c r="R5" s="511">
        <f>Q8</f>
        <v>0.96158894566575903</v>
      </c>
      <c r="S5" s="68">
        <v>0.70833333333333337</v>
      </c>
      <c r="T5" s="68">
        <v>0.7284722222222223</v>
      </c>
      <c r="U5" s="79"/>
      <c r="V5" s="81">
        <f t="shared" ref="V5:V7" si="7">(T5-S5)*24*60</f>
        <v>29.000000000000057</v>
      </c>
      <c r="W5" s="69"/>
      <c r="X5" s="70"/>
      <c r="Y5" s="510"/>
      <c r="Z5" s="510"/>
      <c r="AA5" s="66">
        <f t="shared" ref="AA5:AA65" si="8">M5-J5</f>
        <v>-57.24137931034852</v>
      </c>
      <c r="AB5" s="84">
        <f t="shared" ref="AB5:AB65" si="9">M5/J5</f>
        <v>0.97137931034482572</v>
      </c>
      <c r="AC5" s="511">
        <f>AB8</f>
        <v>0.96158894566575903</v>
      </c>
    </row>
    <row r="6" spans="1:29">
      <c r="A6" s="545" t="s">
        <v>148</v>
      </c>
      <c r="B6" s="62" t="s">
        <v>6</v>
      </c>
      <c r="C6" s="546" t="s">
        <v>8</v>
      </c>
      <c r="D6" s="546"/>
      <c r="E6" s="62">
        <v>50.49</v>
      </c>
      <c r="F6" s="80">
        <v>2140</v>
      </c>
      <c r="G6" s="79">
        <f t="shared" si="0"/>
        <v>108048.6</v>
      </c>
      <c r="H6" s="90" t="s">
        <v>5</v>
      </c>
      <c r="I6" s="82">
        <v>15</v>
      </c>
      <c r="J6" s="63">
        <v>2000</v>
      </c>
      <c r="K6" s="64">
        <f t="shared" si="1"/>
        <v>133.33333333333334</v>
      </c>
      <c r="L6" s="82">
        <v>15</v>
      </c>
      <c r="M6" s="65">
        <f t="shared" si="2"/>
        <v>1916.4179104477587</v>
      </c>
      <c r="N6" s="64">
        <f t="shared" si="3"/>
        <v>127.76119402985059</v>
      </c>
      <c r="O6" s="66">
        <f t="shared" si="4"/>
        <v>0</v>
      </c>
      <c r="P6" s="67">
        <f t="shared" si="5"/>
        <v>-5.5721393034827571</v>
      </c>
      <c r="Q6" s="84">
        <f t="shared" si="6"/>
        <v>0.95820895522387928</v>
      </c>
      <c r="R6" s="511"/>
      <c r="S6" s="68">
        <v>0.73263888888888895</v>
      </c>
      <c r="T6" s="68">
        <v>0.77916666666666679</v>
      </c>
      <c r="U6" s="79">
        <f t="shared" ref="U6:U7" si="10">IF(S6=TIME(17,0,0),"",(S6-T5)*24*60)</f>
        <v>5.9999999999999787</v>
      </c>
      <c r="V6" s="81">
        <f t="shared" si="7"/>
        <v>67.000000000000085</v>
      </c>
      <c r="W6" s="69"/>
      <c r="X6" s="69"/>
      <c r="Y6" s="510"/>
      <c r="Z6" s="510"/>
      <c r="AA6" s="66">
        <f t="shared" si="8"/>
        <v>-83.582089552241314</v>
      </c>
      <c r="AB6" s="84">
        <f t="shared" si="9"/>
        <v>0.95820895522387939</v>
      </c>
      <c r="AC6" s="511"/>
    </row>
    <row r="7" spans="1:29">
      <c r="A7" s="545" t="s">
        <v>149</v>
      </c>
      <c r="B7" s="62" t="s">
        <v>6</v>
      </c>
      <c r="C7" s="539" t="s">
        <v>9</v>
      </c>
      <c r="D7" s="540"/>
      <c r="E7" s="62">
        <v>50.67</v>
      </c>
      <c r="F7" s="80">
        <v>1783</v>
      </c>
      <c r="G7" s="79">
        <f t="shared" si="0"/>
        <v>90344.61</v>
      </c>
      <c r="H7" s="90" t="s">
        <v>5</v>
      </c>
      <c r="I7" s="82">
        <v>17</v>
      </c>
      <c r="J7" s="63">
        <v>2000</v>
      </c>
      <c r="K7" s="64">
        <f t="shared" si="1"/>
        <v>117.64705882352941</v>
      </c>
      <c r="L7" s="82">
        <v>17</v>
      </c>
      <c r="M7" s="65">
        <f t="shared" si="2"/>
        <v>1910.3571428571445</v>
      </c>
      <c r="N7" s="64">
        <f t="shared" si="3"/>
        <v>112.37394957983203</v>
      </c>
      <c r="O7" s="66">
        <f t="shared" si="4"/>
        <v>0</v>
      </c>
      <c r="P7" s="67">
        <f t="shared" si="5"/>
        <v>-5.2731092436973768</v>
      </c>
      <c r="Q7" s="84">
        <f t="shared" si="6"/>
        <v>0.95517857142857232</v>
      </c>
      <c r="R7" s="511"/>
      <c r="S7" s="68">
        <v>0.78402777777777788</v>
      </c>
      <c r="T7" s="68">
        <v>0.82291666666666674</v>
      </c>
      <c r="U7" s="79">
        <f t="shared" si="10"/>
        <v>6.9999999999999751</v>
      </c>
      <c r="V7" s="81">
        <f t="shared" si="7"/>
        <v>55.999999999999957</v>
      </c>
      <c r="W7" s="69"/>
      <c r="X7" s="69"/>
      <c r="Y7" s="517"/>
      <c r="Z7" s="518"/>
      <c r="AA7" s="66">
        <f t="shared" si="8"/>
        <v>-89.642857142855519</v>
      </c>
      <c r="AB7" s="84">
        <f t="shared" si="9"/>
        <v>0.95517857142857221</v>
      </c>
      <c r="AC7" s="511"/>
    </row>
    <row r="8" spans="1:29">
      <c r="A8" s="545" t="s">
        <v>148</v>
      </c>
      <c r="B8" s="62" t="s">
        <v>150</v>
      </c>
      <c r="C8" s="513"/>
      <c r="D8" s="513"/>
      <c r="E8" s="83"/>
      <c r="F8" s="71"/>
      <c r="G8" s="64"/>
      <c r="H8" s="80"/>
      <c r="I8" s="72">
        <v>16</v>
      </c>
      <c r="J8" s="63">
        <v>2000</v>
      </c>
      <c r="K8" s="64">
        <f t="shared" si="1"/>
        <v>125</v>
      </c>
      <c r="L8" s="72">
        <v>16</v>
      </c>
      <c r="M8" s="65">
        <f>AVERAGE(M5:M7)</f>
        <v>1923.1778913315181</v>
      </c>
      <c r="N8" s="64">
        <f t="shared" si="3"/>
        <v>120.19861820821988</v>
      </c>
      <c r="O8" s="66">
        <f t="shared" si="4"/>
        <v>0</v>
      </c>
      <c r="P8" s="67">
        <f t="shared" si="5"/>
        <v>-4.8013817917801163</v>
      </c>
      <c r="Q8" s="84">
        <f t="shared" si="6"/>
        <v>0.96158894566575903</v>
      </c>
      <c r="R8" s="511"/>
      <c r="S8" s="68"/>
      <c r="T8" s="68"/>
      <c r="U8" s="79"/>
      <c r="V8" s="81"/>
      <c r="W8" s="64"/>
      <c r="X8" s="64"/>
      <c r="Y8" s="510"/>
      <c r="Z8" s="510"/>
      <c r="AA8" s="66">
        <f t="shared" si="8"/>
        <v>-76.82210866848186</v>
      </c>
      <c r="AB8" s="84">
        <f t="shared" si="9"/>
        <v>0.96158894566575903</v>
      </c>
      <c r="AC8" s="511"/>
    </row>
    <row r="9" spans="1:29" ht="15.75" customHeight="1">
      <c r="A9" s="543" t="s">
        <v>151</v>
      </c>
      <c r="B9" s="62" t="s">
        <v>10</v>
      </c>
      <c r="C9" s="539" t="s">
        <v>12</v>
      </c>
      <c r="D9" s="540"/>
      <c r="E9" s="62">
        <v>39.36</v>
      </c>
      <c r="F9" s="80">
        <v>1797</v>
      </c>
      <c r="G9" s="79">
        <f t="shared" ref="G9:G10" si="11">E9*F9</f>
        <v>70729.919999999998</v>
      </c>
      <c r="H9" s="90" t="s">
        <v>5</v>
      </c>
      <c r="I9" s="82">
        <v>20</v>
      </c>
      <c r="J9" s="63">
        <v>1500</v>
      </c>
      <c r="K9" s="64">
        <f t="shared" si="1"/>
        <v>75</v>
      </c>
      <c r="L9" s="82">
        <v>20</v>
      </c>
      <c r="M9" s="65">
        <f t="shared" ref="M9:M10" si="12">F9/V9*60</f>
        <v>1437.5999999999997</v>
      </c>
      <c r="N9" s="64">
        <f t="shared" si="3"/>
        <v>71.879999999999981</v>
      </c>
      <c r="O9" s="66">
        <f t="shared" si="4"/>
        <v>0</v>
      </c>
      <c r="P9" s="67">
        <f t="shared" si="5"/>
        <v>-3.1200000000000188</v>
      </c>
      <c r="Q9" s="84">
        <f t="shared" si="6"/>
        <v>0.9583999999999997</v>
      </c>
      <c r="R9" s="511">
        <f>Q11</f>
        <v>0.95592897196261684</v>
      </c>
      <c r="S9" s="68">
        <v>0.20833333333333334</v>
      </c>
      <c r="T9" s="68">
        <v>0.26041666666666669</v>
      </c>
      <c r="U9" s="79"/>
      <c r="V9" s="81">
        <f t="shared" ref="V9:V10" si="13">(T9-S9)*24*60</f>
        <v>75.000000000000014</v>
      </c>
      <c r="W9" s="69"/>
      <c r="X9" s="69"/>
      <c r="Y9" s="510"/>
      <c r="Z9" s="510"/>
      <c r="AA9" s="66">
        <f t="shared" si="8"/>
        <v>-62.400000000000318</v>
      </c>
      <c r="AB9" s="84">
        <f t="shared" si="9"/>
        <v>0.95839999999999981</v>
      </c>
      <c r="AC9" s="511">
        <f>AB11</f>
        <v>0.95592897196261672</v>
      </c>
    </row>
    <row r="10" spans="1:29" ht="15.75" customHeight="1">
      <c r="A10" s="543" t="s">
        <v>152</v>
      </c>
      <c r="B10" s="62" t="s">
        <v>10</v>
      </c>
      <c r="C10" s="539" t="s">
        <v>11</v>
      </c>
      <c r="D10" s="540"/>
      <c r="E10" s="62">
        <v>39.799999999999997</v>
      </c>
      <c r="F10" s="80">
        <v>5101</v>
      </c>
      <c r="G10" s="79">
        <f t="shared" si="11"/>
        <v>203019.8</v>
      </c>
      <c r="H10" s="90" t="s">
        <v>5</v>
      </c>
      <c r="I10" s="82">
        <v>17</v>
      </c>
      <c r="J10" s="63">
        <v>1500</v>
      </c>
      <c r="K10" s="64">
        <f t="shared" si="1"/>
        <v>88.235294117647058</v>
      </c>
      <c r="L10" s="82">
        <v>17</v>
      </c>
      <c r="M10" s="65">
        <f t="shared" si="12"/>
        <v>1430.1869158878505</v>
      </c>
      <c r="N10" s="64">
        <f t="shared" si="3"/>
        <v>84.128642111050027</v>
      </c>
      <c r="O10" s="66">
        <f t="shared" si="4"/>
        <v>0</v>
      </c>
      <c r="P10" s="67">
        <f t="shared" si="5"/>
        <v>-4.1066520065970309</v>
      </c>
      <c r="Q10" s="84">
        <f t="shared" si="6"/>
        <v>0.95345794392523364</v>
      </c>
      <c r="R10" s="511"/>
      <c r="S10" s="68">
        <v>0.26527777777777778</v>
      </c>
      <c r="T10" s="68">
        <v>0.41388888888888886</v>
      </c>
      <c r="U10" s="79">
        <f t="shared" ref="U10" si="14">IF(S10=TIME(17,0,0),"",(S10-T9)*24*60)</f>
        <v>6.9999999999999751</v>
      </c>
      <c r="V10" s="81">
        <f t="shared" si="13"/>
        <v>213.99999999999997</v>
      </c>
      <c r="W10" s="69"/>
      <c r="X10" s="69"/>
      <c r="Y10" s="510"/>
      <c r="Z10" s="510"/>
      <c r="AA10" s="66">
        <f t="shared" si="8"/>
        <v>-69.813084112149454</v>
      </c>
      <c r="AB10" s="84">
        <f t="shared" si="9"/>
        <v>0.95345794392523364</v>
      </c>
      <c r="AC10" s="511"/>
    </row>
    <row r="11" spans="1:29" ht="16.5" customHeight="1">
      <c r="A11" s="543" t="s">
        <v>152</v>
      </c>
      <c r="B11" s="62" t="s">
        <v>79</v>
      </c>
      <c r="C11" s="513"/>
      <c r="D11" s="513"/>
      <c r="E11" s="83"/>
      <c r="F11" s="63"/>
      <c r="G11" s="65"/>
      <c r="H11" s="80"/>
      <c r="I11" s="72">
        <v>18.5</v>
      </c>
      <c r="J11" s="63">
        <v>1500</v>
      </c>
      <c r="K11" s="64">
        <f t="shared" si="1"/>
        <v>81.081081081081081</v>
      </c>
      <c r="L11" s="72">
        <v>18.5</v>
      </c>
      <c r="M11" s="65">
        <f>AVERAGE(M9:M10)</f>
        <v>1433.8934579439251</v>
      </c>
      <c r="N11" s="64">
        <f t="shared" si="3"/>
        <v>77.507754483455415</v>
      </c>
      <c r="O11" s="66">
        <f t="shared" si="4"/>
        <v>0</v>
      </c>
      <c r="P11" s="67">
        <f t="shared" si="5"/>
        <v>-3.5733265976256661</v>
      </c>
      <c r="Q11" s="84">
        <f t="shared" si="6"/>
        <v>0.95592897196261684</v>
      </c>
      <c r="R11" s="511"/>
      <c r="S11" s="68"/>
      <c r="T11" s="68"/>
      <c r="U11" s="64"/>
      <c r="V11" s="81"/>
      <c r="W11" s="64"/>
      <c r="X11" s="64"/>
      <c r="Y11" s="510"/>
      <c r="Z11" s="510"/>
      <c r="AA11" s="66">
        <f t="shared" si="8"/>
        <v>-66.106542056074886</v>
      </c>
      <c r="AB11" s="84">
        <f t="shared" si="9"/>
        <v>0.95592897196261672</v>
      </c>
      <c r="AC11" s="511"/>
    </row>
    <row r="12" spans="1:29" ht="16.5" customHeight="1">
      <c r="A12" s="541" t="s">
        <v>153</v>
      </c>
      <c r="B12" s="80" t="s">
        <v>13</v>
      </c>
      <c r="C12" s="533" t="s">
        <v>14</v>
      </c>
      <c r="D12" s="533"/>
      <c r="E12" s="62">
        <v>41</v>
      </c>
      <c r="F12" s="80">
        <v>2071</v>
      </c>
      <c r="G12" s="79">
        <f t="shared" ref="G12:G16" si="15">E12*F12</f>
        <v>84911</v>
      </c>
      <c r="H12" s="90" t="s">
        <v>5</v>
      </c>
      <c r="I12" s="82">
        <v>26</v>
      </c>
      <c r="J12" s="63">
        <v>1500</v>
      </c>
      <c r="K12" s="64">
        <f t="shared" si="1"/>
        <v>57.692307692307693</v>
      </c>
      <c r="L12" s="82">
        <v>26</v>
      </c>
      <c r="M12" s="65">
        <f t="shared" ref="M12:M16" si="16">F12/V12*60</f>
        <v>1428.2758620689654</v>
      </c>
      <c r="N12" s="64">
        <f t="shared" si="3"/>
        <v>54.933687002652512</v>
      </c>
      <c r="O12" s="66">
        <f t="shared" si="4"/>
        <v>0</v>
      </c>
      <c r="P12" s="67">
        <f t="shared" si="5"/>
        <v>-2.7586206896551815</v>
      </c>
      <c r="Q12" s="84">
        <f t="shared" si="6"/>
        <v>0.95218390804597686</v>
      </c>
      <c r="R12" s="511">
        <f>Q17</f>
        <v>0.95561180324370898</v>
      </c>
      <c r="S12" s="68">
        <v>0.125</v>
      </c>
      <c r="T12" s="68">
        <v>0.18541666666666667</v>
      </c>
      <c r="U12" s="79"/>
      <c r="V12" s="81">
        <f t="shared" ref="V12:V16" si="17">(T12-S12)*24*60</f>
        <v>87.000000000000014</v>
      </c>
      <c r="W12" s="69">
        <f>T12</f>
        <v>0.18541666666666667</v>
      </c>
      <c r="X12" s="69">
        <f>S13</f>
        <v>0.20416666666666666</v>
      </c>
      <c r="Y12" s="510"/>
      <c r="Z12" s="510"/>
      <c r="AA12" s="66">
        <f t="shared" si="8"/>
        <v>-71.724137931034647</v>
      </c>
      <c r="AB12" s="84">
        <f t="shared" si="9"/>
        <v>0.95218390804597686</v>
      </c>
      <c r="AC12" s="511">
        <f>AB17</f>
        <v>0.95561180324370898</v>
      </c>
    </row>
    <row r="13" spans="1:29" ht="16.5" customHeight="1">
      <c r="A13" s="542" t="s">
        <v>153</v>
      </c>
      <c r="B13" s="80" t="s">
        <v>10</v>
      </c>
      <c r="C13" s="533" t="s">
        <v>15</v>
      </c>
      <c r="D13" s="533"/>
      <c r="E13" s="62">
        <v>39.619999999999997</v>
      </c>
      <c r="F13" s="80">
        <v>3475</v>
      </c>
      <c r="G13" s="79">
        <f t="shared" si="15"/>
        <v>137679.5</v>
      </c>
      <c r="H13" s="90" t="s">
        <v>5</v>
      </c>
      <c r="I13" s="82">
        <v>19</v>
      </c>
      <c r="J13" s="63">
        <v>1500</v>
      </c>
      <c r="K13" s="64">
        <f t="shared" si="1"/>
        <v>78.94736842105263</v>
      </c>
      <c r="L13" s="82">
        <v>19</v>
      </c>
      <c r="M13" s="65">
        <f t="shared" si="16"/>
        <v>1428.0821917808223</v>
      </c>
      <c r="N13" s="64">
        <f t="shared" si="3"/>
        <v>75.162220620043286</v>
      </c>
      <c r="O13" s="66">
        <f t="shared" si="4"/>
        <v>0</v>
      </c>
      <c r="P13" s="67">
        <f t="shared" si="5"/>
        <v>-3.7851478010093444</v>
      </c>
      <c r="Q13" s="84">
        <f t="shared" si="6"/>
        <v>0.95205479452054831</v>
      </c>
      <c r="R13" s="511"/>
      <c r="S13" s="68">
        <v>0.20416666666666666</v>
      </c>
      <c r="T13" s="68">
        <v>0.30555555555555552</v>
      </c>
      <c r="U13" s="79">
        <f t="shared" ref="U13:U16" si="18">IF(S13=TIME(17,0,0),"",(S13-T12)*24*60)</f>
        <v>26.999999999999986</v>
      </c>
      <c r="V13" s="81">
        <f t="shared" si="17"/>
        <v>145.99999999999997</v>
      </c>
      <c r="W13" s="69"/>
      <c r="X13" s="69"/>
      <c r="Y13" s="510"/>
      <c r="Z13" s="510"/>
      <c r="AA13" s="66">
        <f t="shared" si="8"/>
        <v>-71.917808219177687</v>
      </c>
      <c r="AB13" s="84">
        <f t="shared" si="9"/>
        <v>0.9520547945205482</v>
      </c>
      <c r="AC13" s="511"/>
    </row>
    <row r="14" spans="1:29" ht="16.5" customHeight="1">
      <c r="A14" s="542" t="s">
        <v>153</v>
      </c>
      <c r="B14" s="80" t="s">
        <v>77</v>
      </c>
      <c r="C14" s="533" t="s">
        <v>76</v>
      </c>
      <c r="D14" s="533"/>
      <c r="E14" s="62">
        <v>57.3</v>
      </c>
      <c r="F14" s="80">
        <v>1500</v>
      </c>
      <c r="G14" s="79">
        <f t="shared" si="15"/>
        <v>85950</v>
      </c>
      <c r="H14" s="90" t="s">
        <v>5</v>
      </c>
      <c r="I14" s="82">
        <v>17</v>
      </c>
      <c r="J14" s="63">
        <v>1500</v>
      </c>
      <c r="K14" s="64">
        <f t="shared" si="1"/>
        <v>88.235294117647058</v>
      </c>
      <c r="L14" s="82">
        <v>17</v>
      </c>
      <c r="M14" s="65">
        <f t="shared" si="16"/>
        <v>1428.5714285714282</v>
      </c>
      <c r="N14" s="64">
        <f t="shared" si="3"/>
        <v>84.033613445378137</v>
      </c>
      <c r="O14" s="66">
        <f t="shared" si="4"/>
        <v>0</v>
      </c>
      <c r="P14" s="67">
        <f t="shared" si="5"/>
        <v>-4.2016806722689211</v>
      </c>
      <c r="Q14" s="84">
        <f t="shared" si="6"/>
        <v>0.95238095238095222</v>
      </c>
      <c r="R14" s="511"/>
      <c r="S14" s="68">
        <v>0.30902777777777773</v>
      </c>
      <c r="T14" s="68">
        <v>0.35277777777777775</v>
      </c>
      <c r="U14" s="79">
        <f t="shared" si="18"/>
        <v>4.9999999999999822</v>
      </c>
      <c r="V14" s="81">
        <f t="shared" si="17"/>
        <v>63.000000000000014</v>
      </c>
      <c r="W14" s="69"/>
      <c r="X14" s="69"/>
      <c r="Y14" s="510"/>
      <c r="Z14" s="510"/>
      <c r="AA14" s="66">
        <f t="shared" si="8"/>
        <v>-71.428571428571786</v>
      </c>
      <c r="AB14" s="84">
        <f t="shared" si="9"/>
        <v>0.95238095238095211</v>
      </c>
      <c r="AC14" s="511"/>
    </row>
    <row r="15" spans="1:29" ht="16.5" customHeight="1">
      <c r="A15" s="542" t="s">
        <v>154</v>
      </c>
      <c r="B15" s="80" t="s">
        <v>6</v>
      </c>
      <c r="C15" s="533" t="s">
        <v>19</v>
      </c>
      <c r="D15" s="533"/>
      <c r="E15" s="62">
        <v>50.98</v>
      </c>
      <c r="F15" s="80">
        <v>2620</v>
      </c>
      <c r="G15" s="79">
        <f t="shared" si="15"/>
        <v>133567.6</v>
      </c>
      <c r="H15" s="90" t="s">
        <v>5</v>
      </c>
      <c r="I15" s="82">
        <v>16</v>
      </c>
      <c r="J15" s="63">
        <v>2000</v>
      </c>
      <c r="K15" s="64">
        <f t="shared" si="1"/>
        <v>125</v>
      </c>
      <c r="L15" s="82">
        <v>16</v>
      </c>
      <c r="M15" s="65">
        <f t="shared" si="16"/>
        <v>1917.0731707317066</v>
      </c>
      <c r="N15" s="64">
        <f t="shared" si="3"/>
        <v>119.81707317073166</v>
      </c>
      <c r="O15" s="66">
        <f t="shared" si="4"/>
        <v>0</v>
      </c>
      <c r="P15" s="67">
        <f t="shared" si="5"/>
        <v>-5.1829268292683395</v>
      </c>
      <c r="Q15" s="84">
        <f t="shared" si="6"/>
        <v>0.95853658536585329</v>
      </c>
      <c r="R15" s="511"/>
      <c r="S15" s="68">
        <v>0.70833333333333337</v>
      </c>
      <c r="T15" s="68">
        <v>0.76527777777777783</v>
      </c>
      <c r="U15" s="79" t="str">
        <f t="shared" si="18"/>
        <v/>
      </c>
      <c r="V15" s="81">
        <f t="shared" si="17"/>
        <v>82.000000000000028</v>
      </c>
      <c r="W15" s="69"/>
      <c r="X15" s="69"/>
      <c r="Y15" s="510"/>
      <c r="Z15" s="510"/>
      <c r="AA15" s="66">
        <f t="shared" si="8"/>
        <v>-82.926829268293432</v>
      </c>
      <c r="AB15" s="84">
        <f t="shared" si="9"/>
        <v>0.95853658536585329</v>
      </c>
      <c r="AC15" s="511"/>
    </row>
    <row r="16" spans="1:29" ht="16.5" customHeight="1">
      <c r="A16" s="542" t="s">
        <v>153</v>
      </c>
      <c r="B16" s="80" t="s">
        <v>6</v>
      </c>
      <c r="C16" s="533" t="s">
        <v>20</v>
      </c>
      <c r="D16" s="533"/>
      <c r="E16" s="62">
        <v>50.92</v>
      </c>
      <c r="F16" s="80">
        <v>2753</v>
      </c>
      <c r="G16" s="79">
        <f t="shared" si="15"/>
        <v>140182.76</v>
      </c>
      <c r="H16" s="90" t="s">
        <v>5</v>
      </c>
      <c r="I16" s="82">
        <v>15</v>
      </c>
      <c r="J16" s="63">
        <v>2000</v>
      </c>
      <c r="K16" s="64">
        <f t="shared" si="1"/>
        <v>133.33333333333334</v>
      </c>
      <c r="L16" s="82">
        <v>15</v>
      </c>
      <c r="M16" s="65">
        <f t="shared" si="16"/>
        <v>1920.6976744186045</v>
      </c>
      <c r="N16" s="64">
        <f t="shared" si="3"/>
        <v>128.04651162790697</v>
      </c>
      <c r="O16" s="66">
        <f t="shared" si="4"/>
        <v>0</v>
      </c>
      <c r="P16" s="67">
        <f t="shared" si="5"/>
        <v>-5.2868217054263766</v>
      </c>
      <c r="Q16" s="84">
        <f t="shared" si="6"/>
        <v>0.9603488372093022</v>
      </c>
      <c r="R16" s="511"/>
      <c r="S16" s="68">
        <v>0.77083333333333337</v>
      </c>
      <c r="T16" s="68">
        <v>0.8305555555555556</v>
      </c>
      <c r="U16" s="79">
        <f t="shared" si="18"/>
        <v>7.9999999999999716</v>
      </c>
      <c r="V16" s="81">
        <f t="shared" si="17"/>
        <v>86.000000000000014</v>
      </c>
      <c r="W16" s="69"/>
      <c r="X16" s="69"/>
      <c r="Y16" s="510"/>
      <c r="Z16" s="510"/>
      <c r="AA16" s="66">
        <f t="shared" si="8"/>
        <v>-79.302325581395507</v>
      </c>
      <c r="AB16" s="84">
        <f t="shared" si="9"/>
        <v>0.9603488372093022</v>
      </c>
      <c r="AC16" s="511"/>
    </row>
    <row r="17" spans="1:29" ht="16.5" customHeight="1">
      <c r="A17" s="542" t="s">
        <v>153</v>
      </c>
      <c r="B17" s="62" t="s">
        <v>79</v>
      </c>
      <c r="C17" s="513"/>
      <c r="D17" s="513"/>
      <c r="E17" s="83"/>
      <c r="F17" s="71"/>
      <c r="G17" s="64"/>
      <c r="H17" s="80"/>
      <c r="I17" s="72">
        <v>18.600000000000001</v>
      </c>
      <c r="J17" s="63">
        <v>1700</v>
      </c>
      <c r="K17" s="64">
        <f t="shared" si="1"/>
        <v>91.397849462365585</v>
      </c>
      <c r="L17" s="72">
        <v>18.600000000000001</v>
      </c>
      <c r="M17" s="65">
        <f>AVERAGE(M12:M16)</f>
        <v>1624.5400655143053</v>
      </c>
      <c r="N17" s="64">
        <f t="shared" si="3"/>
        <v>87.340863737328235</v>
      </c>
      <c r="O17" s="66">
        <f t="shared" si="4"/>
        <v>0</v>
      </c>
      <c r="P17" s="67">
        <f t="shared" si="5"/>
        <v>-4.0569857250373502</v>
      </c>
      <c r="Q17" s="84">
        <f t="shared" si="6"/>
        <v>0.95561180324370898</v>
      </c>
      <c r="R17" s="511"/>
      <c r="S17" s="68"/>
      <c r="T17" s="68"/>
      <c r="U17" s="79"/>
      <c r="V17" s="81"/>
      <c r="W17" s="64"/>
      <c r="X17" s="64"/>
      <c r="Y17" s="510"/>
      <c r="Z17" s="510"/>
      <c r="AA17" s="66">
        <f t="shared" si="8"/>
        <v>-75.459934485694703</v>
      </c>
      <c r="AB17" s="84">
        <f t="shared" si="9"/>
        <v>0.95561180324370898</v>
      </c>
      <c r="AC17" s="511"/>
    </row>
    <row r="18" spans="1:29" ht="15.75" customHeight="1">
      <c r="A18" s="537" t="s">
        <v>155</v>
      </c>
      <c r="B18" s="62" t="s">
        <v>13</v>
      </c>
      <c r="C18" s="533" t="s">
        <v>21</v>
      </c>
      <c r="D18" s="533"/>
      <c r="E18" s="62">
        <v>43.14</v>
      </c>
      <c r="F18" s="80">
        <v>1050</v>
      </c>
      <c r="G18" s="79">
        <f t="shared" ref="G18:G22" si="19">E18*F18</f>
        <v>45297</v>
      </c>
      <c r="H18" s="90" t="s">
        <v>5</v>
      </c>
      <c r="I18" s="82">
        <v>17</v>
      </c>
      <c r="J18" s="63">
        <v>2000</v>
      </c>
      <c r="K18" s="64">
        <f t="shared" si="1"/>
        <v>117.64705882352941</v>
      </c>
      <c r="L18" s="82">
        <v>17</v>
      </c>
      <c r="M18" s="65">
        <f t="shared" ref="M18:M22" si="20">F18/V18*60</f>
        <v>1909.090909090909</v>
      </c>
      <c r="N18" s="64">
        <f t="shared" si="3"/>
        <v>112.29946524064171</v>
      </c>
      <c r="O18" s="66">
        <f t="shared" si="4"/>
        <v>0</v>
      </c>
      <c r="P18" s="67">
        <f t="shared" si="5"/>
        <v>-5.347593582887697</v>
      </c>
      <c r="Q18" s="84">
        <f t="shared" si="6"/>
        <v>0.95454545454545459</v>
      </c>
      <c r="R18" s="511">
        <f>Q23</f>
        <v>0.96100586577405966</v>
      </c>
      <c r="S18" s="68">
        <v>0.20833333333333334</v>
      </c>
      <c r="T18" s="68">
        <v>0.23125000000000001</v>
      </c>
      <c r="U18" s="79"/>
      <c r="V18" s="81">
        <f t="shared" ref="V18:V22" si="21">(T18-S18)*24*60</f>
        <v>33</v>
      </c>
      <c r="W18" s="73"/>
      <c r="X18" s="73"/>
      <c r="Y18" s="510"/>
      <c r="Z18" s="510"/>
      <c r="AA18" s="66">
        <f t="shared" si="8"/>
        <v>-90.909090909090992</v>
      </c>
      <c r="AB18" s="84">
        <f t="shared" si="9"/>
        <v>0.95454545454545447</v>
      </c>
      <c r="AC18" s="511">
        <f>AB23</f>
        <v>0.96100586577405978</v>
      </c>
    </row>
    <row r="19" spans="1:29" ht="15.75" customHeight="1">
      <c r="A19" s="538" t="s">
        <v>156</v>
      </c>
      <c r="B19" s="62" t="s">
        <v>6</v>
      </c>
      <c r="C19" s="533" t="s">
        <v>23</v>
      </c>
      <c r="D19" s="533"/>
      <c r="E19" s="62">
        <v>53.68</v>
      </c>
      <c r="F19" s="80">
        <v>1572</v>
      </c>
      <c r="G19" s="79">
        <f t="shared" si="19"/>
        <v>84384.960000000006</v>
      </c>
      <c r="H19" s="90" t="s">
        <v>5</v>
      </c>
      <c r="I19" s="82">
        <v>16</v>
      </c>
      <c r="J19" s="63">
        <v>2000</v>
      </c>
      <c r="K19" s="64">
        <f t="shared" si="1"/>
        <v>125</v>
      </c>
      <c r="L19" s="82">
        <v>16</v>
      </c>
      <c r="M19" s="65">
        <f t="shared" si="20"/>
        <v>1924.8979591836724</v>
      </c>
      <c r="N19" s="64">
        <f t="shared" si="3"/>
        <v>120.30612244897952</v>
      </c>
      <c r="O19" s="66">
        <f t="shared" si="4"/>
        <v>0</v>
      </c>
      <c r="P19" s="67">
        <f t="shared" si="5"/>
        <v>-4.6938775510204778</v>
      </c>
      <c r="Q19" s="84">
        <f t="shared" si="6"/>
        <v>0.96244897959183617</v>
      </c>
      <c r="R19" s="511"/>
      <c r="S19" s="68">
        <v>0.23541666666666669</v>
      </c>
      <c r="T19" s="68">
        <v>0.26944444444444449</v>
      </c>
      <c r="U19" s="79">
        <f t="shared" ref="U19:U22" si="22">IF(S19=TIME(17,0,0),"",(S19-T18)*24*60)</f>
        <v>6.0000000000000187</v>
      </c>
      <c r="V19" s="81">
        <f t="shared" si="21"/>
        <v>49.000000000000028</v>
      </c>
      <c r="W19" s="69"/>
      <c r="X19" s="79"/>
      <c r="Y19" s="510"/>
      <c r="Z19" s="510"/>
      <c r="AA19" s="66">
        <f t="shared" si="8"/>
        <v>-75.102040816327644</v>
      </c>
      <c r="AB19" s="84">
        <f t="shared" si="9"/>
        <v>0.96244897959183617</v>
      </c>
      <c r="AC19" s="511"/>
    </row>
    <row r="20" spans="1:29" ht="15.75" customHeight="1">
      <c r="A20" s="538" t="s">
        <v>157</v>
      </c>
      <c r="B20" s="62" t="s">
        <v>6</v>
      </c>
      <c r="C20" s="533" t="s">
        <v>22</v>
      </c>
      <c r="D20" s="533"/>
      <c r="E20" s="62">
        <v>57.73</v>
      </c>
      <c r="F20" s="80">
        <v>1804</v>
      </c>
      <c r="G20" s="79">
        <f t="shared" si="19"/>
        <v>104144.92</v>
      </c>
      <c r="H20" s="90" t="s">
        <v>5</v>
      </c>
      <c r="I20" s="82">
        <v>15</v>
      </c>
      <c r="J20" s="63">
        <v>2000</v>
      </c>
      <c r="K20" s="64">
        <f t="shared" si="1"/>
        <v>133.33333333333334</v>
      </c>
      <c r="L20" s="82">
        <v>15</v>
      </c>
      <c r="M20" s="65">
        <f t="shared" si="20"/>
        <v>1932.8571428571443</v>
      </c>
      <c r="N20" s="64">
        <f t="shared" si="3"/>
        <v>128.85714285714295</v>
      </c>
      <c r="O20" s="66">
        <f t="shared" si="4"/>
        <v>0</v>
      </c>
      <c r="P20" s="67">
        <f t="shared" si="5"/>
        <v>-4.4761904761903963</v>
      </c>
      <c r="Q20" s="84">
        <f t="shared" si="6"/>
        <v>0.96642857142857208</v>
      </c>
      <c r="R20" s="511"/>
      <c r="S20" s="68">
        <v>0.27500000000000002</v>
      </c>
      <c r="T20" s="68">
        <v>0.31388888888888888</v>
      </c>
      <c r="U20" s="79">
        <f t="shared" si="22"/>
        <v>7.9999999999999716</v>
      </c>
      <c r="V20" s="81">
        <f t="shared" si="21"/>
        <v>55.999999999999957</v>
      </c>
      <c r="W20" s="69"/>
      <c r="X20" s="79"/>
      <c r="Y20" s="510"/>
      <c r="Z20" s="510"/>
      <c r="AA20" s="66">
        <f t="shared" si="8"/>
        <v>-67.142857142855746</v>
      </c>
      <c r="AB20" s="84">
        <f t="shared" si="9"/>
        <v>0.96642857142857208</v>
      </c>
      <c r="AC20" s="511"/>
    </row>
    <row r="21" spans="1:29" ht="15.75" customHeight="1">
      <c r="A21" s="538" t="s">
        <v>157</v>
      </c>
      <c r="B21" s="62" t="s">
        <v>6</v>
      </c>
      <c r="C21" s="533" t="s">
        <v>24</v>
      </c>
      <c r="D21" s="533"/>
      <c r="E21" s="62">
        <v>54.09</v>
      </c>
      <c r="F21" s="80">
        <v>2358</v>
      </c>
      <c r="G21" s="79">
        <f t="shared" si="19"/>
        <v>127544.22</v>
      </c>
      <c r="H21" s="90" t="s">
        <v>5</v>
      </c>
      <c r="I21" s="82">
        <v>19</v>
      </c>
      <c r="J21" s="63">
        <v>2000</v>
      </c>
      <c r="K21" s="64">
        <f t="shared" si="1"/>
        <v>105.26315789473684</v>
      </c>
      <c r="L21" s="82">
        <v>19</v>
      </c>
      <c r="M21" s="65">
        <f t="shared" si="20"/>
        <v>1911.8918918918905</v>
      </c>
      <c r="N21" s="64">
        <f t="shared" si="3"/>
        <v>100.62588904694161</v>
      </c>
      <c r="O21" s="66">
        <f t="shared" si="4"/>
        <v>0</v>
      </c>
      <c r="P21" s="67">
        <f t="shared" si="5"/>
        <v>-4.6372688477952266</v>
      </c>
      <c r="Q21" s="84">
        <f t="shared" si="6"/>
        <v>0.9559459459459454</v>
      </c>
      <c r="R21" s="511"/>
      <c r="S21" s="68">
        <v>0.70833333333333337</v>
      </c>
      <c r="T21" s="68">
        <v>0.7597222222222223</v>
      </c>
      <c r="U21" s="79" t="str">
        <f t="shared" si="22"/>
        <v/>
      </c>
      <c r="V21" s="81">
        <f t="shared" si="21"/>
        <v>74.000000000000057</v>
      </c>
      <c r="W21" s="69"/>
      <c r="X21" s="79"/>
      <c r="Y21" s="510"/>
      <c r="Z21" s="510"/>
      <c r="AA21" s="66">
        <f t="shared" si="8"/>
        <v>-88.108108108109491</v>
      </c>
      <c r="AB21" s="84">
        <f t="shared" si="9"/>
        <v>0.95594594594594529</v>
      </c>
      <c r="AC21" s="511"/>
    </row>
    <row r="22" spans="1:29" ht="15.75" customHeight="1">
      <c r="A22" s="538" t="s">
        <v>157</v>
      </c>
      <c r="B22" s="62" t="s">
        <v>6</v>
      </c>
      <c r="C22" s="533" t="s">
        <v>81</v>
      </c>
      <c r="D22" s="533"/>
      <c r="E22" s="62">
        <v>50.67</v>
      </c>
      <c r="F22" s="80">
        <v>1706</v>
      </c>
      <c r="G22" s="79">
        <f t="shared" si="19"/>
        <v>86443.02</v>
      </c>
      <c r="H22" s="90" t="s">
        <v>5</v>
      </c>
      <c r="I22" s="82">
        <v>15</v>
      </c>
      <c r="J22" s="63">
        <v>2000</v>
      </c>
      <c r="K22" s="64">
        <f t="shared" si="1"/>
        <v>133.33333333333334</v>
      </c>
      <c r="L22" s="82">
        <v>15</v>
      </c>
      <c r="M22" s="65">
        <f t="shared" si="20"/>
        <v>1931.320754716982</v>
      </c>
      <c r="N22" s="64">
        <f t="shared" si="3"/>
        <v>128.75471698113213</v>
      </c>
      <c r="O22" s="66">
        <f t="shared" si="4"/>
        <v>0</v>
      </c>
      <c r="P22" s="67">
        <f t="shared" si="5"/>
        <v>-4.5786163522012089</v>
      </c>
      <c r="Q22" s="84">
        <f t="shared" si="6"/>
        <v>0.96566037735849097</v>
      </c>
      <c r="R22" s="511"/>
      <c r="S22" s="68">
        <v>0.76458333333333339</v>
      </c>
      <c r="T22" s="68">
        <v>0.80138888888888893</v>
      </c>
      <c r="U22" s="79">
        <f t="shared" si="22"/>
        <v>6.9999999999999751</v>
      </c>
      <c r="V22" s="81">
        <f t="shared" si="21"/>
        <v>52.999999999999972</v>
      </c>
      <c r="W22" s="69"/>
      <c r="X22" s="79"/>
      <c r="Y22" s="510"/>
      <c r="Z22" s="510"/>
      <c r="AA22" s="66">
        <f t="shared" si="8"/>
        <v>-68.679245283017963</v>
      </c>
      <c r="AB22" s="84">
        <f t="shared" si="9"/>
        <v>0.96566037735849097</v>
      </c>
      <c r="AC22" s="511"/>
    </row>
    <row r="23" spans="1:29" ht="15.75" customHeight="1">
      <c r="A23" s="538" t="s">
        <v>157</v>
      </c>
      <c r="B23" s="62" t="s">
        <v>158</v>
      </c>
      <c r="C23" s="513"/>
      <c r="D23" s="513"/>
      <c r="E23" s="83"/>
      <c r="F23" s="80"/>
      <c r="G23" s="79"/>
      <c r="H23" s="80"/>
      <c r="I23" s="72">
        <v>16.399999999999999</v>
      </c>
      <c r="J23" s="63">
        <v>2000</v>
      </c>
      <c r="K23" s="64">
        <f t="shared" si="1"/>
        <v>121.95121951219514</v>
      </c>
      <c r="L23" s="72">
        <v>16.399999999999999</v>
      </c>
      <c r="M23" s="65">
        <f>AVERAGE(M18:M22)</f>
        <v>1922.0117315481195</v>
      </c>
      <c r="N23" s="64">
        <f t="shared" si="3"/>
        <v>117.19583728951949</v>
      </c>
      <c r="O23" s="66">
        <f t="shared" si="4"/>
        <v>0</v>
      </c>
      <c r="P23" s="67">
        <f t="shared" si="5"/>
        <v>-4.7553822226756495</v>
      </c>
      <c r="Q23" s="84">
        <f t="shared" si="6"/>
        <v>0.96100586577405966</v>
      </c>
      <c r="R23" s="511"/>
      <c r="S23" s="68"/>
      <c r="T23" s="68"/>
      <c r="U23" s="64"/>
      <c r="V23" s="81"/>
      <c r="W23" s="64"/>
      <c r="X23" s="64"/>
      <c r="Y23" s="510"/>
      <c r="Z23" s="510"/>
      <c r="AA23" s="66">
        <f t="shared" si="8"/>
        <v>-77.988268451880458</v>
      </c>
      <c r="AB23" s="84">
        <f t="shared" si="9"/>
        <v>0.96100586577405978</v>
      </c>
      <c r="AC23" s="511"/>
    </row>
    <row r="24" spans="1:29" ht="15.75" customHeight="1">
      <c r="A24" s="536" t="s">
        <v>159</v>
      </c>
      <c r="B24" s="62" t="s">
        <v>16</v>
      </c>
      <c r="C24" s="533" t="s">
        <v>30</v>
      </c>
      <c r="D24" s="533"/>
      <c r="E24" s="62">
        <v>31.29</v>
      </c>
      <c r="F24" s="80">
        <v>6850</v>
      </c>
      <c r="G24" s="79">
        <f t="shared" ref="G24:G29" si="23">E24*F24</f>
        <v>214336.5</v>
      </c>
      <c r="H24" s="90" t="s">
        <v>5</v>
      </c>
      <c r="I24" s="82">
        <v>18</v>
      </c>
      <c r="J24" s="63">
        <v>2400</v>
      </c>
      <c r="K24" s="64">
        <f t="shared" si="1"/>
        <v>133.33333333333334</v>
      </c>
      <c r="L24" s="82">
        <v>18</v>
      </c>
      <c r="M24" s="65">
        <f t="shared" ref="M24:M29" si="24">F24/V24*60</f>
        <v>2296.089385474861</v>
      </c>
      <c r="N24" s="64">
        <f t="shared" si="3"/>
        <v>127.56052141527006</v>
      </c>
      <c r="O24" s="66">
        <f t="shared" si="4"/>
        <v>0</v>
      </c>
      <c r="P24" s="67">
        <f t="shared" si="5"/>
        <v>-5.7728119180632831</v>
      </c>
      <c r="Q24" s="84">
        <f t="shared" si="6"/>
        <v>0.95670391061452542</v>
      </c>
      <c r="R24" s="511">
        <f>Q30</f>
        <v>0.95601381414429643</v>
      </c>
      <c r="S24" s="68">
        <v>8.3333333333333329E-2</v>
      </c>
      <c r="T24" s="68">
        <v>0.20763888888888887</v>
      </c>
      <c r="U24" s="79"/>
      <c r="V24" s="81">
        <f t="shared" ref="V24:V29" si="25">(T24-S24)*24*60</f>
        <v>178.99999999999997</v>
      </c>
      <c r="W24" s="69">
        <f>T24</f>
        <v>0.20763888888888887</v>
      </c>
      <c r="X24" s="69">
        <f>S25</f>
        <v>0.22847222222222222</v>
      </c>
      <c r="Y24" s="510"/>
      <c r="Z24" s="510"/>
      <c r="AA24" s="66">
        <f t="shared" si="8"/>
        <v>-103.91061452513895</v>
      </c>
      <c r="AB24" s="84">
        <f t="shared" si="9"/>
        <v>0.95670391061452542</v>
      </c>
      <c r="AC24" s="511">
        <f>AB30</f>
        <v>0.9560138141442962</v>
      </c>
    </row>
    <row r="25" spans="1:29" ht="15.75" customHeight="1">
      <c r="A25" s="536" t="s">
        <v>159</v>
      </c>
      <c r="B25" s="62" t="s">
        <v>16</v>
      </c>
      <c r="C25" s="533" t="s">
        <v>28</v>
      </c>
      <c r="D25" s="533"/>
      <c r="E25" s="62">
        <v>26.18</v>
      </c>
      <c r="F25" s="80">
        <v>2833</v>
      </c>
      <c r="G25" s="79">
        <f t="shared" si="23"/>
        <v>74167.94</v>
      </c>
      <c r="H25" s="90" t="s">
        <v>5</v>
      </c>
      <c r="I25" s="82">
        <v>19</v>
      </c>
      <c r="J25" s="63">
        <v>2400</v>
      </c>
      <c r="K25" s="64">
        <f t="shared" si="1"/>
        <v>126.31578947368421</v>
      </c>
      <c r="L25" s="82">
        <v>19</v>
      </c>
      <c r="M25" s="65">
        <f t="shared" si="24"/>
        <v>2297.0270270270266</v>
      </c>
      <c r="N25" s="64">
        <f t="shared" si="3"/>
        <v>120.89615931721193</v>
      </c>
      <c r="O25" s="66">
        <f t="shared" si="4"/>
        <v>0</v>
      </c>
      <c r="P25" s="67">
        <f t="shared" si="5"/>
        <v>-5.4196301564722802</v>
      </c>
      <c r="Q25" s="84">
        <f t="shared" si="6"/>
        <v>0.95709459459459445</v>
      </c>
      <c r="R25" s="511"/>
      <c r="S25" s="68">
        <v>0.22847222222222222</v>
      </c>
      <c r="T25" s="68">
        <v>0.27986111111111112</v>
      </c>
      <c r="U25" s="79">
        <f t="shared" ref="U25:U29" si="26">(S25-T24)*24*60</f>
        <v>30.000000000000014</v>
      </c>
      <c r="V25" s="81">
        <f t="shared" si="25"/>
        <v>74.000000000000014</v>
      </c>
      <c r="W25" s="69"/>
      <c r="X25" s="69"/>
      <c r="Y25" s="510"/>
      <c r="Z25" s="510"/>
      <c r="AA25" s="66">
        <f t="shared" si="8"/>
        <v>-102.97297297297337</v>
      </c>
      <c r="AB25" s="84">
        <f t="shared" si="9"/>
        <v>0.95709459459459445</v>
      </c>
      <c r="AC25" s="511"/>
    </row>
    <row r="26" spans="1:29" ht="15.75" customHeight="1">
      <c r="A26" s="536" t="s">
        <v>159</v>
      </c>
      <c r="B26" s="62" t="s">
        <v>16</v>
      </c>
      <c r="C26" s="533" t="s">
        <v>29</v>
      </c>
      <c r="D26" s="533"/>
      <c r="E26" s="62">
        <v>26.2</v>
      </c>
      <c r="F26" s="80">
        <v>3527</v>
      </c>
      <c r="G26" s="79">
        <f t="shared" si="23"/>
        <v>92407.4</v>
      </c>
      <c r="H26" s="90" t="s">
        <v>5</v>
      </c>
      <c r="I26" s="82">
        <v>19</v>
      </c>
      <c r="J26" s="63">
        <v>2400</v>
      </c>
      <c r="K26" s="64">
        <f t="shared" si="1"/>
        <v>126.31578947368421</v>
      </c>
      <c r="L26" s="82">
        <v>19</v>
      </c>
      <c r="M26" s="65">
        <f t="shared" si="24"/>
        <v>2300.217391304348</v>
      </c>
      <c r="N26" s="64">
        <f t="shared" si="3"/>
        <v>121.06407322654464</v>
      </c>
      <c r="O26" s="66">
        <f t="shared" si="4"/>
        <v>0</v>
      </c>
      <c r="P26" s="67">
        <f t="shared" si="5"/>
        <v>-5.2517162471395693</v>
      </c>
      <c r="Q26" s="84">
        <f t="shared" si="6"/>
        <v>0.9584239130434784</v>
      </c>
      <c r="R26" s="511"/>
      <c r="S26" s="68">
        <v>0.28472222222222221</v>
      </c>
      <c r="T26" s="68">
        <v>0.34861111111111109</v>
      </c>
      <c r="U26" s="79">
        <f t="shared" si="26"/>
        <v>6.9999999999999751</v>
      </c>
      <c r="V26" s="81">
        <f t="shared" si="25"/>
        <v>92</v>
      </c>
      <c r="W26" s="69"/>
      <c r="X26" s="69"/>
      <c r="Y26" s="510"/>
      <c r="Z26" s="510"/>
      <c r="AA26" s="66">
        <f t="shared" si="8"/>
        <v>-99.782608695652016</v>
      </c>
      <c r="AB26" s="84">
        <f t="shared" si="9"/>
        <v>0.95842391304347829</v>
      </c>
      <c r="AC26" s="511"/>
    </row>
    <row r="27" spans="1:29" ht="15.75" customHeight="1">
      <c r="A27" s="536" t="s">
        <v>159</v>
      </c>
      <c r="B27" s="62" t="s">
        <v>16</v>
      </c>
      <c r="C27" s="533" t="s">
        <v>25</v>
      </c>
      <c r="D27" s="533"/>
      <c r="E27" s="62">
        <v>26.2</v>
      </c>
      <c r="F27" s="80">
        <v>3872</v>
      </c>
      <c r="G27" s="79">
        <f t="shared" si="23"/>
        <v>101446.39999999999</v>
      </c>
      <c r="H27" s="90" t="s">
        <v>5</v>
      </c>
      <c r="I27" s="82">
        <v>20</v>
      </c>
      <c r="J27" s="63">
        <v>2400</v>
      </c>
      <c r="K27" s="64">
        <f t="shared" si="1"/>
        <v>120</v>
      </c>
      <c r="L27" s="82">
        <v>20</v>
      </c>
      <c r="M27" s="65">
        <f t="shared" si="24"/>
        <v>2300.198019801981</v>
      </c>
      <c r="N27" s="64">
        <f t="shared" si="3"/>
        <v>115.00990099009906</v>
      </c>
      <c r="O27" s="66">
        <f t="shared" si="4"/>
        <v>0</v>
      </c>
      <c r="P27" s="67">
        <f t="shared" si="5"/>
        <v>-4.9900990099009448</v>
      </c>
      <c r="Q27" s="84">
        <f t="shared" si="6"/>
        <v>0.95841584158415882</v>
      </c>
      <c r="R27" s="511"/>
      <c r="S27" s="68">
        <v>0.35277777777777775</v>
      </c>
      <c r="T27" s="68">
        <v>0.42291666666666661</v>
      </c>
      <c r="U27" s="79">
        <f t="shared" si="26"/>
        <v>5.9999999999999787</v>
      </c>
      <c r="V27" s="81">
        <f t="shared" si="25"/>
        <v>100.99999999999996</v>
      </c>
      <c r="W27" s="69"/>
      <c r="X27" s="69"/>
      <c r="Y27" s="510"/>
      <c r="Z27" s="510"/>
      <c r="AA27" s="66">
        <f t="shared" si="8"/>
        <v>-99.80198019801901</v>
      </c>
      <c r="AB27" s="84">
        <f t="shared" si="9"/>
        <v>0.95841584158415871</v>
      </c>
      <c r="AC27" s="511"/>
    </row>
    <row r="28" spans="1:29" ht="15.75" customHeight="1">
      <c r="A28" s="536" t="s">
        <v>159</v>
      </c>
      <c r="B28" s="62" t="s">
        <v>16</v>
      </c>
      <c r="C28" s="533" t="s">
        <v>83</v>
      </c>
      <c r="D28" s="533"/>
      <c r="E28" s="62">
        <v>25.99</v>
      </c>
      <c r="F28" s="80">
        <v>4500</v>
      </c>
      <c r="G28" s="79">
        <f t="shared" si="23"/>
        <v>116955</v>
      </c>
      <c r="H28" s="90">
        <v>2</v>
      </c>
      <c r="I28" s="82">
        <v>15</v>
      </c>
      <c r="J28" s="63">
        <v>2400</v>
      </c>
      <c r="K28" s="64">
        <f t="shared" si="1"/>
        <v>160</v>
      </c>
      <c r="L28" s="82">
        <v>15</v>
      </c>
      <c r="M28" s="65">
        <f t="shared" si="24"/>
        <v>2288.1355932203378</v>
      </c>
      <c r="N28" s="64">
        <f t="shared" si="3"/>
        <v>152.54237288135585</v>
      </c>
      <c r="O28" s="66">
        <f t="shared" si="4"/>
        <v>0</v>
      </c>
      <c r="P28" s="67">
        <f t="shared" si="5"/>
        <v>-7.4576271186441545</v>
      </c>
      <c r="Q28" s="84">
        <f t="shared" si="6"/>
        <v>0.95338983050847403</v>
      </c>
      <c r="R28" s="511"/>
      <c r="S28" s="68">
        <v>0.42847222222222214</v>
      </c>
      <c r="T28" s="68">
        <v>0.51041666666666663</v>
      </c>
      <c r="U28" s="79">
        <f t="shared" si="26"/>
        <v>7.9999999999999716</v>
      </c>
      <c r="V28" s="81">
        <f t="shared" si="25"/>
        <v>118.00000000000006</v>
      </c>
      <c r="W28" s="69">
        <f>T28</f>
        <v>0.51041666666666663</v>
      </c>
      <c r="X28" s="69">
        <f>S29</f>
        <v>0.54930555555555549</v>
      </c>
      <c r="Y28" s="510"/>
      <c r="Z28" s="510"/>
      <c r="AA28" s="66">
        <f t="shared" si="8"/>
        <v>-111.8644067796622</v>
      </c>
      <c r="AB28" s="84">
        <f t="shared" si="9"/>
        <v>0.95338983050847403</v>
      </c>
      <c r="AC28" s="511"/>
    </row>
    <row r="29" spans="1:29" ht="15.75" customHeight="1">
      <c r="A29" s="536" t="s">
        <v>159</v>
      </c>
      <c r="B29" s="62" t="s">
        <v>16</v>
      </c>
      <c r="C29" s="533" t="s">
        <v>83</v>
      </c>
      <c r="D29" s="533"/>
      <c r="E29" s="62">
        <v>25.99</v>
      </c>
      <c r="F29" s="80">
        <v>2780</v>
      </c>
      <c r="G29" s="79">
        <f t="shared" si="23"/>
        <v>72252.2</v>
      </c>
      <c r="H29" s="90" t="s">
        <v>5</v>
      </c>
      <c r="I29" s="82">
        <v>15</v>
      </c>
      <c r="J29" s="63">
        <v>2400</v>
      </c>
      <c r="K29" s="64">
        <f t="shared" si="1"/>
        <v>160</v>
      </c>
      <c r="L29" s="82">
        <v>15</v>
      </c>
      <c r="M29" s="65">
        <f t="shared" si="24"/>
        <v>2284.9315068493133</v>
      </c>
      <c r="N29" s="64">
        <f t="shared" si="3"/>
        <v>152.32876712328755</v>
      </c>
      <c r="O29" s="66">
        <f t="shared" si="4"/>
        <v>0</v>
      </c>
      <c r="P29" s="67">
        <f t="shared" si="5"/>
        <v>-7.6712328767124518</v>
      </c>
      <c r="Q29" s="84">
        <f t="shared" si="6"/>
        <v>0.9520547945205472</v>
      </c>
      <c r="R29" s="511"/>
      <c r="S29" s="68">
        <v>0.54930555555555549</v>
      </c>
      <c r="T29" s="68">
        <v>0.6</v>
      </c>
      <c r="U29" s="79">
        <f t="shared" si="26"/>
        <v>55.999999999999957</v>
      </c>
      <c r="V29" s="81">
        <f t="shared" si="25"/>
        <v>73.000000000000057</v>
      </c>
      <c r="W29" s="69"/>
      <c r="X29" s="69"/>
      <c r="Y29" s="510"/>
      <c r="Z29" s="510"/>
      <c r="AA29" s="66">
        <f t="shared" si="8"/>
        <v>-115.06849315068666</v>
      </c>
      <c r="AB29" s="84">
        <f t="shared" si="9"/>
        <v>0.9520547945205472</v>
      </c>
      <c r="AC29" s="511"/>
    </row>
    <row r="30" spans="1:29" ht="15.75" customHeight="1">
      <c r="A30" s="536" t="s">
        <v>159</v>
      </c>
      <c r="B30" s="62" t="s">
        <v>79</v>
      </c>
      <c r="C30" s="513"/>
      <c r="D30" s="513"/>
      <c r="E30" s="83"/>
      <c r="F30" s="80"/>
      <c r="G30" s="79"/>
      <c r="H30" s="80"/>
      <c r="I30" s="72">
        <v>17.666666666666668</v>
      </c>
      <c r="J30" s="63">
        <v>2400</v>
      </c>
      <c r="K30" s="64">
        <f t="shared" si="1"/>
        <v>135.84905660377356</v>
      </c>
      <c r="L30" s="72">
        <v>17.666666666666668</v>
      </c>
      <c r="M30" s="65">
        <f>AVERAGE(M24:M29)</f>
        <v>2294.433153946311</v>
      </c>
      <c r="N30" s="64">
        <f t="shared" si="3"/>
        <v>129.87357475167798</v>
      </c>
      <c r="O30" s="66">
        <f t="shared" si="4"/>
        <v>0</v>
      </c>
      <c r="P30" s="67">
        <f t="shared" si="5"/>
        <v>-5.9754818520955837</v>
      </c>
      <c r="Q30" s="84">
        <f t="shared" si="6"/>
        <v>0.95601381414429643</v>
      </c>
      <c r="R30" s="511"/>
      <c r="S30" s="68"/>
      <c r="T30" s="68"/>
      <c r="U30" s="79"/>
      <c r="V30" s="81"/>
      <c r="W30" s="79"/>
      <c r="X30" s="79"/>
      <c r="Y30" s="510"/>
      <c r="Z30" s="510"/>
      <c r="AA30" s="66">
        <f t="shared" si="8"/>
        <v>-105.56684605368901</v>
      </c>
      <c r="AB30" s="84">
        <f t="shared" si="9"/>
        <v>0.9560138141442962</v>
      </c>
      <c r="AC30" s="511"/>
    </row>
    <row r="31" spans="1:29" ht="15.75" customHeight="1">
      <c r="A31" s="531" t="s">
        <v>160</v>
      </c>
      <c r="B31" s="62" t="s">
        <v>16</v>
      </c>
      <c r="C31" s="512" t="s">
        <v>31</v>
      </c>
      <c r="D31" s="512"/>
      <c r="E31" s="62">
        <v>26.2</v>
      </c>
      <c r="F31" s="80">
        <v>5210</v>
      </c>
      <c r="G31" s="79">
        <f t="shared" ref="G31:G35" si="27">E31*F31</f>
        <v>136502</v>
      </c>
      <c r="H31" s="90" t="s">
        <v>5</v>
      </c>
      <c r="I31" s="82">
        <v>18</v>
      </c>
      <c r="J31" s="63">
        <v>2400</v>
      </c>
      <c r="K31" s="64">
        <f t="shared" si="1"/>
        <v>133.33333333333334</v>
      </c>
      <c r="L31" s="82">
        <v>18</v>
      </c>
      <c r="M31" s="65">
        <f t="shared" ref="M31:M35" si="28">F31/V31*60</f>
        <v>2298.5294117647063</v>
      </c>
      <c r="N31" s="64">
        <f t="shared" si="3"/>
        <v>127.69607843137257</v>
      </c>
      <c r="O31" s="66">
        <f t="shared" si="4"/>
        <v>0</v>
      </c>
      <c r="P31" s="67">
        <f t="shared" si="5"/>
        <v>-5.6372549019607732</v>
      </c>
      <c r="Q31" s="84">
        <f t="shared" si="6"/>
        <v>0.95772058823529416</v>
      </c>
      <c r="R31" s="511">
        <f>Q36</f>
        <v>0.95788527449229155</v>
      </c>
      <c r="S31" s="68">
        <v>8.3333333333333329E-2</v>
      </c>
      <c r="T31" s="68">
        <v>0.17777777777777776</v>
      </c>
      <c r="U31" s="79"/>
      <c r="V31" s="81">
        <f t="shared" ref="V31:V35" si="29">(T31-S31)*24*60</f>
        <v>135.99999999999997</v>
      </c>
      <c r="W31" s="73">
        <f>T31</f>
        <v>0.17777777777777776</v>
      </c>
      <c r="X31" s="73">
        <f>S32</f>
        <v>0.19930555555555554</v>
      </c>
      <c r="Y31" s="510"/>
      <c r="Z31" s="510"/>
      <c r="AA31" s="66">
        <f t="shared" si="8"/>
        <v>-101.47058823529369</v>
      </c>
      <c r="AB31" s="84">
        <f t="shared" si="9"/>
        <v>0.95772058823529427</v>
      </c>
      <c r="AC31" s="511">
        <f>AB36</f>
        <v>0.95788527449229155</v>
      </c>
    </row>
    <row r="32" spans="1:29" ht="15.75" customHeight="1">
      <c r="A32" s="531" t="s">
        <v>160</v>
      </c>
      <c r="B32" s="62" t="s">
        <v>16</v>
      </c>
      <c r="C32" s="512" t="s">
        <v>32</v>
      </c>
      <c r="D32" s="512"/>
      <c r="E32" s="62">
        <v>26.39</v>
      </c>
      <c r="F32" s="80">
        <v>4929</v>
      </c>
      <c r="G32" s="79">
        <f t="shared" si="27"/>
        <v>130076.31</v>
      </c>
      <c r="H32" s="90" t="s">
        <v>5</v>
      </c>
      <c r="I32" s="82">
        <v>19</v>
      </c>
      <c r="J32" s="63">
        <v>2400</v>
      </c>
      <c r="K32" s="64">
        <f t="shared" si="1"/>
        <v>126.31578947368421</v>
      </c>
      <c r="L32" s="82">
        <v>19</v>
      </c>
      <c r="M32" s="65">
        <f t="shared" si="28"/>
        <v>2292.5581395348845</v>
      </c>
      <c r="N32" s="64">
        <f t="shared" si="3"/>
        <v>120.66095471236234</v>
      </c>
      <c r="O32" s="66">
        <f t="shared" si="4"/>
        <v>0</v>
      </c>
      <c r="P32" s="67">
        <f t="shared" si="5"/>
        <v>-5.6548347613218652</v>
      </c>
      <c r="Q32" s="84">
        <f t="shared" si="6"/>
        <v>0.95523255813953523</v>
      </c>
      <c r="R32" s="511"/>
      <c r="S32" s="68">
        <v>0.19930555555555554</v>
      </c>
      <c r="T32" s="68">
        <v>0.28888888888888886</v>
      </c>
      <c r="U32" s="79">
        <f t="shared" ref="U32:U35" si="30">(S32-T31)*24*60</f>
        <v>31.000000000000011</v>
      </c>
      <c r="V32" s="81">
        <f t="shared" si="29"/>
        <v>128.99999999999997</v>
      </c>
      <c r="W32" s="79"/>
      <c r="X32" s="79"/>
      <c r="Y32" s="510"/>
      <c r="Z32" s="510"/>
      <c r="AA32" s="66">
        <f t="shared" si="8"/>
        <v>-107.4418604651155</v>
      </c>
      <c r="AB32" s="84">
        <f t="shared" si="9"/>
        <v>0.95523255813953523</v>
      </c>
      <c r="AC32" s="511"/>
    </row>
    <row r="33" spans="1:29">
      <c r="A33" s="532" t="s">
        <v>160</v>
      </c>
      <c r="B33" s="62" t="s">
        <v>16</v>
      </c>
      <c r="C33" s="512" t="s">
        <v>50</v>
      </c>
      <c r="D33" s="512"/>
      <c r="E33" s="62">
        <v>20.52</v>
      </c>
      <c r="F33" s="80">
        <v>3699</v>
      </c>
      <c r="G33" s="79">
        <f t="shared" si="27"/>
        <v>75903.48</v>
      </c>
      <c r="H33" s="90" t="s">
        <v>5</v>
      </c>
      <c r="I33" s="82">
        <v>18</v>
      </c>
      <c r="J33" s="63">
        <v>2400</v>
      </c>
      <c r="K33" s="64">
        <f t="shared" si="1"/>
        <v>133.33333333333334</v>
      </c>
      <c r="L33" s="82">
        <v>18</v>
      </c>
      <c r="M33" s="65">
        <f t="shared" si="28"/>
        <v>2288.0412371134025</v>
      </c>
      <c r="N33" s="64">
        <f t="shared" si="3"/>
        <v>127.11340206185569</v>
      </c>
      <c r="O33" s="66">
        <f t="shared" si="4"/>
        <v>0</v>
      </c>
      <c r="P33" s="67">
        <f t="shared" si="5"/>
        <v>-6.2199312714776482</v>
      </c>
      <c r="Q33" s="84">
        <f t="shared" si="6"/>
        <v>0.95335051546391769</v>
      </c>
      <c r="R33" s="511"/>
      <c r="S33" s="68">
        <v>0.2944444444444444</v>
      </c>
      <c r="T33" s="68">
        <v>0.36180555555555549</v>
      </c>
      <c r="U33" s="79">
        <f t="shared" si="30"/>
        <v>7.9999999999999716</v>
      </c>
      <c r="V33" s="81">
        <f t="shared" si="29"/>
        <v>96.999999999999972</v>
      </c>
      <c r="W33" s="79"/>
      <c r="X33" s="79"/>
      <c r="Y33" s="510"/>
      <c r="Z33" s="510"/>
      <c r="AA33" s="66">
        <f t="shared" si="8"/>
        <v>-111.95876288659747</v>
      </c>
      <c r="AB33" s="84">
        <f t="shared" si="9"/>
        <v>0.95335051546391769</v>
      </c>
      <c r="AC33" s="511"/>
    </row>
    <row r="34" spans="1:29">
      <c r="A34" s="532" t="s">
        <v>160</v>
      </c>
      <c r="B34" s="62" t="s">
        <v>16</v>
      </c>
      <c r="C34" s="512" t="s">
        <v>18</v>
      </c>
      <c r="D34" s="512"/>
      <c r="E34" s="62">
        <v>22.35</v>
      </c>
      <c r="F34" s="80">
        <v>1511</v>
      </c>
      <c r="G34" s="79">
        <f t="shared" si="27"/>
        <v>33770.85</v>
      </c>
      <c r="H34" s="90" t="s">
        <v>5</v>
      </c>
      <c r="I34" s="82">
        <v>16</v>
      </c>
      <c r="J34" s="63">
        <v>2400</v>
      </c>
      <c r="K34" s="64">
        <f t="shared" si="1"/>
        <v>150</v>
      </c>
      <c r="L34" s="82">
        <v>16</v>
      </c>
      <c r="M34" s="65">
        <f t="shared" si="28"/>
        <v>2324.6153846153834</v>
      </c>
      <c r="N34" s="64">
        <f t="shared" si="3"/>
        <v>145.28846153846146</v>
      </c>
      <c r="O34" s="66">
        <f t="shared" si="4"/>
        <v>0</v>
      </c>
      <c r="P34" s="67">
        <f t="shared" si="5"/>
        <v>-4.7115384615385381</v>
      </c>
      <c r="Q34" s="84">
        <f t="shared" si="6"/>
        <v>0.96858974358974304</v>
      </c>
      <c r="R34" s="511"/>
      <c r="S34" s="68">
        <v>0.36597222222222214</v>
      </c>
      <c r="T34" s="68">
        <v>0.39305555555555549</v>
      </c>
      <c r="U34" s="79">
        <f t="shared" si="30"/>
        <v>5.9999999999999787</v>
      </c>
      <c r="V34" s="81">
        <f t="shared" si="29"/>
        <v>39.000000000000021</v>
      </c>
      <c r="W34" s="69"/>
      <c r="X34" s="69"/>
      <c r="Y34" s="510"/>
      <c r="Z34" s="510"/>
      <c r="AA34" s="66">
        <f t="shared" si="8"/>
        <v>-75.384615384616609</v>
      </c>
      <c r="AB34" s="84">
        <f t="shared" si="9"/>
        <v>0.96858974358974304</v>
      </c>
      <c r="AC34" s="511"/>
    </row>
    <row r="35" spans="1:29">
      <c r="A35" s="532" t="s">
        <v>160</v>
      </c>
      <c r="B35" s="62" t="s">
        <v>16</v>
      </c>
      <c r="C35" s="512" t="s">
        <v>33</v>
      </c>
      <c r="D35" s="512"/>
      <c r="E35" s="62">
        <v>24.43</v>
      </c>
      <c r="F35" s="80">
        <v>6949</v>
      </c>
      <c r="G35" s="79">
        <f t="shared" si="27"/>
        <v>169764.07</v>
      </c>
      <c r="H35" s="90" t="s">
        <v>5</v>
      </c>
      <c r="I35" s="82">
        <v>15</v>
      </c>
      <c r="J35" s="63">
        <v>2400</v>
      </c>
      <c r="K35" s="64">
        <f t="shared" si="1"/>
        <v>160</v>
      </c>
      <c r="L35" s="82">
        <v>15</v>
      </c>
      <c r="M35" s="65">
        <f t="shared" si="28"/>
        <v>2290.8791208791208</v>
      </c>
      <c r="N35" s="64">
        <f t="shared" si="3"/>
        <v>152.72527472527472</v>
      </c>
      <c r="O35" s="66">
        <f t="shared" si="4"/>
        <v>0</v>
      </c>
      <c r="P35" s="67">
        <f t="shared" si="5"/>
        <v>-7.2747252747252844</v>
      </c>
      <c r="Q35" s="84">
        <f t="shared" si="6"/>
        <v>0.95453296703296697</v>
      </c>
      <c r="R35" s="511"/>
      <c r="S35" s="68">
        <v>0.39791666666666659</v>
      </c>
      <c r="T35" s="68">
        <v>0.52430555555555547</v>
      </c>
      <c r="U35" s="79">
        <f t="shared" si="30"/>
        <v>6.9999999999999751</v>
      </c>
      <c r="V35" s="81">
        <f t="shared" si="29"/>
        <v>182</v>
      </c>
      <c r="W35" s="69"/>
      <c r="X35" s="69"/>
      <c r="Y35" s="510"/>
      <c r="Z35" s="510"/>
      <c r="AA35" s="66">
        <f t="shared" si="8"/>
        <v>-109.12087912087918</v>
      </c>
      <c r="AB35" s="84">
        <f t="shared" si="9"/>
        <v>0.95453296703296697</v>
      </c>
      <c r="AC35" s="511"/>
    </row>
    <row r="36" spans="1:29">
      <c r="A36" s="532" t="s">
        <v>160</v>
      </c>
      <c r="B36" s="71" t="s">
        <v>79</v>
      </c>
      <c r="C36" s="513"/>
      <c r="D36" s="513"/>
      <c r="E36" s="83"/>
      <c r="F36" s="71"/>
      <c r="G36" s="64"/>
      <c r="H36" s="80"/>
      <c r="I36" s="72">
        <v>17.2</v>
      </c>
      <c r="J36" s="63">
        <v>2400</v>
      </c>
      <c r="K36" s="64">
        <f t="shared" si="1"/>
        <v>139.53488372093022</v>
      </c>
      <c r="L36" s="72">
        <v>17.2</v>
      </c>
      <c r="M36" s="65">
        <f>AVERAGE(M31:M35)</f>
        <v>2298.9246587814996</v>
      </c>
      <c r="N36" s="64">
        <f t="shared" si="3"/>
        <v>133.65841039427323</v>
      </c>
      <c r="O36" s="66">
        <f t="shared" si="4"/>
        <v>0</v>
      </c>
      <c r="P36" s="67">
        <f t="shared" si="5"/>
        <v>-5.876473326656992</v>
      </c>
      <c r="Q36" s="84">
        <f t="shared" si="6"/>
        <v>0.95788527449229155</v>
      </c>
      <c r="R36" s="511"/>
      <c r="S36" s="68"/>
      <c r="T36" s="68"/>
      <c r="U36" s="64"/>
      <c r="V36" s="81"/>
      <c r="W36" s="64"/>
      <c r="X36" s="64"/>
      <c r="Y36" s="510"/>
      <c r="Z36" s="510"/>
      <c r="AA36" s="66">
        <f t="shared" si="8"/>
        <v>-101.0753412185004</v>
      </c>
      <c r="AB36" s="84">
        <f t="shared" si="9"/>
        <v>0.95788527449229155</v>
      </c>
      <c r="AC36" s="511"/>
    </row>
    <row r="37" spans="1:29" ht="15.75" customHeight="1">
      <c r="A37" s="525" t="s">
        <v>161</v>
      </c>
      <c r="B37" s="62" t="s">
        <v>35</v>
      </c>
      <c r="C37" s="521" t="s">
        <v>36</v>
      </c>
      <c r="D37" s="522"/>
      <c r="E37" s="62">
        <v>21.13</v>
      </c>
      <c r="F37" s="80">
        <v>4147</v>
      </c>
      <c r="G37" s="79">
        <f t="shared" ref="G37:G44" si="31">E37*F37</f>
        <v>87626.11</v>
      </c>
      <c r="H37" s="90" t="s">
        <v>5</v>
      </c>
      <c r="I37" s="82">
        <v>10</v>
      </c>
      <c r="J37" s="63">
        <v>3000</v>
      </c>
      <c r="K37" s="64">
        <f t="shared" si="1"/>
        <v>300</v>
      </c>
      <c r="L37" s="82">
        <v>10</v>
      </c>
      <c r="M37" s="65">
        <f t="shared" ref="M37:M44" si="32">F37/V37*60</f>
        <v>2860.0000000000005</v>
      </c>
      <c r="N37" s="65">
        <f t="shared" si="3"/>
        <v>286.00000000000006</v>
      </c>
      <c r="O37" s="66">
        <f t="shared" si="4"/>
        <v>0</v>
      </c>
      <c r="P37" s="67">
        <f t="shared" si="5"/>
        <v>-13.999999999999943</v>
      </c>
      <c r="Q37" s="84">
        <f t="shared" si="6"/>
        <v>0.95333333333333348</v>
      </c>
      <c r="R37" s="528">
        <f>Q45</f>
        <v>0.95944180755508746</v>
      </c>
      <c r="S37" s="68">
        <v>8.3333333333333329E-2</v>
      </c>
      <c r="T37" s="68">
        <v>0.14374999999999999</v>
      </c>
      <c r="U37" s="73"/>
      <c r="V37" s="81">
        <f t="shared" ref="V37:V44" si="33">(T37-S37)*24*60</f>
        <v>86.999999999999986</v>
      </c>
      <c r="W37" s="69">
        <f>T37</f>
        <v>0.14374999999999999</v>
      </c>
      <c r="X37" s="69">
        <f>S38</f>
        <v>0.16388888888888889</v>
      </c>
      <c r="Y37" s="517"/>
      <c r="Z37" s="518"/>
      <c r="AA37" s="66">
        <f t="shared" si="8"/>
        <v>-139.99999999999955</v>
      </c>
      <c r="AB37" s="84">
        <f t="shared" si="9"/>
        <v>0.95333333333333348</v>
      </c>
      <c r="AC37" s="528">
        <f>AB45</f>
        <v>0.95944180755508746</v>
      </c>
    </row>
    <row r="38" spans="1:29" ht="15.75" customHeight="1">
      <c r="A38" s="526" t="s">
        <v>161</v>
      </c>
      <c r="B38" s="62" t="s">
        <v>35</v>
      </c>
      <c r="C38" s="521" t="s">
        <v>37</v>
      </c>
      <c r="D38" s="522"/>
      <c r="E38" s="62">
        <v>27.17</v>
      </c>
      <c r="F38" s="80">
        <v>5112</v>
      </c>
      <c r="G38" s="79">
        <f t="shared" si="31"/>
        <v>138893.04</v>
      </c>
      <c r="H38" s="90" t="s">
        <v>5</v>
      </c>
      <c r="I38" s="82">
        <v>10</v>
      </c>
      <c r="J38" s="63">
        <v>3000</v>
      </c>
      <c r="K38" s="64">
        <f t="shared" si="1"/>
        <v>300</v>
      </c>
      <c r="L38" s="82">
        <v>10</v>
      </c>
      <c r="M38" s="65">
        <f t="shared" si="32"/>
        <v>2866.5420560747671</v>
      </c>
      <c r="N38" s="65">
        <f t="shared" si="3"/>
        <v>286.65420560747668</v>
      </c>
      <c r="O38" s="66">
        <f t="shared" si="4"/>
        <v>0</v>
      </c>
      <c r="P38" s="67">
        <f t="shared" si="5"/>
        <v>-13.345794392523317</v>
      </c>
      <c r="Q38" s="84">
        <f t="shared" si="6"/>
        <v>0.95551401869158892</v>
      </c>
      <c r="R38" s="529"/>
      <c r="S38" s="68">
        <v>0.16388888888888889</v>
      </c>
      <c r="T38" s="68">
        <v>0.23819444444444443</v>
      </c>
      <c r="U38" s="79">
        <f t="shared" ref="U38:U44" si="34">(S38-T37)*24*60</f>
        <v>29.000000000000018</v>
      </c>
      <c r="V38" s="81">
        <f t="shared" si="33"/>
        <v>106.99999999999999</v>
      </c>
      <c r="W38" s="69"/>
      <c r="X38" s="69"/>
      <c r="Y38" s="517"/>
      <c r="Z38" s="518"/>
      <c r="AA38" s="66">
        <f t="shared" si="8"/>
        <v>-133.45794392523294</v>
      </c>
      <c r="AB38" s="84">
        <f t="shared" si="9"/>
        <v>0.95551401869158903</v>
      </c>
      <c r="AC38" s="529"/>
    </row>
    <row r="39" spans="1:29" ht="15.75" customHeight="1">
      <c r="A39" s="526" t="s">
        <v>161</v>
      </c>
      <c r="B39" s="62" t="s">
        <v>35</v>
      </c>
      <c r="C39" s="521" t="s">
        <v>38</v>
      </c>
      <c r="D39" s="522"/>
      <c r="E39" s="62">
        <v>35.119999999999997</v>
      </c>
      <c r="F39" s="80">
        <v>3721</v>
      </c>
      <c r="G39" s="79">
        <f t="shared" si="31"/>
        <v>130681.51999999999</v>
      </c>
      <c r="H39" s="90" t="s">
        <v>5</v>
      </c>
      <c r="I39" s="82">
        <v>10</v>
      </c>
      <c r="J39" s="63">
        <v>3000</v>
      </c>
      <c r="K39" s="64">
        <f t="shared" si="1"/>
        <v>300</v>
      </c>
      <c r="L39" s="82">
        <v>10</v>
      </c>
      <c r="M39" s="65">
        <f t="shared" si="32"/>
        <v>2862.3076923076924</v>
      </c>
      <c r="N39" s="65">
        <f t="shared" si="3"/>
        <v>286.23076923076923</v>
      </c>
      <c r="O39" s="66">
        <f t="shared" si="4"/>
        <v>0</v>
      </c>
      <c r="P39" s="67">
        <f t="shared" si="5"/>
        <v>-13.769230769230774</v>
      </c>
      <c r="Q39" s="84">
        <f t="shared" si="6"/>
        <v>0.95410256410256411</v>
      </c>
      <c r="R39" s="529"/>
      <c r="S39" s="68">
        <v>0.24374999999999999</v>
      </c>
      <c r="T39" s="68">
        <v>0.29791666666666666</v>
      </c>
      <c r="U39" s="79">
        <f t="shared" si="34"/>
        <v>8.0000000000000107</v>
      </c>
      <c r="V39" s="81">
        <f t="shared" si="33"/>
        <v>78</v>
      </c>
      <c r="W39" s="69"/>
      <c r="X39" s="69"/>
      <c r="Y39" s="517"/>
      <c r="Z39" s="518"/>
      <c r="AA39" s="66">
        <f t="shared" si="8"/>
        <v>-137.69230769230762</v>
      </c>
      <c r="AB39" s="84">
        <f t="shared" si="9"/>
        <v>0.95410256410256411</v>
      </c>
      <c r="AC39" s="529"/>
    </row>
    <row r="40" spans="1:29" ht="15.75" customHeight="1">
      <c r="A40" s="526" t="s">
        <v>161</v>
      </c>
      <c r="B40" s="62" t="s">
        <v>35</v>
      </c>
      <c r="C40" s="521" t="s">
        <v>39</v>
      </c>
      <c r="D40" s="522"/>
      <c r="E40" s="62">
        <v>35.869999999999997</v>
      </c>
      <c r="F40" s="80">
        <v>2490</v>
      </c>
      <c r="G40" s="79">
        <f t="shared" si="31"/>
        <v>89316.299999999988</v>
      </c>
      <c r="H40" s="90" t="s">
        <v>5</v>
      </c>
      <c r="I40" s="82">
        <v>10</v>
      </c>
      <c r="J40" s="63">
        <v>3000</v>
      </c>
      <c r="K40" s="64">
        <f t="shared" si="1"/>
        <v>300</v>
      </c>
      <c r="L40" s="82">
        <v>10</v>
      </c>
      <c r="M40" s="65">
        <f t="shared" si="32"/>
        <v>2873.0769230769247</v>
      </c>
      <c r="N40" s="65">
        <f t="shared" si="3"/>
        <v>287.30769230769249</v>
      </c>
      <c r="O40" s="66">
        <f t="shared" si="4"/>
        <v>0</v>
      </c>
      <c r="P40" s="67">
        <f t="shared" si="5"/>
        <v>-12.692307692307509</v>
      </c>
      <c r="Q40" s="84">
        <f t="shared" si="6"/>
        <v>0.95769230769230829</v>
      </c>
      <c r="R40" s="529"/>
      <c r="S40" s="68">
        <v>0.3034722222222222</v>
      </c>
      <c r="T40" s="68">
        <v>0.33958333333333329</v>
      </c>
      <c r="U40" s="79">
        <f t="shared" si="34"/>
        <v>7.9999999999999716</v>
      </c>
      <c r="V40" s="81">
        <f t="shared" si="33"/>
        <v>51.999999999999972</v>
      </c>
      <c r="W40" s="69"/>
      <c r="X40" s="69"/>
      <c r="Y40" s="517"/>
      <c r="Z40" s="518"/>
      <c r="AA40" s="66">
        <f t="shared" si="8"/>
        <v>-126.92307692307531</v>
      </c>
      <c r="AB40" s="84">
        <f t="shared" si="9"/>
        <v>0.95769230769230818</v>
      </c>
      <c r="AC40" s="529"/>
    </row>
    <row r="41" spans="1:29" ht="15.75" customHeight="1">
      <c r="A41" s="526" t="s">
        <v>161</v>
      </c>
      <c r="B41" s="62" t="s">
        <v>35</v>
      </c>
      <c r="C41" s="521" t="s">
        <v>40</v>
      </c>
      <c r="D41" s="522"/>
      <c r="E41" s="62">
        <v>36.14</v>
      </c>
      <c r="F41" s="80">
        <v>1419</v>
      </c>
      <c r="G41" s="79">
        <f t="shared" si="31"/>
        <v>51282.66</v>
      </c>
      <c r="H41" s="90" t="s">
        <v>5</v>
      </c>
      <c r="I41" s="82">
        <v>8</v>
      </c>
      <c r="J41" s="63">
        <v>3000</v>
      </c>
      <c r="K41" s="64">
        <f t="shared" si="1"/>
        <v>375</v>
      </c>
      <c r="L41" s="82">
        <v>8</v>
      </c>
      <c r="M41" s="65">
        <f t="shared" si="32"/>
        <v>2935.8620689655195</v>
      </c>
      <c r="N41" s="65">
        <f t="shared" si="3"/>
        <v>366.98275862068994</v>
      </c>
      <c r="O41" s="66">
        <f t="shared" si="4"/>
        <v>0</v>
      </c>
      <c r="P41" s="67">
        <f t="shared" si="5"/>
        <v>-8.0172413793100645</v>
      </c>
      <c r="Q41" s="84">
        <f t="shared" si="6"/>
        <v>0.97862068965517313</v>
      </c>
      <c r="R41" s="529"/>
      <c r="S41" s="68">
        <v>0.34513888888888883</v>
      </c>
      <c r="T41" s="68">
        <v>0.3652777777777777</v>
      </c>
      <c r="U41" s="79">
        <f t="shared" si="34"/>
        <v>7.9999999999999716</v>
      </c>
      <c r="V41" s="81">
        <f t="shared" si="33"/>
        <v>28.999999999999979</v>
      </c>
      <c r="W41" s="69"/>
      <c r="X41" s="69"/>
      <c r="Y41" s="517"/>
      <c r="Z41" s="518"/>
      <c r="AA41" s="66">
        <f t="shared" si="8"/>
        <v>-64.137931034480516</v>
      </c>
      <c r="AB41" s="84">
        <f t="shared" si="9"/>
        <v>0.97862068965517313</v>
      </c>
      <c r="AC41" s="529"/>
    </row>
    <row r="42" spans="1:29" ht="15.75" customHeight="1">
      <c r="A42" s="526" t="s">
        <v>161</v>
      </c>
      <c r="B42" s="62" t="s">
        <v>35</v>
      </c>
      <c r="C42" s="521" t="s">
        <v>74</v>
      </c>
      <c r="D42" s="522"/>
      <c r="E42" s="62">
        <v>34.36</v>
      </c>
      <c r="F42" s="80">
        <v>2549</v>
      </c>
      <c r="G42" s="79">
        <f t="shared" si="31"/>
        <v>87583.64</v>
      </c>
      <c r="H42" s="90" t="s">
        <v>5</v>
      </c>
      <c r="I42" s="82">
        <v>10</v>
      </c>
      <c r="J42" s="63">
        <v>3000</v>
      </c>
      <c r="K42" s="64">
        <f t="shared" si="1"/>
        <v>300</v>
      </c>
      <c r="L42" s="82">
        <v>10</v>
      </c>
      <c r="M42" s="65">
        <f t="shared" si="32"/>
        <v>2885.660377358492</v>
      </c>
      <c r="N42" s="65">
        <f t="shared" si="3"/>
        <v>288.56603773584919</v>
      </c>
      <c r="O42" s="66">
        <f t="shared" si="4"/>
        <v>0</v>
      </c>
      <c r="P42" s="67">
        <f t="shared" si="5"/>
        <v>-11.433962264150807</v>
      </c>
      <c r="Q42" s="84">
        <f t="shared" si="6"/>
        <v>0.9618867924528306</v>
      </c>
      <c r="R42" s="529"/>
      <c r="S42" s="68">
        <v>0.36874999999999991</v>
      </c>
      <c r="T42" s="68">
        <v>0.40555555555555545</v>
      </c>
      <c r="U42" s="79">
        <f t="shared" si="34"/>
        <v>4.9999999999999822</v>
      </c>
      <c r="V42" s="81">
        <f t="shared" si="33"/>
        <v>52.999999999999972</v>
      </c>
      <c r="W42" s="69"/>
      <c r="X42" s="69"/>
      <c r="Y42" s="517"/>
      <c r="Z42" s="518"/>
      <c r="AA42" s="66">
        <f t="shared" si="8"/>
        <v>-114.33962264150796</v>
      </c>
      <c r="AB42" s="84">
        <f t="shared" si="9"/>
        <v>0.96188679245283071</v>
      </c>
      <c r="AC42" s="529"/>
    </row>
    <row r="43" spans="1:29" ht="15.75" customHeight="1">
      <c r="A43" s="526" t="s">
        <v>161</v>
      </c>
      <c r="B43" s="62" t="s">
        <v>35</v>
      </c>
      <c r="C43" s="521" t="s">
        <v>84</v>
      </c>
      <c r="D43" s="522"/>
      <c r="E43" s="62">
        <v>31</v>
      </c>
      <c r="F43" s="80">
        <v>5000</v>
      </c>
      <c r="G43" s="79">
        <f t="shared" si="31"/>
        <v>155000</v>
      </c>
      <c r="H43" s="90">
        <v>2</v>
      </c>
      <c r="I43" s="82">
        <v>13</v>
      </c>
      <c r="J43" s="63">
        <v>2000</v>
      </c>
      <c r="K43" s="64">
        <f t="shared" si="1"/>
        <v>153.84615384615384</v>
      </c>
      <c r="L43" s="82">
        <v>13</v>
      </c>
      <c r="M43" s="65">
        <f t="shared" si="32"/>
        <v>1910.828025477706</v>
      </c>
      <c r="N43" s="65">
        <f t="shared" si="3"/>
        <v>146.98677119059278</v>
      </c>
      <c r="O43" s="66">
        <f t="shared" si="4"/>
        <v>0</v>
      </c>
      <c r="P43" s="67">
        <f t="shared" si="5"/>
        <v>-6.8593826555610633</v>
      </c>
      <c r="Q43" s="84">
        <f t="shared" si="6"/>
        <v>0.95541401273885307</v>
      </c>
      <c r="R43" s="529"/>
      <c r="S43" s="68">
        <v>0.40902777777777766</v>
      </c>
      <c r="T43" s="68">
        <v>0.51805555555555549</v>
      </c>
      <c r="U43" s="79">
        <f t="shared" si="34"/>
        <v>4.9999999999999822</v>
      </c>
      <c r="V43" s="81">
        <f t="shared" si="33"/>
        <v>157.00000000000009</v>
      </c>
      <c r="W43" s="69">
        <f>T43</f>
        <v>0.51805555555555549</v>
      </c>
      <c r="X43" s="69">
        <f>S44</f>
        <v>0.55833333333333324</v>
      </c>
      <c r="Y43" s="517"/>
      <c r="Z43" s="518"/>
      <c r="AA43" s="66">
        <f t="shared" si="8"/>
        <v>-89.171974522294022</v>
      </c>
      <c r="AB43" s="84">
        <f t="shared" si="9"/>
        <v>0.95541401273885296</v>
      </c>
      <c r="AC43" s="529"/>
    </row>
    <row r="44" spans="1:29" ht="15.75" customHeight="1">
      <c r="A44" s="526" t="s">
        <v>161</v>
      </c>
      <c r="B44" s="62" t="s">
        <v>35</v>
      </c>
      <c r="C44" s="521" t="s">
        <v>84</v>
      </c>
      <c r="D44" s="522"/>
      <c r="E44" s="62">
        <v>31</v>
      </c>
      <c r="F44" s="80">
        <v>5836</v>
      </c>
      <c r="G44" s="79">
        <f t="shared" si="31"/>
        <v>180916</v>
      </c>
      <c r="H44" s="90" t="s">
        <v>5</v>
      </c>
      <c r="I44" s="82">
        <v>13</v>
      </c>
      <c r="J44" s="63">
        <v>2000</v>
      </c>
      <c r="K44" s="64">
        <f t="shared" si="1"/>
        <v>153.84615384615384</v>
      </c>
      <c r="L44" s="82">
        <v>13</v>
      </c>
      <c r="M44" s="65">
        <f t="shared" si="32"/>
        <v>1913.4426229508197</v>
      </c>
      <c r="N44" s="65">
        <f t="shared" si="3"/>
        <v>147.18789407313997</v>
      </c>
      <c r="O44" s="66">
        <f t="shared" si="4"/>
        <v>0</v>
      </c>
      <c r="P44" s="67">
        <f t="shared" si="5"/>
        <v>-6.6582597730138673</v>
      </c>
      <c r="Q44" s="84">
        <f t="shared" si="6"/>
        <v>0.95672131147540984</v>
      </c>
      <c r="R44" s="529"/>
      <c r="S44" s="68">
        <v>0.55833333333333324</v>
      </c>
      <c r="T44" s="68">
        <v>0.68541666666666656</v>
      </c>
      <c r="U44" s="79">
        <f t="shared" si="34"/>
        <v>57.999999999999957</v>
      </c>
      <c r="V44" s="81">
        <f t="shared" si="33"/>
        <v>183</v>
      </c>
      <c r="W44" s="69"/>
      <c r="X44" s="69"/>
      <c r="Y44" s="517"/>
      <c r="Z44" s="518"/>
      <c r="AA44" s="66">
        <f t="shared" si="8"/>
        <v>-86.557377049180332</v>
      </c>
      <c r="AB44" s="84">
        <f t="shared" si="9"/>
        <v>0.95672131147540984</v>
      </c>
      <c r="AC44" s="529"/>
    </row>
    <row r="45" spans="1:29" ht="15.75" customHeight="1">
      <c r="A45" s="527" t="s">
        <v>161</v>
      </c>
      <c r="B45" s="62" t="s">
        <v>79</v>
      </c>
      <c r="C45" s="508"/>
      <c r="D45" s="509"/>
      <c r="E45" s="89"/>
      <c r="F45" s="80"/>
      <c r="G45" s="79"/>
      <c r="H45" s="80"/>
      <c r="I45" s="72">
        <v>10.5</v>
      </c>
      <c r="J45" s="63">
        <v>2750</v>
      </c>
      <c r="K45" s="64">
        <f t="shared" si="1"/>
        <v>261.90476190476193</v>
      </c>
      <c r="L45" s="72">
        <v>10.5</v>
      </c>
      <c r="M45" s="65">
        <f>AVERAGE(M37:M44)</f>
        <v>2638.4649707764906</v>
      </c>
      <c r="N45" s="64">
        <f t="shared" si="3"/>
        <v>251.2823781691896</v>
      </c>
      <c r="O45" s="66">
        <f t="shared" si="4"/>
        <v>0</v>
      </c>
      <c r="P45" s="67">
        <f t="shared" si="5"/>
        <v>-10.622383735572328</v>
      </c>
      <c r="Q45" s="84">
        <f t="shared" si="6"/>
        <v>0.95944180755508746</v>
      </c>
      <c r="R45" s="530"/>
      <c r="S45" s="68"/>
      <c r="T45" s="68"/>
      <c r="U45" s="79"/>
      <c r="V45" s="81"/>
      <c r="W45" s="69"/>
      <c r="X45" s="69"/>
      <c r="Y45" s="517"/>
      <c r="Z45" s="518"/>
      <c r="AA45" s="66">
        <f t="shared" si="8"/>
        <v>-111.53502922350935</v>
      </c>
      <c r="AB45" s="84">
        <f t="shared" si="9"/>
        <v>0.95944180755508746</v>
      </c>
      <c r="AC45" s="530"/>
    </row>
    <row r="46" spans="1:29" ht="15.75" customHeight="1">
      <c r="A46" s="523" t="s">
        <v>80</v>
      </c>
      <c r="B46" s="62" t="s">
        <v>10</v>
      </c>
      <c r="C46" s="512" t="s">
        <v>41</v>
      </c>
      <c r="D46" s="512"/>
      <c r="E46" s="62">
        <v>46</v>
      </c>
      <c r="F46" s="74">
        <v>2126</v>
      </c>
      <c r="G46" s="79">
        <f t="shared" ref="G46:G50" si="35">E46*F46</f>
        <v>97796</v>
      </c>
      <c r="H46" s="90" t="s">
        <v>5</v>
      </c>
      <c r="I46" s="82">
        <v>17</v>
      </c>
      <c r="J46" s="63">
        <v>2000</v>
      </c>
      <c r="K46" s="64">
        <f t="shared" si="1"/>
        <v>117.64705882352941</v>
      </c>
      <c r="L46" s="82">
        <v>17</v>
      </c>
      <c r="M46" s="65">
        <f t="shared" ref="M46:M50" si="36">F46/V46*60</f>
        <v>1903.8805970149265</v>
      </c>
      <c r="N46" s="65">
        <f t="shared" si="3"/>
        <v>111.99297629499567</v>
      </c>
      <c r="O46" s="66">
        <f t="shared" si="4"/>
        <v>0</v>
      </c>
      <c r="P46" s="67">
        <f t="shared" si="5"/>
        <v>-5.6540825285337348</v>
      </c>
      <c r="Q46" s="84">
        <f t="shared" si="6"/>
        <v>0.9519402985074632</v>
      </c>
      <c r="R46" s="511">
        <f>Q51</f>
        <v>0.95924799798828209</v>
      </c>
      <c r="S46" s="68">
        <v>0.20833333333333334</v>
      </c>
      <c r="T46" s="68">
        <v>0.25486111111111109</v>
      </c>
      <c r="U46" s="73"/>
      <c r="V46" s="81">
        <f t="shared" ref="V46:V50" si="37">(T46-S46)*24*60</f>
        <v>66.999999999999957</v>
      </c>
      <c r="W46" s="73"/>
      <c r="X46" s="73"/>
      <c r="Y46" s="510"/>
      <c r="Z46" s="510"/>
      <c r="AA46" s="66">
        <f t="shared" si="8"/>
        <v>-96.119402985073521</v>
      </c>
      <c r="AB46" s="84">
        <f t="shared" si="9"/>
        <v>0.9519402985074632</v>
      </c>
      <c r="AC46" s="511">
        <f>AB51</f>
        <v>0.95924799798828209</v>
      </c>
    </row>
    <row r="47" spans="1:29" ht="15.75" customHeight="1">
      <c r="A47" s="523" t="s">
        <v>80</v>
      </c>
      <c r="B47" s="62" t="s">
        <v>10</v>
      </c>
      <c r="C47" s="512" t="s">
        <v>42</v>
      </c>
      <c r="D47" s="512"/>
      <c r="E47" s="62">
        <v>46</v>
      </c>
      <c r="F47" s="74">
        <v>2334</v>
      </c>
      <c r="G47" s="79">
        <f t="shared" si="35"/>
        <v>107364</v>
      </c>
      <c r="H47" s="90" t="s">
        <v>5</v>
      </c>
      <c r="I47" s="82">
        <v>17</v>
      </c>
      <c r="J47" s="63">
        <v>2000</v>
      </c>
      <c r="K47" s="64">
        <f t="shared" si="1"/>
        <v>117.64705882352941</v>
      </c>
      <c r="L47" s="82">
        <v>17</v>
      </c>
      <c r="M47" s="65">
        <f t="shared" si="36"/>
        <v>1918.3561643835621</v>
      </c>
      <c r="N47" s="65">
        <f t="shared" si="3"/>
        <v>112.8444802578566</v>
      </c>
      <c r="O47" s="66">
        <f t="shared" si="4"/>
        <v>0</v>
      </c>
      <c r="P47" s="67">
        <f t="shared" si="5"/>
        <v>-4.8025785656728033</v>
      </c>
      <c r="Q47" s="84">
        <f t="shared" si="6"/>
        <v>0.95917808219178113</v>
      </c>
      <c r="R47" s="511"/>
      <c r="S47" s="68">
        <v>0.2583333333333333</v>
      </c>
      <c r="T47" s="68">
        <v>0.30902777777777773</v>
      </c>
      <c r="U47" s="79">
        <f t="shared" ref="U47:U50" si="38">IF(S47=TIME(17,0,0),"",(S47-T46)*24*60)</f>
        <v>4.9999999999999822</v>
      </c>
      <c r="V47" s="81">
        <f t="shared" si="37"/>
        <v>72.999999999999986</v>
      </c>
      <c r="W47" s="69"/>
      <c r="X47" s="69"/>
      <c r="Y47" s="510"/>
      <c r="Z47" s="510"/>
      <c r="AA47" s="66">
        <f t="shared" si="8"/>
        <v>-81.643835616437855</v>
      </c>
      <c r="AB47" s="84">
        <f t="shared" si="9"/>
        <v>0.95917808219178102</v>
      </c>
      <c r="AC47" s="511"/>
    </row>
    <row r="48" spans="1:29" ht="15.75" customHeight="1">
      <c r="A48" s="523" t="s">
        <v>80</v>
      </c>
      <c r="B48" s="62" t="s">
        <v>6</v>
      </c>
      <c r="C48" s="521" t="s">
        <v>43</v>
      </c>
      <c r="D48" s="522"/>
      <c r="E48" s="62">
        <v>55.56</v>
      </c>
      <c r="F48" s="74">
        <v>2108</v>
      </c>
      <c r="G48" s="79">
        <f t="shared" si="35"/>
        <v>117120.48000000001</v>
      </c>
      <c r="H48" s="90" t="s">
        <v>5</v>
      </c>
      <c r="I48" s="82">
        <v>17</v>
      </c>
      <c r="J48" s="63">
        <v>2000</v>
      </c>
      <c r="K48" s="64">
        <f t="shared" si="1"/>
        <v>117.64705882352941</v>
      </c>
      <c r="L48" s="82">
        <v>17</v>
      </c>
      <c r="M48" s="65">
        <f t="shared" si="36"/>
        <v>1916.3636363636383</v>
      </c>
      <c r="N48" s="65">
        <f t="shared" si="3"/>
        <v>112.72727272727285</v>
      </c>
      <c r="O48" s="66">
        <f t="shared" si="4"/>
        <v>0</v>
      </c>
      <c r="P48" s="67">
        <f t="shared" si="5"/>
        <v>-4.9197860962565585</v>
      </c>
      <c r="Q48" s="84">
        <f t="shared" si="6"/>
        <v>0.95818181818181924</v>
      </c>
      <c r="R48" s="511"/>
      <c r="S48" s="68">
        <v>0.70833333333333337</v>
      </c>
      <c r="T48" s="68">
        <v>0.75416666666666665</v>
      </c>
      <c r="U48" s="79" t="str">
        <f t="shared" si="38"/>
        <v/>
      </c>
      <c r="V48" s="81">
        <f t="shared" si="37"/>
        <v>65.999999999999929</v>
      </c>
      <c r="W48" s="69"/>
      <c r="X48" s="69"/>
      <c r="Y48" s="85"/>
      <c r="Z48" s="86"/>
      <c r="AA48" s="66">
        <f t="shared" si="8"/>
        <v>-83.636363636361693</v>
      </c>
      <c r="AB48" s="84">
        <f t="shared" si="9"/>
        <v>0.95818181818181913</v>
      </c>
      <c r="AC48" s="511"/>
    </row>
    <row r="49" spans="1:29" ht="15.75" customHeight="1">
      <c r="A49" s="523" t="s">
        <v>80</v>
      </c>
      <c r="B49" s="62" t="s">
        <v>6</v>
      </c>
      <c r="C49" s="87" t="s">
        <v>44</v>
      </c>
      <c r="D49" s="88"/>
      <c r="E49" s="62">
        <v>55.32</v>
      </c>
      <c r="F49" s="74">
        <v>1673</v>
      </c>
      <c r="G49" s="79">
        <f t="shared" si="35"/>
        <v>92550.36</v>
      </c>
      <c r="H49" s="90" t="s">
        <v>5</v>
      </c>
      <c r="I49" s="82">
        <v>15</v>
      </c>
      <c r="J49" s="63">
        <v>2000</v>
      </c>
      <c r="K49" s="64">
        <f t="shared" si="1"/>
        <v>133.33333333333334</v>
      </c>
      <c r="L49" s="82">
        <v>15</v>
      </c>
      <c r="M49" s="65">
        <f t="shared" si="36"/>
        <v>1930.3846153846164</v>
      </c>
      <c r="N49" s="65">
        <f t="shared" si="3"/>
        <v>128.69230769230776</v>
      </c>
      <c r="O49" s="66">
        <f t="shared" si="4"/>
        <v>0</v>
      </c>
      <c r="P49" s="67">
        <f t="shared" si="5"/>
        <v>-4.6410256410255784</v>
      </c>
      <c r="Q49" s="84">
        <f t="shared" si="6"/>
        <v>0.96519230769230813</v>
      </c>
      <c r="R49" s="511"/>
      <c r="S49" s="68">
        <v>0.75763888888888886</v>
      </c>
      <c r="T49" s="68">
        <v>0.79374999999999996</v>
      </c>
      <c r="U49" s="79">
        <f t="shared" si="38"/>
        <v>4.9999999999999822</v>
      </c>
      <c r="V49" s="81">
        <f t="shared" si="37"/>
        <v>51.999999999999972</v>
      </c>
      <c r="W49" s="69"/>
      <c r="X49" s="69"/>
      <c r="Y49" s="85"/>
      <c r="Z49" s="86"/>
      <c r="AA49" s="66">
        <f t="shared" si="8"/>
        <v>-69.615384615383618</v>
      </c>
      <c r="AB49" s="84">
        <f t="shared" si="9"/>
        <v>0.96519230769230824</v>
      </c>
      <c r="AC49" s="511"/>
    </row>
    <row r="50" spans="1:29" ht="15.75" customHeight="1">
      <c r="A50" s="523" t="s">
        <v>80</v>
      </c>
      <c r="B50" s="62" t="s">
        <v>6</v>
      </c>
      <c r="C50" s="87" t="s">
        <v>82</v>
      </c>
      <c r="D50" s="88"/>
      <c r="E50" s="62">
        <v>57.73</v>
      </c>
      <c r="F50" s="74">
        <v>2238</v>
      </c>
      <c r="G50" s="79">
        <f t="shared" si="35"/>
        <v>129199.73999999999</v>
      </c>
      <c r="H50" s="90" t="s">
        <v>5</v>
      </c>
      <c r="I50" s="82">
        <v>16</v>
      </c>
      <c r="J50" s="63">
        <v>1500</v>
      </c>
      <c r="K50" s="64">
        <f t="shared" si="1"/>
        <v>93.75</v>
      </c>
      <c r="L50" s="82">
        <v>16</v>
      </c>
      <c r="M50" s="65">
        <f t="shared" si="36"/>
        <v>1443.8709677419358</v>
      </c>
      <c r="N50" s="65">
        <f t="shared" si="3"/>
        <v>90.241935483870989</v>
      </c>
      <c r="O50" s="66">
        <f t="shared" si="4"/>
        <v>0</v>
      </c>
      <c r="P50" s="67">
        <f t="shared" si="5"/>
        <v>-3.5080645161290107</v>
      </c>
      <c r="Q50" s="84">
        <f t="shared" si="6"/>
        <v>0.9625806451612906</v>
      </c>
      <c r="R50" s="511"/>
      <c r="S50" s="68">
        <v>0.79722222222222217</v>
      </c>
      <c r="T50" s="68">
        <v>0.86180555555555549</v>
      </c>
      <c r="U50" s="79">
        <f t="shared" si="38"/>
        <v>4.9999999999999822</v>
      </c>
      <c r="V50" s="81">
        <f t="shared" si="37"/>
        <v>92.999999999999986</v>
      </c>
      <c r="W50" s="69"/>
      <c r="X50" s="69"/>
      <c r="Y50" s="85"/>
      <c r="Z50" s="86"/>
      <c r="AA50" s="66">
        <f t="shared" si="8"/>
        <v>-56.129032258064171</v>
      </c>
      <c r="AB50" s="84">
        <f t="shared" si="9"/>
        <v>0.9625806451612906</v>
      </c>
      <c r="AC50" s="511"/>
    </row>
    <row r="51" spans="1:29">
      <c r="A51" s="524" t="s">
        <v>80</v>
      </c>
      <c r="B51" s="62" t="s">
        <v>79</v>
      </c>
      <c r="C51" s="513"/>
      <c r="D51" s="513"/>
      <c r="E51" s="83"/>
      <c r="F51" s="71"/>
      <c r="G51" s="64"/>
      <c r="H51" s="80"/>
      <c r="I51" s="72">
        <v>16.399999999999999</v>
      </c>
      <c r="J51" s="63">
        <v>1900</v>
      </c>
      <c r="K51" s="64">
        <f t="shared" si="1"/>
        <v>115.85365853658537</v>
      </c>
      <c r="L51" s="72">
        <v>16.399999999999999</v>
      </c>
      <c r="M51" s="65">
        <f>AVERAGE(M46:M50)</f>
        <v>1822.5711961777361</v>
      </c>
      <c r="N51" s="64">
        <f t="shared" si="3"/>
        <v>111.13239001083757</v>
      </c>
      <c r="O51" s="66">
        <f t="shared" si="4"/>
        <v>0</v>
      </c>
      <c r="P51" s="67">
        <f t="shared" si="5"/>
        <v>-4.7212685257478029</v>
      </c>
      <c r="Q51" s="84">
        <f t="shared" si="6"/>
        <v>0.95924799798828209</v>
      </c>
      <c r="R51" s="511"/>
      <c r="S51" s="75"/>
      <c r="T51" s="68"/>
      <c r="U51" s="64"/>
      <c r="V51" s="81"/>
      <c r="W51" s="64"/>
      <c r="X51" s="64"/>
      <c r="Y51" s="510"/>
      <c r="Z51" s="510"/>
      <c r="AA51" s="66">
        <f t="shared" si="8"/>
        <v>-77.428803822263944</v>
      </c>
      <c r="AB51" s="84">
        <f t="shared" si="9"/>
        <v>0.95924799798828209</v>
      </c>
      <c r="AC51" s="511"/>
    </row>
    <row r="52" spans="1:29" ht="15.75" customHeight="1">
      <c r="A52" s="519" t="s">
        <v>162</v>
      </c>
      <c r="B52" s="80" t="s">
        <v>10</v>
      </c>
      <c r="C52" s="512" t="s">
        <v>46</v>
      </c>
      <c r="D52" s="512"/>
      <c r="E52" s="62">
        <v>26.97</v>
      </c>
      <c r="F52" s="74">
        <v>2608</v>
      </c>
      <c r="G52" s="79">
        <f t="shared" ref="G52:G56" si="39">E52*F52</f>
        <v>70337.759999999995</v>
      </c>
      <c r="H52" s="90" t="s">
        <v>5</v>
      </c>
      <c r="I52" s="82">
        <v>8</v>
      </c>
      <c r="J52" s="63">
        <v>1500</v>
      </c>
      <c r="K52" s="64">
        <f t="shared" si="1"/>
        <v>187.5</v>
      </c>
      <c r="L52" s="82">
        <v>8</v>
      </c>
      <c r="M52" s="65">
        <f t="shared" ref="M52:M56" si="40">F52/V52*60</f>
        <v>1435.5963302752298</v>
      </c>
      <c r="N52" s="64">
        <f t="shared" si="3"/>
        <v>179.44954128440372</v>
      </c>
      <c r="O52" s="66">
        <f t="shared" si="4"/>
        <v>0</v>
      </c>
      <c r="P52" s="67">
        <f t="shared" si="5"/>
        <v>-8.0504587155962781</v>
      </c>
      <c r="Q52" s="84">
        <f t="shared" si="6"/>
        <v>0.95706422018348647</v>
      </c>
      <c r="R52" s="511">
        <f>Q57</f>
        <v>0.96539588879802962</v>
      </c>
      <c r="S52" s="68">
        <v>0.20833333333333334</v>
      </c>
      <c r="T52" s="68">
        <v>0.28402777777777777</v>
      </c>
      <c r="U52" s="79"/>
      <c r="V52" s="81">
        <f t="shared" ref="V52:V56" si="41">(T52-S52)*24*60</f>
        <v>108.99999999999997</v>
      </c>
      <c r="W52" s="73"/>
      <c r="X52" s="73"/>
      <c r="Y52" s="510"/>
      <c r="Z52" s="510"/>
      <c r="AA52" s="66">
        <f t="shared" si="8"/>
        <v>-64.403669724770225</v>
      </c>
      <c r="AB52" s="84">
        <f t="shared" si="9"/>
        <v>0.95706422018348647</v>
      </c>
      <c r="AC52" s="511">
        <f>AB57</f>
        <v>0.96539588879802962</v>
      </c>
    </row>
    <row r="53" spans="1:29" ht="15.75" customHeight="1">
      <c r="A53" s="519" t="s">
        <v>162</v>
      </c>
      <c r="B53" s="80" t="s">
        <v>35</v>
      </c>
      <c r="C53" s="512" t="s">
        <v>45</v>
      </c>
      <c r="D53" s="512"/>
      <c r="E53" s="62">
        <v>26.78</v>
      </c>
      <c r="F53" s="74">
        <v>2327</v>
      </c>
      <c r="G53" s="79">
        <f t="shared" si="39"/>
        <v>62317.060000000005</v>
      </c>
      <c r="H53" s="90" t="s">
        <v>5</v>
      </c>
      <c r="I53" s="82">
        <v>10</v>
      </c>
      <c r="J53" s="63">
        <v>3000</v>
      </c>
      <c r="K53" s="64">
        <f t="shared" si="1"/>
        <v>300</v>
      </c>
      <c r="L53" s="82">
        <v>10</v>
      </c>
      <c r="M53" s="65">
        <f t="shared" si="40"/>
        <v>2908.7500000000009</v>
      </c>
      <c r="N53" s="64">
        <f t="shared" si="3"/>
        <v>290.87500000000011</v>
      </c>
      <c r="O53" s="66">
        <f t="shared" si="4"/>
        <v>0</v>
      </c>
      <c r="P53" s="67">
        <f t="shared" si="5"/>
        <v>-9.1249999999998863</v>
      </c>
      <c r="Q53" s="84">
        <f t="shared" si="6"/>
        <v>0.96958333333333369</v>
      </c>
      <c r="R53" s="511"/>
      <c r="S53" s="68">
        <v>0.28819444444444442</v>
      </c>
      <c r="T53" s="68">
        <v>0.32152777777777775</v>
      </c>
      <c r="U53" s="79">
        <f t="shared" ref="U53:U56" si="42">(S53-T52)*24*60</f>
        <v>5.9999999999999787</v>
      </c>
      <c r="V53" s="81">
        <f t="shared" si="41"/>
        <v>47.999999999999986</v>
      </c>
      <c r="W53" s="79"/>
      <c r="X53" s="79"/>
      <c r="Y53" s="510"/>
      <c r="Z53" s="510"/>
      <c r="AA53" s="66">
        <f t="shared" si="8"/>
        <v>-91.249999999999091</v>
      </c>
      <c r="AB53" s="84">
        <f t="shared" si="9"/>
        <v>0.96958333333333369</v>
      </c>
      <c r="AC53" s="511"/>
    </row>
    <row r="54" spans="1:29" ht="15.75" customHeight="1">
      <c r="A54" s="519" t="s">
        <v>162</v>
      </c>
      <c r="B54" s="80" t="s">
        <v>35</v>
      </c>
      <c r="C54" s="512" t="s">
        <v>47</v>
      </c>
      <c r="D54" s="512"/>
      <c r="E54" s="62">
        <v>35.369999999999997</v>
      </c>
      <c r="F54" s="74">
        <v>1262</v>
      </c>
      <c r="G54" s="79">
        <f t="shared" si="39"/>
        <v>44636.939999999995</v>
      </c>
      <c r="H54" s="90" t="s">
        <v>5</v>
      </c>
      <c r="I54" s="82">
        <v>10</v>
      </c>
      <c r="J54" s="63">
        <v>3000</v>
      </c>
      <c r="K54" s="64">
        <f t="shared" si="1"/>
        <v>300</v>
      </c>
      <c r="L54" s="82">
        <v>10</v>
      </c>
      <c r="M54" s="65">
        <f t="shared" si="40"/>
        <v>2912.3076923076942</v>
      </c>
      <c r="N54" s="64">
        <f t="shared" si="3"/>
        <v>291.2307692307694</v>
      </c>
      <c r="O54" s="66">
        <f t="shared" si="4"/>
        <v>0</v>
      </c>
      <c r="P54" s="67">
        <f t="shared" si="5"/>
        <v>-8.7692307692306031</v>
      </c>
      <c r="Q54" s="84">
        <f t="shared" si="6"/>
        <v>0.97076923076923127</v>
      </c>
      <c r="R54" s="511"/>
      <c r="S54" s="68">
        <v>0.3256944444444444</v>
      </c>
      <c r="T54" s="68">
        <v>0.34374999999999994</v>
      </c>
      <c r="U54" s="79">
        <f t="shared" si="42"/>
        <v>5.9999999999999787</v>
      </c>
      <c r="V54" s="81">
        <f t="shared" si="41"/>
        <v>25.999999999999986</v>
      </c>
      <c r="W54" s="79"/>
      <c r="X54" s="79"/>
      <c r="Y54" s="510"/>
      <c r="Z54" s="510"/>
      <c r="AA54" s="66">
        <f t="shared" si="8"/>
        <v>-87.692307692305803</v>
      </c>
      <c r="AB54" s="84">
        <f t="shared" si="9"/>
        <v>0.97076923076923138</v>
      </c>
      <c r="AC54" s="511"/>
    </row>
    <row r="55" spans="1:29" ht="15.75" customHeight="1">
      <c r="A55" s="519" t="s">
        <v>162</v>
      </c>
      <c r="B55" s="80" t="s">
        <v>35</v>
      </c>
      <c r="C55" s="512" t="s">
        <v>75</v>
      </c>
      <c r="D55" s="512"/>
      <c r="E55" s="62">
        <v>37.880000000000003</v>
      </c>
      <c r="F55" s="74">
        <v>3041</v>
      </c>
      <c r="G55" s="79">
        <f t="shared" si="39"/>
        <v>115193.08</v>
      </c>
      <c r="H55" s="90" t="s">
        <v>5</v>
      </c>
      <c r="I55" s="82">
        <v>11</v>
      </c>
      <c r="J55" s="63">
        <v>3000</v>
      </c>
      <c r="K55" s="64">
        <f t="shared" si="1"/>
        <v>272.72727272727275</v>
      </c>
      <c r="L55" s="82">
        <v>11</v>
      </c>
      <c r="M55" s="65">
        <f t="shared" si="40"/>
        <v>2896.1904761904757</v>
      </c>
      <c r="N55" s="64">
        <f t="shared" si="3"/>
        <v>263.29004329004323</v>
      </c>
      <c r="O55" s="66">
        <f t="shared" si="4"/>
        <v>0</v>
      </c>
      <c r="P55" s="67">
        <f t="shared" si="5"/>
        <v>-9.4372294372295187</v>
      </c>
      <c r="Q55" s="84">
        <f t="shared" si="6"/>
        <v>0.96539682539682514</v>
      </c>
      <c r="R55" s="511"/>
      <c r="S55" s="68">
        <v>0.3479166666666666</v>
      </c>
      <c r="T55" s="68">
        <v>0.39166666666666661</v>
      </c>
      <c r="U55" s="79">
        <f t="shared" si="42"/>
        <v>5.9999999999999787</v>
      </c>
      <c r="V55" s="81">
        <f t="shared" si="41"/>
        <v>63.000000000000014</v>
      </c>
      <c r="W55" s="79"/>
      <c r="X55" s="79"/>
      <c r="Y55" s="510"/>
      <c r="Z55" s="510"/>
      <c r="AA55" s="66">
        <f t="shared" si="8"/>
        <v>-103.80952380952431</v>
      </c>
      <c r="AB55" s="84">
        <f t="shared" si="9"/>
        <v>0.96539682539682525</v>
      </c>
      <c r="AC55" s="511"/>
    </row>
    <row r="56" spans="1:29">
      <c r="A56" s="520" t="s">
        <v>162</v>
      </c>
      <c r="B56" s="80" t="s">
        <v>35</v>
      </c>
      <c r="C56" s="512" t="s">
        <v>85</v>
      </c>
      <c r="D56" s="512"/>
      <c r="E56" s="62">
        <v>40.51</v>
      </c>
      <c r="F56" s="74">
        <v>3888</v>
      </c>
      <c r="G56" s="79">
        <f t="shared" si="39"/>
        <v>157502.88</v>
      </c>
      <c r="H56" s="90" t="s">
        <v>5</v>
      </c>
      <c r="I56" s="82">
        <v>10</v>
      </c>
      <c r="J56" s="63">
        <v>3000</v>
      </c>
      <c r="K56" s="64">
        <f t="shared" si="1"/>
        <v>300</v>
      </c>
      <c r="L56" s="82">
        <v>10</v>
      </c>
      <c r="M56" s="65">
        <f t="shared" si="40"/>
        <v>2879.9999999999991</v>
      </c>
      <c r="N56" s="64">
        <f t="shared" si="3"/>
        <v>287.99999999999989</v>
      </c>
      <c r="O56" s="66">
        <f t="shared" si="4"/>
        <v>0</v>
      </c>
      <c r="P56" s="67">
        <f t="shared" si="5"/>
        <v>-12.000000000000114</v>
      </c>
      <c r="Q56" s="84">
        <f t="shared" si="6"/>
        <v>0.95999999999999963</v>
      </c>
      <c r="R56" s="511"/>
      <c r="S56" s="68">
        <v>0.39722222222222214</v>
      </c>
      <c r="T56" s="68">
        <v>0.45347222222222217</v>
      </c>
      <c r="U56" s="79">
        <f t="shared" si="42"/>
        <v>7.9999999999999716</v>
      </c>
      <c r="V56" s="81">
        <f t="shared" si="41"/>
        <v>81.000000000000028</v>
      </c>
      <c r="W56" s="69"/>
      <c r="X56" s="69"/>
      <c r="Y56" s="510"/>
      <c r="Z56" s="510"/>
      <c r="AA56" s="66">
        <f t="shared" si="8"/>
        <v>-120.00000000000091</v>
      </c>
      <c r="AB56" s="84">
        <f t="shared" si="9"/>
        <v>0.95999999999999974</v>
      </c>
      <c r="AC56" s="511"/>
    </row>
    <row r="57" spans="1:29">
      <c r="A57" s="520" t="s">
        <v>162</v>
      </c>
      <c r="B57" s="62" t="s">
        <v>79</v>
      </c>
      <c r="C57" s="513"/>
      <c r="D57" s="513"/>
      <c r="E57" s="83"/>
      <c r="F57" s="71"/>
      <c r="G57" s="64"/>
      <c r="H57" s="80"/>
      <c r="I57" s="72">
        <v>9.8000000000000007</v>
      </c>
      <c r="J57" s="63">
        <v>2700</v>
      </c>
      <c r="K57" s="64">
        <f t="shared" si="1"/>
        <v>275.51020408163265</v>
      </c>
      <c r="L57" s="72">
        <v>9.8000000000000007</v>
      </c>
      <c r="M57" s="65">
        <f>AVERAGE(M52:M56)</f>
        <v>2606.5688997546799</v>
      </c>
      <c r="N57" s="64">
        <f t="shared" si="3"/>
        <v>265.97641834231428</v>
      </c>
      <c r="O57" s="66">
        <f t="shared" si="4"/>
        <v>0</v>
      </c>
      <c r="P57" s="67">
        <f t="shared" si="5"/>
        <v>-9.5337857393183754</v>
      </c>
      <c r="Q57" s="84">
        <f t="shared" si="6"/>
        <v>0.96539588879802962</v>
      </c>
      <c r="R57" s="511"/>
      <c r="S57" s="68"/>
      <c r="T57" s="68"/>
      <c r="U57" s="64"/>
      <c r="V57" s="81"/>
      <c r="W57" s="64"/>
      <c r="X57" s="64"/>
      <c r="Y57" s="510"/>
      <c r="Z57" s="510"/>
      <c r="AA57" s="66">
        <f t="shared" si="8"/>
        <v>-93.431100245320067</v>
      </c>
      <c r="AB57" s="84">
        <f t="shared" si="9"/>
        <v>0.96539588879802962</v>
      </c>
      <c r="AC57" s="511"/>
    </row>
    <row r="58" spans="1:29" ht="15.75" customHeight="1">
      <c r="A58" s="514" t="s">
        <v>163</v>
      </c>
      <c r="B58" s="80" t="s">
        <v>16</v>
      </c>
      <c r="C58" s="512" t="s">
        <v>48</v>
      </c>
      <c r="D58" s="512"/>
      <c r="E58" s="62">
        <v>20.2</v>
      </c>
      <c r="F58" s="80">
        <v>1830</v>
      </c>
      <c r="G58" s="79">
        <f t="shared" ref="G58:G64" si="43">E58*F58</f>
        <v>36966</v>
      </c>
      <c r="H58" s="90" t="s">
        <v>5</v>
      </c>
      <c r="I58" s="82">
        <v>19</v>
      </c>
      <c r="J58" s="63">
        <v>2400</v>
      </c>
      <c r="K58" s="64">
        <f t="shared" si="1"/>
        <v>126.31578947368421</v>
      </c>
      <c r="L58" s="82">
        <v>19</v>
      </c>
      <c r="M58" s="65">
        <f t="shared" ref="M58:M64" si="44">F58/V58*60</f>
        <v>2287.4999999999995</v>
      </c>
      <c r="N58" s="64">
        <f t="shared" si="3"/>
        <v>120.39473684210525</v>
      </c>
      <c r="O58" s="66">
        <f t="shared" si="4"/>
        <v>0</v>
      </c>
      <c r="P58" s="67">
        <f t="shared" si="5"/>
        <v>-5.9210526315789593</v>
      </c>
      <c r="Q58" s="84">
        <f t="shared" si="6"/>
        <v>0.95312499999999989</v>
      </c>
      <c r="R58" s="511">
        <f>Q65</f>
        <v>0.9603195286733921</v>
      </c>
      <c r="S58" s="68">
        <v>8.3333333333333329E-2</v>
      </c>
      <c r="T58" s="68">
        <v>0.11666666666666667</v>
      </c>
      <c r="U58" s="73"/>
      <c r="V58" s="81">
        <f t="shared" ref="V58:V64" si="45">(T58-S58)*24*60</f>
        <v>48.000000000000007</v>
      </c>
      <c r="W58" s="69">
        <f>T58</f>
        <v>0.11666666666666667</v>
      </c>
      <c r="X58" s="69">
        <f>S59</f>
        <v>0.13541666666666669</v>
      </c>
      <c r="Y58" s="510"/>
      <c r="Z58" s="510"/>
      <c r="AA58" s="66">
        <f t="shared" si="8"/>
        <v>-112.50000000000045</v>
      </c>
      <c r="AB58" s="84">
        <f t="shared" si="9"/>
        <v>0.95312499999999978</v>
      </c>
      <c r="AC58" s="511">
        <f>AB65</f>
        <v>0.9603195286733921</v>
      </c>
    </row>
    <row r="59" spans="1:29" ht="15.75" customHeight="1">
      <c r="A59" s="515" t="s">
        <v>163</v>
      </c>
      <c r="B59" s="80" t="s">
        <v>16</v>
      </c>
      <c r="C59" s="512" t="s">
        <v>27</v>
      </c>
      <c r="D59" s="512"/>
      <c r="E59" s="62">
        <v>25.98</v>
      </c>
      <c r="F59" s="80">
        <v>1059</v>
      </c>
      <c r="G59" s="79">
        <f t="shared" si="43"/>
        <v>27512.82</v>
      </c>
      <c r="H59" s="90" t="s">
        <v>5</v>
      </c>
      <c r="I59" s="82">
        <v>17</v>
      </c>
      <c r="J59" s="63">
        <v>2400</v>
      </c>
      <c r="K59" s="64">
        <f t="shared" si="1"/>
        <v>141.1764705882353</v>
      </c>
      <c r="L59" s="82">
        <v>17</v>
      </c>
      <c r="M59" s="65">
        <f t="shared" si="44"/>
        <v>2353.3333333333344</v>
      </c>
      <c r="N59" s="64">
        <f t="shared" si="3"/>
        <v>138.43137254901967</v>
      </c>
      <c r="O59" s="66">
        <f t="shared" si="4"/>
        <v>0</v>
      </c>
      <c r="P59" s="67">
        <f t="shared" si="5"/>
        <v>-2.7450980392156339</v>
      </c>
      <c r="Q59" s="84">
        <f t="shared" si="6"/>
        <v>0.98055555555555596</v>
      </c>
      <c r="R59" s="511"/>
      <c r="S59" s="68">
        <v>0.13541666666666669</v>
      </c>
      <c r="T59" s="68">
        <v>0.15416666666666667</v>
      </c>
      <c r="U59" s="79">
        <f t="shared" ref="U59:U64" si="46">(S59-T58)*24*60</f>
        <v>27.000000000000025</v>
      </c>
      <c r="V59" s="81">
        <f t="shared" si="45"/>
        <v>26.999999999999986</v>
      </c>
      <c r="W59" s="69"/>
      <c r="X59" s="69"/>
      <c r="Y59" s="510"/>
      <c r="Z59" s="510"/>
      <c r="AA59" s="66">
        <f t="shared" si="8"/>
        <v>-46.666666666665606</v>
      </c>
      <c r="AB59" s="84">
        <f t="shared" si="9"/>
        <v>0.98055555555555596</v>
      </c>
      <c r="AC59" s="511"/>
    </row>
    <row r="60" spans="1:29" ht="15.75" customHeight="1">
      <c r="A60" s="515" t="s">
        <v>163</v>
      </c>
      <c r="B60" s="80" t="s">
        <v>16</v>
      </c>
      <c r="C60" s="512" t="s">
        <v>51</v>
      </c>
      <c r="D60" s="512"/>
      <c r="E60" s="62">
        <v>24.25</v>
      </c>
      <c r="F60" s="80">
        <v>2533</v>
      </c>
      <c r="G60" s="79">
        <f t="shared" si="43"/>
        <v>61425.25</v>
      </c>
      <c r="H60" s="90" t="s">
        <v>5</v>
      </c>
      <c r="I60" s="82">
        <v>17</v>
      </c>
      <c r="J60" s="63">
        <v>2400</v>
      </c>
      <c r="K60" s="64">
        <f t="shared" si="1"/>
        <v>141.1764705882353</v>
      </c>
      <c r="L60" s="82">
        <v>17</v>
      </c>
      <c r="M60" s="65">
        <f t="shared" si="44"/>
        <v>2302.7272727272725</v>
      </c>
      <c r="N60" s="64">
        <f t="shared" si="3"/>
        <v>135.45454545454544</v>
      </c>
      <c r="O60" s="66">
        <f t="shared" si="4"/>
        <v>0</v>
      </c>
      <c r="P60" s="67">
        <f t="shared" si="5"/>
        <v>-5.7219251336898651</v>
      </c>
      <c r="Q60" s="84">
        <f t="shared" si="6"/>
        <v>0.95946969696969675</v>
      </c>
      <c r="R60" s="511"/>
      <c r="S60" s="68">
        <v>0.15972222222222224</v>
      </c>
      <c r="T60" s="68">
        <v>0.20555555555555557</v>
      </c>
      <c r="U60" s="79">
        <f t="shared" si="46"/>
        <v>8.0000000000000107</v>
      </c>
      <c r="V60" s="81">
        <f t="shared" si="45"/>
        <v>66</v>
      </c>
      <c r="W60" s="69"/>
      <c r="X60" s="69"/>
      <c r="Y60" s="510"/>
      <c r="Z60" s="510"/>
      <c r="AA60" s="66">
        <f t="shared" si="8"/>
        <v>-97.272727272727479</v>
      </c>
      <c r="AB60" s="84">
        <f t="shared" si="9"/>
        <v>0.95946969696969686</v>
      </c>
      <c r="AC60" s="511"/>
    </row>
    <row r="61" spans="1:29" ht="15.75" customHeight="1">
      <c r="A61" s="515" t="s">
        <v>163</v>
      </c>
      <c r="B61" s="80" t="s">
        <v>16</v>
      </c>
      <c r="C61" s="512" t="s">
        <v>17</v>
      </c>
      <c r="D61" s="512"/>
      <c r="E61" s="62">
        <v>24.45</v>
      </c>
      <c r="F61" s="80">
        <v>1809</v>
      </c>
      <c r="G61" s="79">
        <f t="shared" si="43"/>
        <v>44230.049999999996</v>
      </c>
      <c r="H61" s="90" t="s">
        <v>5</v>
      </c>
      <c r="I61" s="82">
        <v>20</v>
      </c>
      <c r="J61" s="63">
        <v>2400</v>
      </c>
      <c r="K61" s="64">
        <f t="shared" si="1"/>
        <v>120</v>
      </c>
      <c r="L61" s="82">
        <v>20</v>
      </c>
      <c r="M61" s="65">
        <f t="shared" si="44"/>
        <v>2309.36170212766</v>
      </c>
      <c r="N61" s="64">
        <f t="shared" si="3"/>
        <v>115.468085106383</v>
      </c>
      <c r="O61" s="66">
        <f t="shared" si="4"/>
        <v>0</v>
      </c>
      <c r="P61" s="67">
        <f t="shared" si="5"/>
        <v>-4.5319148936169995</v>
      </c>
      <c r="Q61" s="84">
        <f t="shared" si="6"/>
        <v>0.96223404255319167</v>
      </c>
      <c r="R61" s="511"/>
      <c r="S61" s="68">
        <v>0.20902777777777778</v>
      </c>
      <c r="T61" s="68">
        <v>0.24166666666666667</v>
      </c>
      <c r="U61" s="79">
        <f t="shared" si="46"/>
        <v>4.9999999999999822</v>
      </c>
      <c r="V61" s="81">
        <f t="shared" si="45"/>
        <v>46.999999999999993</v>
      </c>
      <c r="W61" s="69"/>
      <c r="X61" s="69"/>
      <c r="Y61" s="510"/>
      <c r="Z61" s="510"/>
      <c r="AA61" s="66">
        <f t="shared" si="8"/>
        <v>-90.63829787233999</v>
      </c>
      <c r="AB61" s="84">
        <f t="shared" si="9"/>
        <v>0.96223404255319167</v>
      </c>
      <c r="AC61" s="511"/>
    </row>
    <row r="62" spans="1:29" ht="15.75" customHeight="1">
      <c r="A62" s="515" t="s">
        <v>163</v>
      </c>
      <c r="B62" s="80" t="s">
        <v>16</v>
      </c>
      <c r="C62" s="512" t="s">
        <v>34</v>
      </c>
      <c r="D62" s="512"/>
      <c r="E62" s="62">
        <v>24.25</v>
      </c>
      <c r="F62" s="80">
        <v>3429</v>
      </c>
      <c r="G62" s="79">
        <f t="shared" si="43"/>
        <v>83153.25</v>
      </c>
      <c r="H62" s="90" t="s">
        <v>5</v>
      </c>
      <c r="I62" s="82">
        <v>14</v>
      </c>
      <c r="J62" s="63">
        <v>2400</v>
      </c>
      <c r="K62" s="64">
        <f t="shared" si="1"/>
        <v>171.42857142857142</v>
      </c>
      <c r="L62" s="82">
        <v>14</v>
      </c>
      <c r="M62" s="65">
        <f t="shared" si="44"/>
        <v>2286</v>
      </c>
      <c r="N62" s="64">
        <f t="shared" si="3"/>
        <v>163.28571428571428</v>
      </c>
      <c r="O62" s="66">
        <f t="shared" si="4"/>
        <v>0</v>
      </c>
      <c r="P62" s="67">
        <f t="shared" si="5"/>
        <v>-8.1428571428571388</v>
      </c>
      <c r="Q62" s="84">
        <f t="shared" si="6"/>
        <v>0.95250000000000001</v>
      </c>
      <c r="R62" s="511"/>
      <c r="S62" s="68">
        <v>0.24652777777777779</v>
      </c>
      <c r="T62" s="68">
        <v>0.30902777777777779</v>
      </c>
      <c r="U62" s="79">
        <f t="shared" si="46"/>
        <v>7.0000000000000151</v>
      </c>
      <c r="V62" s="81">
        <f t="shared" si="45"/>
        <v>90</v>
      </c>
      <c r="W62" s="69"/>
      <c r="X62" s="69"/>
      <c r="Y62" s="510"/>
      <c r="Z62" s="510"/>
      <c r="AA62" s="66">
        <f t="shared" si="8"/>
        <v>-114</v>
      </c>
      <c r="AB62" s="84">
        <f t="shared" si="9"/>
        <v>0.95250000000000001</v>
      </c>
      <c r="AC62" s="511"/>
    </row>
    <row r="63" spans="1:29" ht="15.75" customHeight="1">
      <c r="A63" s="515" t="s">
        <v>163</v>
      </c>
      <c r="B63" s="80" t="s">
        <v>16</v>
      </c>
      <c r="C63" s="512" t="s">
        <v>26</v>
      </c>
      <c r="D63" s="512"/>
      <c r="E63" s="62">
        <v>20.52</v>
      </c>
      <c r="F63" s="80">
        <v>2767</v>
      </c>
      <c r="G63" s="79">
        <f t="shared" si="43"/>
        <v>56778.84</v>
      </c>
      <c r="H63" s="90" t="s">
        <v>5</v>
      </c>
      <c r="I63" s="82">
        <v>18</v>
      </c>
      <c r="J63" s="63">
        <v>2400</v>
      </c>
      <c r="K63" s="64">
        <f t="shared" si="1"/>
        <v>133.33333333333334</v>
      </c>
      <c r="L63" s="82">
        <v>18</v>
      </c>
      <c r="M63" s="65">
        <f t="shared" si="44"/>
        <v>2305.8333333333339</v>
      </c>
      <c r="N63" s="64">
        <f t="shared" si="3"/>
        <v>128.10185185185188</v>
      </c>
      <c r="O63" s="66">
        <f t="shared" si="4"/>
        <v>0</v>
      </c>
      <c r="P63" s="67">
        <f t="shared" si="5"/>
        <v>-5.2314814814814667</v>
      </c>
      <c r="Q63" s="84">
        <f t="shared" si="6"/>
        <v>0.96076388888888897</v>
      </c>
      <c r="R63" s="511"/>
      <c r="S63" s="68">
        <v>0.31319444444444444</v>
      </c>
      <c r="T63" s="68">
        <v>0.36319444444444443</v>
      </c>
      <c r="U63" s="79">
        <f t="shared" si="46"/>
        <v>5.9999999999999787</v>
      </c>
      <c r="V63" s="81">
        <f t="shared" si="45"/>
        <v>71.999999999999986</v>
      </c>
      <c r="W63" s="69"/>
      <c r="X63" s="69"/>
      <c r="Y63" s="510"/>
      <c r="Z63" s="510"/>
      <c r="AA63" s="66">
        <f t="shared" si="8"/>
        <v>-94.16666666666606</v>
      </c>
      <c r="AB63" s="84">
        <f t="shared" si="9"/>
        <v>0.96076388888888919</v>
      </c>
      <c r="AC63" s="511"/>
    </row>
    <row r="64" spans="1:29" ht="15.75" customHeight="1">
      <c r="A64" s="515" t="s">
        <v>163</v>
      </c>
      <c r="B64" s="80" t="s">
        <v>16</v>
      </c>
      <c r="C64" s="512" t="s">
        <v>49</v>
      </c>
      <c r="D64" s="512"/>
      <c r="E64" s="62">
        <v>19.02</v>
      </c>
      <c r="F64" s="80">
        <v>7972</v>
      </c>
      <c r="G64" s="79">
        <f t="shared" si="43"/>
        <v>151627.44</v>
      </c>
      <c r="H64" s="90" t="s">
        <v>5</v>
      </c>
      <c r="I64" s="82">
        <v>15</v>
      </c>
      <c r="J64" s="63">
        <v>2400</v>
      </c>
      <c r="K64" s="64">
        <f t="shared" si="1"/>
        <v>160</v>
      </c>
      <c r="L64" s="82">
        <v>15</v>
      </c>
      <c r="M64" s="65">
        <f t="shared" si="44"/>
        <v>2288.6124401913876</v>
      </c>
      <c r="N64" s="64">
        <f t="shared" si="3"/>
        <v>152.57416267942583</v>
      </c>
      <c r="O64" s="66">
        <f t="shared" si="4"/>
        <v>0</v>
      </c>
      <c r="P64" s="67">
        <f t="shared" si="5"/>
        <v>-7.4258373205741748</v>
      </c>
      <c r="Q64" s="84">
        <f t="shared" si="6"/>
        <v>0.95358851674641143</v>
      </c>
      <c r="R64" s="511"/>
      <c r="S64" s="68">
        <v>0.36874999999999997</v>
      </c>
      <c r="T64" s="68">
        <v>0.51388888888888884</v>
      </c>
      <c r="U64" s="79">
        <f t="shared" si="46"/>
        <v>7.9999999999999716</v>
      </c>
      <c r="V64" s="81">
        <f t="shared" si="45"/>
        <v>208.99999999999997</v>
      </c>
      <c r="W64" s="69"/>
      <c r="X64" s="69"/>
      <c r="Y64" s="517"/>
      <c r="Z64" s="518"/>
      <c r="AA64" s="66">
        <f t="shared" si="8"/>
        <v>-111.38755980861242</v>
      </c>
      <c r="AB64" s="84">
        <f t="shared" si="9"/>
        <v>0.95358851674641154</v>
      </c>
      <c r="AC64" s="511"/>
    </row>
    <row r="65" spans="1:29" ht="16.5" customHeight="1">
      <c r="A65" s="516" t="s">
        <v>163</v>
      </c>
      <c r="B65" s="62" t="s">
        <v>79</v>
      </c>
      <c r="C65" s="508"/>
      <c r="D65" s="509"/>
      <c r="E65" s="83"/>
      <c r="F65" s="71"/>
      <c r="G65" s="64"/>
      <c r="H65" s="80"/>
      <c r="I65" s="72">
        <v>17.142857142857142</v>
      </c>
      <c r="J65" s="63">
        <v>2400</v>
      </c>
      <c r="K65" s="64">
        <f t="shared" si="1"/>
        <v>140</v>
      </c>
      <c r="L65" s="72">
        <v>17.142857142857142</v>
      </c>
      <c r="M65" s="65">
        <f>AVERAGE(M58:M64)</f>
        <v>2304.7668688161411</v>
      </c>
      <c r="N65" s="64">
        <f t="shared" si="3"/>
        <v>134.4447340142749</v>
      </c>
      <c r="O65" s="66">
        <f t="shared" si="4"/>
        <v>0</v>
      </c>
      <c r="P65" s="67">
        <f t="shared" si="5"/>
        <v>-5.5552659857251001</v>
      </c>
      <c r="Q65" s="84">
        <f t="shared" si="6"/>
        <v>0.9603195286733921</v>
      </c>
      <c r="R65" s="511"/>
      <c r="S65" s="68"/>
      <c r="T65" s="68"/>
      <c r="U65" s="64"/>
      <c r="V65" s="81"/>
      <c r="W65" s="64"/>
      <c r="X65" s="64"/>
      <c r="Y65" s="510"/>
      <c r="Z65" s="510"/>
      <c r="AA65" s="66">
        <f t="shared" si="8"/>
        <v>-95.233131183858859</v>
      </c>
      <c r="AB65" s="84">
        <f t="shared" si="9"/>
        <v>0.9603195286733921</v>
      </c>
      <c r="AC65" s="511"/>
    </row>
    <row r="66" spans="1:29">
      <c r="D66" s="76"/>
      <c r="E66" s="76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3"/>
    <mergeCell ref="C18:D18"/>
    <mergeCell ref="R18:R23"/>
    <mergeCell ref="Y18:Z18"/>
    <mergeCell ref="Y23:Z23"/>
    <mergeCell ref="A12:A1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13:D13"/>
    <mergeCell ref="Y13:Z13"/>
    <mergeCell ref="C14:D14"/>
    <mergeCell ref="Y14:Z14"/>
    <mergeCell ref="C15:D15"/>
    <mergeCell ref="Y15:Z15"/>
    <mergeCell ref="A24:A30"/>
    <mergeCell ref="C24:D24"/>
    <mergeCell ref="R24:R30"/>
    <mergeCell ref="Y24:Z24"/>
    <mergeCell ref="AC24:AC30"/>
    <mergeCell ref="C25:D25"/>
    <mergeCell ref="Y25:Z25"/>
    <mergeCell ref="C26:D26"/>
    <mergeCell ref="Y26:Z26"/>
    <mergeCell ref="C27:D27"/>
    <mergeCell ref="AC31:AC36"/>
    <mergeCell ref="C32:D32"/>
    <mergeCell ref="Y32:Z32"/>
    <mergeCell ref="C33:D33"/>
    <mergeCell ref="Y33:Z33"/>
    <mergeCell ref="C34:D34"/>
    <mergeCell ref="Y27:Z27"/>
    <mergeCell ref="C28:D28"/>
    <mergeCell ref="Y28:Z28"/>
    <mergeCell ref="C29:D29"/>
    <mergeCell ref="Y29:Z29"/>
    <mergeCell ref="C30:D30"/>
    <mergeCell ref="Y30:Z30"/>
    <mergeCell ref="Y34:Z34"/>
    <mergeCell ref="C35:D35"/>
    <mergeCell ref="Y35:Z35"/>
    <mergeCell ref="C36:D36"/>
    <mergeCell ref="Y36:Z36"/>
    <mergeCell ref="A37:A45"/>
    <mergeCell ref="C37:D37"/>
    <mergeCell ref="R37:R45"/>
    <mergeCell ref="Y37:Z37"/>
    <mergeCell ref="Y42:Z42"/>
    <mergeCell ref="A31:A36"/>
    <mergeCell ref="C31:D31"/>
    <mergeCell ref="R31:R36"/>
    <mergeCell ref="Y31:Z31"/>
    <mergeCell ref="C43:D43"/>
    <mergeCell ref="Y43:Z43"/>
    <mergeCell ref="C44:D44"/>
    <mergeCell ref="Y44:Z44"/>
    <mergeCell ref="C45:D45"/>
    <mergeCell ref="Y45:Z45"/>
    <mergeCell ref="AC37:AC45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C52:AC57"/>
    <mergeCell ref="C53:D53"/>
    <mergeCell ref="Y53:Z53"/>
    <mergeCell ref="C54:D54"/>
    <mergeCell ref="Y54:Z54"/>
    <mergeCell ref="C55:D55"/>
    <mergeCell ref="A46:A51"/>
    <mergeCell ref="C46:D46"/>
    <mergeCell ref="R46:R51"/>
    <mergeCell ref="Y46:Z46"/>
    <mergeCell ref="AC46:AC51"/>
    <mergeCell ref="C47:D47"/>
    <mergeCell ref="Y47:Z47"/>
    <mergeCell ref="C48:D48"/>
    <mergeCell ref="C51:D51"/>
    <mergeCell ref="Y51:Z51"/>
    <mergeCell ref="Y55:Z55"/>
    <mergeCell ref="C56:D56"/>
    <mergeCell ref="Y56:Z56"/>
    <mergeCell ref="C57:D57"/>
    <mergeCell ref="Y57:Z57"/>
    <mergeCell ref="A58:A65"/>
    <mergeCell ref="C58:D58"/>
    <mergeCell ref="R58:R65"/>
    <mergeCell ref="Y58:Z58"/>
    <mergeCell ref="Y63:Z63"/>
    <mergeCell ref="A52:A57"/>
    <mergeCell ref="C52:D52"/>
    <mergeCell ref="R52:R57"/>
    <mergeCell ref="Y52:Z52"/>
    <mergeCell ref="C64:D64"/>
    <mergeCell ref="Y64:Z64"/>
    <mergeCell ref="C65:D65"/>
    <mergeCell ref="Y65:Z65"/>
    <mergeCell ref="AC58:AC65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5:O63 O65 O5:O9 O11:O13 O45:O52 O17:O42">
    <cfRule type="cellIs" dxfId="136" priority="53" operator="greaterThan">
      <formula>0</formula>
    </cfRule>
  </conditionalFormatting>
  <conditionalFormatting sqref="P5:P7 P55:P56 AA55:AA56 P58:P63 P24:P29 P52 P9 P11:P13 P18:P22 P46:P50 P31:P42 AA5:AA52 AA58:AA65">
    <cfRule type="cellIs" dxfId="135" priority="57" operator="lessThan">
      <formula>0</formula>
    </cfRule>
  </conditionalFormatting>
  <conditionalFormatting sqref="AB55:AB56 Q55:Q63 Q65 Q5:Q9 Q11:Q13 Q45:Q52 Q17:Q42 AB5:AB52 AB58:AB65">
    <cfRule type="cellIs" dxfId="134" priority="54" operator="greaterThan">
      <formula>1</formula>
    </cfRule>
    <cfRule type="cellIs" dxfId="133" priority="55" operator="lessThan">
      <formula>0.8</formula>
    </cfRule>
  </conditionalFormatting>
  <conditionalFormatting sqref="AC12:AC13 R12:R13 AC55 R55:R63 R65 AC5:AC9 R5:R9 R17:R42 AC17:AC42 AC45:AC52 R45:R52">
    <cfRule type="cellIs" dxfId="132" priority="59" operator="lessThan">
      <formula>0.8</formula>
    </cfRule>
  </conditionalFormatting>
  <conditionalFormatting sqref="AC37">
    <cfRule type="cellIs" dxfId="131" priority="61" operator="lessThan">
      <formula>0.8</formula>
    </cfRule>
  </conditionalFormatting>
  <conditionalFormatting sqref="AC18:AC22">
    <cfRule type="cellIs" dxfId="130" priority="58" operator="lessThan">
      <formula>0.8</formula>
    </cfRule>
  </conditionalFormatting>
  <conditionalFormatting sqref="AC24">
    <cfRule type="cellIs" dxfId="129" priority="60" operator="lessThan">
      <formula>0.8</formula>
    </cfRule>
  </conditionalFormatting>
  <conditionalFormatting sqref="AC31:AC35">
    <cfRule type="cellIs" dxfId="128" priority="56" operator="lessThan">
      <formula>0.8</formula>
    </cfRule>
  </conditionalFormatting>
  <conditionalFormatting sqref="AA57">
    <cfRule type="cellIs" dxfId="127" priority="52" operator="lessThan">
      <formula>0</formula>
    </cfRule>
  </conditionalFormatting>
  <conditionalFormatting sqref="AB57">
    <cfRule type="cellIs" dxfId="126" priority="50" operator="greaterThan">
      <formula>1</formula>
    </cfRule>
    <cfRule type="cellIs" dxfId="125" priority="51" operator="lessThan">
      <formula>0.8</formula>
    </cfRule>
  </conditionalFormatting>
  <conditionalFormatting sqref="O14:O15">
    <cfRule type="cellIs" dxfId="124" priority="45" operator="greaterThan">
      <formula>0</formula>
    </cfRule>
  </conditionalFormatting>
  <conditionalFormatting sqref="P14:P15">
    <cfRule type="cellIs" dxfId="123" priority="48" operator="lessThan">
      <formula>0</formula>
    </cfRule>
  </conditionalFormatting>
  <conditionalFormatting sqref="Q14:Q15">
    <cfRule type="cellIs" dxfId="122" priority="46" operator="greaterThan">
      <formula>1</formula>
    </cfRule>
    <cfRule type="cellIs" dxfId="121" priority="47" operator="lessThan">
      <formula>0.8</formula>
    </cfRule>
  </conditionalFormatting>
  <conditionalFormatting sqref="R14:R15 AC14:AC15">
    <cfRule type="cellIs" dxfId="120" priority="49" operator="lessThan">
      <formula>0.8</formula>
    </cfRule>
  </conditionalFormatting>
  <conditionalFormatting sqref="O10">
    <cfRule type="cellIs" dxfId="119" priority="41" operator="greaterThan">
      <formula>0</formula>
    </cfRule>
  </conditionalFormatting>
  <conditionalFormatting sqref="P10">
    <cfRule type="cellIs" dxfId="118" priority="44" operator="lessThan">
      <formula>0</formula>
    </cfRule>
  </conditionalFormatting>
  <conditionalFormatting sqref="Q10">
    <cfRule type="cellIs" dxfId="117" priority="42" operator="greaterThan">
      <formula>1</formula>
    </cfRule>
    <cfRule type="cellIs" dxfId="116" priority="43" operator="lessThan">
      <formula>0.8</formula>
    </cfRule>
  </conditionalFormatting>
  <conditionalFormatting sqref="O54">
    <cfRule type="cellIs" dxfId="115" priority="36" operator="greaterThan">
      <formula>0</formula>
    </cfRule>
  </conditionalFormatting>
  <conditionalFormatting sqref="P54 AA54">
    <cfRule type="cellIs" dxfId="114" priority="39" operator="lessThan">
      <formula>0</formula>
    </cfRule>
  </conditionalFormatting>
  <conditionalFormatting sqref="Q54 AB54">
    <cfRule type="cellIs" dxfId="113" priority="37" operator="greaterThan">
      <formula>1</formula>
    </cfRule>
    <cfRule type="cellIs" dxfId="112" priority="38" operator="lessThan">
      <formula>0.8</formula>
    </cfRule>
  </conditionalFormatting>
  <conditionalFormatting sqref="R54 AC54">
    <cfRule type="cellIs" dxfId="111" priority="40" operator="lessThan">
      <formula>0.8</formula>
    </cfRule>
  </conditionalFormatting>
  <conditionalFormatting sqref="O64">
    <cfRule type="cellIs" dxfId="110" priority="31" operator="greaterThan">
      <formula>0</formula>
    </cfRule>
  </conditionalFormatting>
  <conditionalFormatting sqref="P64">
    <cfRule type="cellIs" dxfId="109" priority="34" operator="lessThan">
      <formula>0</formula>
    </cfRule>
  </conditionalFormatting>
  <conditionalFormatting sqref="Q64">
    <cfRule type="cellIs" dxfId="108" priority="32" operator="greaterThan">
      <formula>1</formula>
    </cfRule>
    <cfRule type="cellIs" dxfId="107" priority="33" operator="lessThan">
      <formula>0.8</formula>
    </cfRule>
  </conditionalFormatting>
  <conditionalFormatting sqref="R64">
    <cfRule type="cellIs" dxfId="106" priority="35" operator="lessThan">
      <formula>0.8</formula>
    </cfRule>
  </conditionalFormatting>
  <conditionalFormatting sqref="O16">
    <cfRule type="cellIs" dxfId="105" priority="26" operator="greaterThan">
      <formula>0</formula>
    </cfRule>
  </conditionalFormatting>
  <conditionalFormatting sqref="P16">
    <cfRule type="cellIs" dxfId="104" priority="29" operator="lessThan">
      <formula>0</formula>
    </cfRule>
  </conditionalFormatting>
  <conditionalFormatting sqref="Q16">
    <cfRule type="cellIs" dxfId="103" priority="27" operator="greaterThan">
      <formula>1</formula>
    </cfRule>
    <cfRule type="cellIs" dxfId="102" priority="28" operator="lessThan">
      <formula>0.8</formula>
    </cfRule>
  </conditionalFormatting>
  <conditionalFormatting sqref="R16 AC16">
    <cfRule type="cellIs" dxfId="101" priority="30" operator="lessThan">
      <formula>0.8</formula>
    </cfRule>
  </conditionalFormatting>
  <conditionalFormatting sqref="O43">
    <cfRule type="cellIs" dxfId="100" priority="20" operator="greaterThan">
      <formula>0</formula>
    </cfRule>
  </conditionalFormatting>
  <conditionalFormatting sqref="P43">
    <cfRule type="cellIs" dxfId="99" priority="24" operator="lessThan">
      <formula>0</formula>
    </cfRule>
  </conditionalFormatting>
  <conditionalFormatting sqref="Q43">
    <cfRule type="cellIs" dxfId="98" priority="21" operator="greaterThan">
      <formula>1</formula>
    </cfRule>
    <cfRule type="cellIs" dxfId="97" priority="22" operator="lessThan">
      <formula>0.8</formula>
    </cfRule>
  </conditionalFormatting>
  <conditionalFormatting sqref="R43 AC43">
    <cfRule type="cellIs" dxfId="96" priority="25" operator="lessThan">
      <formula>0.8</formula>
    </cfRule>
  </conditionalFormatting>
  <conditionalFormatting sqref="AC43">
    <cfRule type="cellIs" dxfId="95" priority="23" operator="lessThan">
      <formula>0.8</formula>
    </cfRule>
  </conditionalFormatting>
  <conditionalFormatting sqref="O44">
    <cfRule type="cellIs" dxfId="94" priority="14" operator="greaterThan">
      <formula>0</formula>
    </cfRule>
  </conditionalFormatting>
  <conditionalFormatting sqref="P44">
    <cfRule type="cellIs" dxfId="93" priority="18" operator="lessThan">
      <formula>0</formula>
    </cfRule>
  </conditionalFormatting>
  <conditionalFormatting sqref="Q44">
    <cfRule type="cellIs" dxfId="92" priority="15" operator="greaterThan">
      <formula>1</formula>
    </cfRule>
    <cfRule type="cellIs" dxfId="91" priority="16" operator="lessThan">
      <formula>0.8</formula>
    </cfRule>
  </conditionalFormatting>
  <conditionalFormatting sqref="R44 AC44">
    <cfRule type="cellIs" dxfId="90" priority="19" operator="lessThan">
      <formula>0.8</formula>
    </cfRule>
  </conditionalFormatting>
  <conditionalFormatting sqref="AC44">
    <cfRule type="cellIs" dxfId="89" priority="17" operator="lessThan">
      <formula>0.8</formula>
    </cfRule>
  </conditionalFormatting>
  <conditionalFormatting sqref="O53">
    <cfRule type="cellIs" dxfId="88" priority="9" operator="greaterThan">
      <formula>0</formula>
    </cfRule>
  </conditionalFormatting>
  <conditionalFormatting sqref="P53 AA53">
    <cfRule type="cellIs" dxfId="87" priority="12" operator="lessThan">
      <formula>0</formula>
    </cfRule>
  </conditionalFormatting>
  <conditionalFormatting sqref="Q53 AB53">
    <cfRule type="cellIs" dxfId="86" priority="10" operator="greaterThan">
      <formula>1</formula>
    </cfRule>
    <cfRule type="cellIs" dxfId="85" priority="11" operator="lessThan">
      <formula>0.8</formula>
    </cfRule>
  </conditionalFormatting>
  <conditionalFormatting sqref="R53 AC53">
    <cfRule type="cellIs" dxfId="84" priority="13" operator="lessThan">
      <formula>0.8</formula>
    </cfRule>
  </conditionalFormatting>
  <conditionalFormatting sqref="P8">
    <cfRule type="cellIs" dxfId="83" priority="8" operator="lessThan">
      <formula>0</formula>
    </cfRule>
  </conditionalFormatting>
  <conditionalFormatting sqref="P17">
    <cfRule type="cellIs" dxfId="82" priority="7" operator="lessThan">
      <formula>0</formula>
    </cfRule>
  </conditionalFormatting>
  <conditionalFormatting sqref="P23">
    <cfRule type="cellIs" dxfId="81" priority="6" operator="lessThan">
      <formula>0</formula>
    </cfRule>
  </conditionalFormatting>
  <conditionalFormatting sqref="P30">
    <cfRule type="cellIs" dxfId="80" priority="5" operator="lessThan">
      <formula>0</formula>
    </cfRule>
  </conditionalFormatting>
  <conditionalFormatting sqref="P45">
    <cfRule type="cellIs" dxfId="79" priority="4" operator="lessThan">
      <formula>0</formula>
    </cfRule>
  </conditionalFormatting>
  <conditionalFormatting sqref="P51">
    <cfRule type="cellIs" dxfId="78" priority="3" operator="lessThan">
      <formula>0</formula>
    </cfRule>
  </conditionalFormatting>
  <conditionalFormatting sqref="P57">
    <cfRule type="cellIs" dxfId="77" priority="2" operator="lessThan">
      <formula>0</formula>
    </cfRule>
  </conditionalFormatting>
  <conditionalFormatting sqref="P65">
    <cfRule type="cellIs" dxfId="76" priority="1" operator="lessThan">
      <formula>0</formula>
    </cfRule>
  </conditionalFormatting>
  <dataValidations count="1">
    <dataValidation type="list" allowBlank="1" showInputMessage="1" showErrorMessage="1" sqref="Z8 Z56 Y5:Z7 Y8:Y56 Z10:Z52 Y57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FF785-8DD9-4B84-9A86-9856A6914375}"/>
</file>

<file path=customXml/itemProps2.xml><?xml version="1.0" encoding="utf-8"?>
<ds:datastoreItem xmlns:ds="http://schemas.openxmlformats.org/officeDocument/2006/customXml" ds:itemID="{AF81209B-5C14-4702-8B2B-5BF0B0A04403}"/>
</file>

<file path=customXml/itemProps3.xml><?xml version="1.0" encoding="utf-8"?>
<ds:datastoreItem xmlns:ds="http://schemas.openxmlformats.org/officeDocument/2006/customXml" ds:itemID="{1036D83C-A1E6-455B-BB3D-BE0A83EE1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1130</vt:lpstr>
      <vt:lpstr>1130 4度C</vt:lpstr>
      <vt:lpstr>1129</vt:lpstr>
      <vt:lpstr>1129 4度C</vt:lpstr>
      <vt:lpstr>1128</vt:lpstr>
      <vt:lpstr>1128 4度C</vt:lpstr>
      <vt:lpstr>1127</vt:lpstr>
      <vt:lpstr>1127 4度C</vt:lpstr>
      <vt:lpstr>1126</vt:lpstr>
      <vt:lpstr>1126 4度C</vt:lpstr>
      <vt:lpstr>1125</vt:lpstr>
      <vt:lpstr>1125 4度C</vt:lpstr>
      <vt:lpstr>1124</vt:lpstr>
      <vt:lpstr>1124 4度C</vt:lpstr>
      <vt:lpstr>1123</vt:lpstr>
      <vt:lpstr>1123 4度C</vt:lpstr>
      <vt:lpstr>1122</vt:lpstr>
      <vt:lpstr>1122 4度C</vt:lpstr>
      <vt:lpstr>1121</vt:lpstr>
      <vt:lpstr>1121 4度C</vt:lpstr>
      <vt:lpstr>1120</vt:lpstr>
      <vt:lpstr>1120 4度C</vt:lpstr>
      <vt:lpstr>1119</vt:lpstr>
      <vt:lpstr>1119 4度C</vt:lpstr>
      <vt:lpstr>1118</vt:lpstr>
      <vt:lpstr>1118 4度C</vt:lpstr>
      <vt:lpstr>1117</vt:lpstr>
      <vt:lpstr>1117 4度C</vt:lpstr>
      <vt:lpstr>1116</vt:lpstr>
      <vt:lpstr>1116 4度C</vt:lpstr>
      <vt:lpstr>1115</vt:lpstr>
      <vt:lpstr>1115 4度C</vt:lpstr>
      <vt:lpstr>1114</vt:lpstr>
      <vt:lpstr>1114 4度C</vt:lpstr>
      <vt:lpstr>1113</vt:lpstr>
      <vt:lpstr>1113 4度C</vt:lpstr>
      <vt:lpstr>1112</vt:lpstr>
      <vt:lpstr>1112 4度C</vt:lpstr>
      <vt:lpstr>1111</vt:lpstr>
      <vt:lpstr>1111 4度C</vt:lpstr>
      <vt:lpstr>1110</vt:lpstr>
      <vt:lpstr>1110 4度C</vt:lpstr>
      <vt:lpstr>1109</vt:lpstr>
      <vt:lpstr>1109 4度C</vt:lpstr>
      <vt:lpstr>1108</vt:lpstr>
      <vt:lpstr>1108 4度C</vt:lpstr>
      <vt:lpstr>1107</vt:lpstr>
      <vt:lpstr>1107 4度C</vt:lpstr>
      <vt:lpstr>1106</vt:lpstr>
      <vt:lpstr>1106 4度C</vt:lpstr>
      <vt:lpstr>1105</vt:lpstr>
      <vt:lpstr>1105 4度C</vt:lpstr>
      <vt:lpstr>1104</vt:lpstr>
      <vt:lpstr>1104 4度C</vt:lpstr>
      <vt:lpstr>1103</vt:lpstr>
      <vt:lpstr>1103 4度C</vt:lpstr>
      <vt:lpstr>1102</vt:lpstr>
      <vt:lpstr>1102 4度C</vt:lpstr>
      <vt:lpstr>1101</vt:lpstr>
      <vt:lpstr>1101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新豐生管04</cp:lastModifiedBy>
  <dcterms:created xsi:type="dcterms:W3CDTF">2025-10-02T07:09:09Z</dcterms:created>
  <dcterms:modified xsi:type="dcterms:W3CDTF">2025-12-01T06:27:33Z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